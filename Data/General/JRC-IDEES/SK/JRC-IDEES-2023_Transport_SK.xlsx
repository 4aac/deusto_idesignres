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K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25" i="9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48" i="13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Y45" i="3"/>
  <c r="X45" i="3"/>
  <c r="X83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Y76" i="3"/>
  <c r="Y44" i="3"/>
  <c r="X44" i="3"/>
  <c r="Y42" i="3"/>
  <c r="Y31" i="3"/>
  <c r="Y30" i="3"/>
  <c r="Y25" i="3"/>
  <c r="Y10" i="3"/>
  <c r="Y44" i="12" l="1"/>
  <c r="X90" i="8"/>
  <c r="X55" i="3"/>
  <c r="X75" i="3"/>
  <c r="X227" i="3" s="1"/>
  <c r="X29" i="9"/>
  <c r="Y57" i="8"/>
  <c r="Y79" i="8" s="1"/>
  <c r="Y15" i="14"/>
  <c r="Y21" i="14" s="1"/>
  <c r="Y75" i="3"/>
  <c r="Y29" i="9"/>
  <c r="X91" i="8"/>
  <c r="Y54" i="3"/>
  <c r="Y206" i="3" s="1"/>
  <c r="Y91" i="8"/>
  <c r="X31" i="9"/>
  <c r="Y55" i="3"/>
  <c r="Y207" i="3" s="1"/>
  <c r="Y53" i="9"/>
  <c r="Y41" i="12"/>
  <c r="Y44" i="11"/>
  <c r="Y43" i="9"/>
  <c r="X41" i="12"/>
  <c r="Y69" i="11"/>
  <c r="X46" i="3"/>
  <c r="X198" i="3" s="1"/>
  <c r="X53" i="3"/>
  <c r="X19" i="12"/>
  <c r="X69" i="12" s="1"/>
  <c r="X27" i="9"/>
  <c r="X3" i="20"/>
  <c r="Y7" i="18"/>
  <c r="Y23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1" i="15" s="1"/>
  <c r="X13" i="14"/>
  <c r="X19" i="14" s="1"/>
  <c r="Y15" i="3"/>
  <c r="X23" i="3"/>
  <c r="X22" i="3" s="1"/>
  <c r="X14" i="20"/>
  <c r="Y15" i="18"/>
  <c r="Y29" i="13"/>
  <c r="X18" i="11"/>
  <c r="X120" i="11" s="1"/>
  <c r="X235" i="3"/>
  <c r="X243" i="3"/>
  <c r="Y197" i="3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X29" i="19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10" i="17"/>
  <c r="Y23" i="15"/>
  <c r="Y21" i="15"/>
  <c r="Y162" i="3"/>
  <c r="X43" i="13"/>
  <c r="X33" i="13"/>
  <c r="X23" i="13"/>
  <c r="X6" i="13"/>
  <c r="X4" i="13"/>
  <c r="X74" i="3"/>
  <c r="X25" i="19"/>
  <c r="X21" i="19"/>
  <c r="X61" i="3"/>
  <c r="X22" i="15"/>
  <c r="X3" i="18"/>
  <c r="X18" i="18" s="1"/>
  <c r="X30" i="3"/>
  <c r="X14" i="18"/>
  <c r="X18" i="20"/>
  <c r="X14" i="14"/>
  <c r="X20" i="14" s="1"/>
  <c r="X4" i="14"/>
  <c r="Y91" i="3"/>
  <c r="Y243" i="3" s="1"/>
  <c r="Y19" i="20"/>
  <c r="Y11" i="20"/>
  <c r="Y3" i="20"/>
  <c r="Y23" i="20" s="1"/>
  <c r="Y15" i="20"/>
  <c r="Y28" i="11"/>
  <c r="Y80" i="11" s="1"/>
  <c r="Y101" i="11"/>
  <c r="X4" i="10"/>
  <c r="X23" i="10"/>
  <c r="Y18" i="15"/>
  <c r="X7" i="18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207" i="3"/>
  <c r="X15" i="18"/>
  <c r="Y13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22" i="18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08" i="8"/>
  <c r="X17" i="8"/>
  <c r="X21" i="8"/>
  <c r="X123" i="8" s="1"/>
  <c r="X97" i="8"/>
  <c r="X101" i="8"/>
  <c r="Y227" i="3" l="1"/>
  <c r="Y96" i="11"/>
  <c r="X36" i="8"/>
  <c r="X23" i="15"/>
  <c r="X11" i="17"/>
  <c r="Y3" i="16"/>
  <c r="Y29" i="16" s="1"/>
  <c r="Y3" i="19"/>
  <c r="Y28" i="19" s="1"/>
  <c r="Y73" i="3"/>
  <c r="X3" i="16"/>
  <c r="X28" i="16" s="1"/>
  <c r="Y27" i="14"/>
  <c r="Y3" i="12"/>
  <c r="Y50" i="12" s="1"/>
  <c r="X4" i="8"/>
  <c r="X107" i="8" s="1"/>
  <c r="X52" i="3"/>
  <c r="X204" i="3" s="1"/>
  <c r="Y52" i="3"/>
  <c r="Y204" i="3" s="1"/>
  <c r="X96" i="8"/>
  <c r="X41" i="3"/>
  <c r="X193" i="3" s="1"/>
  <c r="X11" i="9"/>
  <c r="X80" i="11"/>
  <c r="X10" i="20"/>
  <c r="X9" i="20"/>
  <c r="X20" i="19"/>
  <c r="X24" i="19"/>
  <c r="X60" i="3"/>
  <c r="X59" i="3" s="1"/>
  <c r="X153" i="3" s="1"/>
  <c r="X86" i="3"/>
  <c r="X238" i="3" s="1"/>
  <c r="Y20" i="16"/>
  <c r="Y57" i="3"/>
  <c r="Y13" i="15"/>
  <c r="Y17" i="15"/>
  <c r="Y20" i="14"/>
  <c r="X43" i="3"/>
  <c r="X116" i="11"/>
  <c r="Y25" i="14"/>
  <c r="X43" i="11"/>
  <c r="X25" i="14"/>
  <c r="X118" i="11"/>
  <c r="X22" i="10"/>
  <c r="X192" i="3"/>
  <c r="Y36" i="8"/>
  <c r="X41" i="9"/>
  <c r="X25" i="8"/>
  <c r="X21" i="20"/>
  <c r="Y22" i="13"/>
  <c r="X233" i="3"/>
  <c r="X22" i="17"/>
  <c r="X122" i="11"/>
  <c r="X13" i="20"/>
  <c r="X22" i="20"/>
  <c r="X44" i="10"/>
  <c r="X205" i="3"/>
  <c r="Y13" i="3"/>
  <c r="Y43" i="11"/>
  <c r="X112" i="8"/>
  <c r="X100" i="8"/>
  <c r="Y198" i="3"/>
  <c r="X111" i="8"/>
  <c r="X76" i="11"/>
  <c r="X113" i="8"/>
  <c r="Y21" i="18"/>
  <c r="X13" i="11"/>
  <c r="X117" i="11"/>
  <c r="X224" i="3"/>
  <c r="Y111" i="11"/>
  <c r="Y42" i="13"/>
  <c r="Y12" i="14"/>
  <c r="Y18" i="14" s="1"/>
  <c r="X183" i="3"/>
  <c r="X182" i="3"/>
  <c r="X13" i="3"/>
  <c r="X37" i="9"/>
  <c r="X3" i="12"/>
  <c r="X51" i="12" s="1"/>
  <c r="Y23" i="10"/>
  <c r="Y22" i="10"/>
  <c r="Y117" i="11"/>
  <c r="Y29" i="19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7" i="16"/>
  <c r="Y23" i="16"/>
  <c r="Y19" i="16"/>
  <c r="Y28" i="16"/>
  <c r="X85" i="8"/>
  <c r="X15" i="8"/>
  <c r="X49" i="10"/>
  <c r="X38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X49" i="12"/>
  <c r="Y240" i="3"/>
  <c r="Y122" i="3"/>
  <c r="Y52" i="12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Y209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9" i="20"/>
  <c r="Y22" i="20"/>
  <c r="Y13" i="17"/>
  <c r="Y21" i="17"/>
  <c r="Y17" i="17"/>
  <c r="Y9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Y53" i="12"/>
  <c r="Y49" i="12"/>
  <c r="X23" i="18"/>
  <c r="X28" i="19"/>
  <c r="X195" i="3" l="1"/>
  <c r="X35" i="9"/>
  <c r="X212" i="3"/>
  <c r="Y19" i="19"/>
  <c r="Y55" i="12"/>
  <c r="Y23" i="19"/>
  <c r="Y51" i="12"/>
  <c r="Y47" i="12"/>
  <c r="X46" i="9"/>
  <c r="X9" i="17"/>
  <c r="Y48" i="12"/>
  <c r="Y54" i="12"/>
  <c r="Y27" i="19"/>
  <c r="X94" i="8"/>
  <c r="X105" i="8"/>
  <c r="X27" i="16"/>
  <c r="X23" i="16"/>
  <c r="X39" i="3"/>
  <c r="X191" i="3" s="1"/>
  <c r="Y17" i="12"/>
  <c r="Y67" i="12" s="1"/>
  <c r="X10" i="9"/>
  <c r="X57" i="9" s="1"/>
  <c r="X109" i="8"/>
  <c r="X106" i="8"/>
  <c r="X24" i="9"/>
  <c r="X19" i="16"/>
  <c r="Y56" i="3"/>
  <c r="Y208" i="3" s="1"/>
  <c r="Y24" i="14"/>
  <c r="Y195" i="3"/>
  <c r="X95" i="11"/>
  <c r="Y225" i="3"/>
  <c r="X62" i="10"/>
  <c r="X225" i="3"/>
  <c r="X56" i="3"/>
  <c r="X208" i="3" s="1"/>
  <c r="Y95" i="11"/>
  <c r="Y37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11" i="3"/>
  <c r="X151" i="3"/>
  <c r="X60" i="9"/>
  <c r="X64" i="9"/>
  <c r="X62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65" i="9" l="1"/>
  <c r="X59" i="9"/>
  <c r="X63" i="9"/>
  <c r="X61" i="9"/>
  <c r="X45" i="9"/>
  <c r="X58" i="9"/>
  <c r="X56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L10" i="20"/>
  <c r="Q14" i="20"/>
  <c r="Q3" i="20"/>
  <c r="Q22" i="20" s="1"/>
  <c r="C19" i="20"/>
  <c r="E14" i="18"/>
  <c r="M14" i="18"/>
  <c r="E19" i="18"/>
  <c r="U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M23" i="20"/>
  <c r="R3" i="20"/>
  <c r="Q21" i="19" l="1"/>
  <c r="Q25" i="19"/>
  <c r="I21" i="18"/>
  <c r="W24" i="19"/>
  <c r="P10" i="20"/>
  <c r="R21" i="19"/>
  <c r="N13" i="20"/>
  <c r="F22" i="20"/>
  <c r="K23" i="18"/>
  <c r="H20" i="19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3" i="19"/>
  <c r="N27" i="19"/>
  <c r="N19" i="19"/>
  <c r="J17" i="18"/>
  <c r="J13" i="18"/>
  <c r="N9" i="20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E27" i="19" l="1"/>
  <c r="W9" i="20"/>
  <c r="M9" i="20"/>
  <c r="W29" i="19"/>
  <c r="M19" i="19"/>
  <c r="M27" i="19"/>
  <c r="H27" i="19"/>
  <c r="H19" i="19"/>
  <c r="Q23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5" i="1"/>
  <c r="B4" i="1"/>
  <c r="B21" i="1"/>
  <c r="B20" i="1"/>
  <c r="B22" i="1"/>
  <c r="B13" i="1"/>
  <c r="B7" i="1"/>
  <c r="B6" i="1"/>
  <c r="B11" i="1"/>
  <c r="B17" i="1"/>
  <c r="B18" i="1"/>
  <c r="B9" i="1"/>
  <c r="B8" i="1"/>
  <c r="B12" i="1"/>
  <c r="B1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O180" i="4"/>
  <c r="P208" i="4"/>
  <c r="P206" i="4"/>
  <c r="P102" i="5"/>
  <c r="P209" i="4"/>
  <c r="P96" i="6"/>
  <c r="P8" i="3" l="1"/>
  <c r="P150" i="4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265" i="4" s="1"/>
  <c r="I184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/>
  <c r="J238" i="4" s="1"/>
  <c r="J157" i="4"/>
  <c r="J211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 s="1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19" i="3" l="1"/>
  <c r="X241" i="4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 s="1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<sst xmlns="http://schemas.openxmlformats.org/spreadsheetml/2006/main" count="2657" uniqueCount="1169">
  <si>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</si>
  <si>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</si>
  <si>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</si>
  <si>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</si>
  <si>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</si>
  <si>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</si>
  <si>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</si>
  <si>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</si>
  <si>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</si>
  <si>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</si>
  <si>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</si>
  <si>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</si>
  <si>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</si>
  <si>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</si>
  <si>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</si>
  <si>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</si>
  <si>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</si>
  <si>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</si>
  <si>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</si>
  <si>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</si>
  <si>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</si>
  <si>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</si>
  <si>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</si>
  <si>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</si>
  <si>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</si>
  <si>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</si>
  <si>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</si>
  <si>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</si>
  <si>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</si>
  <si>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</si>
  <si>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</si>
  <si>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</si>
  <si>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</si>
  <si>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</si>
  <si>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</si>
  <si>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</si>
  <si>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</si>
  <si>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</si>
  <si>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</si>
  <si>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</si>
  <si>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</si>
  <si>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</si>
  <si>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</si>
  <si>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</si>
  <si>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</si>
  <si>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</si>
  <si>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</si>
  <si>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</si>
  <si>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</si>
  <si>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</si>
  <si>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</si>
  <si>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</si>
  <si>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</si>
  <si>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</si>
  <si>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</si>
  <si>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</si>
  <si>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</si>
  <si>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</si>
  <si>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</si>
  <si>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</si>
  <si>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</si>
  <si>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</si>
  <si>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</si>
  <si>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</si>
  <si>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</si>
  <si>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</si>
  <si>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</si>
  <si>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</si>
  <si>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</si>
  <si>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</si>
  <si>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</si>
  <si>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</si>
  <si>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</si>
  <si>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</si>
  <si>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</si>
  <si>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</si>
  <si>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</si>
  <si>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</si>
  <si>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</si>
  <si>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</si>
  <si>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</si>
  <si>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</si>
  <si>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</si>
  <si>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</si>
  <si>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</si>
  <si>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</si>
  <si>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</si>
  <si>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</si>
  <si>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</si>
  <si>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</si>
  <si>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</si>
  <si>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</si>
  <si>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</si>
  <si>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</si>
  <si>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</si>
  <si>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</si>
  <si>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</si>
  <si>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</si>
  <si>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</si>
  <si>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</si>
  <si>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</si>
  <si>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</si>
  <si>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</si>
  <si>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</si>
  <si>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</si>
  <si>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</si>
  <si>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</si>
  <si>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</si>
  <si>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</si>
  <si>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</si>
  <si>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</si>
  <si>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</si>
  <si>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</si>
  <si>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</si>
  <si>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</si>
  <si>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</si>
  <si>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</si>
  <si>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</si>
  <si>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</si>
  <si>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</si>
  <si>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</si>
  <si>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</si>
  <si>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</si>
  <si>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</si>
  <si>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</si>
  <si>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</si>
  <si>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</si>
  <si>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</si>
  <si>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</si>
  <si>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</si>
  <si>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</si>
  <si>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</si>
  <si>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</si>
  <si>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</si>
  <si>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</si>
  <si>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</si>
  <si>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</si>
  <si>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</si>
  <si>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</si>
  <si>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</si>
  <si>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</si>
  <si>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</si>
  <si>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</si>
  <si>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</si>
  <si>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</si>
  <si>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</si>
  <si>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</si>
  <si>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</si>
  <si>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</si>
  <si>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</si>
  <si>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</si>
  <si>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</si>
  <si>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</si>
  <si>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</si>
  <si>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</si>
  <si>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</si>
  <si>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</si>
  <si>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</si>
  <si>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</si>
  <si>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</si>
  <si>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</si>
  <si>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</si>
  <si>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</si>
  <si>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</si>
  <si>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</si>
  <si>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</si>
  <si>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</si>
  <si>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</si>
  <si>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</si>
  <si>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</si>
  <si>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</si>
  <si>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</si>
  <si>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</si>
  <si>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</si>
  <si>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</si>
  <si>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</si>
  <si>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</si>
  <si>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</si>
  <si>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</si>
  <si>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</si>
  <si>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</si>
  <si>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</si>
  <si>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</si>
  <si>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</si>
  <si>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</si>
  <si>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</si>
  <si>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</si>
  <si>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SK</t>
  </si>
  <si>
    <t>Slovakia</t>
  </si>
  <si>
    <t>Aviation - SK - Slovakia</t>
  </si>
  <si>
    <t>Activity.Mpkm.SK.Tr.Avia.Passenger</t>
  </si>
  <si>
    <t>Activity.Mpkm.SK.Tr.Avia.Passenger.Domestic</t>
  </si>
  <si>
    <t>Activity.Mpkm.SK.Tr.Avia.Passenger.IntraEEAwCHUK</t>
  </si>
  <si>
    <t>Activity.Mpkm.SK.Tr.Avia.Passenger.ExtraEEAwCHUK</t>
  </si>
  <si>
    <t>Activity.Mtkm.SK.Tr.Avia.Freight</t>
  </si>
  <si>
    <t>Activity.Mtkm.SK.Tr.Avia.Freight.Domestic</t>
  </si>
  <si>
    <t>Activity.Mtkm.SK.Tr.Avia.Freight.IntraEEAwCHUK</t>
  </si>
  <si>
    <t>Activity.Mtkm.SK.Tr.Avia.Freight.ExtraEEAwCHUK</t>
  </si>
  <si>
    <t>VehicleKm.Mkm.SK.Tr.Avia</t>
  </si>
  <si>
    <t>VehicleKm.Mkm.SK.Tr.Avia.Passenger</t>
  </si>
  <si>
    <t>VehicleKm.Mkm.SK.Tr.Avia.Passenger.Domestic</t>
  </si>
  <si>
    <t>VehicleKm.Mkm.SK.Tr.Avia.Passenger.IntraEEAwCHUK</t>
  </si>
  <si>
    <t>VehicleKm.Mkm.SK.Tr.Avia.Passenger.ExtraEEAwCHUK</t>
  </si>
  <si>
    <t>VehicleKm.Mkm.SK.Tr.Avia.Freight</t>
  </si>
  <si>
    <t>VehicleKm.Mkm.SK.Tr.Avia.Freight.Domestic</t>
  </si>
  <si>
    <t>VehicleKm.Mkm.SK.Tr.Avia.Freight.IntraEEAwCHUK</t>
  </si>
  <si>
    <t>VehicleKm.Mkm.SK.Tr.Avia.Freight.ExtraEEAwCHUK</t>
  </si>
  <si>
    <t>Flights.number.SK.Tr.Avia</t>
  </si>
  <si>
    <t>Flights.number.SK.Tr.Avia.Passenger</t>
  </si>
  <si>
    <t>Flights.number.SK.Tr.Avia.Passenger.Domestic</t>
  </si>
  <si>
    <t>Flights.number.SK.Tr.Avia.Passenger.IntraEEAwCHUK</t>
  </si>
  <si>
    <t>Flights.number.SK.Tr.Avia.Passenger.ExtraEEAwCHUK</t>
  </si>
  <si>
    <t>Flights.number.SK.Tr.Avia.Freight</t>
  </si>
  <si>
    <t>Flights.number.SK.Tr.Avia.Freight.Domestic</t>
  </si>
  <si>
    <t>Flights.number.SK.Tr.Avia.Freight.IntraEEAwCHUK</t>
  </si>
  <si>
    <t>Flights.number.SK.Tr.Avia.Freight.ExtraEEAwCHUK</t>
  </si>
  <si>
    <t>VolCarried.passenger.SK.Tr.Avia.Passenger</t>
  </si>
  <si>
    <t>VolCarried.passenger.SK.Tr.Avia.Passenger.Domestic</t>
  </si>
  <si>
    <t>VolCarried.passenger.SK.Tr.Avia.Passenger.IntraEEAwCHUK</t>
  </si>
  <si>
    <t>VolCarried.passenger.SK.Tr.Avia.Passenger.ExtraEEAwCHUK</t>
  </si>
  <si>
    <t>VolCarried.t.SK.Tr.Avia.Freight</t>
  </si>
  <si>
    <t>VolCarried.t.SK.Tr.Avia.Freight.Domestic</t>
  </si>
  <si>
    <t>VolCarried.t.SK.Tr.Avia.Freight.IntraEEAwCHUK</t>
  </si>
  <si>
    <t>VolCarried.t.SK.Tr.Avia.Freight.ExtraEEAwCHUK</t>
  </si>
  <si>
    <t>Stock.number.SK.Tr.Avia</t>
  </si>
  <si>
    <t>Stock.number.SK.Tr.Avia.Passenger</t>
  </si>
  <si>
    <t>Stock.number.SK.Tr.Avia.Passenger.Domestic</t>
  </si>
  <si>
    <t>Stock.number.SK.Tr.Avia.Passenger.IntraEEAwCHUK</t>
  </si>
  <si>
    <t>Stock.number.SK.Tr.Avia.Passenger.ExtraEEAwCHUK</t>
  </si>
  <si>
    <t>Stock.number.SK.Tr.Avia.Freight</t>
  </si>
  <si>
    <t>Stock.number.SK.Tr.Avia.Freight.Domestic</t>
  </si>
  <si>
    <t>Stock.number.SK.Tr.Avia.Freight.IntraEEAwCHUK</t>
  </si>
  <si>
    <t>Stock.number.SK.Tr.Avia.Freight.ExtraEEAwCHUK</t>
  </si>
  <si>
    <t>StockNew.number.SK.Tr.Avia</t>
  </si>
  <si>
    <t>StockNew.number.SK.Tr.Avia.Passenger</t>
  </si>
  <si>
    <t>StockNew.number.SK.Tr.Avia.Passenger.Domestic</t>
  </si>
  <si>
    <t>StockNew.number.SK.Tr.Avia.Passenger.IntraEEAwCHUK</t>
  </si>
  <si>
    <t>StockNew.number.SK.Tr.Avia.Passenger.ExtraEEAwCHUK</t>
  </si>
  <si>
    <t>StockNew.number.SK.Tr.Avia.Freight</t>
  </si>
  <si>
    <t>StockNew.number.SK.Tr.Avia.Freight.Domestic</t>
  </si>
  <si>
    <t>StockNew.number.SK.Tr.Avia.Freight.IntraEEAwCHUK</t>
  </si>
  <si>
    <t>StockNew.number.SK.Tr.Avia.Freight.ExtraEEAwCHUK</t>
  </si>
  <si>
    <t>Load.passenger_per_movement.SK.Tr.Avia.Passenger</t>
  </si>
  <si>
    <t>Load.passenger_per_movement.SK.Tr.Avia.Passenger.Domestic</t>
  </si>
  <si>
    <t>Load.passenger_per_movement.SK.Tr.Avia.Passenger.IntraEEAwCHUK</t>
  </si>
  <si>
    <t>Load.passenger_per_movement.SK.Tr.Avia.Passenger.ExtraEEAwCHUK</t>
  </si>
  <si>
    <t>Load.t_per_movement.SK.Tr.Avia.Freight</t>
  </si>
  <si>
    <t>Load.t_per_movement.SK.Tr.Avia.Freight.Domestic</t>
  </si>
  <si>
    <t>Load.t_per_movement.SK.Tr.Avia.Freight.IntraEEAwCHUK</t>
  </si>
  <si>
    <t>Load.t_per_movement.SK.Tr.Avia.Freight.ExtraEEAwCHUK</t>
  </si>
  <si>
    <t>VehicleKm_per_flight.km.SK.Tr.Avia</t>
  </si>
  <si>
    <t>VehicleKm_per_flight.km.SK.Tr.Avia.Passenger</t>
  </si>
  <si>
    <t>VehicleKm_per_flight.km.SK.Tr.Avia.Passenger.Domestic</t>
  </si>
  <si>
    <t>VehicleKm_per_flight.km.SK.Tr.Avia.Passenger.IntraEEAwCHUK</t>
  </si>
  <si>
    <t>VehicleKm_per_flight.km.SK.Tr.Avia.Passenger.ExtraEEAwCHUK</t>
  </si>
  <si>
    <t>VehicleKm_per_flight.km.SK.Tr.Avia.Freight</t>
  </si>
  <si>
    <t>VehicleKm_per_flight.km.SK.Tr.Avia.Freight.Domestic</t>
  </si>
  <si>
    <t>VehicleKm_per_flight.km.SK.Tr.Avia.Freight.IntraEEAwCHUK</t>
  </si>
  <si>
    <t>VehicleKm_per_flight.km.SK.Tr.Avia.Freight.ExtraEEAwCHUK</t>
  </si>
  <si>
    <t>Activity_per_flight.pkm.SK.Tr.Avia.Passenger</t>
  </si>
  <si>
    <t>Activity_per_flight.pkm.SK.Tr.Avia.Passenger.Domestic</t>
  </si>
  <si>
    <t>Activity_per_flight.pkm.SK.Tr.Avia.Passenger.IntraEEAwCHUK</t>
  </si>
  <si>
    <t>Activity_per_flight.pkm.SK.Tr.Avia.Passenger.ExtraEEAwCHUK</t>
  </si>
  <si>
    <t>Activity_per_flight.tkm.SK.Tr.Avia.Freight</t>
  </si>
  <si>
    <t>Activity_per_flight.tkm.SK.Tr.Avia.Freight.Domestic</t>
  </si>
  <si>
    <t>Activity_per_flight.tkm.SK.Tr.Avia.Freight.IntraEEAwCHUK</t>
  </si>
  <si>
    <t>Activity_per_flight.tkm.SK.Tr.Avia.Freight.ExtraEEAwCHUK</t>
  </si>
  <si>
    <t>Flights_per_vehicle.number.SK.Tr.Avia</t>
  </si>
  <si>
    <t>Flights_per_vehicle.number.SK.Tr.Avia.Passenger</t>
  </si>
  <si>
    <t>Flights_per_vehicle.number.SK.Tr.Avia.Passenger.Domestic</t>
  </si>
  <si>
    <t>Flights_per_vehicle.number.SK.Tr.Avia.Passenger.IntraEEAwCHUK</t>
  </si>
  <si>
    <t>Flights_per_vehicle.number.SK.Tr.Avia.Passenger.ExtraEEAwCHUK</t>
  </si>
  <si>
    <t>Flights_per_vehicle.number.SK.Tr.Avia.Freight</t>
  </si>
  <si>
    <t>Flights_per_vehicle.number.SK.Tr.Avia.Freight.Domestic</t>
  </si>
  <si>
    <t>Flights_per_vehicle.number.SK.Tr.Avia.Freight.IntraEEAwCHUK</t>
  </si>
  <si>
    <t>Flights_per_vehicle.number.SK.Tr.Avia.Freight.ExtraEEAwCHUK</t>
  </si>
  <si>
    <t>Aviation / energy consumption - SK - Slovakia</t>
  </si>
  <si>
    <t>FEC.ktoe.SK.Tr.Avia</t>
  </si>
  <si>
    <t>FEC.ktoe.SK.Tr.Avia.Domestic</t>
  </si>
  <si>
    <t>FEC.ktoe.SK.Tr.Avia.International</t>
  </si>
  <si>
    <t>FEC.ktoe.SK.Tr.Avia.Passenger</t>
  </si>
  <si>
    <t>FEC.ktoe.SK.Tr.Avia.Passenger.Domestic</t>
  </si>
  <si>
    <t>FEC.ktoe.SK.Tr.Avia.Passenger.IntraEEAwCHUK</t>
  </si>
  <si>
    <t>FEC.ktoe.SK.Tr.Avia.Passenger.ExtraEEAwCHUK</t>
  </si>
  <si>
    <t>FEC.ktoe.SK.Tr.Avia.Freight</t>
  </si>
  <si>
    <t>FEC.ktoe.SK.Tr.Avia.Freight.Domestic</t>
  </si>
  <si>
    <t>FEC.ktoe.SK.Tr.Avia.Freight.IntraEEAwCHUK</t>
  </si>
  <si>
    <t>FEC.ktoe.SK.Tr.Avia.Freight.ExtraEEAwCHUK</t>
  </si>
  <si>
    <t>Eff.kgoe_per_100km.SK.Tr.Avia</t>
  </si>
  <si>
    <t>Eff.kgoe_per_100km.SK.Tr.Avia.Passenger</t>
  </si>
  <si>
    <t>Eff.kgoe_per_100km.SK.Tr.Avia.Passenger.Domestic</t>
  </si>
  <si>
    <t>Eff.kgoe_per_100km.SK.Tr.Avia.Passenger.IntraEEAwCHUK</t>
  </si>
  <si>
    <t>Eff.kgoe_per_100km.SK.Tr.Avia.Passenger.ExtraEEAwCHUK</t>
  </si>
  <si>
    <t>Eff.kgoe_per_100km.SK.Tr.Avia.Freight</t>
  </si>
  <si>
    <t>Eff.kgoe_per_100km.SK.Tr.Avia.Freight.Domestic</t>
  </si>
  <si>
    <t>Eff.kgoe_per_100km.SK.Tr.Avia.Freight.IntraEEAwCHUK</t>
  </si>
  <si>
    <t>Eff.kgoe_per_100km.SK.Tr.Avia.Freight.ExtraEEAwCHUK</t>
  </si>
  <si>
    <t>Eff.kgoe_per_kpkm.SK.Tr.Avia.Passenger</t>
  </si>
  <si>
    <t>Eff.kgoe_per_kpkm.SK.Tr.Avia.Passenger.Domestic</t>
  </si>
  <si>
    <t>Eff.kgoe_per_kpkm.SK.Tr.Avia.Passenger.IntraEEAwCHUK</t>
  </si>
  <si>
    <t>Eff.kgoe_per_kpkm.SK.Tr.Avia.Passenger.ExtraEEAwCHUK</t>
  </si>
  <si>
    <t>Eff.kgoe_per_ktkm.SK.Tr.Avia.Freight</t>
  </si>
  <si>
    <t>Eff.kgoe_per_ktkm.SK.Tr.Avia.Freight.Domestic</t>
  </si>
  <si>
    <t>Eff.kgoe_per_ktkm.SK.Tr.Avia.Freight.IntraEEAwCHUK</t>
  </si>
  <si>
    <t>Eff.kgoe_per_ktkm.SK.Tr.Avia.Freight.ExtraEEAwCHUK</t>
  </si>
  <si>
    <t>FEC_per_flight.kgoe.SK.Tr.Avia</t>
  </si>
  <si>
    <t>FEC_per_flight.kgoe.SK.Tr.Avia.Passenger</t>
  </si>
  <si>
    <t>FEC_per_flight.kgoe.SK.Tr.Avia.Passenger.Domestic</t>
  </si>
  <si>
    <t>FEC_per_flight.kgoe.SK.Tr.Avia.Passenger.IntraEEAwCHUK</t>
  </si>
  <si>
    <t>FEC_per_flight.kgoe.SK.Tr.Avia.Passenger.ExtraEEAwCHUK</t>
  </si>
  <si>
    <t>FEC_per_flight.kgoe.SK.Tr.Avia.Freight</t>
  </si>
  <si>
    <t>FEC_per_flight.kgoe.SK.Tr.Avia.Freight.Domestic</t>
  </si>
  <si>
    <t>FEC_per_flight.kgoe.SK.Tr.Avia.Freight.IntraEEAwCHUK</t>
  </si>
  <si>
    <t>FEC_per_flight.kgoe.SK.Tr.Avia.Freight.ExtraEEAwCHUK</t>
  </si>
  <si>
    <t>Eff_theor.kgoe_per_100km.SK.Tr.Avia</t>
  </si>
  <si>
    <t>Eff_theor.kgoe_per_100km.SK.Tr.Avia.Passenger</t>
  </si>
  <si>
    <t>Eff_theor.kgoe_per_100km.SK.Tr.Avia.Passenger.Domestic</t>
  </si>
  <si>
    <t>Eff_theor.kgoe_per_100km.SK.Tr.Avia.Passenger.IntraEEAwCHUK</t>
  </si>
  <si>
    <t>Eff_theor.kgoe_per_100km.SK.Tr.Avia.Passenger.ExtraEEAwCHUK</t>
  </si>
  <si>
    <t>Eff_theor.kgoe_per_100km.SK.Tr.Avia.Freight</t>
  </si>
  <si>
    <t>Eff_theor.kgoe_per_100km.SK.Tr.Avia.Freight.Domestic</t>
  </si>
  <si>
    <t>Eff_theor.kgoe_per_100km.SK.Tr.Avia.Freight.IntraEEAwCHUK</t>
  </si>
  <si>
    <t>Eff_theor.kgoe_per_100km.SK.Tr.Avia.Freight.ExtraEEAwCHUK</t>
  </si>
  <si>
    <t>Aviation / CO2 emissions - SK - Slovakia</t>
  </si>
  <si>
    <t>EMI.ktCO2.SK.Tr.Avia</t>
  </si>
  <si>
    <t>EMI.ktCO2.SK.Tr.Avia.Domestic</t>
  </si>
  <si>
    <t>EMI.ktCO2.SK.Tr.Avia.International</t>
  </si>
  <si>
    <t>EMI.ktCO2.SK.Tr.Avia.Passenger</t>
  </si>
  <si>
    <t>EMI.ktCO2.SK.Tr.Avia.Passenger.Domestic</t>
  </si>
  <si>
    <t>EMI.ktCO2.SK.Tr.Avia.Passenger.IntraEEAwCHUK</t>
  </si>
  <si>
    <t>EMI.ktCO2.SK.Tr.Avia.Passenger.ExtraEEAwCHUK</t>
  </si>
  <si>
    <t>EMI.ktCO2.SK.Tr.Avia.Freight</t>
  </si>
  <si>
    <t>EMI.ktCO2.SK.Tr.Avia.Freight.Domestic</t>
  </si>
  <si>
    <t>EMI.ktCO2.SK.Tr.Avia.Freight.IntraEEAwCHUK</t>
  </si>
  <si>
    <t>EMI.ktCO2.SK.Tr.Avia.Freight.ExtraEEAwCHUK</t>
  </si>
  <si>
    <t>EMIint.gCO2_per_km.SK.Tr.Avia</t>
  </si>
  <si>
    <t>EMIint.gCO2_per_km.SK.Tr.Avia.Passenger</t>
  </si>
  <si>
    <t>EMIint.gCO2_per_km.SK.Tr.Avia.Passenger.Domestic</t>
  </si>
  <si>
    <t>EMIint.gCO2_per_km.SK.Tr.Avia.Passenger.IntraEEAwCHUK</t>
  </si>
  <si>
    <t>EMIint.gCO2_per_km.SK.Tr.Avia.Passenger.ExtraEEAwCHUK</t>
  </si>
  <si>
    <t>EMIint.gCO2_per_km.SK.Tr.Avia.Freight</t>
  </si>
  <si>
    <t>EMIint.gCO2_per_km.SK.Tr.Avia.Freight.Domestic</t>
  </si>
  <si>
    <t>EMIint.gCO2_per_km.SK.Tr.Avia.Freight.IntraEEAwCHUK</t>
  </si>
  <si>
    <t>EMIint.gCO2_per_km.SK.Tr.Avia.Freight.ExtraEEAwCHUK</t>
  </si>
  <si>
    <t>EMIint.gCO2_per_pkm.SK.Tr.Avia.Passenger</t>
  </si>
  <si>
    <t>EMIint.gCO2_per_pkm.SK.Tr.Avia.Passenger.Domestic</t>
  </si>
  <si>
    <t>EMIint.gCO2_per_pkm.SK.Tr.Avia.Passenger.IntraEEAwCHUK</t>
  </si>
  <si>
    <t>EMIint.gCO2_per_pkm.SK.Tr.Avia.Passenger.ExtraEEAwCHUK</t>
  </si>
  <si>
    <t>EMIint.gCO2_per_tkm.SK.Tr.Avia.Freight</t>
  </si>
  <si>
    <t>EMIint.gCO2_per_tkm.SK.Tr.Avia.Freight.Domestic</t>
  </si>
  <si>
    <t>EMIint.gCO2_per_tkm.SK.Tr.Avia.Freight.IntraEEAwCHUK</t>
  </si>
  <si>
    <t>EMIint.gCO2_per_tkm.SK.Tr.Avia.Freight.ExtraEEAwCHUK</t>
  </si>
  <si>
    <t>EMI_per_flight.kgCO2.SK.Tr.Avia</t>
  </si>
  <si>
    <t>EMI_per_flight.kgCO2.SK.Tr.Avia.Passenger</t>
  </si>
  <si>
    <t>EMI_per_flight.kgCO2.SK.Tr.Avia.Passenger.Domestic</t>
  </si>
  <si>
    <t>EMI_per_flight.kgCO2.SK.Tr.Avia.Passenger.IntraEEAwCHUK</t>
  </si>
  <si>
    <t>EMI_per_flight.kgCO2.SK.Tr.Avia.Passenger.ExtraEEAwCHUK</t>
  </si>
  <si>
    <t>EMI_per_flight.kgCO2.SK.Tr.Avia.Freight</t>
  </si>
  <si>
    <t>EMI_per_flight.kgCO2.SK.Tr.Avia.Freight.Domestic</t>
  </si>
  <si>
    <t>EMI_per_flight.kgCO2.SK.Tr.Avia.Freight.IntraEEAwCHUK</t>
  </si>
  <si>
    <t>EMI_per_flight.kgCO2.SK.Tr.Avia.Freight.ExtraEEAwCHUK</t>
  </si>
  <si>
    <t>Aviation / passenger transport specific data - SK - Slovakia</t>
  </si>
  <si>
    <t>TrCap.seats.SK.Tr.Avia.Passenger</t>
  </si>
  <si>
    <t>TrCap.seats.SK.Tr.Avia.Passenger.Domestic</t>
  </si>
  <si>
    <t>TrCap.seats.SK.Tr.Avia.Passenger.IntraEEAwCHUK</t>
  </si>
  <si>
    <t>TrCap.seats.SK.Tr.Avia.Passenger.ExtraEEAwCHUK</t>
  </si>
  <si>
    <t>TrCap_per_flight.seats.SK.Tr.Avia.Passenger</t>
  </si>
  <si>
    <t>TrCap_per_flight.seats.SK.Tr.Avia.Passenger.Domestic</t>
  </si>
  <si>
    <t>TrCap_per_flight.seats.SK.Tr.Avia.Passenger.IntraEEAwCHUK</t>
  </si>
  <si>
    <t>TrCap_per_flight.seats.SK.Tr.Avia.Passenger.ExtraEEAwCHUK</t>
  </si>
  <si>
    <t>Transport overview - SK - Slovakia</t>
  </si>
  <si>
    <t>Activity.Mpkm.SK.Tr</t>
  </si>
  <si>
    <t>Activity.Mpkm.SK.Tr.Road.Passenger</t>
  </si>
  <si>
    <t>Activity.Mpkm.SK.Tr.Road.Passenger.P2W</t>
  </si>
  <si>
    <t>Activity.Mpkm.SK.Tr.Road.Passenger.Car</t>
  </si>
  <si>
    <t>Activity.Mpkm.SK.Tr.Road.Passenger.Bus</t>
  </si>
  <si>
    <t>Activity.Mpkm.SK.Tr.Rail.Passenger</t>
  </si>
  <si>
    <t>Activity.Mpkm.SK.Tr.Rail.Passenger.MTU</t>
  </si>
  <si>
    <t>Activity.Mpkm.SK.Tr.Rail.Passenger.CPT</t>
  </si>
  <si>
    <t>Activity.Mpkm.SK.Tr.Rail.Passenger.HST</t>
  </si>
  <si>
    <t>Activity.Mtkm.SK.Tr</t>
  </si>
  <si>
    <t>Activity.Mtkm.SK.Tr.Road.Freight</t>
  </si>
  <si>
    <t>Activity.Mtkm.SK.Tr.Road.Freight.LCV</t>
  </si>
  <si>
    <t>Activity.Mtkm.SK.Tr.Road.Freight.HGV_All</t>
  </si>
  <si>
    <t>Activity.Mtkm.SK.Tr.Rail.Freight</t>
  </si>
  <si>
    <t>Activity.Mtkm.SK.Tr.DNavi.Freight</t>
  </si>
  <si>
    <t>Activity.Mtkm.SK.Tr.DNavi.Freight.DCS</t>
  </si>
  <si>
    <t>Activity.Mtkm.SK.Tr.DNavi.Freight.IWW</t>
  </si>
  <si>
    <t>Activity.Mtkm.SK.MBunk.Freight</t>
  </si>
  <si>
    <t>Activity.Mtkm.SK.MBunk.Freight.IntraEEA</t>
  </si>
  <si>
    <t>Activity.Mtkm.SK.MBunk.Freight.ExtraEEA</t>
  </si>
  <si>
    <t>FEC.ktoe.SK.Tr.Road.Passenger</t>
  </si>
  <si>
    <t>FEC.ktoe.SK.Tr.Road.Passenger.P2W</t>
  </si>
  <si>
    <t>FEC.ktoe.SK.Tr.Road.Passenger.Car</t>
  </si>
  <si>
    <t>FEC.ktoe.SK.Tr.Road.Passenger.Bus</t>
  </si>
  <si>
    <t>FEC.ktoe.SK.Tr.Rail.Passenger</t>
  </si>
  <si>
    <t>FEC.ktoe.SK.Tr.Rail.Passenger.MTU</t>
  </si>
  <si>
    <t>FEC.ktoe.SK.Tr.Rail.Passenger.CPT</t>
  </si>
  <si>
    <t>FEC.ktoe.SK.Tr.Rail.Passenger.HST</t>
  </si>
  <si>
    <t>FEC.ktoe.SK.Tr.Road.Freight</t>
  </si>
  <si>
    <t>FEC.ktoe.SK.Tr.Road.Freight.LCV</t>
  </si>
  <si>
    <t>FEC.ktoe.SK.Tr.Road.Freight.HGV_All</t>
  </si>
  <si>
    <t>FEC.ktoe.SK.Tr.Rail.Freight</t>
  </si>
  <si>
    <t>EMI.ktCO2.SK.Tr.Road.Passenger</t>
  </si>
  <si>
    <t>EMI.ktCO2.SK.Tr.Road.Passenger.P2W</t>
  </si>
  <si>
    <t>EMI.ktCO2.SK.Tr.Road.Passenger.Car</t>
  </si>
  <si>
    <t>EMI.ktCO2.SK.Tr.Road.Passenger.Bus</t>
  </si>
  <si>
    <t>EMI.ktCO2.SK.Tr.Rail.Passenger</t>
  </si>
  <si>
    <t>EMI.ktCO2.SK.Tr.Rail.Passenger.MTU</t>
  </si>
  <si>
    <t>EMI.ktCO2.SK.Tr.Rail.Passenger.CPT</t>
  </si>
  <si>
    <t>EMI.ktCO2.SK.Tr.Rail.Passenger.HST</t>
  </si>
  <si>
    <t>EMI.ktCO2.SK.Tr.Road.Freight</t>
  </si>
  <si>
    <t>EMI.ktCO2.SK.Tr.Road.Freight.LCV</t>
  </si>
  <si>
    <t>EMI.ktCO2.SK.Tr.Road.Freight.HGV_All</t>
  </si>
  <si>
    <t>EMI.ktCO2.SK.Tr.Rail.Freight</t>
  </si>
  <si>
    <t>Eff.kgoe_per_kpkm.SK.Tr</t>
  </si>
  <si>
    <t>Eff.kgoe_per_kpkm.SK.Tr.Road.Passenger</t>
  </si>
  <si>
    <t>Eff.kgoe_per_kpkm.SK.Tr.Road.Passenger.P2W</t>
  </si>
  <si>
    <t>Eff.kgoe_per_kpkm.SK.Tr.Road.Passenger.Car</t>
  </si>
  <si>
    <t>Eff.kgoe_per_kpkm.SK.Tr.Road.Passenger.Bus</t>
  </si>
  <si>
    <t>Eff.kgoe_per_kpkm.SK.Tr.Rail.Passenger</t>
  </si>
  <si>
    <t>Eff.kgoe_per_kpkm.SK.Tr.Rail.Passenger.MTU</t>
  </si>
  <si>
    <t>Eff.kgoe_per_kpkm.SK.Tr.Rail.Passenger.CPT</t>
  </si>
  <si>
    <t>Eff.kgoe_per_kpkm.SK.Tr.Rail.Passenger.HST</t>
  </si>
  <si>
    <t>Eff.kgoe_per_ktkm.SK.Tr</t>
  </si>
  <si>
    <t>Eff.kgoe_per_ktkm.SK.Tr.Road.Freight</t>
  </si>
  <si>
    <t>Eff.kgoe_per_ktkm.SK.Tr.Road.Freight.LCV</t>
  </si>
  <si>
    <t>Eff.kgoe_per_ktkm.SK.Tr.Road.Freight.HGV_All</t>
  </si>
  <si>
    <t>Eff.kgoe_per_ktkm.SK.Tr.Rail.Freight</t>
  </si>
  <si>
    <t>Eff.kgoe_per_ktkm.SK.Tr.DNavi.Freight</t>
  </si>
  <si>
    <t>Eff.kgoe_per_ktkm.SK.Tr.DNavi.Freight.DCS</t>
  </si>
  <si>
    <t>Eff.kgoe_per_ktkm.SK.Tr.DNavi.Freight.IWW</t>
  </si>
  <si>
    <t>Eff.kgoe_per_ktkm.SK.MBunk.Freight</t>
  </si>
  <si>
    <t>Eff.kgoe_per_ktkm.SK.MBunk.Freight.IntraEEA</t>
  </si>
  <si>
    <t>Eff.kgoe_per_ktkm.SK.MBunk.Freight.ExtraEEA</t>
  </si>
  <si>
    <t>EMIint.gCO2_per_pkm.SK.Tr</t>
  </si>
  <si>
    <t>EMIint.gCO2_per_pkm.SK.Tr.Road.Passenger</t>
  </si>
  <si>
    <t>EMIint.gCO2_per_pkm.SK.Tr.Road.Passenger.P2W</t>
  </si>
  <si>
    <t>EMIint.gCO2_per_pkm.SK.Tr.Road.Passenger.Car</t>
  </si>
  <si>
    <t>EMIint.gCO2_per_pkm.SK.Tr.Road.Passenger.Bus</t>
  </si>
  <si>
    <t>EMIint.gCO2_per_pkm.SK.Tr.Rail.Passenger</t>
  </si>
  <si>
    <t>EMIint.gCO2_per_pkm.SK.Tr.Rail.Passenger.MTU</t>
  </si>
  <si>
    <t>EMIint.gCO2_per_pkm.SK.Tr.Rail.Passenger.CPT</t>
  </si>
  <si>
    <t>EMIint.gCO2_per_pkm.SK.Tr.Rail.Passenger.HST</t>
  </si>
  <si>
    <t>EMIint.gCO2_per_tkm.SK.Tr</t>
  </si>
  <si>
    <t>EMIint.gCO2_per_tkm.SK.Tr.Road.Freight</t>
  </si>
  <si>
    <t>EMIint.gCO2_per_tkm.SK.Tr.Road.Freight.LCV</t>
  </si>
  <si>
    <t>EMIint.gCO2_per_tkm.SK.Tr.Road.Freight.HGV_All</t>
  </si>
  <si>
    <t>EMIint.gCO2_per_tkm.SK.Tr.Rail.Freight</t>
  </si>
  <si>
    <t>EMIint.gCO2_per_tkm.SK.Tr.DNavi.Freight</t>
  </si>
  <si>
    <t>EMIint.gCO2_per_tkm.SK.Tr.DNavi.Freight.DCS</t>
  </si>
  <si>
    <t>EMIint.gCO2_per_tkm.SK.Tr.DNavi.Freight.IWW</t>
  </si>
  <si>
    <t>EMIint.gCO2_per_tkm.SK.MBunk.Freight</t>
  </si>
  <si>
    <t>EMIint.gCO2_per_tkm.SK.MBunk.Freight.IntraEEA</t>
  </si>
  <si>
    <t>EMIint.gCO2_per_tkm.SK.MBunk.Freight.ExtraEEA</t>
  </si>
  <si>
    <t>Road transport - SK - Slovakia</t>
  </si>
  <si>
    <t>Activity.Mpkm.SK.Tr.Road.Passenger.Car.ICE.Gasoline</t>
  </si>
  <si>
    <t>Activity.Mpkm.SK.Tr.Road.Passenger.Car.ICE.Diesel</t>
  </si>
  <si>
    <t>Activity.Mpkm.SK.Tr.Road.Passenger.Car.ICE.LPG</t>
  </si>
  <si>
    <t>Activity.Mpkm.SK.Tr.Road.Passenger.Car.ICE.NGas</t>
  </si>
  <si>
    <t>Activity.Mpkm.SK.Tr.Road.Passenger.Car.PHEV.Gasoline</t>
  </si>
  <si>
    <t>Activity.Mpkm.SK.Tr.Road.Passenger.Car.BEV</t>
  </si>
  <si>
    <t>Activity.Mpkm.SK.Tr.Road.Passenger.Bus.ICE.Gasoline</t>
  </si>
  <si>
    <t>Activity.Mpkm.SK.Tr.Road.Passenger.Bus.ICE.Diesel</t>
  </si>
  <si>
    <t>Activity.Mpkm.SK.Tr.Road.Passenger.Bus.ICE.LPG</t>
  </si>
  <si>
    <t>Activity.Mpkm.SK.Tr.Road.Passenger.Bus.ICE.NGas</t>
  </si>
  <si>
    <t>Activity.Mpkm.SK.Tr.Road.Passenger.Bus.BEV</t>
  </si>
  <si>
    <t>Activity.Mtkm.SK.Tr.Road.Freight.LCV.ICE.Gasoline</t>
  </si>
  <si>
    <t>Activity.Mtkm.SK.Tr.Road.Freight.LCV.ICE.Diesel</t>
  </si>
  <si>
    <t>Activity.Mtkm.SK.Tr.Road.Freight.LCV.ICE.LPG</t>
  </si>
  <si>
    <t>Activity.Mtkm.SK.Tr.Road.Freight.LCV.ICE.NGas</t>
  </si>
  <si>
    <t>Activity.Mtkm.SK.Tr.Road.Freight.LCV.BEV</t>
  </si>
  <si>
    <t>Activity.Mtkm.SK.Tr.Road.Freight.HGV_Domestic</t>
  </si>
  <si>
    <t>Activity.Mtkm.SK.Tr.Road.Freight.HGV_International</t>
  </si>
  <si>
    <t>VehicleKm.Mkm.SK.Tr.Road</t>
  </si>
  <si>
    <t>VehicleKm.Mkm.SK.Tr.Road.Passenger</t>
  </si>
  <si>
    <t>VehicleKm.Mkm.SK.Tr.Road.Passenger.P2W</t>
  </si>
  <si>
    <t>VehicleKm.Mkm.SK.Tr.Road.Passenger.Car</t>
  </si>
  <si>
    <t>VehicleKm.Mkm.SK.Tr.Road.Passenger.Car.ICE.Gasoline</t>
  </si>
  <si>
    <t>VehicleKm.Mkm.SK.Tr.Road.Passenger.Car.ICE.Diesel</t>
  </si>
  <si>
    <t>VehicleKm.Mkm.SK.Tr.Road.Passenger.Car.ICE.LPG</t>
  </si>
  <si>
    <t>VehicleKm.Mkm.SK.Tr.Road.Passenger.Car.ICE.NGas</t>
  </si>
  <si>
    <t>VehicleKm.Mkm.SK.Tr.Road.Passenger.Car.PHEV.Gasoline</t>
  </si>
  <si>
    <t>VehicleKm.Mkm.SK.Tr.Road.Passenger.Car.BEV</t>
  </si>
  <si>
    <t>VehicleKm.Mkm.SK.Tr.Road.Passenger.Bus</t>
  </si>
  <si>
    <t>VehicleKm.Mkm.SK.Tr.Road.Passenger.Bus.ICE.Gasoline</t>
  </si>
  <si>
    <t>VehicleKm.Mkm.SK.Tr.Road.Passenger.Bus.ICE.Diesel</t>
  </si>
  <si>
    <t>VehicleKm.Mkm.SK.Tr.Road.Passenger.Bus.ICE.LPG</t>
  </si>
  <si>
    <t>VehicleKm.Mkm.SK.Tr.Road.Passenger.Bus.ICE.NGas</t>
  </si>
  <si>
    <t>VehicleKm.Mkm.SK.Tr.Road.Passenger.Bus.BEV</t>
  </si>
  <si>
    <t>VehicleKm.Mkm.SK.Tr.Road.Freight</t>
  </si>
  <si>
    <t>VehicleKm.Mkm.SK.Tr.Road.Freight.LCV</t>
  </si>
  <si>
    <t>VehicleKm.Mkm.SK.Tr.Road.Freight.LCV.ICE.Gasoline</t>
  </si>
  <si>
    <t>VehicleKm.Mkm.SK.Tr.Road.Freight.LCV.ICE.Diesel</t>
  </si>
  <si>
    <t>VehicleKm.Mkm.SK.Tr.Road.Freight.LCV.ICE.LPG</t>
  </si>
  <si>
    <t>VehicleKm.Mkm.SK.Tr.Road.Freight.LCV.ICE.NGas</t>
  </si>
  <si>
    <t>VehicleKm.Mkm.SK.Tr.Road.Freight.LCV.BEV</t>
  </si>
  <si>
    <t>VehicleKm.Mkm.SK.Tr.Road.Freight.HGV_All</t>
  </si>
  <si>
    <t>VehicleKm.Mkm.SK.Tr.Road.Freight.HGV_Domestic</t>
  </si>
  <si>
    <t>VehicleKm.Mkm.SK.Tr.Road.Freight.HGV_International</t>
  </si>
  <si>
    <t>Stock.number.SK.Tr.Road</t>
  </si>
  <si>
    <t>Stock.number.SK.Tr.Road.Passenger</t>
  </si>
  <si>
    <t>Stock.number.SK.Tr.Road.Passenger.P2W</t>
  </si>
  <si>
    <t>Stock.number.SK.Tr.Road.Passenger.Car</t>
  </si>
  <si>
    <t>Stock.number.SK.Tr.Road.Passenger.Car.ICE.Gasoline</t>
  </si>
  <si>
    <t>Stock.number.SK.Tr.Road.Passenger.Car.ICE.Diesel</t>
  </si>
  <si>
    <t>Stock.number.SK.Tr.Road.Passenger.Car.ICE.LPG</t>
  </si>
  <si>
    <t>Stock.number.SK.Tr.Road.Passenger.Car.ICE.NGas</t>
  </si>
  <si>
    <t>Stock.number.SK.Tr.Road.Passenger.Car.PHEV.Gasoline</t>
  </si>
  <si>
    <t>Stock.number.SK.Tr.Road.Passenger.Car.BEV</t>
  </si>
  <si>
    <t>Stock.number.SK.Tr.Road.Passenger.Bus</t>
  </si>
  <si>
    <t>Stock.number.SK.Tr.Road.Passenger.Bus.ICE.Gasoline</t>
  </si>
  <si>
    <t>Stock.number.SK.Tr.Road.Passenger.Bus.ICE.Diesel</t>
  </si>
  <si>
    <t>Stock.number.SK.Tr.Road.Passenger.Bus.ICE.LPG</t>
  </si>
  <si>
    <t>Stock.number.SK.Tr.Road.Passenger.Bus.ICE.NGas</t>
  </si>
  <si>
    <t>Stock.number.SK.Tr.Road.Passenger.Bus.BEV</t>
  </si>
  <si>
    <t>Stock.number.SK.Tr.Road.Freight</t>
  </si>
  <si>
    <t>Stock.number.SK.Tr.Road.Freight.LCV</t>
  </si>
  <si>
    <t>Stock.number.SK.Tr.Road.Freight.LCV.ICE.Gasoline</t>
  </si>
  <si>
    <t>Stock.number.SK.Tr.Road.Freight.LCV.ICE.Diesel</t>
  </si>
  <si>
    <t>Stock.number.SK.Tr.Road.Freight.LCV.ICE.LPG</t>
  </si>
  <si>
    <t>Stock.number.SK.Tr.Road.Freight.LCV.ICE.NGas</t>
  </si>
  <si>
    <t>Stock.number.SK.Tr.Road.Freight.LCV.BEV</t>
  </si>
  <si>
    <t>Stock.number.SK.Tr.Road.Freight.HGV_All</t>
  </si>
  <si>
    <t>Stock.number.SK.Tr.Road.Freight.HGV_Domestic</t>
  </si>
  <si>
    <t>Stock.number.SK.Tr.Road.Freight.HGV_International</t>
  </si>
  <si>
    <t>StockNew.number.SK.Tr.Road</t>
  </si>
  <si>
    <t>StockNew.number.SK.Tr.Road.Passenger</t>
  </si>
  <si>
    <t>StockNew.number.SK.Tr.Road.Passenger.P2W</t>
  </si>
  <si>
    <t>StockNew.number.SK.Tr.Road.Passenger.Car</t>
  </si>
  <si>
    <t>StockNew.number.SK.Tr.Road.Passenger.Car.ICE.Gasoline</t>
  </si>
  <si>
    <t>StockNew.number.SK.Tr.Road.Passenger.Car.ICE.Diesel</t>
  </si>
  <si>
    <t>StockNew.number.SK.Tr.Road.Passenger.Car.ICE.LPG</t>
  </si>
  <si>
    <t>StockNew.number.SK.Tr.Road.Passenger.Car.ICE.NGas</t>
  </si>
  <si>
    <t>StockNew.number.SK.Tr.Road.Passenger.Car.PHEV.Gasoline</t>
  </si>
  <si>
    <t>StockNew.number.SK.Tr.Road.Passenger.Car.BEV</t>
  </si>
  <si>
    <t>StockNew.number.SK.Tr.Road.Passenger.Bus</t>
  </si>
  <si>
    <t>StockNew.number.SK.Tr.Road.Passenger.Bus.ICE.Gasoline</t>
  </si>
  <si>
    <t>StockNew.number.SK.Tr.Road.Passenger.Bus.ICE.Diesel</t>
  </si>
  <si>
    <t>StockNew.number.SK.Tr.Road.Passenger.Bus.ICE.LPG</t>
  </si>
  <si>
    <t>StockNew.number.SK.Tr.Road.Passenger.Bus.ICE.NGas</t>
  </si>
  <si>
    <t>StockNew.number.SK.Tr.Road.Passenger.Bus.BEV</t>
  </si>
  <si>
    <t>StockNew.number.SK.Tr.Road.Freight</t>
  </si>
  <si>
    <t>StockNew.number.SK.Tr.Road.Freight.LCV</t>
  </si>
  <si>
    <t>StockNew.number.SK.Tr.Road.Freight.LCV.ICE.Gasoline</t>
  </si>
  <si>
    <t>StockNew.number.SK.Tr.Road.Freight.LCV.ICE.Diesel</t>
  </si>
  <si>
    <t>StockNew.number.SK.Tr.Road.Freight.LCV.ICE.LPG</t>
  </si>
  <si>
    <t>StockNew.number.SK.Tr.Road.Freight.LCV.ICE.NGas</t>
  </si>
  <si>
    <t>StockNew.number.SK.Tr.Road.Freight.LCV.BEV</t>
  </si>
  <si>
    <t>StockNew.number.SK.Tr.Road.Freight.HGV_All</t>
  </si>
  <si>
    <t>StockNew.number.SK.Tr.Road.Freight.HGV_Domestic</t>
  </si>
  <si>
    <t>StockNew.number.SK.Tr.Road.Freight.HGV_International</t>
  </si>
  <si>
    <t>Load.passenger_per_movement.SK.Tr.Road.Passenger</t>
  </si>
  <si>
    <t>Load.passenger_per_movement.SK.Tr.Road.Passenger.P2W</t>
  </si>
  <si>
    <t>Load.passenger_per_movement.SK.Tr.Road.Passenger.Car</t>
  </si>
  <si>
    <t>Load.passenger_per_movement.SK.Tr.Road.Passenger.Car.ICE.Gasoline</t>
  </si>
  <si>
    <t>Load.passenger_per_movement.SK.Tr.Road.Passenger.Car.ICE.Diesel</t>
  </si>
  <si>
    <t>Load.passenger_per_movement.SK.Tr.Road.Passenger.Car.ICE.LPG</t>
  </si>
  <si>
    <t>Load.passenger_per_movement.SK.Tr.Road.Passenger.Car.ICE.NGas</t>
  </si>
  <si>
    <t>Load.passenger_per_movement.SK.Tr.Road.Passenger.Car.PHEV.Gasoline</t>
  </si>
  <si>
    <t>Load.passenger_per_movement.SK.Tr.Road.Passenger.Car.BEV</t>
  </si>
  <si>
    <t>Load.passenger_per_movement.SK.Tr.Road.Passenger.Bus</t>
  </si>
  <si>
    <t>Load.passenger_per_movement.SK.Tr.Road.Passenger.Bus.ICE.Gasoline</t>
  </si>
  <si>
    <t>Load.passenger_per_movement.SK.Tr.Road.Passenger.Bus.ICE.Diesel</t>
  </si>
  <si>
    <t>Load.passenger_per_movement.SK.Tr.Road.Passenger.Bus.ICE.LPG</t>
  </si>
  <si>
    <t>Load.passenger_per_movement.SK.Tr.Road.Passenger.Bus.ICE.NGas</t>
  </si>
  <si>
    <t>Load.passenger_per_movement.SK.Tr.Road.Passenger.Bus.BEV</t>
  </si>
  <si>
    <t>Load.t_per_movement.SK.Tr.Road.Freight</t>
  </si>
  <si>
    <t>Load.t_per_movement.SK.Tr.Road.Freight.LCV</t>
  </si>
  <si>
    <t>Load.t_per_movement.SK.Tr.Road.Freight.LCV.ICE.Gasoline</t>
  </si>
  <si>
    <t>Load.t_per_movement.SK.Tr.Road.Freight.LCV.ICE.Diesel</t>
  </si>
  <si>
    <t>Load.t_per_movement.SK.Tr.Road.Freight.LCV.ICE.LPG</t>
  </si>
  <si>
    <t>Load.t_per_movement.SK.Tr.Road.Freight.LCV.ICE.NGas</t>
  </si>
  <si>
    <t>Load.t_per_movement.SK.Tr.Road.Freight.LCV.BEV</t>
  </si>
  <si>
    <t>Load.t_per_movement.SK.Tr.Road.Freight.HGV_All</t>
  </si>
  <si>
    <t>Load.t_per_movement.SK.Tr.Road.Freight.HGV_Domestic</t>
  </si>
  <si>
    <t>Load.t_per_movement.SK.Tr.Road.Freight.HGV_International</t>
  </si>
  <si>
    <t>VehicleKm_per_vehicle.km.SK.Tr.Road</t>
  </si>
  <si>
    <t>VehicleKm_per_vehicle.km.SK.Tr.Road.Passenger</t>
  </si>
  <si>
    <t>VehicleKm_per_vehicle.km.SK.Tr.Road.Passenger.P2W</t>
  </si>
  <si>
    <t>VehicleKm_per_vehicle.km.SK.Tr.Road.Passenger.Car</t>
  </si>
  <si>
    <t>VehicleKm_per_vehicle.km.SK.Tr.Road.Passenger.Car.ICE.Gasoline</t>
  </si>
  <si>
    <t>VehicleKm_per_vehicle.km.SK.Tr.Road.Passenger.Car.ICE.Diesel</t>
  </si>
  <si>
    <t>VehicleKm_per_vehicle.km.SK.Tr.Road.Passenger.Car.ICE.LPG</t>
  </si>
  <si>
    <t>VehicleKm_per_vehicle.km.SK.Tr.Road.Passenger.Car.ICE.NGas</t>
  </si>
  <si>
    <t>VehicleKm_per_vehicle.km.SK.Tr.Road.Passenger.Car.PHEV.Gasoline</t>
  </si>
  <si>
    <t>VehicleKm_per_vehicle.km.SK.Tr.Road.Passenger.Car.BEV</t>
  </si>
  <si>
    <t>VehicleKm_per_vehicle.km.SK.Tr.Road.Passenger.Bus</t>
  </si>
  <si>
    <t>VehicleKm_per_vehicle.km.SK.Tr.Road.Passenger.Bus.ICE.Gasoline</t>
  </si>
  <si>
    <t>VehicleKm_per_vehicle.km.SK.Tr.Road.Passenger.Bus.ICE.Diesel</t>
  </si>
  <si>
    <t>VehicleKm_per_vehicle.km.SK.Tr.Road.Passenger.Bus.ICE.LPG</t>
  </si>
  <si>
    <t>VehicleKm_per_vehicle.km.SK.Tr.Road.Passenger.Bus.ICE.NGas</t>
  </si>
  <si>
    <t>VehicleKm_per_vehicle.km.SK.Tr.Road.Passenger.Bus.BEV</t>
  </si>
  <si>
    <t>VehicleKm_per_vehicle.km.SK.Tr.Road.Freight</t>
  </si>
  <si>
    <t>VehicleKm_per_vehicle.km.SK.Tr.Road.Freight.LCV</t>
  </si>
  <si>
    <t>VehicleKm_per_vehicle.km.SK.Tr.Road.Freight.LCV.ICE.Gasoline</t>
  </si>
  <si>
    <t>VehicleKm_per_vehicle.km.SK.Tr.Road.Freight.LCV.ICE.Diesel</t>
  </si>
  <si>
    <t>VehicleKm_per_vehicle.km.SK.Tr.Road.Freight.LCV.ICE.LPG</t>
  </si>
  <si>
    <t>VehicleKm_per_vehicle.km.SK.Tr.Road.Freight.LCV.ICE.NGas</t>
  </si>
  <si>
    <t>VehicleKm_per_vehicle.km.SK.Tr.Road.Freight.LCV.BEV</t>
  </si>
  <si>
    <t>VehicleKm_per_vehicle.km.SK.Tr.Road.Freight.HGV_All</t>
  </si>
  <si>
    <t>VehicleKm_per_vehicle.km.SK.Tr.Road.Freight.HGV_Domestic</t>
  </si>
  <si>
    <t>VehicleKm_per_vehicle.km.SK.Tr.Road.Freight.HGV_International</t>
  </si>
  <si>
    <t>Activity_per_vehicle.pkm.SK.Tr.Road.Passenger</t>
  </si>
  <si>
    <t>Activity_per_vehicle.pkm.SK.Tr.Road.Passenger.P2W</t>
  </si>
  <si>
    <t>Activity_per_vehicle.pkm.SK.Tr.Road.Passenger.Car</t>
  </si>
  <si>
    <t>Activity_per_vehicle.pkm.SK.Tr.Road.Passenger.Car.ICE.Gasoline</t>
  </si>
  <si>
    <t>Activity_per_vehicle.pkm.SK.Tr.Road.Passenger.Car.ICE.Diesel</t>
  </si>
  <si>
    <t>Activity_per_vehicle.pkm.SK.Tr.Road.Passenger.Car.ICE.LPG</t>
  </si>
  <si>
    <t>Activity_per_vehicle.pkm.SK.Tr.Road.Passenger.Car.ICE.NGas</t>
  </si>
  <si>
    <t>Activity_per_vehicle.pkm.SK.Tr.Road.Passenger.Car.PHEV.Gasoline</t>
  </si>
  <si>
    <t>Activity_per_vehicle.pkm.SK.Tr.Road.Passenger.Car.BEV</t>
  </si>
  <si>
    <t>Activity_per_vehicle.pkm.SK.Tr.Road.Passenger.Bus</t>
  </si>
  <si>
    <t>Activity_per_vehicle.pkm.SK.Tr.Road.Passenger.Bus.ICE.Gasoline</t>
  </si>
  <si>
    <t>Activity_per_vehicle.pkm.SK.Tr.Road.Passenger.Bus.ICE.Diesel</t>
  </si>
  <si>
    <t>Activity_per_vehicle.pkm.SK.Tr.Road.Passenger.Bus.ICE.LPG</t>
  </si>
  <si>
    <t>Activity_per_vehicle.pkm.SK.Tr.Road.Passenger.Bus.ICE.NGas</t>
  </si>
  <si>
    <t>Activity_per_vehicle.pkm.SK.Tr.Road.Passenger.Bus.BEV</t>
  </si>
  <si>
    <t>Activity_per_vehicle.tkm.SK.Tr.Road.Freight</t>
  </si>
  <si>
    <t>Activity_per_vehicle.tkm.SK.Tr.Road.Freight.LCV</t>
  </si>
  <si>
    <t>Activity_per_vehicle.tkm.SK.Tr.Road.Freight.LCV.ICE.Gasoline</t>
  </si>
  <si>
    <t>Activity_per_vehicle.tkm.SK.Tr.Road.Freight.LCV.ICE.Diesel</t>
  </si>
  <si>
    <t>Activity_per_vehicle.tkm.SK.Tr.Road.Freight.LCV.ICE.LPG</t>
  </si>
  <si>
    <t>Activity_per_vehicle.tkm.SK.Tr.Road.Freight.LCV.ICE.NGas</t>
  </si>
  <si>
    <t>Activity_per_vehicle.tkm.SK.Tr.Road.Freight.LCV.BEV</t>
  </si>
  <si>
    <t>Activity_per_vehicle.tkm.SK.Tr.Road.Freight.HGV_All</t>
  </si>
  <si>
    <t>Activity_per_vehicle.tkm.SK.Tr.Road.Freight.HGV_Domestic</t>
  </si>
  <si>
    <t>Activity_per_vehicle.tkm.SK.Tr.Road.Freight.HGV_International</t>
  </si>
  <si>
    <t>Road transport / energy consumption - SK - Slovakia</t>
  </si>
  <si>
    <t>FEC.ktoe.SK.ES.Tr.Road</t>
  </si>
  <si>
    <t>FEC.ktoe.SK.ES.Tr.Road.LPG</t>
  </si>
  <si>
    <t>FEC.ktoe.SK.ES.Tr.Road.Gasoline</t>
  </si>
  <si>
    <t>FEC.ktoe.SK.ES.Tr.Road.Diesel</t>
  </si>
  <si>
    <t>FEC.ktoe.SK.ES.Tr.Road.NG</t>
  </si>
  <si>
    <t>FEC.ktoe.SK.ES.Tr.Road.Biogas</t>
  </si>
  <si>
    <t>FEC.ktoe.SK.ES.Tr.Road.Biogasoline</t>
  </si>
  <si>
    <t>FEC.ktoe.SK.ES.Tr.Road.Biodiesel</t>
  </si>
  <si>
    <t>FEC.ktoe.SK.ES.Tr.Road.OthLiqBio</t>
  </si>
  <si>
    <t>FEC.ktoe.SK.ES.Tr.Road.Elec</t>
  </si>
  <si>
    <t>FEC.ktoe.SK.Tr.Road</t>
  </si>
  <si>
    <t>FEC.ktoe.SK.Tr.Road.Passenger.P2W.Total.Total.Biogasoline</t>
  </si>
  <si>
    <t>FEC.ktoe.SK.Tr.Road.Passenger.Car.ICE.Gasoline</t>
  </si>
  <si>
    <t>FEC.ktoe.SK.Tr.Road.Passenger.Car.ICE.Gasoline.Biogasoline</t>
  </si>
  <si>
    <t>FEC.ktoe.SK.Tr.Road.Passenger.Car.ICE.Diesel</t>
  </si>
  <si>
    <t>FEC.ktoe.SK.Tr.Road.Passenger.Car.ICE.Diesel.BioDiesel_OthLiqBio</t>
  </si>
  <si>
    <t>FEC.ktoe.SK.Tr.Road.Passenger.Car.ICE.LPG</t>
  </si>
  <si>
    <t>FEC.ktoe.SK.Tr.Road.Passenger.Car.ICE.NGas</t>
  </si>
  <si>
    <t>FEC.ktoe.SK.Tr.Road.Passenger.Car.ICE.NGas.Biogas</t>
  </si>
  <si>
    <t>FEC.ktoe.SK.Tr.Road.Passenger.Car.PHEV.Gasoline</t>
  </si>
  <si>
    <t>FEC.ktoe.SK.Tr.Road.Passenger.Car.PHEV.Gasoline.Biogasoline</t>
  </si>
  <si>
    <t>FEC.ktoe.SK.Tr.Road.Passenger.Car.PHEV.Gasoline.Elec</t>
  </si>
  <si>
    <t>FEC.ktoe.SK.Tr.Road.Passenger.Car.BEV</t>
  </si>
  <si>
    <t>FEC.ktoe.SK.Tr.Road.Passenger.Bus.ICE.Gasoline</t>
  </si>
  <si>
    <t>FEC.ktoe.SK.Tr.Road.Passenger.Bus.ICE.Gasoline.Biogasoline</t>
  </si>
  <si>
    <t>FEC.ktoe.SK.Tr.Road.Passenger.Bus.ICE.Diesel</t>
  </si>
  <si>
    <t>FEC.ktoe.SK.Tr.Road.Passenger.Bus.ICE.Diesel.BioDiesel_OthLiqBio</t>
  </si>
  <si>
    <t>FEC.ktoe.SK.Tr.Road.Passenger.Bus.ICE.LPG</t>
  </si>
  <si>
    <t>FEC.ktoe.SK.Tr.Road.Passenger.Bus.ICE.NGas</t>
  </si>
  <si>
    <t>FEC.ktoe.SK.Tr.Road.Passenger.Bus.ICE.NGas.Biogas</t>
  </si>
  <si>
    <t>FEC.ktoe.SK.Tr.Road.Passenger.Bus.BEV</t>
  </si>
  <si>
    <t>FEC.ktoe.SK.Tr.Road.Freight.LCV.ICE.Gasoline</t>
  </si>
  <si>
    <t>FEC.ktoe.SK.Tr.Road.Freight.LCV.ICE.Gasoline.Biogasoline</t>
  </si>
  <si>
    <t>FEC.ktoe.SK.Tr.Road.Freight.LCV.ICE.Diesel</t>
  </si>
  <si>
    <t>FEC.ktoe.SK.Tr.Road.Freight.LCV.ICE.Diesel.BioDiesel_OthLiqBio</t>
  </si>
  <si>
    <t>FEC.ktoe.SK.Tr.Road.Freight.LCV.ICE.LPG</t>
  </si>
  <si>
    <t>FEC.ktoe.SK.Tr.Road.Freight.LCV.ICE.NGas</t>
  </si>
  <si>
    <t>FEC.ktoe.SK.Tr.Road.Freight.LCV.ICE.NGas.Biogas</t>
  </si>
  <si>
    <t>FEC.ktoe.SK.Tr.Road.Freight.LCV.BEV</t>
  </si>
  <si>
    <t>FEC.ktoe.SK.Tr.Road.Freight.HGV_Domestic</t>
  </si>
  <si>
    <t>FEC.ktoe.SK.Tr.Road.Freight.HGV_Domestic.Total.Total.BioDiesel_OthLiqBio</t>
  </si>
  <si>
    <t>FEC.ktoe.SK.Tr.Road.Freight.HGV_International</t>
  </si>
  <si>
    <t>FEC.ktoe.SK.Tr.Road.Freight.HGV_International.Total.Total.BioDiesel_OthLiqBio</t>
  </si>
  <si>
    <t>Eff.kgoe_per_100km.SK.Tr.Road</t>
  </si>
  <si>
    <t>Eff.kgoe_per_100km.SK.Tr.Road.Passenger</t>
  </si>
  <si>
    <t>Eff.kgoe_per_100km.SK.Tr.Road.Passenger.P2W</t>
  </si>
  <si>
    <t>Eff.kgoe_per_100km.SK.Tr.Road.Passenger.Car</t>
  </si>
  <si>
    <t>Eff.kgoe_per_100km.SK.Tr.Road.Passenger.Car.ICE.Gasoline</t>
  </si>
  <si>
    <t>Eff.kgoe_per_100km.SK.Tr.Road.Passenger.Car.ICE.Diesel</t>
  </si>
  <si>
    <t>Eff.kgoe_per_100km.SK.Tr.Road.Passenger.Car.ICE.LPG</t>
  </si>
  <si>
    <t>Eff.kgoe_per_100km.SK.Tr.Road.Passenger.Car.ICE.NGas</t>
  </si>
  <si>
    <t>Eff.kgoe_per_100km.SK.Tr.Road.Passenger.Car.PHEV.Gasoline</t>
  </si>
  <si>
    <t>Eff.kgoe_per_100km.SK.Tr.Road.Passenger.Car.BEV</t>
  </si>
  <si>
    <t>Eff.kgoe_per_100km.SK.Tr.Road.Passenger.Bus</t>
  </si>
  <si>
    <t>Eff.kgoe_per_100km.SK.Tr.Road.Passenger.Bus.ICE.Gasoline</t>
  </si>
  <si>
    <t>Eff.kgoe_per_100km.SK.Tr.Road.Passenger.Bus.ICE.Diesel</t>
  </si>
  <si>
    <t>Eff.kgoe_per_100km.SK.Tr.Road.Passenger.Bus.ICE.LPG</t>
  </si>
  <si>
    <t>Eff.kgoe_per_100km.SK.Tr.Road.Passenger.Bus.ICE.NGas</t>
  </si>
  <si>
    <t>Eff.kgoe_per_100km.SK.Tr.Road.Passenger.Bus.BEV</t>
  </si>
  <si>
    <t>Eff.kgoe_per_100km.SK.Tr.Road.Freight</t>
  </si>
  <si>
    <t>Eff.kgoe_per_100km.SK.Tr.Road.Freight.LCV</t>
  </si>
  <si>
    <t>Eff.kgoe_per_100km.SK.Tr.Road.Freight.LCV.ICE.Gasoline</t>
  </si>
  <si>
    <t>Eff.kgoe_per_100km.SK.Tr.Road.Freight.LCV.ICE.Diesel</t>
  </si>
  <si>
    <t>Eff.kgoe_per_100km.SK.Tr.Road.Freight.LCV.ICE.LPG</t>
  </si>
  <si>
    <t>Eff.kgoe_per_100km.SK.Tr.Road.Freight.LCV.ICE.NGas</t>
  </si>
  <si>
    <t>Eff.kgoe_per_100km.SK.Tr.Road.Freight.LCV.BEV</t>
  </si>
  <si>
    <t>Eff.kgoe_per_100km.SK.Tr.Road.Freight.HGV_All</t>
  </si>
  <si>
    <t>Eff.kgoe_per_100km.SK.Tr.Road.Freight.HGV_Domestic</t>
  </si>
  <si>
    <t>Eff.kgoe_per_100km.SK.Tr.Road.Freight.HGV_International</t>
  </si>
  <si>
    <t>Eff.kgoe_per_kpkm.SK.Tr.Road.Passenger.Car.ICE.Gasoline</t>
  </si>
  <si>
    <t>Eff.kgoe_per_kpkm.SK.Tr.Road.Passenger.Car.ICE.Diesel</t>
  </si>
  <si>
    <t>Eff.kgoe_per_kpkm.SK.Tr.Road.Passenger.Car.ICE.LPG</t>
  </si>
  <si>
    <t>Eff.kgoe_per_kpkm.SK.Tr.Road.Passenger.Car.ICE.NGas</t>
  </si>
  <si>
    <t>Eff.kgoe_per_kpkm.SK.Tr.Road.Passenger.Car.PHEV.Gasoline</t>
  </si>
  <si>
    <t>Eff.kgoe_per_kpkm.SK.Tr.Road.Passenger.Car.BEV</t>
  </si>
  <si>
    <t>Eff.kgoe_per_kpkm.SK.Tr.Road.Passenger.Bus.ICE.Gasoline</t>
  </si>
  <si>
    <t>Eff.kgoe_per_kpkm.SK.Tr.Road.Passenger.Bus.ICE.Diesel</t>
  </si>
  <si>
    <t>Eff.kgoe_per_kpkm.SK.Tr.Road.Passenger.Bus.ICE.LPG</t>
  </si>
  <si>
    <t>Eff.kgoe_per_kpkm.SK.Tr.Road.Passenger.Bus.ICE.NGas</t>
  </si>
  <si>
    <t>Eff.kgoe_per_kpkm.SK.Tr.Road.Passenger.Bus.BEV</t>
  </si>
  <si>
    <t>Eff.kgoe_per_ktkm.SK.Tr.Road.Freight.LCV.ICE.Gasoline</t>
  </si>
  <si>
    <t>Eff.kgoe_per_ktkm.SK.Tr.Road.Freight.LCV.ICE.Diesel</t>
  </si>
  <si>
    <t>Eff.kgoe_per_ktkm.SK.Tr.Road.Freight.LCV.ICE.LPG</t>
  </si>
  <si>
    <t>Eff.kgoe_per_ktkm.SK.Tr.Road.Freight.LCV.ICE.NGas</t>
  </si>
  <si>
    <t>Eff.kgoe_per_ktkm.SK.Tr.Road.Freight.LCV.BEV</t>
  </si>
  <si>
    <t>Eff.kgoe_per_ktkm.SK.Tr.Road.Freight.HGV_Domestic</t>
  </si>
  <si>
    <t>Eff.kgoe_per_ktkm.SK.Tr.Road.Freight.HGV_International</t>
  </si>
  <si>
    <t>FEC_per_vehicle.kgoe.SK.Tr.Road.Passenger.P2W</t>
  </si>
  <si>
    <t>FEC_per_vehicle.kgoe.SK.Tr.Road.Passenger.Car</t>
  </si>
  <si>
    <t>FEC_per_vehicle.kgoe.SK.Tr.Road.Passenger.Car.ICE.Gasoline</t>
  </si>
  <si>
    <t>FEC_per_vehicle.kgoe.SK.Tr.Road.Passenger.Car.ICE.Diesel</t>
  </si>
  <si>
    <t>FEC_per_vehicle.kgoe.SK.Tr.Road.Passenger.Car.ICE.LPG</t>
  </si>
  <si>
    <t>FEC_per_vehicle.kgoe.SK.Tr.Road.Passenger.Car.ICE.NGas</t>
  </si>
  <si>
    <t>FEC_per_vehicle.kgoe.SK.Tr.Road.Passenger.Car.PHEV.Gasoline</t>
  </si>
  <si>
    <t>FEC_per_vehicle.kgoe.SK.Tr.Road.Passenger.Car.BEV</t>
  </si>
  <si>
    <t>FEC_per_vehicle.kgoe.SK.Tr.Road.Passenger.Bus</t>
  </si>
  <si>
    <t>FEC_per_vehicle.kgoe.SK.Tr.Road.Passenger.Bus.ICE.Gasoline</t>
  </si>
  <si>
    <t>FEC_per_vehicle.kgoe.SK.Tr.Road.Passenger.Bus.ICE.Diesel</t>
  </si>
  <si>
    <t>FEC_per_vehicle.kgoe.SK.Tr.Road.Passenger.Bus.ICE.LPG</t>
  </si>
  <si>
    <t>FEC_per_vehicle.kgoe.SK.Tr.Road.Passenger.Bus.ICE.NGas</t>
  </si>
  <si>
    <t>FEC_per_vehicle.kgoe.SK.Tr.Road.Passenger.Bus.BEV</t>
  </si>
  <si>
    <t>FEC_per_vehicle.kgoe.SK.Tr.Road.Freight.LCV</t>
  </si>
  <si>
    <t>FEC_per_vehicle.kgoe.SK.Tr.Road.Freight.LCV.ICE.Gasoline</t>
  </si>
  <si>
    <t>FEC_per_vehicle.kgoe.SK.Tr.Road.Freight.LCV.ICE.Diesel</t>
  </si>
  <si>
    <t>FEC_per_vehicle.kgoe.SK.Tr.Road.Freight.LCV.ICE.LPG</t>
  </si>
  <si>
    <t>FEC_per_vehicle.kgoe.SK.Tr.Road.Freight.LCV.ICE.NGas</t>
  </si>
  <si>
    <t>FEC_per_vehicle.kgoe.SK.Tr.Road.Freight.LCV.BEV</t>
  </si>
  <si>
    <t>FEC_per_vehicle.kgoe.SK.Tr.Road.Freight.HGV_All</t>
  </si>
  <si>
    <t>FEC_per_vehicle.kgoe.SK.Tr.Road.Freight.HGV_Domestic</t>
  </si>
  <si>
    <t>FEC_per_vehicle.kgoe.SK.Tr.Road.Freight.HGV_International</t>
  </si>
  <si>
    <t>Road transport / CO2 emissions - SK - Slovakia</t>
  </si>
  <si>
    <t>EMI.ktCO2.SK.ES.Tr.Road</t>
  </si>
  <si>
    <t>EMI.ktCO2.SK.ES.Tr.Road.LPG</t>
  </si>
  <si>
    <t>EMI.ktCO2.SK.ES.Tr.Road.Gasoline</t>
  </si>
  <si>
    <t>EMI.ktCO2.SK.ES.Tr.Road.Diesel</t>
  </si>
  <si>
    <t>EMI.ktCO2.SK.ES.Tr.Road.NG</t>
  </si>
  <si>
    <t>EMI.ktCO2.SK.ES.Tr.Road.Biogas</t>
  </si>
  <si>
    <t>EMI.ktCO2.SK.ES.Tr.Road.Biogasoline</t>
  </si>
  <si>
    <t>EMI.ktCO2.SK.ES.Tr.Road.Biodiesel</t>
  </si>
  <si>
    <t>EMI.ktCO2.SK.ES.Tr.Road.OthLiqBio</t>
  </si>
  <si>
    <t>EMI.ktCO2.SK.ES.Tr.Road.Elec</t>
  </si>
  <si>
    <t>EMI.ktCO2.SK.Tr.Road</t>
  </si>
  <si>
    <t>EMI.ktCO2.SK.Tr.Road.Passenger.Car.ICE.Gasoline</t>
  </si>
  <si>
    <t>EMI.ktCO2.SK.Tr.Road.Passenger.Car.ICE.Diesel</t>
  </si>
  <si>
    <t>EMI.ktCO2.SK.Tr.Road.Passenger.Car.ICE.LPG</t>
  </si>
  <si>
    <t>EMI.ktCO2.SK.Tr.Road.Passenger.Car.ICE.NGas</t>
  </si>
  <si>
    <t>EMI.ktCO2.SK.Tr.Road.Passenger.Car.PHEV.Gasoline</t>
  </si>
  <si>
    <t>EMI.ktCO2.SK.Tr.Road.Passenger.Car.BEV</t>
  </si>
  <si>
    <t>EMI.ktCO2.SK.Tr.Road.Passenger.Bus.ICE.Gasoline</t>
  </si>
  <si>
    <t>EMI.ktCO2.SK.Tr.Road.Passenger.Bus.ICE.Diesel</t>
  </si>
  <si>
    <t>EMI.ktCO2.SK.Tr.Road.Passenger.Bus.ICE.LPG</t>
  </si>
  <si>
    <t>EMI.ktCO2.SK.Tr.Road.Passenger.Bus.ICE.NGas</t>
  </si>
  <si>
    <t>EMI.ktCO2.SK.Tr.Road.Passenger.Bus.BEV</t>
  </si>
  <si>
    <t>EMI.ktCO2.SK.Tr.Road.Freight.LCV.ICE.Gasoline</t>
  </si>
  <si>
    <t>EMI.ktCO2.SK.Tr.Road.Freight.LCV.ICE.Diesel</t>
  </si>
  <si>
    <t>EMI.ktCO2.SK.Tr.Road.Freight.LCV.ICE.LPG</t>
  </si>
  <si>
    <t>EMI.ktCO2.SK.Tr.Road.Freight.LCV.ICE.NGas</t>
  </si>
  <si>
    <t>EMI.ktCO2.SK.Tr.Road.Freight.LCV.BEV</t>
  </si>
  <si>
    <t>EMI.ktCO2.SK.Tr.Road.Freight.HGV_Domestic</t>
  </si>
  <si>
    <t>EMI.ktCO2.SK.Tr.Road.Freight.HGV_International</t>
  </si>
  <si>
    <t>EMIint.gCO2_per_km.SK.Tr.Road</t>
  </si>
  <si>
    <t>EMIint.gCO2_per_km.SK.Tr.Road.Passenger</t>
  </si>
  <si>
    <t>EMIint.gCO2_per_km.SK.Tr.Road.Passenger.P2W</t>
  </si>
  <si>
    <t>EMIint.gCO2_per_km.SK.Tr.Road.Passenger.Car</t>
  </si>
  <si>
    <t>EMIint.gCO2_per_km.SK.Tr.Road.Passenger.Car.ICE.Gasoline</t>
  </si>
  <si>
    <t>EMIint.gCO2_per_km.SK.Tr.Road.Passenger.Car.ICE.Diesel</t>
  </si>
  <si>
    <t>EMIint.gCO2_per_km.SK.Tr.Road.Passenger.Car.ICE.LPG</t>
  </si>
  <si>
    <t>EMIint.gCO2_per_km.SK.Tr.Road.Passenger.Car.ICE.NGas</t>
  </si>
  <si>
    <t>EMIint.gCO2_per_km.SK.Tr.Road.Passenger.Car.PHEV.Gasoline</t>
  </si>
  <si>
    <t>EMIint.gCO2_per_km.SK.Tr.Road.Passenger.Car.BEV</t>
  </si>
  <si>
    <t>EMIint.gCO2_per_km.SK.Tr.Road.Passenger.Bus</t>
  </si>
  <si>
    <t>EMIint.gCO2_per_km.SK.Tr.Road.Passenger.Bus.ICE.Gasoline</t>
  </si>
  <si>
    <t>EMIint.gCO2_per_km.SK.Tr.Road.Passenger.Bus.ICE.Diesel</t>
  </si>
  <si>
    <t>EMIint.gCO2_per_km.SK.Tr.Road.Passenger.Bus.ICE.LPG</t>
  </si>
  <si>
    <t>EMIint.gCO2_per_km.SK.Tr.Road.Passenger.Bus.ICE.NGas</t>
  </si>
  <si>
    <t>EMIint.gCO2_per_km.SK.Tr.Road.Passenger.Bus.BEV</t>
  </si>
  <si>
    <t>EMIint.gCO2_per_km.SK.Tr.Road.Freight</t>
  </si>
  <si>
    <t>EMIint.gCO2_per_km.SK.Tr.Road.Freight.LCV</t>
  </si>
  <si>
    <t>EMIint.gCO2_per_km.SK.Tr.Road.Freight.LCV.ICE.Gasoline</t>
  </si>
  <si>
    <t>EMIint.gCO2_per_km.SK.Tr.Road.Freight.LCV.ICE.Diesel</t>
  </si>
  <si>
    <t>EMIint.gCO2_per_km.SK.Tr.Road.Freight.LCV.ICE.LPG</t>
  </si>
  <si>
    <t>EMIint.gCO2_per_km.SK.Tr.Road.Freight.LCV.ICE.NGas</t>
  </si>
  <si>
    <t>EMIint.gCO2_per_km.SK.Tr.Road.Freight.LCV.BEV</t>
  </si>
  <si>
    <t>EMIint.gCO2_per_km.SK.Tr.Road.Freight.HGV_All</t>
  </si>
  <si>
    <t>EMIint.gCO2_per_km.SK.Tr.Road.Freight.HGV_Domestic</t>
  </si>
  <si>
    <t>EMIint.gCO2_per_km.SK.Tr.Road.Freight.HGV_International</t>
  </si>
  <si>
    <t>EMIint.gCO2_per_pkm.SK.Tr.Road.Passenger.Car.ICE.Gasoline</t>
  </si>
  <si>
    <t>EMIint.gCO2_per_pkm.SK.Tr.Road.Passenger.Car.ICE.Diesel</t>
  </si>
  <si>
    <t>EMIint.gCO2_per_pkm.SK.Tr.Road.Passenger.Car.ICE.LPG</t>
  </si>
  <si>
    <t>EMIint.gCO2_per_pkm.SK.Tr.Road.Passenger.Car.ICE.NGas</t>
  </si>
  <si>
    <t>EMIint.gCO2_per_pkm.SK.Tr.Road.Passenger.Car.PHEV.Gasoline</t>
  </si>
  <si>
    <t>EMIint.gCO2_per_pkm.SK.Tr.Road.Passenger.Car.BEV</t>
  </si>
  <si>
    <t>EMIint.gCO2_per_pkm.SK.Tr.Road.Passenger.Bus.ICE.Gasoline</t>
  </si>
  <si>
    <t>EMIint.gCO2_per_pkm.SK.Tr.Road.Passenger.Bus.ICE.Diesel</t>
  </si>
  <si>
    <t>EMIint.gCO2_per_pkm.SK.Tr.Road.Passenger.Bus.ICE.LPG</t>
  </si>
  <si>
    <t>EMIint.gCO2_per_pkm.SK.Tr.Road.Passenger.Bus.ICE.NGas</t>
  </si>
  <si>
    <t>EMIint.gCO2_per_pkm.SK.Tr.Road.Passenger.Bus.BEV</t>
  </si>
  <si>
    <t>EMIint.gCO2_per_tkm.SK.Tr.Road.Freight.LCV.ICE.Gasoline</t>
  </si>
  <si>
    <t>EMIint.gCO2_per_tkm.SK.Tr.Road.Freight.LCV.ICE.Diesel</t>
  </si>
  <si>
    <t>EMIint.gCO2_per_tkm.SK.Tr.Road.Freight.LCV.ICE.LPG</t>
  </si>
  <si>
    <t>EMIint.gCO2_per_tkm.SK.Tr.Road.Freight.LCV.ICE.NGas</t>
  </si>
  <si>
    <t>EMIint.gCO2_per_tkm.SK.Tr.Road.Freight.LCV.BEV</t>
  </si>
  <si>
    <t>EMIint.gCO2_per_tkm.SK.Tr.Road.Freight.HGV_Domestic</t>
  </si>
  <si>
    <t>EMIint.gCO2_per_tkm.SK.Tr.Road.Freight.HGV_International</t>
  </si>
  <si>
    <t>EMI_per_vehicle.kgCO2.SK.Tr.Road.Passenger.P2W</t>
  </si>
  <si>
    <t>EMI_per_vehicle.kgCO2.SK.Tr.Road.Passenger.Car</t>
  </si>
  <si>
    <t>EMI_per_vehicle.kgCO2.SK.Tr.Road.Passenger.Car.ICE.Gasoline</t>
  </si>
  <si>
    <t>EMI_per_vehicle.kgCO2.SK.Tr.Road.Passenger.Car.ICE.Diesel</t>
  </si>
  <si>
    <t>EMI_per_vehicle.kgCO2.SK.Tr.Road.Passenger.Car.ICE.LPG</t>
  </si>
  <si>
    <t>EMI_per_vehicle.kgCO2.SK.Tr.Road.Passenger.Car.ICE.NGas</t>
  </si>
  <si>
    <t>EMI_per_vehicle.kgCO2.SK.Tr.Road.Passenger.Car.PHEV.Gasoline</t>
  </si>
  <si>
    <t>EMI_per_vehicle.kgCO2.SK.Tr.Road.Passenger.Car.BEV</t>
  </si>
  <si>
    <t>EMI_per_vehicle.kgCO2.SK.Tr.Road.Passenger.Bus</t>
  </si>
  <si>
    <t>EMI_per_vehicle.kgCO2.SK.Tr.Road.Passenger.Bus.ICE.Gasoline</t>
  </si>
  <si>
    <t>EMI_per_vehicle.kgCO2.SK.Tr.Road.Passenger.Bus.ICE.Diesel</t>
  </si>
  <si>
    <t>EMI_per_vehicle.kgCO2.SK.Tr.Road.Passenger.Bus.ICE.LPG</t>
  </si>
  <si>
    <t>EMI_per_vehicle.kgCO2.SK.Tr.Road.Passenger.Bus.ICE.NGas</t>
  </si>
  <si>
    <t>EMI_per_vehicle.kgCO2.SK.Tr.Road.Passenger.Bus.BEV</t>
  </si>
  <si>
    <t>EMI_per_vehicle.kgCO2.SK.Tr.Road.Freight.LCV</t>
  </si>
  <si>
    <t>EMI_per_vehicle.kgCO2.SK.Tr.Road.Freight.LCV.ICE.Gasoline</t>
  </si>
  <si>
    <t>EMI_per_vehicle.kgCO2.SK.Tr.Road.Freight.LCV.ICE.Diesel</t>
  </si>
  <si>
    <t>EMI_per_vehicle.kgCO2.SK.Tr.Road.Freight.LCV.ICE.LPG</t>
  </si>
  <si>
    <t>EMI_per_vehicle.kgCO2.SK.Tr.Road.Freight.LCV.ICE.NGas</t>
  </si>
  <si>
    <t>EMI_per_vehicle.kgCO2.SK.Tr.Road.Freight.LCV.BEV</t>
  </si>
  <si>
    <t>EMI_per_vehicle.kgCO2.SK.Tr.Road.Freight.HGV_All</t>
  </si>
  <si>
    <t>EMI_per_vehicle.kgCO2.SK.Tr.Road.Freight.HGV_Domestic</t>
  </si>
  <si>
    <t>EMI_per_vehicle.kgCO2.SK.Tr.Road.Freight.HGV_International</t>
  </si>
  <si>
    <t>Road transport / technologies - SK - Slovakia</t>
  </si>
  <si>
    <t>Stock.number.SK.Tr.Road.Freight.HGV_all</t>
  </si>
  <si>
    <t>StockVin.number.SK.Tr.Road</t>
  </si>
  <si>
    <t>StockVin.number.SK.Tr.Road.Passenger</t>
  </si>
  <si>
    <t>StockVin.number.SK.Tr.Road.Passenger.P2W</t>
  </si>
  <si>
    <t>StockVin.number.SK.Tr.Road.Passenger.Car</t>
  </si>
  <si>
    <t>StockVin.number.SK.Tr.Road.Passenger.Car.ICE.Gasoline</t>
  </si>
  <si>
    <t>StockVin.number.SK.Tr.Road.Passenger.Car.ICE.Diesel</t>
  </si>
  <si>
    <t>StockVin.number.SK.Tr.Road.Passenger.Car.ICE.LPG</t>
  </si>
  <si>
    <t>StockVin.number.SK.Tr.Road.Passenger.Car.ICE.NGas</t>
  </si>
  <si>
    <t>StockVin.number.SK.Tr.Road.Passenger.Car.PHEV.Gasoline</t>
  </si>
  <si>
    <t>StockVin.number.SK.Tr.Road.Passenger.Car.BEV</t>
  </si>
  <si>
    <t>StockVin.number.SK.Tr.Road.Passenger.Bus</t>
  </si>
  <si>
    <t>StockVin.number.SK.Tr.Road.Passenger.Bus.ICE.Gasoline</t>
  </si>
  <si>
    <t>StockVin.number.SK.Tr.Road.Passenger.Bus.ICE.Diesel</t>
  </si>
  <si>
    <t>StockVin.number.SK.Tr.Road.Passenger.Bus.ICE.LPG</t>
  </si>
  <si>
    <t>StockVin.number.SK.Tr.Road.Passenger.Bus.ICE.NGas</t>
  </si>
  <si>
    <t>StockVin.number.SK.Tr.Road.Passenger.Bus.BEV</t>
  </si>
  <si>
    <t>StockVin.number.SK.Tr.Road.Freight</t>
  </si>
  <si>
    <t>StockVin.number.SK.Tr.Road.Freight.LCV</t>
  </si>
  <si>
    <t>StockVin.number.SK.Tr.Road.Freight.LCV.ICE.Gasoline</t>
  </si>
  <si>
    <t>StockVin.number.SK.Tr.Road.Freight.LCV.ICE.Diesel</t>
  </si>
  <si>
    <t>StockVin.number.SK.Tr.Road.Freight.LCV.ICE.LPG</t>
  </si>
  <si>
    <t>StockVin.number.SK.Tr.Road.Freight.LCV.ICE.NGas</t>
  </si>
  <si>
    <t>StockVin.number.SK.Tr.Road.Freight.LCV.BEV</t>
  </si>
  <si>
    <t>StockVin.number.SK.Tr.Road.Freight.HGV_All</t>
  </si>
  <si>
    <t>StockVin.number.SK.Tr.Road.Freight.HGV_Domestic</t>
  </si>
  <si>
    <t>StockVin.number.SK.Tr.Road.Freight.HGV_International</t>
  </si>
  <si>
    <t>Eff_test_stock.kgoe_per_100km.SK.Tr.Road.Passenger.P2W</t>
  </si>
  <si>
    <t>Eff_test_stock.kgoe_per_100km.SK.Tr.Road.Passenger.Car</t>
  </si>
  <si>
    <t>Eff_test_stock.kgoe_per_100km.SK.Tr.Road.Passenger.Car.ICE.Gasoline</t>
  </si>
  <si>
    <t>Eff_test_stock.kgoe_per_100km.SK.Tr.Road.Passenger.Car.ICE.Diesel</t>
  </si>
  <si>
    <t>Eff_test_stock.kgoe_per_100km.SK.Tr.Road.Passenger.Car.ICE.LPG</t>
  </si>
  <si>
    <t>Eff_test_stock.kgoe_per_100km.SK.Tr.Road.Passenger.Car.ICE.NGas</t>
  </si>
  <si>
    <t>Eff_test_stock.kgoe_per_100km.SK.Tr.Road.Passenger.Car.PHEV.Gasoline</t>
  </si>
  <si>
    <t>Eff_test_stock.kgoe_per_100km.SK.Tr.Road.Passenger.Car.BEV</t>
  </si>
  <si>
    <t>Eff_test_stock.kgoe_per_100km.SK.Tr.Road.Passenger.Bus</t>
  </si>
  <si>
    <t>Eff_test_stock.kgoe_per_100km.SK.Tr.Road.Passenger.Bus.ICE.Gasoline</t>
  </si>
  <si>
    <t>Eff_test_stock.kgoe_per_100km.SK.Tr.Road.Passenger.Bus.ICE.Diesel</t>
  </si>
  <si>
    <t>Eff_test_stock.kgoe_per_100km.SK.Tr.Road.Passenger.Bus.ICE.LPG</t>
  </si>
  <si>
    <t>Eff_test_stock.kgoe_per_100km.SK.Tr.Road.Passenger.Bus.ICE.NGas</t>
  </si>
  <si>
    <t>Eff_test_stock.kgoe_per_100km.SK.Tr.Road.Passenger.Bus.BEV</t>
  </si>
  <si>
    <t>Eff_test_stock.kgoe_per_100km.SK.Tr.Road.Freight.LCV</t>
  </si>
  <si>
    <t>Eff_test_stock.kgoe_per_100km.SK.Tr.Road.Freight.LCV.ICE.Gasoline</t>
  </si>
  <si>
    <t>Eff_test_stock.kgoe_per_100km.SK.Tr.Road.Freight.LCV.ICE.Diesel</t>
  </si>
  <si>
    <t>Eff_test_stock.kgoe_per_100km.SK.Tr.Road.Freight.LCV.ICE.LPG</t>
  </si>
  <si>
    <t>Eff_test_stock.kgoe_per_100km.SK.Tr.Road.Freight.LCV.ICE.NGas</t>
  </si>
  <si>
    <t>Eff_test_stock.kgoe_per_100km.SK.Tr.Road.Freight.LCV.BEV</t>
  </si>
  <si>
    <t>Eff_test_stock.kgoe_per_100km.SK.Tr.Road.Freight.HGV_All</t>
  </si>
  <si>
    <t>Eff_test_stock.kgoe_per_100km.SK.Tr.Road.Freight.HGV_Domestic</t>
  </si>
  <si>
    <t>Eff_test_stock.kgoe_per_100km.SK.Tr.Road.Freight.HGV_International</t>
  </si>
  <si>
    <t>Eff_test_new.kgoe_per_100km.SK.Tr.Road.Passenger.P2W</t>
  </si>
  <si>
    <t>Eff_test_new.kgoe_per_100km.SK.Tr.Road.Passenger.Car</t>
  </si>
  <si>
    <t>Eff_test_new.kgoe_per_100km.SK.Tr.Road.Passenger.Car.ICE.Gasoline</t>
  </si>
  <si>
    <t>Eff_test_new.kgoe_per_100km.SK.Tr.Road.Passenger.Car.ICE.Diesel</t>
  </si>
  <si>
    <t>Eff_test_new.kgoe_per_100km.SK.Tr.Road.Passenger.Car.ICE.LPG</t>
  </si>
  <si>
    <t>Eff_test_new.kgoe_per_100km.SK.Tr.Road.Passenger.Car.ICE.NGas</t>
  </si>
  <si>
    <t>Eff_test_new.kgoe_per_100km.SK.Tr.Road.Passenger.Car.PHEV.Gasoline</t>
  </si>
  <si>
    <t>Eff_test_new.kgoe_per_100km.SK.Tr.Road.Passenger.Car.BEV</t>
  </si>
  <si>
    <t>Eff_test_new.kgoe_per_100km.SK.Tr.Road.Passenger.Bus</t>
  </si>
  <si>
    <t>Eff_test_new.kgoe_per_100km.SK.Tr.Road.Passenger.Bus.ICE.Gasoline</t>
  </si>
  <si>
    <t>Eff_test_new.kgoe_per_100km.SK.Tr.Road.Passenger.Bus.ICE.Diesel</t>
  </si>
  <si>
    <t>Eff_test_new.kgoe_per_100km.SK.Tr.Road.Passenger.Bus.ICE.LPG</t>
  </si>
  <si>
    <t>Eff_test_new.kgoe_per_100km.SK.Tr.Road.Passenger.Bus.ICE.NGas</t>
  </si>
  <si>
    <t>Eff_test_new.kgoe_per_100km.SK.Tr.Road.Passenger.Bus.BEV</t>
  </si>
  <si>
    <t>Eff_test_new.kgoe_per_100km.SK.Tr.Road.Freight.LCV</t>
  </si>
  <si>
    <t>Eff_test_new.kgoe_per_100km.SK.Tr.Road.Freight.LCV.ICE.Gasoline</t>
  </si>
  <si>
    <t>Eff_test_new.kgoe_per_100km.SK.Tr.Road.Freight.LCV.ICE.Diesel</t>
  </si>
  <si>
    <t>Eff_test_new.kgoe_per_100km.SK.Tr.Road.Freight.LCV.ICE.LPG</t>
  </si>
  <si>
    <t>Eff_test_new.kgoe_per_100km.SK.Tr.Road.Freight.LCV.ICE.NGas</t>
  </si>
  <si>
    <t>Eff_test_new.kgoe_per_100km.SK.Tr.Road.Freight.LCV.BEV</t>
  </si>
  <si>
    <t>Eff_test_new.kgoe_per_100km.SK.Tr.Road.Freight.HGV_All</t>
  </si>
  <si>
    <t>Eff_test_new.kgoe_per_100km.SK.Tr.Road.Freight.HGV_Domestic</t>
  </si>
  <si>
    <t>Eff_test_new.kgoe_per_100km.SK.Tr.Road.Freight.HGV_International</t>
  </si>
  <si>
    <t>EMIint_test_stock.gCO2_per_km.SK.Tr.Road.Passenger.P2W</t>
  </si>
  <si>
    <t>EMIint_test_stock.gCO2_per_km.SK.Tr.Road.Passenger.Car</t>
  </si>
  <si>
    <t>EMIint_test_stock.gCO2_per_km.SK.Tr.Road.Passenger.Car.ICE.Gasoline</t>
  </si>
  <si>
    <t>EMIint_test_stock.gCO2_per_km.SK.Tr.Road.Passenger.Car.ICE.Diesel</t>
  </si>
  <si>
    <t>EMIint_test_stock.gCO2_per_km.SK.Tr.Road.Passenger.Car.ICE.LPG</t>
  </si>
  <si>
    <t>EMIint_test_stock.gCO2_per_km.SK.Tr.Road.Passenger.Car.ICE.NGas</t>
  </si>
  <si>
    <t>EMIint_test_stock.gCO2_per_km.SK.Tr.Road.Passenger.Car.PHEV.Gasoline</t>
  </si>
  <si>
    <t>EMIint_test_stock.gCO2_per_km.SK.Tr.Road.Passenger.Car.BEV</t>
  </si>
  <si>
    <t>EMIint_test_stock.gCO2_per_km.SK.Tr.Road.Passenger.Bus</t>
  </si>
  <si>
    <t>EMIint_test_stock.gCO2_per_km.SK.Tr.Road.Passenger.Bus.ICE.Gasoline</t>
  </si>
  <si>
    <t>EMIint_test_stock.gCO2_per_km.SK.Tr.Road.Passenger.Bus.ICE.Diesel</t>
  </si>
  <si>
    <t>EMIint_test_stock.gCO2_per_km.SK.Tr.Road.Passenger.Bus.ICE.LPG</t>
  </si>
  <si>
    <t>EMIint_test_stock.gCO2_per_km.SK.Tr.Road.Passenger.Bus.ICE.NGas</t>
  </si>
  <si>
    <t>EMIint_test_stock.gCO2_per_km.SK.Tr.Road.Passenger.Bus.BEV</t>
  </si>
  <si>
    <t>EMIint_test_stock.gCO2_per_km.SK.Tr.Road.Freight.LCV</t>
  </si>
  <si>
    <t>EMIint_test_stock.gCO2_per_km.SK.Tr.Road.Freight.LCV.ICE.Gasoline</t>
  </si>
  <si>
    <t>EMIint_test_stock.gCO2_per_km.SK.Tr.Road.Freight.LCV.ICE.Diesel</t>
  </si>
  <si>
    <t>EMIint_test_stock.gCO2_per_km.SK.Tr.Road.Freight.LCV.ICE.LPG</t>
  </si>
  <si>
    <t>EMIint_test_stock.gCO2_per_km.SK.Tr.Road.Freight.LCV.ICE.NGas</t>
  </si>
  <si>
    <t>EMIint_test_stock.gCO2_per_km.SK.Tr.Road.Freight.LCV.BEV</t>
  </si>
  <si>
    <t>EMIint_test_stock.gCO2_per_km.SK.Tr.Road.Freight.HGV_All</t>
  </si>
  <si>
    <t>EMIint_test_stock.gCO2_per_km.SK.Tr.Road.Freight.HGV_Domestic</t>
  </si>
  <si>
    <t>EMIint_test_stock.gCO2_per_km.SK.Tr.Road.Freight.HGV_International</t>
  </si>
  <si>
    <t>EMIint_test_new.gCO2_per_km.SK.Tr.Road.Passenger.P2W</t>
  </si>
  <si>
    <t>EMIint_test_new.gCO2_per_km.SK.Tr.Road.Passenger.Car</t>
  </si>
  <si>
    <t>EMIint_test_new.gCO2_per_km.SK.Tr.Road.Passenger.Car.ICE.Gasoline</t>
  </si>
  <si>
    <t>EMIint_test_new.gCO2_per_km.SK.Tr.Road.Passenger.Car.ICE.Diesel</t>
  </si>
  <si>
    <t>EMIint_test_new.gCO2_per_km.SK.Tr.Road.Passenger.Car.ICE.LPG</t>
  </si>
  <si>
    <t>EMIint_test_new.gCO2_per_km.SK.Tr.Road.Passenger.Car.ICE.NGas</t>
  </si>
  <si>
    <t>EMIint_test_new.gCO2_per_km.SK.Tr.Road.Passenger.Car.PHEV.Gasoline</t>
  </si>
  <si>
    <t>EMIint_test_new.gCO2_per_km.SK.Tr.Road.Passenger.Car.BEV</t>
  </si>
  <si>
    <t>EMIint_test_new.gCO2_per_km.SK.Tr.Road.Passenger.Bus</t>
  </si>
  <si>
    <t>EMIint_test_new.gCO2_per_km.SK.Tr.Road.Passenger.Bus.ICE.Gasoline</t>
  </si>
  <si>
    <t>EMIint_test_new.gCO2_per_km.SK.Tr.Road.Passenger.Bus.ICE.Diesel</t>
  </si>
  <si>
    <t>EMIint_test_new.gCO2_per_km.SK.Tr.Road.Passenger.Bus.ICE.LPG</t>
  </si>
  <si>
    <t>EMIint_test_new.gCO2_per_km.SK.Tr.Road.Passenger.Bus.ICE.NGas</t>
  </si>
  <si>
    <t>EMIint_test_new.gCO2_per_km.SK.Tr.Road.Passenger.Bus.BEV</t>
  </si>
  <si>
    <t>EMIint_test_new.gCO2_per_km.SK.Tr.Road.Freight.LCV</t>
  </si>
  <si>
    <t>EMIint_test_new.gCO2_per_km.SK.Tr.Road.Freight.LCV.ICE.Gasoline</t>
  </si>
  <si>
    <t>EMIint_test_new.gCO2_per_km.SK.Tr.Road.Freight.LCV.ICE.Diesel</t>
  </si>
  <si>
    <t>EMIint_test_new.gCO2_per_km.SK.Tr.Road.Freight.LCV.ICE.LPG</t>
  </si>
  <si>
    <t>EMIint_test_new.gCO2_per_km.SK.Tr.Road.Freight.LCV.ICE.NGas</t>
  </si>
  <si>
    <t>EMIint_test_new.gCO2_per_km.SK.Tr.Road.Freight.LCV.BEV</t>
  </si>
  <si>
    <t>EMIint_test_new.gCO2_per_km.SK.Tr.Road.Freight.HGV_All</t>
  </si>
  <si>
    <t>EMIint_test_new.gCO2_per_km.SK.Tr.Road.Freight.HGV_Domestic</t>
  </si>
  <si>
    <t>EMIint_test_new.gCO2_per_km.SK.Tr.Road.Freight.HGV_International</t>
  </si>
  <si>
    <t>FEC.ktoe.SK.MBunk</t>
  </si>
  <si>
    <t>FEC.ktoe.SK.MBunk.IntraEEA</t>
  </si>
  <si>
    <t>FEC.ktoe.SK.MBunk.ExtraEEA</t>
  </si>
  <si>
    <t>EMI.ktCO2.SK.MBunk</t>
  </si>
  <si>
    <t>EMI.ktCO2.SK.MBunk.IntraEEA</t>
  </si>
  <si>
    <t>EMI.ktCO2.SK.MBunk.ExtraEEA</t>
  </si>
  <si>
    <t>International maritime bunkers - SK - Slovakia</t>
  </si>
  <si>
    <t>VehicleKm.Mkm.SK.MBunk.Freight</t>
  </si>
  <si>
    <t>VehicleKm.Mkm.SK.MBunk.Freight.IntraEEA</t>
  </si>
  <si>
    <t>VehicleKm.Mkm.SK.MBunk.Freight.ExtraEEA</t>
  </si>
  <si>
    <t>Load.t_per_movement.SK.MBunk.Freight</t>
  </si>
  <si>
    <t>Load.t_per_movement.SK.MBunk.Freight.IntraEEA</t>
  </si>
  <si>
    <t>Load.t_per_movement.SK.MBunk.Freight.ExtraEEA</t>
  </si>
  <si>
    <t>International maritime bunkers / energy consumption - SK - Slovakia</t>
  </si>
  <si>
    <t>FEC.ktoe.SK.ES.MBunk</t>
  </si>
  <si>
    <t>FEC.ktoe.SK.ES.MBunk.IntraEEA</t>
  </si>
  <si>
    <t>FEC.ktoe.SK.ES.MBunk.IntraEEA.Diesel</t>
  </si>
  <si>
    <t>FEC.ktoe.SK.ES.MBunk.IntraEEA.RFO_Other</t>
  </si>
  <si>
    <t>FEC.ktoe.SK.ES.MBunk.IntraEEA.LiqBio</t>
  </si>
  <si>
    <t>FEC.ktoe.SK.ES.MBunk.IntraEEA.NG</t>
  </si>
  <si>
    <t>FEC.ktoe.SK.ES.MBunk.IntraEEA.Biogas</t>
  </si>
  <si>
    <t>FEC.ktoe.SK.ES.MBunk.ExtraEEA</t>
  </si>
  <si>
    <t>FEC.ktoe.SK.ES.MBunk.ExtraEEA.Diesel</t>
  </si>
  <si>
    <t>FEC.ktoe.SK.ES.MBunk.ExtraEEA.RFO_Other</t>
  </si>
  <si>
    <t>FEC.ktoe.SK.ES.MBunk.ExtraEEA.LiqBio</t>
  </si>
  <si>
    <t>FEC.ktoe.SK.ES.MBunk.ExtraEEA.NG</t>
  </si>
  <si>
    <t>FEC.ktoe.SK.ES.MBunk.ExtraEEA.Biogas</t>
  </si>
  <si>
    <t>Eff.kgoe_per_100km.SK.MBunk.Freight</t>
  </si>
  <si>
    <t>Eff.kgoe_per_100km.SK.MBunk.Freight.IntraEEA</t>
  </si>
  <si>
    <t>Eff.kgoe_per_100km.SK.MBunk.Freight.ExtraEEA</t>
  </si>
  <si>
    <t>International maritime bunkers / CO2 emissions - SK - Slovakia</t>
  </si>
  <si>
    <t>EMI.ktCO2.SK.ES.MBunk</t>
  </si>
  <si>
    <t>EMI.ktCO2.SK.ES.MBunk.IntraEEA</t>
  </si>
  <si>
    <t>EMI.ktCO2.SK.ES.MBunk.ExtraEEA</t>
  </si>
  <si>
    <t>EMIint.gCO2_per_km.SK.MBunk.Freight</t>
  </si>
  <si>
    <t>EMIint.gCO2_per_km.SK.MBunk.Freight.IntraEEA</t>
  </si>
  <si>
    <t>EMIint.gCO2_per_km.SK.MBunk.Freight.ExtraEEA</t>
  </si>
  <si>
    <t>FEC.ktoe.SK.Tr.DNavi</t>
  </si>
  <si>
    <t>FEC.ktoe.SK.Tr.Dnavi.DCS</t>
  </si>
  <si>
    <t>FEC.ktoe.SK.Tr.Dnavi.IWW</t>
  </si>
  <si>
    <t>EMI.ktCO2.SK.Tr.DNavi</t>
  </si>
  <si>
    <t>EMI.ktCO2.SK.Tr.Dnavi.DCS</t>
  </si>
  <si>
    <t>EMI.ktCO2.SK.Tr.Dnavi.IWW</t>
  </si>
  <si>
    <t>Domestic navigation - SK - Slovakia</t>
  </si>
  <si>
    <t>VehicleKm.Mkm.SK.Tr.DNavi.Freight</t>
  </si>
  <si>
    <t>VehicleKm.Mkm.SK.Tr.DNavi.Freight.DCS</t>
  </si>
  <si>
    <t>VehicleKm.Mkm.SK.Tr.DNavi.Freight.IWW</t>
  </si>
  <si>
    <t>Load.t_per_movement.SK.Tr.DNavi.Freight</t>
  </si>
  <si>
    <t>Load.t_per_movement.SK.Tr.DNavi.Freight.DCS</t>
  </si>
  <si>
    <t>Load.t_per_movement.SK.Tr.DNavi.Freight.IWW</t>
  </si>
  <si>
    <t>Domestic navigation / energy consumption - SK - Slovakia</t>
  </si>
  <si>
    <t>FEC.ktoe.SK.ES.Tr.DNavi</t>
  </si>
  <si>
    <t>FEC.ktoe.SK.ES.Tr.DNavi.DCS</t>
  </si>
  <si>
    <t>FEC.ktoe.SK.ES.Tr.DNavi.DCS.Diesel</t>
  </si>
  <si>
    <t>FEC.ktoe.SK.ES.Tr.DNavi.DCS.RFO_Other</t>
  </si>
  <si>
    <t>FEC.ktoe.SK.ES.Tr.DNavi.DCS.LiqBio</t>
  </si>
  <si>
    <t>FEC.ktoe.SK.ES.Tr.DNavi.DCS.NG</t>
  </si>
  <si>
    <t>FEC.ktoe.SK.ES.Tr.DNavi.DCS.Biogas</t>
  </si>
  <si>
    <t>FEC.ktoe.SK.ES.Tr.DNavi.IWW</t>
  </si>
  <si>
    <t>FEC.ktoe.SK.ES.Tr.DNavi.IWW.Diesel</t>
  </si>
  <si>
    <t>FEC.ktoe.SK.ES.Tr.DNavi.IWW.RFO_Other</t>
  </si>
  <si>
    <t>FEC.ktoe.SK.ES.Tr.DNavi.IWW.LiqBio</t>
  </si>
  <si>
    <t>FEC.ktoe.SK.ES.Tr.DNavi.IWW.NG</t>
  </si>
  <si>
    <t>FEC.ktoe.SK.ES.Tr.DNavi.IWW.Biogas</t>
  </si>
  <si>
    <t>Eff.kgoe_per_100km.SK.Tr.DNavi.Freight</t>
  </si>
  <si>
    <t>Eff.kgoe_per_100km.SK.Tr.DNavi.Freight.DCS</t>
  </si>
  <si>
    <t>Eff.kgoe_per_100km.SK.Tr.DNavi.Freight.IWW</t>
  </si>
  <si>
    <t>Domestic navigation / CO2 emissions - SK - Slovakia</t>
  </si>
  <si>
    <t>EMI.ktCO2.SK.ES.Tr.DNavi</t>
  </si>
  <si>
    <t>EMI.ktCO2.SK.ES.Tr.DNavi.DCS</t>
  </si>
  <si>
    <t>EMI.ktCO2.SK.ES.Tr.DNavi.IWW</t>
  </si>
  <si>
    <t>EMIint.gCO2_per_km.SK.Tr.DNavi.Freight</t>
  </si>
  <si>
    <t>EMIint.gCO2_per_km.SK.Tr.DNavi.Freight.DCS</t>
  </si>
  <si>
    <t>EMIint.gCO2_per_km.SK.Tr.DNavi.Freight.IWW</t>
  </si>
  <si>
    <t>Rail, metro and tram - SK - Slovakia</t>
  </si>
  <si>
    <t>Activity.Mpkm.SK.Tr.Rail.Passenger.CPT.Diesel</t>
  </si>
  <si>
    <t>Activity.Mpkm.SK.Tr.Rail.Passenger.CPT.Elc</t>
  </si>
  <si>
    <t>Activity.Mtkm.SK.Tr.Rail.Freight.Diesel</t>
  </si>
  <si>
    <t>Activity.Mtkm.SK.Tr.Rail.Freight.Elc</t>
  </si>
  <si>
    <t>VehicleKm.Mkm.SK.Tr.Rail</t>
  </si>
  <si>
    <t>VehicleKm.Mkm.SK.Tr.Rail.Passenger</t>
  </si>
  <si>
    <t>VehicleKm.Mkm.SK.Tr.Rail.Passenger.MTU</t>
  </si>
  <si>
    <t>VehicleKm.Mkm.SK.Tr.Rail.Passenger.CPT</t>
  </si>
  <si>
    <t>VehicleKm.Mkm.SK.Tr.Rail.Passenger.CPT.Diesel</t>
  </si>
  <si>
    <t>VehicleKm.Mkm.SK.Tr.Rail.Passenger.CPT.Elc</t>
  </si>
  <si>
    <t>VehicleKm.Mkm.SK.Tr.Rail.Passenger.HST</t>
  </si>
  <si>
    <t>VehicleKm.Mkm.SK.Tr.Rail.Freight</t>
  </si>
  <si>
    <t>VehicleKm.Mkm.SK.Tr.Rail.Freight.Diesel</t>
  </si>
  <si>
    <t>VehicleKm.Mkm.SK.Tr.Rail.Freight.Elc</t>
  </si>
  <si>
    <t>Stock.number.SK.Tr.Rail</t>
  </si>
  <si>
    <t>Stock.number.SK.Tr.Rail.Passenger</t>
  </si>
  <si>
    <t>Stock.number.SK.Tr.Rail.Passenger.MTU</t>
  </si>
  <si>
    <t>Stock.number.SK.Tr.Rail.Passenger.CPT</t>
  </si>
  <si>
    <t>Stock.number.SK.Tr.Rail.Passenger.CPT.Diesel</t>
  </si>
  <si>
    <t>Stock.number.SK.Tr.Rail.Passenger.CPT.Elc</t>
  </si>
  <si>
    <t>Stock.number.SK.Tr.Rail.Passenger.HST</t>
  </si>
  <si>
    <t>Stock.number.SK.Tr.Rail.Freight</t>
  </si>
  <si>
    <t>Stock.number.SK.Tr.Rail.Freight.Diesel</t>
  </si>
  <si>
    <t>Stock.number.SK.Tr.Rail.Freight.Elc</t>
  </si>
  <si>
    <t>StockNew.number.SK.Tr.Rail</t>
  </si>
  <si>
    <t>StockNew.number.SK.Tr.Rail.Passenger</t>
  </si>
  <si>
    <t>StockNew.number.SK.Tr.Rail.Passenger.MTU</t>
  </si>
  <si>
    <t>StockNew.number.SK.Tr.Rail.Passenger.CPT</t>
  </si>
  <si>
    <t>StockNew.number.SK.Tr.Rail.Passenger.CPT.Diesel</t>
  </si>
  <si>
    <t>StockNew.number.SK.Tr.Rail.Passenger.CPT.Elc</t>
  </si>
  <si>
    <t>StockNew.number.SK.Tr.Rail.Passenger.HST</t>
  </si>
  <si>
    <t>StockNew.number.SK.Tr.Rail.Freight</t>
  </si>
  <si>
    <t>StockNew.number.SK.Tr.Rail.Freight.Diesel</t>
  </si>
  <si>
    <t>StockNew.number.SK.Tr.Rail.Freight.Elc</t>
  </si>
  <si>
    <t>Load.passenger_per_movement.SK.Tr.Rail.Passenger</t>
  </si>
  <si>
    <t>Load.passenger_per_movement.SK.Tr.Rail.Passenger.MTU</t>
  </si>
  <si>
    <t>Load.passenger_per_movement.SK.Tr.Rail.Passenger.CPT</t>
  </si>
  <si>
    <t>Load.passenger_per_movement.SK.Tr.Rail.Passenger.CPT.Diesel</t>
  </si>
  <si>
    <t>Load.passenger_per_movement.SK.Tr.Rail.Passenger.CPT.Elc</t>
  </si>
  <si>
    <t>Load.passenger_per_movement.SK.Tr.Rail.Passenger.HST</t>
  </si>
  <si>
    <t>Load.t_per_movement.SK.Tr.Rail.Freight</t>
  </si>
  <si>
    <t>Load.t_per_movement.SK.Tr.Rail.Freight.Diesel</t>
  </si>
  <si>
    <t>Load.t_per_movement.SK.Tr.Rail.Freight.Elc</t>
  </si>
  <si>
    <t>TrCap.seats.SK.Tr.Rail.Passenger</t>
  </si>
  <si>
    <t>TrCap.seats.SK.Tr.Rail.Passenger.MTU</t>
  </si>
  <si>
    <t>TrCap.seats.SK.Tr.Rail.Passenger.CPT</t>
  </si>
  <si>
    <t>TrCap.seats.SK.Tr.Rail.Passenger.CPT.Diesel</t>
  </si>
  <si>
    <t>TrCap.seats.SK.Tr.Rail.Passenger.CPT.Elc</t>
  </si>
  <si>
    <t>TrCap.seats.SK.Tr.Rail.Passenger.HST</t>
  </si>
  <si>
    <t>TrCap.t.SK.Tr.Rail.Freight</t>
  </si>
  <si>
    <t>TrCap.t.SK.Tr.Rail.Freight.Diesel</t>
  </si>
  <si>
    <t>TrCap.t.SK.Tr.Rail.Freight.Elc</t>
  </si>
  <si>
    <t>VehicleKm_per_vehicle.km.SK.Tr.Rail</t>
  </si>
  <si>
    <t>VehicleKm_per_vehicle.km.SK.Tr.Rail.Passenger</t>
  </si>
  <si>
    <t>VehicleKm_per_vehicle.km.SK.Tr.Rail.Passenger.MTU</t>
  </si>
  <si>
    <t>VehicleKm_per_vehicle.km.SK.Tr.Rail.Passenger.CPT</t>
  </si>
  <si>
    <t>VehicleKm_per_vehicle.km.SK.Tr.Rail.Passenger.CPT.Diesel</t>
  </si>
  <si>
    <t>VehicleKm_per_vehicle.km.SK.Tr.Rail.Passenger.CPT.Elc</t>
  </si>
  <si>
    <t>VehicleKm_per_vehicle.km.SK.Tr.Rail.Passenger.HST</t>
  </si>
  <si>
    <t>VehicleKm_per_vehicle.km.SK.Tr.Rail.Freight</t>
  </si>
  <si>
    <t>VehicleKm_per_vehicle.km.SK.Tr.Rail.Freight.Diesel</t>
  </si>
  <si>
    <t>VehicleKm_per_vehicle.km.SK.Tr.Rail.Freight.Elc</t>
  </si>
  <si>
    <t>Activity_per_vehicle.pkm.SK.Tr.Rail.Passenger</t>
  </si>
  <si>
    <t>Activity_per_vehicle.pkm.SK.Tr.Rail.Passenger.MTU</t>
  </si>
  <si>
    <t>Activity_per_vehicle.pkm.SK.Tr.Rail.Passenger.CPT</t>
  </si>
  <si>
    <t>Activity_per_vehicle.pkm.SK.Tr.Rail.Passenger.CPT.Diesel</t>
  </si>
  <si>
    <t>Activity_per_vehicle.pkm.SK.Tr.Rail.Passenger.CPT.Elc</t>
  </si>
  <si>
    <t>Activity_per_vehicle.pkm.SK.Tr.Rail.Passenger.HST</t>
  </si>
  <si>
    <t>Activity_per_vehicle.tkm.SK.Tr.Rail.Freight</t>
  </si>
  <si>
    <t>Activity_per_vehicle.tkm.SK.Tr.Rail.Freight.Diesel</t>
  </si>
  <si>
    <t>Activity_per_vehicle.tkm.SK.Tr.Rail.Freight.Elc</t>
  </si>
  <si>
    <t>Rail, metro and tram / energy consumption - SK - Slovakia</t>
  </si>
  <si>
    <t>FEC.ktoe.SK.ES.Tr.Rail</t>
  </si>
  <si>
    <t>FEC.ktoe.SK.ES.Tr.Rail.Diesel</t>
  </si>
  <si>
    <t>FEC.ktoe.SK.ES.Tr.Rail.LiqBio</t>
  </si>
  <si>
    <t>FEC.ktoe.SK.ES.Tr.Rail.Elec</t>
  </si>
  <si>
    <t>FEC.ktoe.SK.Tr.Rail</t>
  </si>
  <si>
    <t>FEC.ktoe.SK.Tr.Rail.Passenger.CPT.Diesel</t>
  </si>
  <si>
    <t>FEC.ktoe.SK.Tr.Rail.Passenger.CPT.Elc</t>
  </si>
  <si>
    <t>FEC.ktoe.SK.Tr.Rail.Freight.Diesel</t>
  </si>
  <si>
    <t>FEC.ktoe.SK.Tr.Rail.Freight.Elc</t>
  </si>
  <si>
    <t>Eff.kgoe_per_100km.SK.Tr.Rail</t>
  </si>
  <si>
    <t>Eff.kgoe_per_100km.SK.Tr.Rail.Passenger</t>
  </si>
  <si>
    <t>Eff.kgoe_per_100km.SK.Tr.Rail.Passenger.MTU</t>
  </si>
  <si>
    <t>Eff.kgoe_per_100km.SK.Tr.Rail.Passenger.CPT</t>
  </si>
  <si>
    <t>Eff.kgoe_per_100km.SK.Tr.Rail.Passenger.CPT.Diesel</t>
  </si>
  <si>
    <t>Eff.kgoe_per_100km.SK.Tr.Rail.Passenger.CPT.Elc</t>
  </si>
  <si>
    <t>Eff.kgoe_per_100km.SK.Tr.Rail.Passenger.HST</t>
  </si>
  <si>
    <t>Eff.kgoe_per_100km.SK.Tr.Rail.Freight</t>
  </si>
  <si>
    <t>Eff.kgoe_per_100km.SK.Tr.Rail.Freight.Diesel</t>
  </si>
  <si>
    <t>Eff.kgoe_per_100km.SK.Tr.Rail.Freight.Elc</t>
  </si>
  <si>
    <t>Eff.kgoe_per_kpkm.SK.Tr.Rail.Passenger.CPT.Diesel</t>
  </si>
  <si>
    <t>Eff.kgoe_per_kpkm.SK.Tr.Rail.Passenger.CPT.Elc</t>
  </si>
  <si>
    <t>Eff.kgoe_per_ktkm.SK.Tr.Rail.Freight.Diesel</t>
  </si>
  <si>
    <t>Eff.kgoe_per_ktkm.SK.Tr.Rail.Freight.Elc</t>
  </si>
  <si>
    <t>FEC_per_vehicle.kgoe.SK.Tr.Rail</t>
  </si>
  <si>
    <t>FEC_per_vehicle.kgoe.SK.Tr.Rail.Passenger</t>
  </si>
  <si>
    <t>FEC_per_vehicle.kgoe.SK.Tr.Rail.Passenger.MTU</t>
  </si>
  <si>
    <t>FEC_per_vehicle.kgoe.SK.Tr.Rail.Passenger.CPT</t>
  </si>
  <si>
    <t>FEC_per_vehicle.kgoe.SK.Tr.Rail.Passenger.CPT.Diesel</t>
  </si>
  <si>
    <t>FEC_per_vehicle.kgoe.SK.Tr.Rail.Passenger.CPT.Elc</t>
  </si>
  <si>
    <t>FEC_per_vehicle.kgoe.SK.Tr.Rail.Passenger.HST</t>
  </si>
  <si>
    <t>FEC_per_vehicle.kgoe.SK.Tr.Rail.Freight</t>
  </si>
  <si>
    <t>FEC_per_vehicle.kgoe.SK.Tr.Rail.Freight.Diesel</t>
  </si>
  <si>
    <t>FEC_per_vehicle.kgoe.SK.Tr.Rail.Freight.Elc</t>
  </si>
  <si>
    <t>Rail, metro and tram / CO2 emissions - SK - Slovakia</t>
  </si>
  <si>
    <t>EMI.ktCO2.SK.ES.Tr.Rail</t>
  </si>
  <si>
    <t>EMI.ktCO2.SK.ES.Tr.Rail.Diesel</t>
  </si>
  <si>
    <t>EMI.ktCO2.SK.ES.Tr.Rail.Elec</t>
  </si>
  <si>
    <t>EMI.ktCO2.SK.Tr.Rail</t>
  </si>
  <si>
    <t>EMI.ktCO2.SK.Tr.Rail.Passenger.CPT.Diesel</t>
  </si>
  <si>
    <t>EMI.ktCO2.SK.Tr.Rail.Passenger.CPT.Elc</t>
  </si>
  <si>
    <t>EMI.ktCO2.SK.Tr.Rail.Freight.Diesel</t>
  </si>
  <si>
    <t>EMI.ktCO2.SK.Tr.Rail.Freight.Elc</t>
  </si>
  <si>
    <t>EMIint.gCO2_per_km.SK.Tr.Rail</t>
  </si>
  <si>
    <t>EMIint.gCO2_per_km.SK.Tr.Rail.Passenger</t>
  </si>
  <si>
    <t>EMIint.gCO2_per_km.SK.Tr.Rail.Passenger.MTU</t>
  </si>
  <si>
    <t>EMIint.gCO2_per_km.SK.Tr.Rail.Passenger.CPT</t>
  </si>
  <si>
    <t>EMIint.gCO2_per_km.SK.Tr.Rail.Passenger.CPT.Diesel</t>
  </si>
  <si>
    <t>EMIint.gCO2_per_km.SK.Tr.Rail.Passenger.CPT.Elc</t>
  </si>
  <si>
    <t>EMIint.gCO2_per_km.SK.Tr.Rail.Passenger.HST</t>
  </si>
  <si>
    <t>EMIint.gCO2_per_km.SK.Tr.Rail.Freight</t>
  </si>
  <si>
    <t>EMIint.gCO2_per_km.SK.Tr.Rail.Freight.Diesel</t>
  </si>
  <si>
    <t>EMIint.gCO2_per_km.SK.Tr.Rail.Freight.Elc</t>
  </si>
  <si>
    <t>EMIint.gCO2_per_pkm.SK.Tr.Rail.Passenger.CPT.Diesel</t>
  </si>
  <si>
    <t>EMIint.gCO2_per_pkm.SK.Tr.Rail.Passenger.CPT.Elc</t>
  </si>
  <si>
    <t>EMIint.gCO2_per_tkm.SK.Tr.Rail.Freight.Diesel</t>
  </si>
  <si>
    <t>EMIint.gCO2_per_tkm.SK.Tr.Rail.Freight.Elc</t>
  </si>
  <si>
    <t>EMI_per_vehicle.tCO2.SK.Tr.Rail</t>
  </si>
  <si>
    <t>EMI_per_vehicle.tCO2.SK.Tr.Rail.Passenger</t>
  </si>
  <si>
    <t>EMI_per_vehicle.tCO2.SK.Tr.Rail.Passenger.MTU</t>
  </si>
  <si>
    <t>EMI_per_vehicle.tCO2.SK.Tr.Rail.Passenger.CPT</t>
  </si>
  <si>
    <t>EMI_per_vehicle.tCO2.SK.Tr.Rail.Passenger.CPT.Diesel</t>
  </si>
  <si>
    <t>EMI_per_vehicle.tCO2.SK.Tr.Rail.Passenger.CPT.Elc</t>
  </si>
  <si>
    <t>EMI_per_vehicle.tCO2.SK.Tr.Rail.Passenger.HST</t>
  </si>
  <si>
    <t>EMI_per_vehicle.tCO2.SK.Tr.Rail.Freight</t>
  </si>
  <si>
    <t>EMI_per_vehicle.tCO2.SK.Tr.Rail.Freight.Diesel</t>
  </si>
  <si>
    <t>EMI_per_vehicle.tCO2.SK.Tr.Rail.Freight.Elc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</si>
</sst>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45967.480509259258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36939.435745476803</v>
      </c>
      <c r="C4" s="28">
        <f t="shared" si="0"/>
        <v>37001.719680422524</v>
      </c>
      <c r="D4" s="28">
        <f t="shared" si="0"/>
        <v>37913.60179542788</v>
      </c>
      <c r="E4" s="28">
        <f t="shared" si="0"/>
        <v>37562.157659486242</v>
      </c>
      <c r="F4" s="28">
        <f t="shared" si="0"/>
        <v>38153.39535940317</v>
      </c>
      <c r="G4" s="28">
        <f t="shared" si="0"/>
        <v>38425.165200552321</v>
      </c>
      <c r="H4" s="28">
        <f t="shared" si="0"/>
        <v>39153.539543113919</v>
      </c>
      <c r="I4" s="28">
        <f t="shared" si="0"/>
        <v>38802.992879578393</v>
      </c>
      <c r="J4" s="28">
        <f t="shared" si="0"/>
        <v>38331.780780114103</v>
      </c>
      <c r="K4" s="28">
        <f t="shared" si="0"/>
        <v>35716.925857685666</v>
      </c>
      <c r="L4" s="28">
        <f t="shared" si="0"/>
        <v>36150.407126792416</v>
      </c>
      <c r="M4" s="28">
        <f t="shared" si="0"/>
        <v>36528.316108225328</v>
      </c>
      <c r="N4" s="28">
        <f t="shared" si="0"/>
        <v>36357.512889592123</v>
      </c>
      <c r="O4" s="28">
        <f t="shared" si="0"/>
        <v>36344.59991694893</v>
      </c>
      <c r="P4" s="28">
        <f t="shared" si="0"/>
        <v>36727.771156181807</v>
      </c>
      <c r="Q4" s="28">
        <f t="shared" si="0"/>
        <v>38029.501467342212</v>
      </c>
      <c r="R4" s="28">
        <f t="shared" ref="R4:V4" si="1">R5+R9+R13</f>
        <v>39119.708174793566</v>
      </c>
      <c r="S4" s="28">
        <f t="shared" si="1"/>
        <v>39908.359914618457</v>
      </c>
      <c r="T4" s="28">
        <f t="shared" si="1"/>
        <v>40876.383859060836</v>
      </c>
      <c r="U4" s="28">
        <f t="shared" si="1"/>
        <v>41185.810701807415</v>
      </c>
      <c r="V4" s="28">
        <f t="shared" si="1"/>
        <v>31331.576898211933</v>
      </c>
      <c r="W4" s="28">
        <f t="shared" ref="W4:Y4" si="2">W5+W9+W13</f>
        <v>32649.307627249684</v>
      </c>
      <c r="X4" s="28">
        <f t="shared" si="2"/>
        <v>37744.447591620825</v>
      </c>
      <c r="Y4" s="28">
        <f t="shared" si="2"/>
        <v>40931.032201612252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33306.615452639082</v>
      </c>
      <c r="C5" s="137">
        <f t="shared" si="3"/>
        <v>33365.169997701094</v>
      </c>
      <c r="D5" s="137">
        <f t="shared" si="3"/>
        <v>34282.402514893249</v>
      </c>
      <c r="E5" s="137">
        <f t="shared" si="3"/>
        <v>34054.610617788421</v>
      </c>
      <c r="F5" s="137">
        <f t="shared" si="3"/>
        <v>34241.538820873175</v>
      </c>
      <c r="G5" s="137">
        <f t="shared" si="3"/>
        <v>34427.168282080565</v>
      </c>
      <c r="H5" s="137">
        <f t="shared" si="3"/>
        <v>35093.375804088457</v>
      </c>
      <c r="I5" s="137">
        <f t="shared" si="3"/>
        <v>34720.401627257597</v>
      </c>
      <c r="J5" s="137">
        <f t="shared" si="3"/>
        <v>33924.710403967227</v>
      </c>
      <c r="K5" s="137">
        <f t="shared" si="3"/>
        <v>31865.38624960581</v>
      </c>
      <c r="L5" s="137">
        <f t="shared" si="3"/>
        <v>32214.962797655673</v>
      </c>
      <c r="M5" s="137">
        <f t="shared" si="3"/>
        <v>32442.887144943434</v>
      </c>
      <c r="N5" s="137">
        <f t="shared" si="3"/>
        <v>32458.860918975166</v>
      </c>
      <c r="O5" s="137">
        <f t="shared" si="3"/>
        <v>32506.403313773193</v>
      </c>
      <c r="P5" s="137">
        <f t="shared" si="3"/>
        <v>32708.934375117424</v>
      </c>
      <c r="Q5" s="137">
        <f t="shared" si="3"/>
        <v>33015.748457614987</v>
      </c>
      <c r="R5" s="137">
        <f t="shared" ref="R5:V5" si="4">R6+R7+R8</f>
        <v>33851.716574164195</v>
      </c>
      <c r="S5" s="137">
        <f t="shared" si="4"/>
        <v>34164.028110802465</v>
      </c>
      <c r="T5" s="137">
        <f t="shared" si="4"/>
        <v>34813.581108185455</v>
      </c>
      <c r="U5" s="137">
        <f t="shared" si="4"/>
        <v>34925.75799490411</v>
      </c>
      <c r="V5" s="137">
        <f t="shared" si="4"/>
        <v>28680.615113516007</v>
      </c>
      <c r="W5" s="137">
        <f t="shared" ref="W5:Y5" si="5">W6+W7+W8</f>
        <v>30000.124148236784</v>
      </c>
      <c r="X5" s="137">
        <f t="shared" si="5"/>
        <v>32848.775482669749</v>
      </c>
      <c r="Y5" s="137">
        <f t="shared" si="5"/>
        <v>35196.206840687213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60.151952639079347</v>
      </c>
      <c r="C6" s="102">
        <f>TrRoad_act!C$5</f>
        <v>63.532777701094609</v>
      </c>
      <c r="D6" s="102">
        <f>TrRoad_act!D$5</f>
        <v>55.614144893245978</v>
      </c>
      <c r="E6" s="102">
        <f>TrRoad_act!E$5</f>
        <v>56.61621778841846</v>
      </c>
      <c r="F6" s="102">
        <f>TrRoad_act!F$5</f>
        <v>59.775590873169669</v>
      </c>
      <c r="G6" s="102">
        <f>TrRoad_act!G$5</f>
        <v>65.385822080566285</v>
      </c>
      <c r="H6" s="102">
        <f>TrRoad_act!H$5</f>
        <v>67.80180408845375</v>
      </c>
      <c r="I6" s="102">
        <f>TrRoad_act!I$5</f>
        <v>74.339627257596064</v>
      </c>
      <c r="J6" s="102">
        <f>TrRoad_act!J$5</f>
        <v>80.994803967230197</v>
      </c>
      <c r="K6" s="102">
        <f>TrRoad_act!K$5</f>
        <v>71.04944960581004</v>
      </c>
      <c r="L6" s="102">
        <f>TrRoad_act!L$5</f>
        <v>65.183297655671424</v>
      </c>
      <c r="M6" s="102">
        <f>TrRoad_act!M$5</f>
        <v>78.814234943436517</v>
      </c>
      <c r="N6" s="102">
        <f>TrRoad_act!N$5</f>
        <v>91.769488975163938</v>
      </c>
      <c r="O6" s="102">
        <f>TrRoad_act!O$5</f>
        <v>93.909113773192132</v>
      </c>
      <c r="P6" s="102">
        <f>TrRoad_act!P$5</f>
        <v>104.72565511742334</v>
      </c>
      <c r="Q6" s="102">
        <f>TrRoad_act!Q$5</f>
        <v>117.11800761498681</v>
      </c>
      <c r="R6" s="102">
        <f>TrRoad_act!R$5</f>
        <v>124.77168416419102</v>
      </c>
      <c r="S6" s="102">
        <f>TrRoad_act!S$5</f>
        <v>119.02811080246097</v>
      </c>
      <c r="T6" s="102">
        <f>TrRoad_act!T$5</f>
        <v>114.58110818545592</v>
      </c>
      <c r="U6" s="102">
        <f>TrRoad_act!U$5</f>
        <v>122.75799490411427</v>
      </c>
      <c r="V6" s="102">
        <f>TrRoad_act!V$5</f>
        <v>110.68836665230542</v>
      </c>
      <c r="W6" s="102">
        <f>TrRoad_act!W$5</f>
        <v>115.93408285043137</v>
      </c>
      <c r="X6" s="102">
        <f>TrRoad_act!X$5</f>
        <v>118.28450269616117</v>
      </c>
      <c r="Y6" s="102">
        <f>TrRoad_act!Y$5</f>
        <v>128.83181898505666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23929</v>
      </c>
      <c r="C7" s="102">
        <f>TrRoad_act!C$6</f>
        <v>24056</v>
      </c>
      <c r="D7" s="102">
        <f>TrRoad_act!D$6</f>
        <v>24978</v>
      </c>
      <c r="E7" s="102">
        <f>TrRoad_act!E$6</f>
        <v>25224</v>
      </c>
      <c r="F7" s="102">
        <f>TrRoad_act!F$6</f>
        <v>25332</v>
      </c>
      <c r="G7" s="102">
        <f>TrRoad_act!G$6</f>
        <v>25824</v>
      </c>
      <c r="H7" s="102">
        <f>TrRoad_act!H$6</f>
        <v>26342</v>
      </c>
      <c r="I7" s="102">
        <f>TrRoad_act!I$6</f>
        <v>25994</v>
      </c>
      <c r="J7" s="102">
        <f>TrRoad_act!J$6</f>
        <v>26395</v>
      </c>
      <c r="K7" s="102">
        <f>TrRoad_act!K$6</f>
        <v>26420</v>
      </c>
      <c r="L7" s="102">
        <f>TrRoad_act!L$6</f>
        <v>26879</v>
      </c>
      <c r="M7" s="102">
        <f>TrRoad_act!M$6</f>
        <v>26887</v>
      </c>
      <c r="N7" s="102">
        <f>TrRoad_act!N$6</f>
        <v>26935</v>
      </c>
      <c r="O7" s="102">
        <f>TrRoad_act!O$6</f>
        <v>27155</v>
      </c>
      <c r="P7" s="102">
        <f>TrRoad_act!P$6</f>
        <v>27251</v>
      </c>
      <c r="Q7" s="102">
        <f>TrRoad_act!Q$6</f>
        <v>27531</v>
      </c>
      <c r="R7" s="102">
        <f>TrRoad_act!R$6</f>
        <v>27836</v>
      </c>
      <c r="S7" s="102">
        <f>TrRoad_act!S$6</f>
        <v>28120</v>
      </c>
      <c r="T7" s="102">
        <f>TrRoad_act!T$6</f>
        <v>28460</v>
      </c>
      <c r="U7" s="102">
        <f>TrRoad_act!U$6</f>
        <v>28616</v>
      </c>
      <c r="V7" s="102">
        <f>TrRoad_act!V$6</f>
        <v>24827.926746863701</v>
      </c>
      <c r="W7" s="102">
        <f>TrRoad_act!W$6</f>
        <v>26664.190065386352</v>
      </c>
      <c r="X7" s="102">
        <f>TrRoad_act!X$6</f>
        <v>28389.490979973587</v>
      </c>
      <c r="Y7" s="102">
        <f>TrRoad_act!Y$6</f>
        <v>30212.375021702159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9317.4634999999998</v>
      </c>
      <c r="C8" s="102">
        <f>TrRoad_act!C$13</f>
        <v>9245.6372200000005</v>
      </c>
      <c r="D8" s="102">
        <f>TrRoad_act!D$13</f>
        <v>9248.7883700000002</v>
      </c>
      <c r="E8" s="102">
        <f>TrRoad_act!E$13</f>
        <v>8773.9943999999996</v>
      </c>
      <c r="F8" s="102">
        <f>TrRoad_act!F$13</f>
        <v>8849.7632300000005</v>
      </c>
      <c r="G8" s="102">
        <f>TrRoad_act!G$13</f>
        <v>8537.7824600000004</v>
      </c>
      <c r="H8" s="102">
        <f>TrRoad_act!H$13</f>
        <v>8683.5740000000005</v>
      </c>
      <c r="I8" s="102">
        <f>TrRoad_act!I$13</f>
        <v>8652.0620000000017</v>
      </c>
      <c r="J8" s="102">
        <f>TrRoad_act!J$13</f>
        <v>7448.7155999999995</v>
      </c>
      <c r="K8" s="102">
        <f>TrRoad_act!K$13</f>
        <v>5374.3368</v>
      </c>
      <c r="L8" s="102">
        <f>TrRoad_act!L$13</f>
        <v>5270.7794999999996</v>
      </c>
      <c r="M8" s="102">
        <f>TrRoad_act!M$13</f>
        <v>5477.0729099999999</v>
      </c>
      <c r="N8" s="102">
        <f>TrRoad_act!N$13</f>
        <v>5432.0914300000004</v>
      </c>
      <c r="O8" s="102">
        <f>TrRoad_act!O$13</f>
        <v>5257.494200000001</v>
      </c>
      <c r="P8" s="102">
        <f>TrRoad_act!P$13</f>
        <v>5353.2087200000005</v>
      </c>
      <c r="Q8" s="102">
        <f>TrRoad_act!Q$13</f>
        <v>5367.6304499999997</v>
      </c>
      <c r="R8" s="102">
        <f>TrRoad_act!R$13</f>
        <v>5890.9448899999998</v>
      </c>
      <c r="S8" s="102">
        <f>TrRoad_act!S$13</f>
        <v>5925</v>
      </c>
      <c r="T8" s="102">
        <f>TrRoad_act!T$13</f>
        <v>6239</v>
      </c>
      <c r="U8" s="102">
        <f>TrRoad_act!U$13</f>
        <v>6187</v>
      </c>
      <c r="V8" s="102">
        <f>TrRoad_act!V$13</f>
        <v>3742</v>
      </c>
      <c r="W8" s="102">
        <f>TrRoad_act!W$13</f>
        <v>3220</v>
      </c>
      <c r="X8" s="102">
        <f>TrRoad_act!X$13</f>
        <v>4341</v>
      </c>
      <c r="Y8" s="102">
        <f>TrRoad_act!Y$13</f>
        <v>4855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3220</v>
      </c>
      <c r="C9" s="110">
        <f t="shared" si="6"/>
        <v>3162.3627799999999</v>
      </c>
      <c r="D9" s="110">
        <f t="shared" si="6"/>
        <v>3040.2116299999998</v>
      </c>
      <c r="E9" s="110">
        <f t="shared" si="6"/>
        <v>2683.0056</v>
      </c>
      <c r="F9" s="110">
        <f t="shared" si="6"/>
        <v>2590.23677</v>
      </c>
      <c r="G9" s="110">
        <f t="shared" si="6"/>
        <v>2568.2175400000001</v>
      </c>
      <c r="H9" s="110">
        <f t="shared" si="6"/>
        <v>2597.4259999999999</v>
      </c>
      <c r="I9" s="110">
        <f t="shared" si="6"/>
        <v>2559.9380000000001</v>
      </c>
      <c r="J9" s="110">
        <f t="shared" si="6"/>
        <v>2663.2844</v>
      </c>
      <c r="K9" s="110">
        <f t="shared" si="6"/>
        <v>2556.5259000000001</v>
      </c>
      <c r="L9" s="110">
        <f t="shared" si="6"/>
        <v>2592.4431</v>
      </c>
      <c r="M9" s="110">
        <f t="shared" si="6"/>
        <v>2737.8014199999998</v>
      </c>
      <c r="N9" s="110">
        <f t="shared" si="6"/>
        <v>2748.44884</v>
      </c>
      <c r="O9" s="110">
        <f t="shared" si="6"/>
        <v>2760.4070999999999</v>
      </c>
      <c r="P9" s="110">
        <f t="shared" si="6"/>
        <v>2839.87896</v>
      </c>
      <c r="Q9" s="110">
        <f t="shared" si="6"/>
        <v>3661.80015</v>
      </c>
      <c r="R9" s="110">
        <f t="shared" ref="R9:V9" si="7">R10+R11+R12</f>
        <v>3785.2387600000002</v>
      </c>
      <c r="S9" s="110">
        <f t="shared" si="7"/>
        <v>4038.8530300000002</v>
      </c>
      <c r="T9" s="110">
        <f t="shared" si="7"/>
        <v>4072.7489999999998</v>
      </c>
      <c r="U9" s="110">
        <f t="shared" si="7"/>
        <v>4235.4090500080138</v>
      </c>
      <c r="V9" s="110">
        <f t="shared" si="7"/>
        <v>2301.3864013463694</v>
      </c>
      <c r="W9" s="110">
        <f t="shared" ref="W9:Y9" si="8">W10+W11+W12</f>
        <v>2196.0078783368294</v>
      </c>
      <c r="X9" s="110">
        <f t="shared" si="8"/>
        <v>3474.0376397081291</v>
      </c>
      <c r="Y9" s="110">
        <f t="shared" si="8"/>
        <v>3916.9779957233341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350</v>
      </c>
      <c r="C10" s="102">
        <f>TrRail_act!C$5</f>
        <v>357.36277999999999</v>
      </c>
      <c r="D10" s="102">
        <f>TrRail_act!D$5</f>
        <v>358.21163000000001</v>
      </c>
      <c r="E10" s="102">
        <f>TrRail_act!E$5</f>
        <v>367.00559999999996</v>
      </c>
      <c r="F10" s="102">
        <f>TrRail_act!F$5</f>
        <v>362.23677000000004</v>
      </c>
      <c r="G10" s="102">
        <f>TrRail_act!G$5</f>
        <v>386.21753999999999</v>
      </c>
      <c r="H10" s="102">
        <f>TrRail_act!H$5</f>
        <v>384.42599999999999</v>
      </c>
      <c r="I10" s="102">
        <f>TrRail_act!I$5</f>
        <v>394.93799999999999</v>
      </c>
      <c r="J10" s="102">
        <f>TrRail_act!J$5</f>
        <v>367.28440000000001</v>
      </c>
      <c r="K10" s="102">
        <f>TrRail_act!K$5</f>
        <v>292.52589999999998</v>
      </c>
      <c r="L10" s="102">
        <f>TrRail_act!L$5</f>
        <v>283.44310000000002</v>
      </c>
      <c r="M10" s="102">
        <f>TrRail_act!M$5</f>
        <v>306.80142000000001</v>
      </c>
      <c r="N10" s="102">
        <f>TrRail_act!N$5</f>
        <v>289.44884000000002</v>
      </c>
      <c r="O10" s="102">
        <f>TrRail_act!O$5</f>
        <v>275.40710000000001</v>
      </c>
      <c r="P10" s="102">
        <f>TrRail_act!P$5</f>
        <v>256.87896000000001</v>
      </c>
      <c r="Q10" s="102">
        <f>TrRail_act!Q$5</f>
        <v>250.80015</v>
      </c>
      <c r="R10" s="102">
        <f>TrRail_act!R$5</f>
        <v>301.23876000000001</v>
      </c>
      <c r="S10" s="102">
        <f>TrRail_act!S$5</f>
        <v>284.85302999999999</v>
      </c>
      <c r="T10" s="102">
        <f>TrRail_act!T$5</f>
        <v>280.74900000000002</v>
      </c>
      <c r="U10" s="102">
        <f>TrRail_act!U$5</f>
        <v>278.40905000801416</v>
      </c>
      <c r="V10" s="102">
        <f>TrRail_act!V$5</f>
        <v>168.38640134636961</v>
      </c>
      <c r="W10" s="102">
        <f>TrRail_act!W$5</f>
        <v>227.00787833682938</v>
      </c>
      <c r="X10" s="102">
        <f>TrRail_act!X$5</f>
        <v>306.03763970812929</v>
      </c>
      <c r="Y10" s="102">
        <f>TrRail_act!Y$5</f>
        <v>373.977995723334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2870</v>
      </c>
      <c r="C11" s="102">
        <f>TrRail_act!C$6</f>
        <v>2805</v>
      </c>
      <c r="D11" s="102">
        <f>TrRail_act!D$6</f>
        <v>2682</v>
      </c>
      <c r="E11" s="102">
        <f>TrRail_act!E$6</f>
        <v>2316</v>
      </c>
      <c r="F11" s="102">
        <f>TrRail_act!F$6</f>
        <v>2228</v>
      </c>
      <c r="G11" s="102">
        <f>TrRail_act!G$6</f>
        <v>2182</v>
      </c>
      <c r="H11" s="102">
        <f>TrRail_act!H$6</f>
        <v>2213</v>
      </c>
      <c r="I11" s="102">
        <f>TrRail_act!I$6</f>
        <v>2165</v>
      </c>
      <c r="J11" s="102">
        <f>TrRail_act!J$6</f>
        <v>2296</v>
      </c>
      <c r="K11" s="102">
        <f>TrRail_act!K$6</f>
        <v>2264</v>
      </c>
      <c r="L11" s="102">
        <f>TrRail_act!L$6</f>
        <v>2309</v>
      </c>
      <c r="M11" s="102">
        <f>TrRail_act!M$6</f>
        <v>2431</v>
      </c>
      <c r="N11" s="102">
        <f>TrRail_act!N$6</f>
        <v>2459</v>
      </c>
      <c r="O11" s="102">
        <f>TrRail_act!O$6</f>
        <v>2485</v>
      </c>
      <c r="P11" s="102">
        <f>TrRail_act!P$6</f>
        <v>2583</v>
      </c>
      <c r="Q11" s="102">
        <f>TrRail_act!Q$6</f>
        <v>3411</v>
      </c>
      <c r="R11" s="102">
        <f>TrRail_act!R$6</f>
        <v>3484</v>
      </c>
      <c r="S11" s="102">
        <f>TrRail_act!S$6</f>
        <v>3754</v>
      </c>
      <c r="T11" s="102">
        <f>TrRail_act!T$6</f>
        <v>3792</v>
      </c>
      <c r="U11" s="102">
        <f>TrRail_act!U$6</f>
        <v>3957</v>
      </c>
      <c r="V11" s="102">
        <f>TrRail_act!V$6</f>
        <v>2133</v>
      </c>
      <c r="W11" s="102">
        <f>TrRail_act!W$6</f>
        <v>1969</v>
      </c>
      <c r="X11" s="102">
        <f>TrRail_act!X$6</f>
        <v>3168</v>
      </c>
      <c r="Y11" s="102">
        <f>TrRail_act!Y$6</f>
        <v>3543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412.8202928377201</v>
      </c>
      <c r="C13" s="110">
        <f t="shared" ref="C13:V13" si="10">C14+C15+C16</f>
        <v>474.18690272142987</v>
      </c>
      <c r="D13" s="110">
        <f t="shared" si="10"/>
        <v>590.98765053463467</v>
      </c>
      <c r="E13" s="110">
        <f t="shared" si="10"/>
        <v>824.54144169782671</v>
      </c>
      <c r="F13" s="110">
        <f t="shared" si="10"/>
        <v>1321.6197685299901</v>
      </c>
      <c r="G13" s="110">
        <f t="shared" si="10"/>
        <v>1429.7793784717585</v>
      </c>
      <c r="H13" s="110">
        <f t="shared" si="10"/>
        <v>1462.7377390254601</v>
      </c>
      <c r="I13" s="110">
        <f t="shared" si="10"/>
        <v>1522.6532523207929</v>
      </c>
      <c r="J13" s="110">
        <f t="shared" si="10"/>
        <v>1743.7859761468792</v>
      </c>
      <c r="K13" s="110">
        <f t="shared" si="10"/>
        <v>1295.0137080798568</v>
      </c>
      <c r="L13" s="110">
        <f t="shared" si="10"/>
        <v>1343.0012291367475</v>
      </c>
      <c r="M13" s="110">
        <f t="shared" si="10"/>
        <v>1347.627543281897</v>
      </c>
      <c r="N13" s="110">
        <f t="shared" si="10"/>
        <v>1150.2031306169599</v>
      </c>
      <c r="O13" s="110">
        <f t="shared" si="10"/>
        <v>1077.7895031757371</v>
      </c>
      <c r="P13" s="110">
        <f t="shared" si="10"/>
        <v>1178.9578210643806</v>
      </c>
      <c r="Q13" s="110">
        <f t="shared" si="10"/>
        <v>1351.9528597272233</v>
      </c>
      <c r="R13" s="110">
        <f t="shared" si="10"/>
        <v>1482.7528406293686</v>
      </c>
      <c r="S13" s="110">
        <f t="shared" si="10"/>
        <v>1705.4787738159916</v>
      </c>
      <c r="T13" s="110">
        <f t="shared" si="10"/>
        <v>1990.05375087538</v>
      </c>
      <c r="U13" s="110">
        <f t="shared" si="10"/>
        <v>2024.6436568952911</v>
      </c>
      <c r="V13" s="110">
        <f t="shared" si="10"/>
        <v>349.57538334955973</v>
      </c>
      <c r="W13" s="110">
        <f t="shared" ref="W13:Y13" si="11">W14+W15+W16</f>
        <v>453.17560067607099</v>
      </c>
      <c r="X13" s="110">
        <f t="shared" si="11"/>
        <v>1421.6344692429482</v>
      </c>
      <c r="Y13" s="110">
        <f t="shared" si="11"/>
        <v>1817.8473652017069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254.51140813323974</v>
      </c>
      <c r="C15" s="102">
        <f>TrAvia_act!C$6</f>
        <v>292.38413589447595</v>
      </c>
      <c r="D15" s="102">
        <f>TrAvia_act!D$6</f>
        <v>316.4441261715574</v>
      </c>
      <c r="E15" s="102">
        <f>TrAvia_act!E$6</f>
        <v>455.24522451784418</v>
      </c>
      <c r="F15" s="102">
        <f>TrAvia_act!F$6</f>
        <v>760.94172290032157</v>
      </c>
      <c r="G15" s="102">
        <f>TrAvia_act!G$6</f>
        <v>961.82111031393265</v>
      </c>
      <c r="H15" s="102">
        <f>TrAvia_act!H$6</f>
        <v>1170.3308852275572</v>
      </c>
      <c r="I15" s="102">
        <f>TrAvia_act!I$6</f>
        <v>1105.8611496128904</v>
      </c>
      <c r="J15" s="102">
        <f>TrAvia_act!J$6</f>
        <v>1288.4805886431463</v>
      </c>
      <c r="K15" s="102">
        <f>TrAvia_act!K$6</f>
        <v>938.70938619542687</v>
      </c>
      <c r="L15" s="102">
        <f>TrAvia_act!L$6</f>
        <v>950.87503647025812</v>
      </c>
      <c r="M15" s="102">
        <f>TrAvia_act!M$6</f>
        <v>982.58085632948473</v>
      </c>
      <c r="N15" s="102">
        <f>TrAvia_act!N$6</f>
        <v>805.85937176571747</v>
      </c>
      <c r="O15" s="102">
        <f>TrAvia_act!O$6</f>
        <v>791.37944592413203</v>
      </c>
      <c r="P15" s="102">
        <f>TrAvia_act!P$6</f>
        <v>882.01262349063813</v>
      </c>
      <c r="Q15" s="102">
        <f>TrAvia_act!Q$6</f>
        <v>994.84961743308304</v>
      </c>
      <c r="R15" s="102">
        <f>TrAvia_act!R$6</f>
        <v>1136.0694073947013</v>
      </c>
      <c r="S15" s="102">
        <f>TrAvia_act!S$6</f>
        <v>1113.7485192464735</v>
      </c>
      <c r="T15" s="102">
        <f>TrAvia_act!T$6</f>
        <v>1241.6131115352225</v>
      </c>
      <c r="U15" s="102">
        <f>TrAvia_act!U$6</f>
        <v>1219.6793226813907</v>
      </c>
      <c r="V15" s="102">
        <f>TrAvia_act!V$6</f>
        <v>256.63078708836457</v>
      </c>
      <c r="W15" s="102">
        <f>TrAvia_act!W$6</f>
        <v>338.69690121006153</v>
      </c>
      <c r="X15" s="102">
        <f>TrAvia_act!X$6</f>
        <v>912.28620769797487</v>
      </c>
      <c r="Y15" s="102">
        <f>TrAvia_act!Y$6</f>
        <v>1167.6008368453818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158.30888470448036</v>
      </c>
      <c r="C16" s="102">
        <f>TrAvia_act!C$7</f>
        <v>181.80276682695393</v>
      </c>
      <c r="D16" s="102">
        <f>TrAvia_act!D$7</f>
        <v>274.54352436307721</v>
      </c>
      <c r="E16" s="102">
        <f>TrAvia_act!E$7</f>
        <v>369.29621717998248</v>
      </c>
      <c r="F16" s="102">
        <f>TrAvia_act!F$7</f>
        <v>560.67804562966853</v>
      </c>
      <c r="G16" s="102">
        <f>TrAvia_act!G$7</f>
        <v>467.95826815782578</v>
      </c>
      <c r="H16" s="102">
        <f>TrAvia_act!H$7</f>
        <v>292.40685379790273</v>
      </c>
      <c r="I16" s="102">
        <f>TrAvia_act!I$7</f>
        <v>416.79210270790259</v>
      </c>
      <c r="J16" s="102">
        <f>TrAvia_act!J$7</f>
        <v>455.30538750373285</v>
      </c>
      <c r="K16" s="102">
        <f>TrAvia_act!K$7</f>
        <v>356.30432188442984</v>
      </c>
      <c r="L16" s="102">
        <f>TrAvia_act!L$7</f>
        <v>392.12619266648949</v>
      </c>
      <c r="M16" s="102">
        <f>TrAvia_act!M$7</f>
        <v>365.04668695241241</v>
      </c>
      <c r="N16" s="102">
        <f>TrAvia_act!N$7</f>
        <v>344.3437588512424</v>
      </c>
      <c r="O16" s="102">
        <f>TrAvia_act!O$7</f>
        <v>286.41005725160505</v>
      </c>
      <c r="P16" s="102">
        <f>TrAvia_act!P$7</f>
        <v>296.94519757374252</v>
      </c>
      <c r="Q16" s="102">
        <f>TrAvia_act!Q$7</f>
        <v>357.10324229414039</v>
      </c>
      <c r="R16" s="102">
        <f>TrAvia_act!R$7</f>
        <v>346.6834332346674</v>
      </c>
      <c r="S16" s="102">
        <f>TrAvia_act!S$7</f>
        <v>591.73025456951814</v>
      </c>
      <c r="T16" s="102">
        <f>TrAvia_act!T$7</f>
        <v>748.44063934015742</v>
      </c>
      <c r="U16" s="102">
        <f>TrAvia_act!U$7</f>
        <v>804.96433421390043</v>
      </c>
      <c r="V16" s="102">
        <f>TrAvia_act!V$7</f>
        <v>92.944596261195187</v>
      </c>
      <c r="W16" s="102">
        <f>TrAvia_act!W$7</f>
        <v>114.47869946600945</v>
      </c>
      <c r="X16" s="102">
        <f>TrAvia_act!X$7</f>
        <v>509.34826154497335</v>
      </c>
      <c r="Y16" s="102">
        <f>TrAvia_act!Y$7</f>
        <v>650.24652835632514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21404.224178651057</v>
      </c>
      <c r="C17" s="28">
        <f t="shared" si="12"/>
        <v>21235.673156460787</v>
      </c>
      <c r="D17" s="28">
        <f t="shared" si="12"/>
        <v>20213.818080327899</v>
      </c>
      <c r="E17" s="28">
        <f t="shared" si="12"/>
        <v>20125.762330918857</v>
      </c>
      <c r="F17" s="28">
        <f t="shared" si="12"/>
        <v>20814.371467675148</v>
      </c>
      <c r="G17" s="28">
        <f t="shared" si="12"/>
        <v>20958.010798591877</v>
      </c>
      <c r="H17" s="28">
        <f t="shared" si="12"/>
        <v>21264.263555879152</v>
      </c>
      <c r="I17" s="28">
        <f t="shared" si="12"/>
        <v>23074.999201407096</v>
      </c>
      <c r="J17" s="28">
        <f t="shared" si="12"/>
        <v>23354.066787980599</v>
      </c>
      <c r="K17" s="28">
        <f t="shared" si="12"/>
        <v>19779.691564870525</v>
      </c>
      <c r="L17" s="28">
        <f t="shared" si="12"/>
        <v>21395.299643732633</v>
      </c>
      <c r="M17" s="28">
        <f t="shared" si="12"/>
        <v>21177.887854274813</v>
      </c>
      <c r="N17" s="28">
        <f t="shared" si="12"/>
        <v>21125.415776890684</v>
      </c>
      <c r="O17" s="28">
        <f t="shared" si="12"/>
        <v>22107.764358205521</v>
      </c>
      <c r="P17" s="28">
        <f t="shared" si="12"/>
        <v>22992.165204724864</v>
      </c>
      <c r="Q17" s="28">
        <f t="shared" si="12"/>
        <v>23356.719844348056</v>
      </c>
      <c r="R17" s="28">
        <f t="shared" ref="R17:V17" si="13">R18+R21+R22+R26</f>
        <v>24498.174483677023</v>
      </c>
      <c r="S17" s="28">
        <f t="shared" si="13"/>
        <v>26072.418704075808</v>
      </c>
      <c r="T17" s="28">
        <f t="shared" si="13"/>
        <v>25966.060566125445</v>
      </c>
      <c r="U17" s="28">
        <f t="shared" si="13"/>
        <v>26552.398193661003</v>
      </c>
      <c r="V17" s="28">
        <f t="shared" si="13"/>
        <v>24520.658414472698</v>
      </c>
      <c r="W17" s="28">
        <f t="shared" ref="W17:Y17" si="14">W18+W21+W22+W26</f>
        <v>25840.123287820694</v>
      </c>
      <c r="X17" s="28">
        <f t="shared" si="14"/>
        <v>26075.137059280718</v>
      </c>
      <c r="Y17" s="28">
        <f t="shared" si="14"/>
        <v>24925.733661208054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8785.0795419066581</v>
      </c>
      <c r="C18" s="137">
        <f t="shared" si="15"/>
        <v>9303.4105194715576</v>
      </c>
      <c r="D18" s="137">
        <f t="shared" si="15"/>
        <v>9231.3139804285456</v>
      </c>
      <c r="E18" s="137">
        <f t="shared" si="15"/>
        <v>9480.015361091173</v>
      </c>
      <c r="F18" s="137">
        <f t="shared" si="15"/>
        <v>10364.399743887881</v>
      </c>
      <c r="G18" s="137">
        <f t="shared" si="15"/>
        <v>10749.867059844955</v>
      </c>
      <c r="H18" s="137">
        <f t="shared" si="15"/>
        <v>10621.398183576413</v>
      </c>
      <c r="I18" s="137">
        <f t="shared" si="15"/>
        <v>12419.655174002948</v>
      </c>
      <c r="J18" s="137">
        <f t="shared" si="15"/>
        <v>12947.845371035341</v>
      </c>
      <c r="K18" s="137">
        <f t="shared" si="15"/>
        <v>11907.827596507543</v>
      </c>
      <c r="L18" s="137">
        <f t="shared" si="15"/>
        <v>12088.683782183014</v>
      </c>
      <c r="M18" s="137">
        <f t="shared" si="15"/>
        <v>12272.485468420977</v>
      </c>
      <c r="N18" s="137">
        <f t="shared" si="15"/>
        <v>12534.725910197285</v>
      </c>
      <c r="O18" s="137">
        <f t="shared" si="15"/>
        <v>12595.550052927643</v>
      </c>
      <c r="P18" s="137">
        <f t="shared" si="15"/>
        <v>13246.561578822466</v>
      </c>
      <c r="Q18" s="137">
        <f t="shared" si="15"/>
        <v>14163.370823540903</v>
      </c>
      <c r="R18" s="137">
        <f t="shared" ref="R18:V18" si="16">R19+R20</f>
        <v>15212.306750729324</v>
      </c>
      <c r="S18" s="137">
        <f t="shared" si="16"/>
        <v>16648.799535791382</v>
      </c>
      <c r="T18" s="137">
        <f t="shared" si="16"/>
        <v>16804.015465083165</v>
      </c>
      <c r="U18" s="137">
        <f t="shared" si="16"/>
        <v>17472.873654087402</v>
      </c>
      <c r="V18" s="137">
        <f t="shared" si="16"/>
        <v>16768.008379188261</v>
      </c>
      <c r="W18" s="137">
        <f t="shared" ref="W18:Y18" si="17">W19+W20</f>
        <v>16803.911467088838</v>
      </c>
      <c r="X18" s="137">
        <f t="shared" si="17"/>
        <v>17550.857325766261</v>
      </c>
      <c r="Y18" s="137">
        <f t="shared" si="17"/>
        <v>16794.135795645248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187.66972960671094</v>
      </c>
      <c r="C19" s="102">
        <f>TrRoad_act!C$20</f>
        <v>191.84008389792399</v>
      </c>
      <c r="D19" s="102">
        <f>TrRoad_act!D$20</f>
        <v>194.15556623653663</v>
      </c>
      <c r="E19" s="102">
        <f>TrRoad_act!E$20</f>
        <v>194.17121593603156</v>
      </c>
      <c r="F19" s="102">
        <f>TrRoad_act!F$20</f>
        <v>204.57550987913464</v>
      </c>
      <c r="G19" s="102">
        <f>TrRoad_act!G$20</f>
        <v>221.92939977179989</v>
      </c>
      <c r="H19" s="102">
        <f>TrRoad_act!H$20</f>
        <v>222.17812363067722</v>
      </c>
      <c r="I19" s="102">
        <f>TrRoad_act!I$20</f>
        <v>256.33950063047837</v>
      </c>
      <c r="J19" s="102">
        <f>TrRoad_act!J$20</f>
        <v>275.30472209513323</v>
      </c>
      <c r="K19" s="102">
        <f>TrRoad_act!K$20</f>
        <v>300.82298541491434</v>
      </c>
      <c r="L19" s="102">
        <f>TrRoad_act!L$20</f>
        <v>312.23017960539846</v>
      </c>
      <c r="M19" s="102">
        <f>TrRoad_act!M$20</f>
        <v>321.08551129269125</v>
      </c>
      <c r="N19" s="102">
        <f>TrRoad_act!N$20</f>
        <v>336.18351127487574</v>
      </c>
      <c r="O19" s="102">
        <f>TrRoad_act!O$20</f>
        <v>302.88578021994016</v>
      </c>
      <c r="P19" s="102">
        <f>TrRoad_act!P$20</f>
        <v>265.56134610164492</v>
      </c>
      <c r="Q19" s="102">
        <f>TrRoad_act!Q$20</f>
        <v>306.73665399518592</v>
      </c>
      <c r="R19" s="102">
        <f>TrRoad_act!R$20</f>
        <v>283.7586896613725</v>
      </c>
      <c r="S19" s="102">
        <f>TrRoad_act!S$20</f>
        <v>287.6191290746134</v>
      </c>
      <c r="T19" s="102">
        <f>TrRoad_act!T$20</f>
        <v>284.01546508316432</v>
      </c>
      <c r="U19" s="102">
        <f>TrRoad_act!U$20</f>
        <v>284.87365408740322</v>
      </c>
      <c r="V19" s="102">
        <f>TrRoad_act!V$20</f>
        <v>289.00837918825971</v>
      </c>
      <c r="W19" s="102">
        <f>TrRoad_act!W$20</f>
        <v>292.91146708883679</v>
      </c>
      <c r="X19" s="102">
        <f>TrRoad_act!X$20</f>
        <v>296.85732576626219</v>
      </c>
      <c r="Y19" s="102">
        <f>TrRoad_act!Y$20</f>
        <v>301.1357956452477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8597.4098122999476</v>
      </c>
      <c r="C20" s="102">
        <f>TrRoad_act!C$26</f>
        <v>9111.5704355736343</v>
      </c>
      <c r="D20" s="102">
        <f>TrRoad_act!D$26</f>
        <v>9037.1584141920084</v>
      </c>
      <c r="E20" s="102">
        <f>TrRoad_act!E$26</f>
        <v>9285.8441451551407</v>
      </c>
      <c r="F20" s="102">
        <f>TrRoad_act!F$26</f>
        <v>10159.824234008747</v>
      </c>
      <c r="G20" s="102">
        <f>TrRoad_act!G$26</f>
        <v>10527.937660073156</v>
      </c>
      <c r="H20" s="102">
        <f>TrRoad_act!H$26</f>
        <v>10399.220059945736</v>
      </c>
      <c r="I20" s="102">
        <f>TrRoad_act!I$26</f>
        <v>12163.31567337247</v>
      </c>
      <c r="J20" s="102">
        <f>TrRoad_act!J$26</f>
        <v>12672.540648940207</v>
      </c>
      <c r="K20" s="102">
        <f>TrRoad_act!K$26</f>
        <v>11607.004611092629</v>
      </c>
      <c r="L20" s="102">
        <f>TrRoad_act!L$26</f>
        <v>11776.453602577616</v>
      </c>
      <c r="M20" s="102">
        <f>TrRoad_act!M$26</f>
        <v>11951.399957128286</v>
      </c>
      <c r="N20" s="102">
        <f>TrRoad_act!N$26</f>
        <v>12198.542398922409</v>
      </c>
      <c r="O20" s="102">
        <f>TrRoad_act!O$26</f>
        <v>12292.664272707703</v>
      </c>
      <c r="P20" s="102">
        <f>TrRoad_act!P$26</f>
        <v>12981.00023272082</v>
      </c>
      <c r="Q20" s="102">
        <f>TrRoad_act!Q$26</f>
        <v>13856.634169545718</v>
      </c>
      <c r="R20" s="102">
        <f>TrRoad_act!R$26</f>
        <v>14928.548061067951</v>
      </c>
      <c r="S20" s="102">
        <f>TrRoad_act!S$26</f>
        <v>16361.18040671677</v>
      </c>
      <c r="T20" s="102">
        <f>TrRoad_act!T$26</f>
        <v>16520</v>
      </c>
      <c r="U20" s="102">
        <f>TrRoad_act!U$26</f>
        <v>17188</v>
      </c>
      <c r="V20" s="102">
        <f>TrRoad_act!V$26</f>
        <v>16479</v>
      </c>
      <c r="W20" s="102">
        <f>TrRoad_act!W$26</f>
        <v>16511</v>
      </c>
      <c r="X20" s="102">
        <f>TrRoad_act!X$26</f>
        <v>17254</v>
      </c>
      <c r="Y20" s="102">
        <f>TrRoad_act!Y$26</f>
        <v>16493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11233</v>
      </c>
      <c r="C21" s="110">
        <f>TrRail_act!C$10</f>
        <v>10930</v>
      </c>
      <c r="D21" s="110">
        <f>TrRail_act!D$10</f>
        <v>10380</v>
      </c>
      <c r="E21" s="110">
        <f>TrRail_act!E$10</f>
        <v>10113</v>
      </c>
      <c r="F21" s="110">
        <f>TrRail_act!F$10</f>
        <v>9702</v>
      </c>
      <c r="G21" s="110">
        <f>TrRail_act!G$10</f>
        <v>9463</v>
      </c>
      <c r="H21" s="110">
        <f>TrRail_act!H$10</f>
        <v>9988</v>
      </c>
      <c r="I21" s="110">
        <f>TrRail_act!I$10</f>
        <v>9647</v>
      </c>
      <c r="J21" s="110">
        <f>TrRail_act!J$10</f>
        <v>9299</v>
      </c>
      <c r="K21" s="110">
        <f>TrRail_act!K$10</f>
        <v>6964</v>
      </c>
      <c r="L21" s="110">
        <f>TrRail_act!L$10</f>
        <v>8105</v>
      </c>
      <c r="M21" s="110">
        <f>TrRail_act!M$10</f>
        <v>7960</v>
      </c>
      <c r="N21" s="110">
        <f>TrRail_act!N$10</f>
        <v>7591</v>
      </c>
      <c r="O21" s="110">
        <f>TrRail_act!O$10</f>
        <v>8494</v>
      </c>
      <c r="P21" s="110">
        <f>TrRail_act!P$10</f>
        <v>8829</v>
      </c>
      <c r="Q21" s="110">
        <f>TrRail_act!Q$10</f>
        <v>8439</v>
      </c>
      <c r="R21" s="110">
        <f>TrRail_act!R$10</f>
        <v>8370</v>
      </c>
      <c r="S21" s="110">
        <f>TrRail_act!S$10</f>
        <v>8477</v>
      </c>
      <c r="T21" s="110">
        <f>TrRail_act!T$10</f>
        <v>8373</v>
      </c>
      <c r="U21" s="110">
        <f>TrRail_act!U$10</f>
        <v>8134</v>
      </c>
      <c r="V21" s="110">
        <f>TrRail_act!V$10</f>
        <v>6908</v>
      </c>
      <c r="W21" s="110">
        <f>TrRail_act!W$10</f>
        <v>8189.9999999999991</v>
      </c>
      <c r="X21" s="110">
        <f>TrRail_act!X$10</f>
        <v>7838</v>
      </c>
      <c r="Y21" s="110">
        <f>TrRail_act!Y$10</f>
        <v>7488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6.8446367444020311</v>
      </c>
      <c r="C22" s="110">
        <f t="shared" ref="C22:V22" si="19">C23+C24+C25</f>
        <v>7.0626369892262169</v>
      </c>
      <c r="D22" s="110">
        <f t="shared" si="19"/>
        <v>2.8040998993522734</v>
      </c>
      <c r="E22" s="110">
        <f t="shared" si="19"/>
        <v>10.246969827685266</v>
      </c>
      <c r="F22" s="110">
        <f t="shared" si="19"/>
        <v>6.9717237872694984</v>
      </c>
      <c r="G22" s="110">
        <f t="shared" si="19"/>
        <v>4.8437387469225008</v>
      </c>
      <c r="H22" s="110">
        <f t="shared" si="19"/>
        <v>6.0653723027405562</v>
      </c>
      <c r="I22" s="110">
        <f t="shared" si="19"/>
        <v>4.3440274041495712</v>
      </c>
      <c r="J22" s="110">
        <f t="shared" si="19"/>
        <v>6.221416945254985</v>
      </c>
      <c r="K22" s="110">
        <f t="shared" si="19"/>
        <v>8.8639683629790547</v>
      </c>
      <c r="L22" s="110">
        <f t="shared" si="19"/>
        <v>12.61586154962156</v>
      </c>
      <c r="M22" s="110">
        <f t="shared" si="19"/>
        <v>14.402385853834357</v>
      </c>
      <c r="N22" s="110">
        <f t="shared" si="19"/>
        <v>13.689866693400033</v>
      </c>
      <c r="O22" s="110">
        <f t="shared" si="19"/>
        <v>12.214305277875695</v>
      </c>
      <c r="P22" s="110">
        <f t="shared" si="19"/>
        <v>11.603625902398164</v>
      </c>
      <c r="Q22" s="110">
        <f t="shared" si="19"/>
        <v>13.349020807152783</v>
      </c>
      <c r="R22" s="110">
        <f t="shared" si="19"/>
        <v>12.867732947700683</v>
      </c>
      <c r="S22" s="110">
        <f t="shared" si="19"/>
        <v>13.61916828442631</v>
      </c>
      <c r="T22" s="110">
        <f t="shared" si="19"/>
        <v>11.04510104227939</v>
      </c>
      <c r="U22" s="110">
        <f t="shared" si="19"/>
        <v>8.5245395736018121</v>
      </c>
      <c r="V22" s="110">
        <f t="shared" si="19"/>
        <v>10.65003528443607</v>
      </c>
      <c r="W22" s="110">
        <f t="shared" ref="W22:Y22" si="20">W23+W24+W25</f>
        <v>7.2118207318567631</v>
      </c>
      <c r="X22" s="110">
        <f t="shared" si="20"/>
        <v>6.2797335144583668</v>
      </c>
      <c r="Y22" s="110">
        <f t="shared" si="20"/>
        <v>3.5978655628057075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2.0238580858922384</v>
      </c>
      <c r="C24" s="102">
        <f>TrAvia_act!C$10</f>
        <v>2.0108438571718996</v>
      </c>
      <c r="D24" s="102">
        <f>TrAvia_act!D$10</f>
        <v>1.6527698723150859</v>
      </c>
      <c r="E24" s="102">
        <f>TrAvia_act!E$10</f>
        <v>1.4295916285280905</v>
      </c>
      <c r="F24" s="102">
        <f>TrAvia_act!F$10</f>
        <v>1.0246734483761526</v>
      </c>
      <c r="G24" s="102">
        <f>TrAvia_act!G$10</f>
        <v>0.67280766917723778</v>
      </c>
      <c r="H24" s="102">
        <f>TrAvia_act!H$10</f>
        <v>0.50640057998984789</v>
      </c>
      <c r="I24" s="102">
        <f>TrAvia_act!I$10</f>
        <v>0.44656500586081893</v>
      </c>
      <c r="J24" s="102">
        <f>TrAvia_act!J$10</f>
        <v>4.5239007698180318</v>
      </c>
      <c r="K24" s="102">
        <f>TrAvia_act!K$10</f>
        <v>7.6485139394118553</v>
      </c>
      <c r="L24" s="102">
        <f>TrAvia_act!L$10</f>
        <v>9.6727295113813376</v>
      </c>
      <c r="M24" s="102">
        <f>TrAvia_act!M$10</f>
        <v>14.129805708357596</v>
      </c>
      <c r="N24" s="102">
        <f>TrAvia_act!N$10</f>
        <v>13.404080993781999</v>
      </c>
      <c r="O24" s="102">
        <f>TrAvia_act!O$10</f>
        <v>11.764034373567771</v>
      </c>
      <c r="P24" s="102">
        <f>TrAvia_act!P$10</f>
        <v>8.5707865007145063</v>
      </c>
      <c r="Q24" s="102">
        <f>TrAvia_act!Q$10</f>
        <v>10.476963813676553</v>
      </c>
      <c r="R24" s="102">
        <f>TrAvia_act!R$10</f>
        <v>10.185082138844034</v>
      </c>
      <c r="S24" s="102">
        <f>TrAvia_act!S$10</f>
        <v>12.188818835277189</v>
      </c>
      <c r="T24" s="102">
        <f>TrAvia_act!T$10</f>
        <v>9.4931596979660355</v>
      </c>
      <c r="U24" s="102">
        <f>TrAvia_act!U$10</f>
        <v>8.0826215469977889</v>
      </c>
      <c r="V24" s="102">
        <f>TrAvia_act!V$10</f>
        <v>10.157235758540532</v>
      </c>
      <c r="W24" s="102">
        <f>TrAvia_act!W$10</f>
        <v>7.1413790608545042</v>
      </c>
      <c r="X24" s="102">
        <f>TrAvia_act!X$10</f>
        <v>6.1737959277179852</v>
      </c>
      <c r="Y24" s="102">
        <f>TrAvia_act!Y$10</f>
        <v>3.5232113936568683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4.8207786585097931</v>
      </c>
      <c r="C25" s="102">
        <f>TrAvia_act!C$11</f>
        <v>5.0517931320543177</v>
      </c>
      <c r="D25" s="102">
        <f>TrAvia_act!D$11</f>
        <v>1.1513300270371873</v>
      </c>
      <c r="E25" s="102">
        <f>TrAvia_act!E$11</f>
        <v>8.8173781991571758</v>
      </c>
      <c r="F25" s="102">
        <f>TrAvia_act!F$11</f>
        <v>5.9470503388933453</v>
      </c>
      <c r="G25" s="102">
        <f>TrAvia_act!G$11</f>
        <v>4.1709310777452631</v>
      </c>
      <c r="H25" s="102">
        <f>TrAvia_act!H$11</f>
        <v>5.5589717227507087</v>
      </c>
      <c r="I25" s="102">
        <f>TrAvia_act!I$11</f>
        <v>3.8974623982887522</v>
      </c>
      <c r="J25" s="102">
        <f>TrAvia_act!J$11</f>
        <v>1.697516175436953</v>
      </c>
      <c r="K25" s="102">
        <f>TrAvia_act!K$11</f>
        <v>1.2154544235672</v>
      </c>
      <c r="L25" s="102">
        <f>TrAvia_act!L$11</f>
        <v>2.9431320382402224</v>
      </c>
      <c r="M25" s="102">
        <f>TrAvia_act!M$11</f>
        <v>0.27258014547676002</v>
      </c>
      <c r="N25" s="102">
        <f>TrAvia_act!N$11</f>
        <v>0.28578569961803296</v>
      </c>
      <c r="O25" s="102">
        <f>TrAvia_act!O$11</f>
        <v>0.45027090430792388</v>
      </c>
      <c r="P25" s="102">
        <f>TrAvia_act!P$11</f>
        <v>3.0328394016836584</v>
      </c>
      <c r="Q25" s="102">
        <f>TrAvia_act!Q$11</f>
        <v>2.8720569934762299</v>
      </c>
      <c r="R25" s="102">
        <f>TrAvia_act!R$11</f>
        <v>2.6826508088566481</v>
      </c>
      <c r="S25" s="102">
        <f>TrAvia_act!S$11</f>
        <v>1.4303494491491211</v>
      </c>
      <c r="T25" s="102">
        <f>TrAvia_act!T$11</f>
        <v>1.5519413443133536</v>
      </c>
      <c r="U25" s="102">
        <f>TrAvia_act!U$11</f>
        <v>0.44191802660402307</v>
      </c>
      <c r="V25" s="102">
        <f>TrAvia_act!V$11</f>
        <v>0.49279952589553783</v>
      </c>
      <c r="W25" s="102">
        <f>TrAvia_act!W$11</f>
        <v>7.0441671002258982E-2</v>
      </c>
      <c r="X25" s="102">
        <f>TrAvia_act!X$11</f>
        <v>0.10593758674038155</v>
      </c>
      <c r="Y25" s="102">
        <f>TrAvia_act!Y$11</f>
        <v>7.4654169148838961E-2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1379.3</v>
      </c>
      <c r="C26" s="110">
        <f t="shared" si="21"/>
        <v>995.19999999999993</v>
      </c>
      <c r="D26" s="110">
        <f t="shared" si="21"/>
        <v>599.70000000000005</v>
      </c>
      <c r="E26" s="110">
        <f t="shared" si="21"/>
        <v>522.5</v>
      </c>
      <c r="F26" s="110">
        <f t="shared" si="21"/>
        <v>741</v>
      </c>
      <c r="G26" s="110">
        <f t="shared" si="21"/>
        <v>740.3</v>
      </c>
      <c r="H26" s="110">
        <f t="shared" si="21"/>
        <v>648.80000000000007</v>
      </c>
      <c r="I26" s="110">
        <f t="shared" si="21"/>
        <v>1004</v>
      </c>
      <c r="J26" s="110">
        <f t="shared" si="21"/>
        <v>1101</v>
      </c>
      <c r="K26" s="110">
        <f t="shared" si="21"/>
        <v>899</v>
      </c>
      <c r="L26" s="110">
        <f t="shared" si="21"/>
        <v>1189</v>
      </c>
      <c r="M26" s="110">
        <f t="shared" si="21"/>
        <v>931</v>
      </c>
      <c r="N26" s="110">
        <f t="shared" si="21"/>
        <v>986</v>
      </c>
      <c r="O26" s="110">
        <f t="shared" si="21"/>
        <v>1006</v>
      </c>
      <c r="P26" s="110">
        <f t="shared" si="21"/>
        <v>905</v>
      </c>
      <c r="Q26" s="110">
        <f t="shared" si="21"/>
        <v>741</v>
      </c>
      <c r="R26" s="110">
        <f t="shared" ref="R26:V26" si="22">R27+R28</f>
        <v>903</v>
      </c>
      <c r="S26" s="110">
        <f t="shared" si="22"/>
        <v>933</v>
      </c>
      <c r="T26" s="110">
        <f t="shared" si="22"/>
        <v>778</v>
      </c>
      <c r="U26" s="110">
        <f t="shared" si="22"/>
        <v>937</v>
      </c>
      <c r="V26" s="110">
        <f t="shared" si="22"/>
        <v>834</v>
      </c>
      <c r="W26" s="110">
        <f t="shared" ref="W26:Y26" si="23">W27+W28</f>
        <v>839</v>
      </c>
      <c r="X26" s="110">
        <f t="shared" si="23"/>
        <v>680</v>
      </c>
      <c r="Y26" s="110">
        <f t="shared" si="23"/>
        <v>640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1379.3</v>
      </c>
      <c r="C28" s="169">
        <f>TrNavi_act!C5</f>
        <v>995.19999999999993</v>
      </c>
      <c r="D28" s="169">
        <f>TrNavi_act!D5</f>
        <v>599.70000000000005</v>
      </c>
      <c r="E28" s="169">
        <f>TrNavi_act!E5</f>
        <v>522.5</v>
      </c>
      <c r="F28" s="169">
        <f>TrNavi_act!F5</f>
        <v>741</v>
      </c>
      <c r="G28" s="169">
        <f>TrNavi_act!G5</f>
        <v>740.3</v>
      </c>
      <c r="H28" s="169">
        <f>TrNavi_act!H5</f>
        <v>648.80000000000007</v>
      </c>
      <c r="I28" s="169">
        <f>TrNavi_act!I5</f>
        <v>1004</v>
      </c>
      <c r="J28" s="169">
        <f>TrNavi_act!J5</f>
        <v>1101</v>
      </c>
      <c r="K28" s="169">
        <f>TrNavi_act!K5</f>
        <v>899</v>
      </c>
      <c r="L28" s="169">
        <f>TrNavi_act!L5</f>
        <v>1189</v>
      </c>
      <c r="M28" s="169">
        <f>TrNavi_act!M5</f>
        <v>931</v>
      </c>
      <c r="N28" s="169">
        <f>TrNavi_act!N5</f>
        <v>986</v>
      </c>
      <c r="O28" s="169">
        <f>TrNavi_act!O5</f>
        <v>1006</v>
      </c>
      <c r="P28" s="169">
        <f>TrNavi_act!P5</f>
        <v>905</v>
      </c>
      <c r="Q28" s="169">
        <f>TrNavi_act!Q5</f>
        <v>741</v>
      </c>
      <c r="R28" s="169">
        <f>TrNavi_act!R5</f>
        <v>903</v>
      </c>
      <c r="S28" s="169">
        <f>TrNavi_act!S5</f>
        <v>933</v>
      </c>
      <c r="T28" s="169">
        <f>TrNavi_act!T5</f>
        <v>778</v>
      </c>
      <c r="U28" s="169">
        <f>TrNavi_act!U5</f>
        <v>937</v>
      </c>
      <c r="V28" s="169">
        <f>TrNavi_act!V5</f>
        <v>834</v>
      </c>
      <c r="W28" s="169">
        <f>TrNavi_act!W5</f>
        <v>839</v>
      </c>
      <c r="X28" s="169">
        <f>TrNavi_act!X5</f>
        <v>680</v>
      </c>
      <c r="Y28" s="169">
        <f>TrNavi_act!Y5</f>
        <v>640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X29" s="28">
        <f t="shared" ref="X29:Y29" si="25">X30+X31</f>
        <v>0</v>
      </c>
      <c r="Y29" s="28">
        <f t="shared" si="25"/>
        <v>0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X30" s="102">
        <f>MBunk_act!X$4</f>
        <v>0</v>
      </c>
      <c r="Y30" s="102">
        <f>MBunk_act!Y$4</f>
        <v>0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X31" s="86">
        <f>MBunk_act!X$5</f>
        <v>0</v>
      </c>
      <c r="Y31" s="86">
        <f>MBunk_act!Y$5</f>
        <v>0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997.71375815330782</v>
      </c>
      <c r="C34" s="28">
        <f t="shared" si="26"/>
        <v>1025.4542174864137</v>
      </c>
      <c r="D34" s="28">
        <f t="shared" si="26"/>
        <v>1177.1385677163375</v>
      </c>
      <c r="E34" s="28">
        <f t="shared" si="26"/>
        <v>1122.9756554563667</v>
      </c>
      <c r="F34" s="28">
        <f t="shared" si="26"/>
        <v>1040.7847827614687</v>
      </c>
      <c r="G34" s="28">
        <f t="shared" si="26"/>
        <v>1091.5795478966863</v>
      </c>
      <c r="H34" s="28">
        <f t="shared" si="26"/>
        <v>1071.353415584869</v>
      </c>
      <c r="I34" s="28">
        <f t="shared" si="26"/>
        <v>1153.5185858322182</v>
      </c>
      <c r="J34" s="28">
        <f t="shared" si="26"/>
        <v>1208.3880128116473</v>
      </c>
      <c r="K34" s="28">
        <f t="shared" si="26"/>
        <v>1125.9953223735022</v>
      </c>
      <c r="L34" s="28">
        <f t="shared" si="26"/>
        <v>1139.7362373730807</v>
      </c>
      <c r="M34" s="28">
        <f t="shared" si="26"/>
        <v>1123.7821548792522</v>
      </c>
      <c r="N34" s="28">
        <f t="shared" si="26"/>
        <v>1093.5479911979544</v>
      </c>
      <c r="O34" s="28">
        <f t="shared" si="26"/>
        <v>1095.8792967799659</v>
      </c>
      <c r="P34" s="28">
        <f t="shared" si="26"/>
        <v>1087.018234560431</v>
      </c>
      <c r="Q34" s="28">
        <f t="shared" si="26"/>
        <v>1111.7218222393506</v>
      </c>
      <c r="R34" s="28">
        <f t="shared" ref="R34:V34" si="27">R35+R39+R43</f>
        <v>1120.8097888529614</v>
      </c>
      <c r="S34" s="28">
        <f t="shared" si="27"/>
        <v>1139.9775137603092</v>
      </c>
      <c r="T34" s="28">
        <f t="shared" si="27"/>
        <v>1120.6553380967089</v>
      </c>
      <c r="U34" s="28">
        <f t="shared" si="27"/>
        <v>1107.0310058641933</v>
      </c>
      <c r="V34" s="28">
        <f t="shared" si="27"/>
        <v>998.27387188672708</v>
      </c>
      <c r="W34" s="28">
        <f t="shared" ref="W34:Y34" si="28">W35+W39+W43</f>
        <v>1021.9611709037107</v>
      </c>
      <c r="X34" s="28">
        <f t="shared" si="28"/>
        <v>1070.1728349100333</v>
      </c>
      <c r="Y34" s="28">
        <f t="shared" si="28"/>
        <v>1122.0655201788122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937.81645988710511</v>
      </c>
      <c r="C35" s="137">
        <f t="shared" si="29"/>
        <v>968.42785196410978</v>
      </c>
      <c r="D35" s="137">
        <f t="shared" si="29"/>
        <v>1106.1000308271769</v>
      </c>
      <c r="E35" s="137">
        <f t="shared" si="29"/>
        <v>1064.6326270051673</v>
      </c>
      <c r="F35" s="137">
        <f t="shared" si="29"/>
        <v>989.98528220090554</v>
      </c>
      <c r="G35" s="137">
        <f t="shared" si="29"/>
        <v>1030.9788505897536</v>
      </c>
      <c r="H35" s="137">
        <f t="shared" si="29"/>
        <v>1008.3746557396486</v>
      </c>
      <c r="I35" s="137">
        <f t="shared" si="29"/>
        <v>1082.073067185687</v>
      </c>
      <c r="J35" s="137">
        <f t="shared" si="29"/>
        <v>1123.6076431702979</v>
      </c>
      <c r="K35" s="137">
        <f t="shared" si="29"/>
        <v>1058.3613559659418</v>
      </c>
      <c r="L35" s="137">
        <f t="shared" si="29"/>
        <v>1076.949973724631</v>
      </c>
      <c r="M35" s="137">
        <f t="shared" si="29"/>
        <v>1059.0609604197227</v>
      </c>
      <c r="N35" s="137">
        <f t="shared" si="29"/>
        <v>1034.5870900227535</v>
      </c>
      <c r="O35" s="137">
        <f t="shared" si="29"/>
        <v>1033.2195013013879</v>
      </c>
      <c r="P35" s="137">
        <f t="shared" si="29"/>
        <v>1028.1331865948828</v>
      </c>
      <c r="Q35" s="137">
        <f t="shared" si="29"/>
        <v>1038.8264616872473</v>
      </c>
      <c r="R35" s="137">
        <f t="shared" ref="R35:V35" si="30">R36+R37+R38</f>
        <v>1042.6382485434183</v>
      </c>
      <c r="S35" s="137">
        <f t="shared" si="30"/>
        <v>1069.6451932952998</v>
      </c>
      <c r="T35" s="137">
        <f t="shared" si="30"/>
        <v>1043.7234380999132</v>
      </c>
      <c r="U35" s="137">
        <f t="shared" si="30"/>
        <v>1034.8988970741436</v>
      </c>
      <c r="V35" s="137">
        <f t="shared" si="30"/>
        <v>949.40387500272516</v>
      </c>
      <c r="W35" s="137">
        <f t="shared" ref="W35:Y35" si="31">W36+W37+W38</f>
        <v>976.03483995107058</v>
      </c>
      <c r="X35" s="137">
        <f t="shared" si="31"/>
        <v>1012.9665561922623</v>
      </c>
      <c r="Y35" s="137">
        <f t="shared" si="31"/>
        <v>1065.8219680960976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2.0288890582460555</v>
      </c>
      <c r="C36" s="102">
        <f>TrRoad_ene!C$19</f>
        <v>2.1427536891613213</v>
      </c>
      <c r="D36" s="102">
        <f>TrRoad_ene!D$19</f>
        <v>1.8759243386483722</v>
      </c>
      <c r="E36" s="102">
        <f>TrRoad_ene!E$19</f>
        <v>1.9084955859327812</v>
      </c>
      <c r="F36" s="102">
        <f>TrRoad_ene!F$19</f>
        <v>2.0127127563138418</v>
      </c>
      <c r="G36" s="102">
        <f>TrRoad_ene!G$19</f>
        <v>2.203254923686826</v>
      </c>
      <c r="H36" s="102">
        <f>TrRoad_ene!H$19</f>
        <v>2.2847204019687348</v>
      </c>
      <c r="I36" s="102">
        <f>TrRoad_ene!I$19</f>
        <v>2.4928358887063973</v>
      </c>
      <c r="J36" s="102">
        <f>TrRoad_ene!J$19</f>
        <v>2.700307922704841</v>
      </c>
      <c r="K36" s="102">
        <f>TrRoad_ene!K$19</f>
        <v>2.3507603535819284</v>
      </c>
      <c r="L36" s="102">
        <f>TrRoad_ene!L$19</f>
        <v>2.1534384768885659</v>
      </c>
      <c r="M36" s="102">
        <f>TrRoad_ene!M$19</f>
        <v>2.5960195574710081</v>
      </c>
      <c r="N36" s="102">
        <f>TrRoad_ene!N$19</f>
        <v>3.0284209100774131</v>
      </c>
      <c r="O36" s="102">
        <f>TrRoad_ene!O$19</f>
        <v>3.080061814788289</v>
      </c>
      <c r="P36" s="102">
        <f>TrRoad_ene!P$19</f>
        <v>3.4048254694407802</v>
      </c>
      <c r="Q36" s="102">
        <f>TrRoad_ene!Q$19</f>
        <v>3.7685536276185729</v>
      </c>
      <c r="R36" s="102">
        <f>TrRoad_ene!R$19</f>
        <v>3.9885062715326356</v>
      </c>
      <c r="S36" s="102">
        <f>TrRoad_ene!S$19</f>
        <v>3.7763800472803597</v>
      </c>
      <c r="T36" s="102">
        <f>TrRoad_ene!T$19</f>
        <v>3.6111538666482068</v>
      </c>
      <c r="U36" s="102">
        <f>TrRoad_ene!U$19</f>
        <v>3.849268010066357</v>
      </c>
      <c r="V36" s="102">
        <f>TrRoad_ene!V$19</f>
        <v>3.4592158129877371</v>
      </c>
      <c r="W36" s="102">
        <f>TrRoad_ene!W$19</f>
        <v>3.6125427847870593</v>
      </c>
      <c r="X36" s="102">
        <f>TrRoad_ene!X$19</f>
        <v>3.6724178019426481</v>
      </c>
      <c r="Y36" s="102">
        <f>TrRoad_ene!Y$19</f>
        <v>3.9815109614731941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754.61070075574833</v>
      </c>
      <c r="C37" s="102">
        <f>TrRoad_ene!C$21</f>
        <v>792.19997036860809</v>
      </c>
      <c r="D37" s="102">
        <f>TrRoad_ene!D$21</f>
        <v>931.924646454362</v>
      </c>
      <c r="E37" s="102">
        <f>TrRoad_ene!E$21</f>
        <v>887.19817949604214</v>
      </c>
      <c r="F37" s="102">
        <f>TrRoad_ene!F$21</f>
        <v>826.08765797820251</v>
      </c>
      <c r="G37" s="102">
        <f>TrRoad_ene!G$21</f>
        <v>872.77931320370556</v>
      </c>
      <c r="H37" s="102">
        <f>TrRoad_ene!H$21</f>
        <v>847.33446146012795</v>
      </c>
      <c r="I37" s="102">
        <f>TrRoad_ene!I$21</f>
        <v>890.09140948542006</v>
      </c>
      <c r="J37" s="102">
        <f>TrRoad_ene!J$21</f>
        <v>935.63821812949254</v>
      </c>
      <c r="K37" s="102">
        <f>TrRoad_ene!K$21</f>
        <v>885.15991291408307</v>
      </c>
      <c r="L37" s="102">
        <f>TrRoad_ene!L$21</f>
        <v>905.91940066792529</v>
      </c>
      <c r="M37" s="102">
        <f>TrRoad_ene!M$21</f>
        <v>897.38451139787821</v>
      </c>
      <c r="N37" s="102">
        <f>TrRoad_ene!N$21</f>
        <v>873.72294693317565</v>
      </c>
      <c r="O37" s="102">
        <f>TrRoad_ene!O$21</f>
        <v>876.86365676394166</v>
      </c>
      <c r="P37" s="102">
        <f>TrRoad_ene!P$21</f>
        <v>869.23874398597127</v>
      </c>
      <c r="Q37" s="102">
        <f>TrRoad_ene!Q$21</f>
        <v>880.40104334512102</v>
      </c>
      <c r="R37" s="102">
        <f>TrRoad_ene!R$21</f>
        <v>889.16796955054656</v>
      </c>
      <c r="S37" s="102">
        <f>TrRoad_ene!S$21</f>
        <v>906.14643421873961</v>
      </c>
      <c r="T37" s="102">
        <f>TrRoad_ene!T$21</f>
        <v>874.99911113800044</v>
      </c>
      <c r="U37" s="102">
        <f>TrRoad_ene!U$21</f>
        <v>861.49756640042108</v>
      </c>
      <c r="V37" s="102">
        <f>TrRoad_ene!V$21</f>
        <v>800.65601518528922</v>
      </c>
      <c r="W37" s="102">
        <f>TrRoad_ene!W$21</f>
        <v>827.0764430388657</v>
      </c>
      <c r="X37" s="102">
        <f>TrRoad_ene!X$21</f>
        <v>855.20318359154805</v>
      </c>
      <c r="Y37" s="102">
        <f>TrRoad_ene!Y$21</f>
        <v>908.34677354574046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181.17687007311082</v>
      </c>
      <c r="C38" s="102">
        <f>TrRoad_ene!C$33</f>
        <v>174.08512790634043</v>
      </c>
      <c r="D38" s="102">
        <f>TrRoad_ene!D$33</f>
        <v>172.29946003416643</v>
      </c>
      <c r="E38" s="102">
        <f>TrRoad_ene!E$33</f>
        <v>175.52595192319234</v>
      </c>
      <c r="F38" s="102">
        <f>TrRoad_ene!F$33</f>
        <v>161.88491146638918</v>
      </c>
      <c r="G38" s="102">
        <f>TrRoad_ene!G$33</f>
        <v>155.99628246236119</v>
      </c>
      <c r="H38" s="102">
        <f>TrRoad_ene!H$33</f>
        <v>158.75547387755191</v>
      </c>
      <c r="I38" s="102">
        <f>TrRoad_ene!I$33</f>
        <v>189.48882181156054</v>
      </c>
      <c r="J38" s="102">
        <f>TrRoad_ene!J$33</f>
        <v>185.2691171181005</v>
      </c>
      <c r="K38" s="102">
        <f>TrRoad_ene!K$33</f>
        <v>170.85068269827684</v>
      </c>
      <c r="L38" s="102">
        <f>TrRoad_ene!L$33</f>
        <v>168.87713457981704</v>
      </c>
      <c r="M38" s="102">
        <f>TrRoad_ene!M$33</f>
        <v>159.08042946437359</v>
      </c>
      <c r="N38" s="102">
        <f>TrRoad_ene!N$33</f>
        <v>157.83572217950038</v>
      </c>
      <c r="O38" s="102">
        <f>TrRoad_ene!O$33</f>
        <v>153.27578272265782</v>
      </c>
      <c r="P38" s="102">
        <f>TrRoad_ene!P$33</f>
        <v>155.48961713947082</v>
      </c>
      <c r="Q38" s="102">
        <f>TrRoad_ene!Q$33</f>
        <v>154.65686471450769</v>
      </c>
      <c r="R38" s="102">
        <f>TrRoad_ene!R$33</f>
        <v>149.48177272133918</v>
      </c>
      <c r="S38" s="102">
        <f>TrRoad_ene!S$33</f>
        <v>159.72237902927981</v>
      </c>
      <c r="T38" s="102">
        <f>TrRoad_ene!T$33</f>
        <v>165.1131730952645</v>
      </c>
      <c r="U38" s="102">
        <f>TrRoad_ene!U$33</f>
        <v>169.55206266365619</v>
      </c>
      <c r="V38" s="102">
        <f>TrRoad_ene!V$33</f>
        <v>145.28864400444817</v>
      </c>
      <c r="W38" s="102">
        <f>TrRoad_ene!W$33</f>
        <v>145.34585412741779</v>
      </c>
      <c r="X38" s="102">
        <f>TrRoad_ene!X$33</f>
        <v>154.09095479877163</v>
      </c>
      <c r="Y38" s="102">
        <f>TrRoad_ene!Y$33</f>
        <v>153.4936835888839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33.282821120330524</v>
      </c>
      <c r="C39" s="110">
        <f t="shared" si="32"/>
        <v>26.75373764040555</v>
      </c>
      <c r="D39" s="110">
        <f t="shared" si="32"/>
        <v>25.037996632513924</v>
      </c>
      <c r="E39" s="110">
        <f t="shared" si="32"/>
        <v>25.10822694938787</v>
      </c>
      <c r="F39" s="110">
        <f t="shared" si="32"/>
        <v>24.142086070778991</v>
      </c>
      <c r="G39" s="110">
        <f t="shared" si="32"/>
        <v>21.555897642211075</v>
      </c>
      <c r="H39" s="110">
        <f t="shared" si="32"/>
        <v>23.257091895616984</v>
      </c>
      <c r="I39" s="110">
        <f t="shared" si="32"/>
        <v>22.207807261840077</v>
      </c>
      <c r="J39" s="110">
        <f t="shared" si="32"/>
        <v>22.370990144938656</v>
      </c>
      <c r="K39" s="110">
        <f t="shared" si="32"/>
        <v>23.14214036177508</v>
      </c>
      <c r="L39" s="110">
        <f t="shared" si="32"/>
        <v>22.81664260134983</v>
      </c>
      <c r="M39" s="110">
        <f t="shared" si="32"/>
        <v>22.920360364873389</v>
      </c>
      <c r="N39" s="110">
        <f t="shared" si="32"/>
        <v>23.486671114421409</v>
      </c>
      <c r="O39" s="110">
        <f t="shared" si="32"/>
        <v>23.183593240958086</v>
      </c>
      <c r="P39" s="110">
        <f t="shared" si="32"/>
        <v>24.861269328702761</v>
      </c>
      <c r="Q39" s="110">
        <f t="shared" si="32"/>
        <v>30.878826173624667</v>
      </c>
      <c r="R39" s="110">
        <f t="shared" ref="R39:V39" si="33">R40+R41+R42</f>
        <v>29.853695803496766</v>
      </c>
      <c r="S39" s="110">
        <f t="shared" si="33"/>
        <v>31.366108176909307</v>
      </c>
      <c r="T39" s="110">
        <f t="shared" si="33"/>
        <v>30.473500299199177</v>
      </c>
      <c r="U39" s="110">
        <f t="shared" si="33"/>
        <v>27.489574494432112</v>
      </c>
      <c r="V39" s="110">
        <f t="shared" si="33"/>
        <v>22.848090697536197</v>
      </c>
      <c r="W39" s="110">
        <f t="shared" ref="W39:Y39" si="34">W40+W41+W42</f>
        <v>24.598127181376995</v>
      </c>
      <c r="X39" s="110">
        <f t="shared" si="34"/>
        <v>24.029203523090693</v>
      </c>
      <c r="Y39" s="110">
        <f t="shared" si="34"/>
        <v>27.646664856869471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1.6487963274288313</v>
      </c>
      <c r="C40" s="102">
        <f>TrRail_ene!C$12</f>
        <v>1.653798434219919</v>
      </c>
      <c r="D40" s="102">
        <f>TrRail_ene!D$12</f>
        <v>1.6662111464953395</v>
      </c>
      <c r="E40" s="102">
        <f>TrRail_ene!E$12</f>
        <v>1.6946803458022206</v>
      </c>
      <c r="F40" s="102">
        <f>TrRail_ene!F$12</f>
        <v>1.6874359418163525</v>
      </c>
      <c r="G40" s="102">
        <f>TrRail_ene!G$12</f>
        <v>1.7677688903350695</v>
      </c>
      <c r="H40" s="102">
        <f>TrRail_ene!H$12</f>
        <v>1.7281670296097471</v>
      </c>
      <c r="I40" s="102">
        <f>TrRail_ene!I$12</f>
        <v>1.8176441388474902</v>
      </c>
      <c r="J40" s="102">
        <f>TrRail_ene!J$12</f>
        <v>1.6054284463157671</v>
      </c>
      <c r="K40" s="102">
        <f>TrRail_ene!K$12</f>
        <v>1.2718413193626341</v>
      </c>
      <c r="L40" s="102">
        <f>TrRail_ene!L$12</f>
        <v>1.2169133518841124</v>
      </c>
      <c r="M40" s="102">
        <f>TrRail_ene!M$12</f>
        <v>1.2768378747367093</v>
      </c>
      <c r="N40" s="102">
        <f>TrRail_ene!N$12</f>
        <v>1.1891381493681936</v>
      </c>
      <c r="O40" s="102">
        <f>TrRail_ene!O$12</f>
        <v>1.1088689120098321</v>
      </c>
      <c r="P40" s="102">
        <f>TrRail_ene!P$12</f>
        <v>1.016161166963671</v>
      </c>
      <c r="Q40" s="102">
        <f>TrRail_ene!Q$12</f>
        <v>0.9345736516221701</v>
      </c>
      <c r="R40" s="102">
        <f>TrRail_ene!R$12</f>
        <v>1.1047902960453311</v>
      </c>
      <c r="S40" s="102">
        <f>TrRail_ene!S$12</f>
        <v>1.0168938266059324</v>
      </c>
      <c r="T40" s="102">
        <f>TrRail_ene!T$12</f>
        <v>1.0115695837178786</v>
      </c>
      <c r="U40" s="102">
        <f>TrRail_ene!U$12</f>
        <v>1.0029891760529286</v>
      </c>
      <c r="V40" s="102">
        <f>TrRail_ene!V$12</f>
        <v>0.99003262345296539</v>
      </c>
      <c r="W40" s="102">
        <f>TrRail_ene!W$12</f>
        <v>1.5666454021942953</v>
      </c>
      <c r="X40" s="102">
        <f>TrRail_ene!X$12</f>
        <v>1.2213635732842107</v>
      </c>
      <c r="Y40" s="102">
        <f>TrRail_ene!Y$12</f>
        <v>1.3986919234489608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31.634024792901695</v>
      </c>
      <c r="C41" s="102">
        <f>TrRail_ene!C$13</f>
        <v>25.099939206185631</v>
      </c>
      <c r="D41" s="102">
        <f>TrRail_ene!D$13</f>
        <v>23.371785486018585</v>
      </c>
      <c r="E41" s="102">
        <f>TrRail_ene!E$13</f>
        <v>23.413546603585651</v>
      </c>
      <c r="F41" s="102">
        <f>TrRail_ene!F$13</f>
        <v>22.454650128962637</v>
      </c>
      <c r="G41" s="102">
        <f>TrRail_ene!G$13</f>
        <v>19.788128751876005</v>
      </c>
      <c r="H41" s="102">
        <f>TrRail_ene!H$13</f>
        <v>21.528924866007237</v>
      </c>
      <c r="I41" s="102">
        <f>TrRail_ene!I$13</f>
        <v>20.390163122992586</v>
      </c>
      <c r="J41" s="102">
        <f>TrRail_ene!J$13</f>
        <v>20.765561698622889</v>
      </c>
      <c r="K41" s="102">
        <f>TrRail_ene!K$13</f>
        <v>21.870299042412448</v>
      </c>
      <c r="L41" s="102">
        <f>TrRail_ene!L$13</f>
        <v>21.599729249465717</v>
      </c>
      <c r="M41" s="102">
        <f>TrRail_ene!M$13</f>
        <v>21.643522490136679</v>
      </c>
      <c r="N41" s="102">
        <f>TrRail_ene!N$13</f>
        <v>22.297532965053215</v>
      </c>
      <c r="O41" s="102">
        <f>TrRail_ene!O$13</f>
        <v>22.074724328948253</v>
      </c>
      <c r="P41" s="102">
        <f>TrRail_ene!P$13</f>
        <v>23.845108161739091</v>
      </c>
      <c r="Q41" s="102">
        <f>TrRail_ene!Q$13</f>
        <v>29.944252522002497</v>
      </c>
      <c r="R41" s="102">
        <f>TrRail_ene!R$13</f>
        <v>28.748905507451436</v>
      </c>
      <c r="S41" s="102">
        <f>TrRail_ene!S$13</f>
        <v>30.349214350303374</v>
      </c>
      <c r="T41" s="102">
        <f>TrRail_ene!T$13</f>
        <v>29.461930715481298</v>
      </c>
      <c r="U41" s="102">
        <f>TrRail_ene!U$13</f>
        <v>26.486585318379184</v>
      </c>
      <c r="V41" s="102">
        <f>TrRail_ene!V$13</f>
        <v>21.858058074083232</v>
      </c>
      <c r="W41" s="102">
        <f>TrRail_ene!W$13</f>
        <v>23.031481779182698</v>
      </c>
      <c r="X41" s="102">
        <f>TrRail_ene!X$13</f>
        <v>22.807839949806482</v>
      </c>
      <c r="Y41" s="102">
        <f>TrRail_ene!Y$13</f>
        <v>26.24797293342051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26.614477145872222</v>
      </c>
      <c r="C43" s="110">
        <f t="shared" si="35"/>
        <v>30.272627881898217</v>
      </c>
      <c r="D43" s="110">
        <f t="shared" si="35"/>
        <v>46.00054025664673</v>
      </c>
      <c r="E43" s="110">
        <f t="shared" si="35"/>
        <v>33.234801501811496</v>
      </c>
      <c r="F43" s="110">
        <f t="shared" si="35"/>
        <v>26.657414489784077</v>
      </c>
      <c r="G43" s="110">
        <f t="shared" si="35"/>
        <v>39.044799664721808</v>
      </c>
      <c r="H43" s="110">
        <f t="shared" si="35"/>
        <v>39.721667949603336</v>
      </c>
      <c r="I43" s="110">
        <f t="shared" si="35"/>
        <v>49.237711384690925</v>
      </c>
      <c r="J43" s="110">
        <f t="shared" si="35"/>
        <v>62.409379496410736</v>
      </c>
      <c r="K43" s="110">
        <f t="shared" si="35"/>
        <v>44.491826045785245</v>
      </c>
      <c r="L43" s="110">
        <f t="shared" si="35"/>
        <v>39.969621047099693</v>
      </c>
      <c r="M43" s="110">
        <f t="shared" si="35"/>
        <v>41.800834094656118</v>
      </c>
      <c r="N43" s="110">
        <f t="shared" si="35"/>
        <v>35.474230060779625</v>
      </c>
      <c r="O43" s="110">
        <f t="shared" si="35"/>
        <v>39.476202237619781</v>
      </c>
      <c r="P43" s="110">
        <f t="shared" si="35"/>
        <v>34.023778636845392</v>
      </c>
      <c r="Q43" s="110">
        <f t="shared" si="35"/>
        <v>42.016534378478596</v>
      </c>
      <c r="R43" s="110">
        <f t="shared" ref="R43:V43" si="36">R44+R45+R46</f>
        <v>48.317844506046526</v>
      </c>
      <c r="S43" s="110">
        <f t="shared" si="36"/>
        <v>38.966212288100095</v>
      </c>
      <c r="T43" s="110">
        <f t="shared" si="36"/>
        <v>46.458399697596327</v>
      </c>
      <c r="U43" s="110">
        <f t="shared" si="36"/>
        <v>44.642534295617409</v>
      </c>
      <c r="V43" s="110">
        <f t="shared" si="36"/>
        <v>26.021906186465635</v>
      </c>
      <c r="W43" s="110">
        <f t="shared" ref="W43:Y43" si="37">W44+W45+W46</f>
        <v>21.328203771263084</v>
      </c>
      <c r="X43" s="110">
        <f t="shared" si="37"/>
        <v>33.177075194680427</v>
      </c>
      <c r="Y43" s="110">
        <f t="shared" si="37"/>
        <v>28.596887225845144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16.394366876322934</v>
      </c>
      <c r="C45" s="102">
        <f>TrAvia_ene!C$8</f>
        <v>18.629391911328696</v>
      </c>
      <c r="D45" s="102">
        <f>TrAvia_ene!D$8</f>
        <v>24.658647670550387</v>
      </c>
      <c r="E45" s="102">
        <f>TrAvia_ene!E$8</f>
        <v>18.293542807011615</v>
      </c>
      <c r="F45" s="102">
        <f>TrAvia_ene!F$8</f>
        <v>15.551970856643393</v>
      </c>
      <c r="G45" s="102">
        <f>TrAvia_ene!G$8</f>
        <v>23.955999886353002</v>
      </c>
      <c r="H45" s="102">
        <f>TrAvia_ene!H$8</f>
        <v>25.699755449103026</v>
      </c>
      <c r="I45" s="102">
        <f>TrAvia_ene!I$8</f>
        <v>32.459350591394141</v>
      </c>
      <c r="J45" s="102">
        <f>TrAvia_ene!J$8</f>
        <v>43.032690729923658</v>
      </c>
      <c r="K45" s="102">
        <f>TrAvia_ene!K$8</f>
        <v>29.273409353915312</v>
      </c>
      <c r="L45" s="102">
        <f>TrAvia_ene!L$8</f>
        <v>25.374847687737404</v>
      </c>
      <c r="M45" s="102">
        <f>TrAvia_ene!M$8</f>
        <v>26.004162198822947</v>
      </c>
      <c r="N45" s="102">
        <f>TrAvia_ene!N$8</f>
        <v>21.877239853724042</v>
      </c>
      <c r="O45" s="102">
        <f>TrAvia_ene!O$8</f>
        <v>24.208456238622915</v>
      </c>
      <c r="P45" s="102">
        <f>TrAvia_ene!P$8</f>
        <v>21.399882875058935</v>
      </c>
      <c r="Q45" s="102">
        <f>TrAvia_ene!Q$8</f>
        <v>27.2836292520855</v>
      </c>
      <c r="R45" s="102">
        <f>TrAvia_ene!R$8</f>
        <v>32.021067810681444</v>
      </c>
      <c r="S45" s="102">
        <f>TrAvia_ene!S$8</f>
        <v>25.532630312891655</v>
      </c>
      <c r="T45" s="102">
        <f>TrAvia_ene!T$8</f>
        <v>30.705517566009433</v>
      </c>
      <c r="U45" s="102">
        <f>TrAvia_ene!U$8</f>
        <v>29.431154741958704</v>
      </c>
      <c r="V45" s="102">
        <f>TrAvia_ene!V$8</f>
        <v>14.601537837493018</v>
      </c>
      <c r="W45" s="102">
        <f>TrAvia_ene!W$8</f>
        <v>12.827488607516679</v>
      </c>
      <c r="X45" s="102">
        <f>TrAvia_ene!X$8</f>
        <v>21.733717955836916</v>
      </c>
      <c r="Y45" s="102">
        <f>TrAvia_ene!Y$8</f>
        <v>18.616501657510113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10.220110269549286</v>
      </c>
      <c r="C46" s="102">
        <f>TrAvia_ene!C$9</f>
        <v>11.643235970569522</v>
      </c>
      <c r="D46" s="102">
        <f>TrAvia_ene!D$9</f>
        <v>21.341892586096343</v>
      </c>
      <c r="E46" s="102">
        <f>TrAvia_ene!E$9</f>
        <v>14.941258694799879</v>
      </c>
      <c r="F46" s="102">
        <f>TrAvia_ene!F$9</f>
        <v>11.105443633140684</v>
      </c>
      <c r="G46" s="102">
        <f>TrAvia_ene!G$9</f>
        <v>15.088799778368804</v>
      </c>
      <c r="H46" s="102">
        <f>TrAvia_ene!H$9</f>
        <v>14.021912500500312</v>
      </c>
      <c r="I46" s="102">
        <f>TrAvia_ene!I$9</f>
        <v>16.778360793296784</v>
      </c>
      <c r="J46" s="102">
        <f>TrAvia_ene!J$9</f>
        <v>19.376688766487081</v>
      </c>
      <c r="K46" s="102">
        <f>TrAvia_ene!K$9</f>
        <v>15.218416691869935</v>
      </c>
      <c r="L46" s="102">
        <f>TrAvia_ene!L$9</f>
        <v>14.594773359362287</v>
      </c>
      <c r="M46" s="102">
        <f>TrAvia_ene!M$9</f>
        <v>15.796671895833173</v>
      </c>
      <c r="N46" s="102">
        <f>TrAvia_ene!N$9</f>
        <v>13.596990207055583</v>
      </c>
      <c r="O46" s="102">
        <f>TrAvia_ene!O$9</f>
        <v>15.267745998996867</v>
      </c>
      <c r="P46" s="102">
        <f>TrAvia_ene!P$9</f>
        <v>12.623895761786459</v>
      </c>
      <c r="Q46" s="102">
        <f>TrAvia_ene!Q$9</f>
        <v>14.732905126393099</v>
      </c>
      <c r="R46" s="102">
        <f>TrAvia_ene!R$9</f>
        <v>16.296776695365086</v>
      </c>
      <c r="S46" s="102">
        <f>TrAvia_ene!S$9</f>
        <v>13.433581975208444</v>
      </c>
      <c r="T46" s="102">
        <f>TrAvia_ene!T$9</f>
        <v>15.752882131586896</v>
      </c>
      <c r="U46" s="102">
        <f>TrAvia_ene!U$9</f>
        <v>15.211379553658709</v>
      </c>
      <c r="V46" s="102">
        <f>TrAvia_ene!V$9</f>
        <v>11.420368348972616</v>
      </c>
      <c r="W46" s="102">
        <f>TrAvia_ene!W$9</f>
        <v>8.5007151637464045</v>
      </c>
      <c r="X46" s="102">
        <f>TrAvia_ene!X$9</f>
        <v>11.443357238843515</v>
      </c>
      <c r="Y46" s="102">
        <f>TrAvia_ene!Y$9</f>
        <v>9.9803855683350289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459.1769555182309</v>
      </c>
      <c r="C47" s="28">
        <f t="shared" si="38"/>
        <v>448.66865439664736</v>
      </c>
      <c r="D47" s="28">
        <f t="shared" si="38"/>
        <v>617.62712445907073</v>
      </c>
      <c r="E47" s="28">
        <f t="shared" si="38"/>
        <v>484.72150705438122</v>
      </c>
      <c r="F47" s="28">
        <f t="shared" si="38"/>
        <v>548.14522583698363</v>
      </c>
      <c r="G47" s="28">
        <f t="shared" si="38"/>
        <v>690.8726447086442</v>
      </c>
      <c r="H47" s="28">
        <f t="shared" si="38"/>
        <v>764.26154572209578</v>
      </c>
      <c r="I47" s="28">
        <f t="shared" si="38"/>
        <v>879.41297048764432</v>
      </c>
      <c r="J47" s="28">
        <f t="shared" si="38"/>
        <v>978.99358650047577</v>
      </c>
      <c r="K47" s="28">
        <f t="shared" si="38"/>
        <v>819.73683583801937</v>
      </c>
      <c r="L47" s="28">
        <f t="shared" si="38"/>
        <v>1105.3996804925762</v>
      </c>
      <c r="M47" s="28">
        <f t="shared" si="38"/>
        <v>1087.2559986966721</v>
      </c>
      <c r="N47" s="28">
        <f t="shared" si="38"/>
        <v>1044.7266508014486</v>
      </c>
      <c r="O47" s="28">
        <f t="shared" si="38"/>
        <v>1049.5162309726945</v>
      </c>
      <c r="P47" s="28">
        <f t="shared" si="38"/>
        <v>1037.6949895841142</v>
      </c>
      <c r="Q47" s="28">
        <f t="shared" si="38"/>
        <v>1014.0752560672732</v>
      </c>
      <c r="R47" s="28">
        <f t="shared" ref="R47:V47" si="39">R48+R51+R52+R56</f>
        <v>1223.1756512425527</v>
      </c>
      <c r="S47" s="28">
        <f t="shared" si="39"/>
        <v>1529.9864696963141</v>
      </c>
      <c r="T47" s="28">
        <f t="shared" si="39"/>
        <v>1545.6343904723776</v>
      </c>
      <c r="U47" s="28">
        <f t="shared" si="39"/>
        <v>1552.1665253676094</v>
      </c>
      <c r="V47" s="28">
        <f t="shared" si="39"/>
        <v>1445.9514282196442</v>
      </c>
      <c r="W47" s="28">
        <f t="shared" ref="W47:Y47" si="40">W48+W51+W52+W56</f>
        <v>1563.8185593198962</v>
      </c>
      <c r="X47" s="28">
        <f t="shared" si="40"/>
        <v>1603.0669970934791</v>
      </c>
      <c r="Y47" s="28">
        <f t="shared" si="40"/>
        <v>1518.6914984278817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386.33411878873289</v>
      </c>
      <c r="C48" s="137">
        <f t="shared" si="41"/>
        <v>388.86730022849542</v>
      </c>
      <c r="D48" s="137">
        <f t="shared" si="41"/>
        <v>567.57914639552291</v>
      </c>
      <c r="E48" s="137">
        <f t="shared" si="41"/>
        <v>442.01934805932092</v>
      </c>
      <c r="F48" s="137">
        <f t="shared" si="41"/>
        <v>502.03939535713386</v>
      </c>
      <c r="G48" s="137">
        <f t="shared" si="41"/>
        <v>651.33782868797607</v>
      </c>
      <c r="H48" s="137">
        <f t="shared" si="41"/>
        <v>731.22999172380787</v>
      </c>
      <c r="I48" s="137">
        <f t="shared" si="41"/>
        <v>842.36853814535334</v>
      </c>
      <c r="J48" s="137">
        <f t="shared" si="41"/>
        <v>940.11553309797307</v>
      </c>
      <c r="K48" s="137">
        <f t="shared" si="41"/>
        <v>793.17246346655998</v>
      </c>
      <c r="L48" s="137">
        <f t="shared" si="41"/>
        <v>1070.9060645193576</v>
      </c>
      <c r="M48" s="137">
        <f t="shared" si="41"/>
        <v>1052.5158002069327</v>
      </c>
      <c r="N48" s="137">
        <f t="shared" si="41"/>
        <v>1012.4000790617745</v>
      </c>
      <c r="O48" s="137">
        <f t="shared" si="41"/>
        <v>1012.7015105441358</v>
      </c>
      <c r="P48" s="137">
        <f t="shared" si="41"/>
        <v>1004.4195964490605</v>
      </c>
      <c r="Q48" s="137">
        <f t="shared" si="41"/>
        <v>984.03396657638427</v>
      </c>
      <c r="R48" s="137">
        <f t="shared" ref="R48:V48" si="42">R49+R50</f>
        <v>1189.7963979149506</v>
      </c>
      <c r="S48" s="137">
        <f t="shared" si="42"/>
        <v>1499.0355734803261</v>
      </c>
      <c r="T48" s="137">
        <f t="shared" si="42"/>
        <v>1516.0676378466451</v>
      </c>
      <c r="U48" s="137">
        <f t="shared" si="42"/>
        <v>1522.6045275368506</v>
      </c>
      <c r="V48" s="137">
        <f t="shared" si="42"/>
        <v>1412.9381989643512</v>
      </c>
      <c r="W48" s="137">
        <f t="shared" ref="W48:Y48" si="43">W49+W50</f>
        <v>1529.8396520954082</v>
      </c>
      <c r="X48" s="137">
        <f t="shared" si="43"/>
        <v>1569.2213110649045</v>
      </c>
      <c r="Y48" s="137">
        <f t="shared" si="43"/>
        <v>1487.3755578192809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177.97698938175273</v>
      </c>
      <c r="C49" s="102">
        <f>TrRoad_ene!C$43</f>
        <v>184.83019118559889</v>
      </c>
      <c r="D49" s="102">
        <f>TrRoad_ene!D$43</f>
        <v>217.3220427059025</v>
      </c>
      <c r="E49" s="102">
        <f>TrRoad_ene!E$43</f>
        <v>203.35929096652669</v>
      </c>
      <c r="F49" s="102">
        <f>TrRoad_ene!F$43</f>
        <v>216.75534673986959</v>
      </c>
      <c r="G49" s="102">
        <f>TrRoad_ene!G$43</f>
        <v>241.15836991562315</v>
      </c>
      <c r="H49" s="102">
        <f>TrRoad_ene!H$43</f>
        <v>223.49199890748872</v>
      </c>
      <c r="I49" s="102">
        <f>TrRoad_ene!I$43</f>
        <v>267.49835200378703</v>
      </c>
      <c r="J49" s="102">
        <f>TrRoad_ene!J$43</f>
        <v>266.37651975708798</v>
      </c>
      <c r="K49" s="102">
        <f>TrRoad_ene!K$43</f>
        <v>263.13709741903961</v>
      </c>
      <c r="L49" s="102">
        <f>TrRoad_ene!L$43</f>
        <v>307.17620267277687</v>
      </c>
      <c r="M49" s="102">
        <f>TrRoad_ene!M$43</f>
        <v>322.9798487850901</v>
      </c>
      <c r="N49" s="102">
        <f>TrRoad_ene!N$43</f>
        <v>315.52676033416395</v>
      </c>
      <c r="O49" s="102">
        <f>TrRoad_ene!O$43</f>
        <v>278.54198445280576</v>
      </c>
      <c r="P49" s="102">
        <f>TrRoad_ene!P$43</f>
        <v>253.9161618071478</v>
      </c>
      <c r="Q49" s="102">
        <f>TrRoad_ene!Q$43</f>
        <v>276.66181043021624</v>
      </c>
      <c r="R49" s="102">
        <f>TrRoad_ene!R$43</f>
        <v>278.90200979456591</v>
      </c>
      <c r="S49" s="102">
        <f>TrRoad_ene!S$43</f>
        <v>300.73145961120338</v>
      </c>
      <c r="T49" s="102">
        <f>TrRoad_ene!T$43</f>
        <v>294.86413589946267</v>
      </c>
      <c r="U49" s="102">
        <f>TrRoad_ene!U$43</f>
        <v>293.08072005434144</v>
      </c>
      <c r="V49" s="102">
        <f>TrRoad_ene!V$43</f>
        <v>301.45027978701717</v>
      </c>
      <c r="W49" s="102">
        <f>TrRoad_ene!W$43</f>
        <v>287.3633381242982</v>
      </c>
      <c r="X49" s="102">
        <f>TrRoad_ene!X$43</f>
        <v>300.80998814488964</v>
      </c>
      <c r="Y49" s="102">
        <f>TrRoad_ene!Y$43</f>
        <v>311.03574610093892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208.35712940698014</v>
      </c>
      <c r="C50" s="102">
        <f>TrRoad_ene!C$52</f>
        <v>204.03710904289653</v>
      </c>
      <c r="D50" s="102">
        <f>TrRoad_ene!D$52</f>
        <v>350.25710368962041</v>
      </c>
      <c r="E50" s="102">
        <f>TrRoad_ene!E$52</f>
        <v>238.6600570927942</v>
      </c>
      <c r="F50" s="102">
        <f>TrRoad_ene!F$52</f>
        <v>285.28404861726426</v>
      </c>
      <c r="G50" s="102">
        <f>TrRoad_ene!G$52</f>
        <v>410.17945877235286</v>
      </c>
      <c r="H50" s="102">
        <f>TrRoad_ene!H$52</f>
        <v>507.73799281631909</v>
      </c>
      <c r="I50" s="102">
        <f>TrRoad_ene!I$52</f>
        <v>574.87018614156636</v>
      </c>
      <c r="J50" s="102">
        <f>TrRoad_ene!J$52</f>
        <v>673.73901334088509</v>
      </c>
      <c r="K50" s="102">
        <f>TrRoad_ene!K$52</f>
        <v>530.03536604752037</v>
      </c>
      <c r="L50" s="102">
        <f>TrRoad_ene!L$52</f>
        <v>763.72986184658089</v>
      </c>
      <c r="M50" s="102">
        <f>TrRoad_ene!M$52</f>
        <v>729.53595142184258</v>
      </c>
      <c r="N50" s="102">
        <f>TrRoad_ene!N$52</f>
        <v>696.87331872761047</v>
      </c>
      <c r="O50" s="102">
        <f>TrRoad_ene!O$52</f>
        <v>734.15952609133001</v>
      </c>
      <c r="P50" s="102">
        <f>TrRoad_ene!P$52</f>
        <v>750.50343464191269</v>
      </c>
      <c r="Q50" s="102">
        <f>TrRoad_ene!Q$52</f>
        <v>707.37215614616809</v>
      </c>
      <c r="R50" s="102">
        <f>TrRoad_ene!R$52</f>
        <v>910.89438812038475</v>
      </c>
      <c r="S50" s="102">
        <f>TrRoad_ene!S$52</f>
        <v>1198.3041138691228</v>
      </c>
      <c r="T50" s="102">
        <f>TrRoad_ene!T$52</f>
        <v>1221.2035019471823</v>
      </c>
      <c r="U50" s="102">
        <f>TrRoad_ene!U$52</f>
        <v>1229.523807482509</v>
      </c>
      <c r="V50" s="102">
        <f>TrRoad_ene!V$52</f>
        <v>1111.4879191773339</v>
      </c>
      <c r="W50" s="102">
        <f>TrRoad_ene!W$52</f>
        <v>1242.4763139711099</v>
      </c>
      <c r="X50" s="102">
        <f>TrRoad_ene!X$52</f>
        <v>1268.4113229200148</v>
      </c>
      <c r="Y50" s="102">
        <f>TrRoad_ene!Y$52</f>
        <v>1176.3398117183419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49.692243368061561</v>
      </c>
      <c r="C51" s="110">
        <f>TrRail_ene!C$17</f>
        <v>32.317629513506745</v>
      </c>
      <c r="D51" s="110">
        <f>TrRail_ene!D$17</f>
        <v>29.906113427675237</v>
      </c>
      <c r="E51" s="110">
        <f>TrRail_ene!E$17</f>
        <v>30.609743815874385</v>
      </c>
      <c r="F51" s="110">
        <f>TrRail_ene!F$17</f>
        <v>29.770209715979391</v>
      </c>
      <c r="G51" s="110">
        <f>TrRail_ene!G$17</f>
        <v>20.920456614022807</v>
      </c>
      <c r="H51" s="110">
        <f>TrRail_ene!H$17</f>
        <v>22.056751612551537</v>
      </c>
      <c r="I51" s="110">
        <f>TrRail_ene!I$17</f>
        <v>21.988237450111772</v>
      </c>
      <c r="J51" s="110">
        <f>TrRail_ene!J$17</f>
        <v>18.557642701149049</v>
      </c>
      <c r="K51" s="110">
        <f>TrRail_ene!K$17</f>
        <v>13.315297299445897</v>
      </c>
      <c r="L51" s="110">
        <f>TrRail_ene!L$17</f>
        <v>16.994191448521189</v>
      </c>
      <c r="M51" s="110">
        <f>TrRail_ene!M$17</f>
        <v>16.804489162211731</v>
      </c>
      <c r="N51" s="110">
        <f>TrRail_ene!N$17</f>
        <v>14.432503434159841</v>
      </c>
      <c r="O51" s="110">
        <f>TrRail_ene!O$17</f>
        <v>18.948822924132195</v>
      </c>
      <c r="P51" s="110">
        <f>TrRail_ene!P$17</f>
        <v>16.325317085742626</v>
      </c>
      <c r="Q51" s="110">
        <f>TrRail_ene!Q$17</f>
        <v>12.973280447183587</v>
      </c>
      <c r="R51" s="110">
        <f>TrRail_ene!R$17</f>
        <v>14.084395340097384</v>
      </c>
      <c r="S51" s="110">
        <f>TrRail_ene!S$17</f>
        <v>11.196230602110472</v>
      </c>
      <c r="T51" s="110">
        <f>TrRail_ene!T$17</f>
        <v>12.260807525392392</v>
      </c>
      <c r="U51" s="110">
        <f>TrRail_ene!U$17</f>
        <v>10.257631008577334</v>
      </c>
      <c r="V51" s="110">
        <f>TrRail_ene!V$17</f>
        <v>13.093439826969393</v>
      </c>
      <c r="W51" s="110">
        <f>TrRail_ene!W$17</f>
        <v>15.47066043685172</v>
      </c>
      <c r="X51" s="110">
        <f>TrRail_ene!X$17</f>
        <v>19.049042392644481</v>
      </c>
      <c r="Y51" s="110">
        <f>TrRail_ene!Y$17</f>
        <v>17.925132219656746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0.77159336143645652</v>
      </c>
      <c r="C52" s="110">
        <f t="shared" si="44"/>
        <v>0.75772465464520133</v>
      </c>
      <c r="D52" s="110">
        <f t="shared" si="44"/>
        <v>0.52783463587260815</v>
      </c>
      <c r="E52" s="110">
        <f t="shared" si="44"/>
        <v>0.66141517918592596</v>
      </c>
      <c r="F52" s="110">
        <f t="shared" si="44"/>
        <v>0.23562076387025882</v>
      </c>
      <c r="G52" s="110">
        <f t="shared" si="44"/>
        <v>0.26035940664534724</v>
      </c>
      <c r="H52" s="110">
        <f t="shared" si="44"/>
        <v>0.50980238573629255</v>
      </c>
      <c r="I52" s="110">
        <f t="shared" si="44"/>
        <v>0.40519489217921784</v>
      </c>
      <c r="J52" s="110">
        <f t="shared" si="44"/>
        <v>0.67841070135366566</v>
      </c>
      <c r="K52" s="110">
        <f t="shared" si="44"/>
        <v>1.0130750720135526</v>
      </c>
      <c r="L52" s="110">
        <f t="shared" si="44"/>
        <v>1.3994245246973762</v>
      </c>
      <c r="M52" s="110">
        <f t="shared" si="44"/>
        <v>1.6357093275278778</v>
      </c>
      <c r="N52" s="110">
        <f t="shared" si="44"/>
        <v>1.7570683055144378</v>
      </c>
      <c r="O52" s="110">
        <f t="shared" si="44"/>
        <v>1.8918975044266466</v>
      </c>
      <c r="P52" s="110">
        <f t="shared" si="44"/>
        <v>1.1390760493110963</v>
      </c>
      <c r="Q52" s="110">
        <f t="shared" si="44"/>
        <v>1.420009043705408</v>
      </c>
      <c r="R52" s="110">
        <f t="shared" si="44"/>
        <v>1.3238579875046221</v>
      </c>
      <c r="S52" s="110">
        <f t="shared" si="44"/>
        <v>1.367665613877542</v>
      </c>
      <c r="T52" s="110">
        <f t="shared" si="44"/>
        <v>1.1149451003400443</v>
      </c>
      <c r="U52" s="110">
        <f t="shared" si="44"/>
        <v>0.86236682218137561</v>
      </c>
      <c r="V52" s="110">
        <f t="shared" si="44"/>
        <v>2.9357894283237038</v>
      </c>
      <c r="W52" s="110">
        <f t="shared" ref="W52:Y52" si="45">W53+W54+W55</f>
        <v>1.4242467876363223</v>
      </c>
      <c r="X52" s="110">
        <f t="shared" si="45"/>
        <v>0.95164363593005596</v>
      </c>
      <c r="Y52" s="110">
        <f t="shared" si="45"/>
        <v>0.36080838894419143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0.40284561035650357</v>
      </c>
      <c r="C54" s="102">
        <f>TrAvia_ene!C$12</f>
        <v>0.38761264158407371</v>
      </c>
      <c r="D54" s="102">
        <f>TrAvia_ene!D$12</f>
        <v>0.41876815762839026</v>
      </c>
      <c r="E54" s="102">
        <f>TrAvia_ene!E$12</f>
        <v>0.1813377319611949</v>
      </c>
      <c r="F54" s="102">
        <f>TrAvia_ene!F$12</f>
        <v>7.1656373413701721E-2</v>
      </c>
      <c r="G54" s="102">
        <f>TrAvia_ene!G$12</f>
        <v>5.9260333068857612E-2</v>
      </c>
      <c r="H54" s="102">
        <f>TrAvia_ene!H$12</f>
        <v>4.9727609801733547E-2</v>
      </c>
      <c r="I54" s="102">
        <f>TrAvia_ene!I$12</f>
        <v>6.0446516088319559E-2</v>
      </c>
      <c r="J54" s="102">
        <f>TrAvia_ene!J$12</f>
        <v>0.51563317100278783</v>
      </c>
      <c r="K54" s="102">
        <f>TrAvia_ene!K$12</f>
        <v>0.89547910205441938</v>
      </c>
      <c r="L54" s="102">
        <f>TrAvia_ene!L$12</f>
        <v>1.088907952225203</v>
      </c>
      <c r="M54" s="102">
        <f>TrAvia_ene!M$12</f>
        <v>1.6078553128899697</v>
      </c>
      <c r="N54" s="102">
        <f>TrAvia_ene!N$12</f>
        <v>1.7340819054661105</v>
      </c>
      <c r="O54" s="102">
        <f>TrAvia_ene!O$12</f>
        <v>1.8469697262000397</v>
      </c>
      <c r="P54" s="102">
        <f>TrAvia_ene!P$12</f>
        <v>0.91734960663356035</v>
      </c>
      <c r="Q54" s="102">
        <f>TrAvia_ene!Q$12</f>
        <v>1.2489187334609386</v>
      </c>
      <c r="R54" s="102">
        <f>TrAvia_ene!R$12</f>
        <v>1.1842237869112096</v>
      </c>
      <c r="S54" s="102">
        <f>TrAvia_ene!S$12</f>
        <v>1.3245782768487424</v>
      </c>
      <c r="T54" s="102">
        <f>TrAvia_ene!T$12</f>
        <v>1.07079895472422</v>
      </c>
      <c r="U54" s="102">
        <f>TrAvia_ene!U$12</f>
        <v>0.85053263378708444</v>
      </c>
      <c r="V54" s="102">
        <f>TrAvia_ene!V$12</f>
        <v>2.8229926519094861</v>
      </c>
      <c r="W54" s="102">
        <f>TrAvia_ene!W$12</f>
        <v>1.4181030605351959</v>
      </c>
      <c r="X54" s="102">
        <f>TrAvia_ene!X$12</f>
        <v>0.94782173701056449</v>
      </c>
      <c r="Y54" s="102">
        <f>TrAvia_ene!Y$12</f>
        <v>0.35891857393070997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0.36874775107995289</v>
      </c>
      <c r="C55" s="102">
        <f>TrAvia_ene!C$13</f>
        <v>0.37011201306112762</v>
      </c>
      <c r="D55" s="102">
        <f>TrAvia_ene!D$13</f>
        <v>0.10906647824421793</v>
      </c>
      <c r="E55" s="102">
        <f>TrAvia_ene!E$13</f>
        <v>0.480077447224731</v>
      </c>
      <c r="F55" s="102">
        <f>TrAvia_ene!F$13</f>
        <v>0.16396439045655709</v>
      </c>
      <c r="G55" s="102">
        <f>TrAvia_ene!G$13</f>
        <v>0.20109907357648962</v>
      </c>
      <c r="H55" s="102">
        <f>TrAvia_ene!H$13</f>
        <v>0.46007477593455898</v>
      </c>
      <c r="I55" s="102">
        <f>TrAvia_ene!I$13</f>
        <v>0.34474837609089826</v>
      </c>
      <c r="J55" s="102">
        <f>TrAvia_ene!J$13</f>
        <v>0.16277753035087783</v>
      </c>
      <c r="K55" s="102">
        <f>TrAvia_ene!K$13</f>
        <v>0.1175959699591333</v>
      </c>
      <c r="L55" s="102">
        <f>TrAvia_ene!L$13</f>
        <v>0.31051657247217324</v>
      </c>
      <c r="M55" s="102">
        <f>TrAvia_ene!M$13</f>
        <v>2.7854014637908108E-2</v>
      </c>
      <c r="N55" s="102">
        <f>TrAvia_ene!N$13</f>
        <v>2.2986400048327242E-2</v>
      </c>
      <c r="O55" s="102">
        <f>TrAvia_ene!O$13</f>
        <v>4.4927778226606874E-2</v>
      </c>
      <c r="P55" s="102">
        <f>TrAvia_ene!P$13</f>
        <v>0.22172644267753602</v>
      </c>
      <c r="Q55" s="102">
        <f>TrAvia_ene!Q$13</f>
        <v>0.17109031024446936</v>
      </c>
      <c r="R55" s="102">
        <f>TrAvia_ene!R$13</f>
        <v>0.1396342005934125</v>
      </c>
      <c r="S55" s="102">
        <f>TrAvia_ene!S$13</f>
        <v>4.3087337028799598E-2</v>
      </c>
      <c r="T55" s="102">
        <f>TrAvia_ene!T$13</f>
        <v>4.4146145615824244E-2</v>
      </c>
      <c r="U55" s="102">
        <f>TrAvia_ene!U$13</f>
        <v>1.1834188394291185E-2</v>
      </c>
      <c r="V55" s="102">
        <f>TrAvia_ene!V$13</f>
        <v>0.11279677641421788</v>
      </c>
      <c r="W55" s="102">
        <f>TrAvia_ene!W$13</f>
        <v>6.1437271011263849E-3</v>
      </c>
      <c r="X55" s="102">
        <f>TrAvia_ene!X$13</f>
        <v>3.8218989194914268E-3</v>
      </c>
      <c r="Y55" s="102">
        <f>TrAvia_ene!Y$13</f>
        <v>1.8898150134814286E-3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22.379000000000001</v>
      </c>
      <c r="C56" s="110">
        <f t="shared" si="46"/>
        <v>26.725999999999999</v>
      </c>
      <c r="D56" s="110">
        <f t="shared" si="46"/>
        <v>19.61403</v>
      </c>
      <c r="E56" s="110">
        <f t="shared" si="46"/>
        <v>11.430999999999999</v>
      </c>
      <c r="F56" s="110">
        <f t="shared" si="46"/>
        <v>16.100000000000001</v>
      </c>
      <c r="G56" s="110">
        <f t="shared" si="46"/>
        <v>18.353999999999999</v>
      </c>
      <c r="H56" s="110">
        <f t="shared" si="46"/>
        <v>10.465</v>
      </c>
      <c r="I56" s="110">
        <f t="shared" si="46"/>
        <v>14.651</v>
      </c>
      <c r="J56" s="110">
        <f t="shared" si="46"/>
        <v>19.641999999999999</v>
      </c>
      <c r="K56" s="110">
        <f t="shared" si="46"/>
        <v>12.236000000000001</v>
      </c>
      <c r="L56" s="110">
        <f t="shared" si="46"/>
        <v>16.100000000000001</v>
      </c>
      <c r="M56" s="110">
        <f t="shared" si="46"/>
        <v>16.3</v>
      </c>
      <c r="N56" s="110">
        <f t="shared" si="46"/>
        <v>16.137</v>
      </c>
      <c r="O56" s="110">
        <f t="shared" si="46"/>
        <v>15.974</v>
      </c>
      <c r="P56" s="110">
        <f t="shared" si="46"/>
        <v>15.811</v>
      </c>
      <c r="Q56" s="110">
        <f t="shared" si="46"/>
        <v>15.648</v>
      </c>
      <c r="R56" s="110">
        <f t="shared" ref="R56:V56" si="47">R57+R58</f>
        <v>17.971</v>
      </c>
      <c r="S56" s="110">
        <f t="shared" si="47"/>
        <v>18.387</v>
      </c>
      <c r="T56" s="110">
        <f t="shared" si="47"/>
        <v>16.190999999999999</v>
      </c>
      <c r="U56" s="110">
        <f t="shared" si="47"/>
        <v>18.442</v>
      </c>
      <c r="V56" s="110">
        <f t="shared" si="47"/>
        <v>16.984000000000002</v>
      </c>
      <c r="W56" s="110">
        <f t="shared" ref="W56:Y56" si="48">W57+W58</f>
        <v>17.084</v>
      </c>
      <c r="X56" s="110">
        <f t="shared" si="48"/>
        <v>13.845000000000001</v>
      </c>
      <c r="Y56" s="110">
        <f t="shared" si="48"/>
        <v>13.03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22.379000000000001</v>
      </c>
      <c r="C58" s="169">
        <f>TrNavi_ene!C10</f>
        <v>26.725999999999999</v>
      </c>
      <c r="D58" s="169">
        <f>TrNavi_ene!D10</f>
        <v>19.61403</v>
      </c>
      <c r="E58" s="169">
        <f>TrNavi_ene!E10</f>
        <v>11.430999999999999</v>
      </c>
      <c r="F58" s="169">
        <f>TrNavi_ene!F10</f>
        <v>16.100000000000001</v>
      </c>
      <c r="G58" s="169">
        <f>TrNavi_ene!G10</f>
        <v>18.353999999999999</v>
      </c>
      <c r="H58" s="169">
        <f>TrNavi_ene!H10</f>
        <v>10.465</v>
      </c>
      <c r="I58" s="169">
        <f>TrNavi_ene!I10</f>
        <v>14.651</v>
      </c>
      <c r="J58" s="169">
        <f>TrNavi_ene!J10</f>
        <v>19.641999999999999</v>
      </c>
      <c r="K58" s="169">
        <f>TrNavi_ene!K10</f>
        <v>12.236000000000001</v>
      </c>
      <c r="L58" s="169">
        <f>TrNavi_ene!L10</f>
        <v>16.100000000000001</v>
      </c>
      <c r="M58" s="169">
        <f>TrNavi_ene!M10</f>
        <v>16.3</v>
      </c>
      <c r="N58" s="169">
        <f>TrNavi_ene!N10</f>
        <v>16.137</v>
      </c>
      <c r="O58" s="169">
        <f>TrNavi_ene!O10</f>
        <v>15.974</v>
      </c>
      <c r="P58" s="169">
        <f>TrNavi_ene!P10</f>
        <v>15.811</v>
      </c>
      <c r="Q58" s="169">
        <f>TrNavi_ene!Q10</f>
        <v>15.648</v>
      </c>
      <c r="R58" s="169">
        <f>TrNavi_ene!R10</f>
        <v>17.971</v>
      </c>
      <c r="S58" s="169">
        <f>TrNavi_ene!S10</f>
        <v>18.387</v>
      </c>
      <c r="T58" s="169">
        <f>TrNavi_ene!T10</f>
        <v>16.190999999999999</v>
      </c>
      <c r="U58" s="169">
        <f>TrNavi_ene!U10</f>
        <v>18.442</v>
      </c>
      <c r="V58" s="169">
        <f>TrNavi_ene!V10</f>
        <v>16.984000000000002</v>
      </c>
      <c r="W58" s="169">
        <f>TrNavi_ene!W10</f>
        <v>17.084</v>
      </c>
      <c r="X58" s="169">
        <f>TrNavi_ene!X10</f>
        <v>13.845000000000001</v>
      </c>
      <c r="Y58" s="169">
        <f>TrNavi_ene!Y10</f>
        <v>13.03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0</v>
      </c>
      <c r="C59" s="28">
        <f t="shared" ref="C59:W59" si="49">C60+C61</f>
        <v>0</v>
      </c>
      <c r="D59" s="28">
        <f t="shared" si="49"/>
        <v>0</v>
      </c>
      <c r="E59" s="28">
        <f t="shared" si="49"/>
        <v>0</v>
      </c>
      <c r="F59" s="28">
        <f t="shared" si="49"/>
        <v>0</v>
      </c>
      <c r="G59" s="28">
        <f t="shared" si="49"/>
        <v>0</v>
      </c>
      <c r="H59" s="28">
        <f t="shared" si="49"/>
        <v>0</v>
      </c>
      <c r="I59" s="28">
        <f t="shared" si="49"/>
        <v>0</v>
      </c>
      <c r="J59" s="28">
        <f t="shared" si="49"/>
        <v>0</v>
      </c>
      <c r="K59" s="28">
        <f t="shared" si="49"/>
        <v>0</v>
      </c>
      <c r="L59" s="28">
        <f t="shared" si="49"/>
        <v>0</v>
      </c>
      <c r="M59" s="28">
        <f t="shared" si="49"/>
        <v>0</v>
      </c>
      <c r="N59" s="28">
        <f t="shared" si="49"/>
        <v>0</v>
      </c>
      <c r="O59" s="28">
        <f t="shared" si="49"/>
        <v>0</v>
      </c>
      <c r="P59" s="28">
        <f t="shared" si="49"/>
        <v>0</v>
      </c>
      <c r="Q59" s="28">
        <f t="shared" si="49"/>
        <v>0</v>
      </c>
      <c r="R59" s="28">
        <f t="shared" si="49"/>
        <v>0</v>
      </c>
      <c r="S59" s="28">
        <f t="shared" si="49"/>
        <v>0</v>
      </c>
      <c r="T59" s="28">
        <f t="shared" si="49"/>
        <v>0</v>
      </c>
      <c r="U59" s="28">
        <f t="shared" si="49"/>
        <v>0</v>
      </c>
      <c r="V59" s="28">
        <f t="shared" si="49"/>
        <v>0</v>
      </c>
      <c r="W59" s="28">
        <f t="shared" si="49"/>
        <v>0</v>
      </c>
      <c r="X59" s="28">
        <f t="shared" ref="X59:Y59" si="50">X60+X61</f>
        <v>0</v>
      </c>
      <c r="Y59" s="28">
        <f t="shared" si="50"/>
        <v>0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X60" s="102">
        <f>MBunk_ene!X$4</f>
        <v>0</v>
      </c>
      <c r="Y60" s="102">
        <f>MBunk_ene!Y$4</f>
        <v>0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X61" s="86">
        <f>MBunk_ene!X$10</f>
        <v>0</v>
      </c>
      <c r="Y61" s="86">
        <f>MBunk_ene!Y$10</f>
        <v>0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2878.3189414525959</v>
      </c>
      <c r="C64" s="28">
        <f t="shared" si="51"/>
        <v>2922.1268844038623</v>
      </c>
      <c r="D64" s="28">
        <f t="shared" si="51"/>
        <v>3425.0147157226738</v>
      </c>
      <c r="E64" s="28">
        <f t="shared" si="51"/>
        <v>3267.6298255114266</v>
      </c>
      <c r="F64" s="28">
        <f t="shared" si="51"/>
        <v>3030.3606134868651</v>
      </c>
      <c r="G64" s="28">
        <f t="shared" si="51"/>
        <v>3173.2973539813956</v>
      </c>
      <c r="H64" s="28">
        <f t="shared" si="51"/>
        <v>3073.6706668163802</v>
      </c>
      <c r="I64" s="28">
        <f t="shared" si="51"/>
        <v>3285.8242061362248</v>
      </c>
      <c r="J64" s="28">
        <f t="shared" si="51"/>
        <v>3441.2067225340388</v>
      </c>
      <c r="K64" s="28">
        <f t="shared" si="51"/>
        <v>3157.9433555383216</v>
      </c>
      <c r="L64" s="28">
        <f t="shared" si="51"/>
        <v>3195.156227648436</v>
      </c>
      <c r="M64" s="28">
        <f t="shared" si="51"/>
        <v>3139.2620851652287</v>
      </c>
      <c r="N64" s="28">
        <f t="shared" si="51"/>
        <v>3057.4182552479524</v>
      </c>
      <c r="O64" s="28">
        <f t="shared" si="51"/>
        <v>3057.1102292428659</v>
      </c>
      <c r="P64" s="28">
        <f t="shared" si="51"/>
        <v>2975.6195734187286</v>
      </c>
      <c r="Q64" s="28">
        <f t="shared" si="51"/>
        <v>3017.2054780215462</v>
      </c>
      <c r="R64" s="28">
        <f t="shared" ref="R64:V64" si="52">R65+R69+R73</f>
        <v>3072.269369110873</v>
      </c>
      <c r="S64" s="28">
        <f t="shared" si="52"/>
        <v>3128.1834904013763</v>
      </c>
      <c r="T64" s="28">
        <f t="shared" si="52"/>
        <v>3077.8490126916772</v>
      </c>
      <c r="U64" s="28">
        <f t="shared" si="52"/>
        <v>3035.8374114490621</v>
      </c>
      <c r="V64" s="28">
        <f t="shared" si="52"/>
        <v>2713.8388760869134</v>
      </c>
      <c r="W64" s="28">
        <f t="shared" ref="W64:Y64" si="53">W65+W69+W73</f>
        <v>2776.8671708534162</v>
      </c>
      <c r="X64" s="28">
        <f t="shared" si="53"/>
        <v>2910.3648437393977</v>
      </c>
      <c r="Y64" s="28">
        <f t="shared" si="53"/>
        <v>3026.6451094904755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2798.201136047187</v>
      </c>
      <c r="C65" s="137">
        <f t="shared" si="54"/>
        <v>2830.9969141828074</v>
      </c>
      <c r="D65" s="137">
        <f t="shared" si="54"/>
        <v>3286.5388661831198</v>
      </c>
      <c r="E65" s="137">
        <f t="shared" si="54"/>
        <v>3167.5827967903497</v>
      </c>
      <c r="F65" s="137">
        <f t="shared" si="54"/>
        <v>2950.1135534000546</v>
      </c>
      <c r="G65" s="137">
        <f t="shared" si="54"/>
        <v>3055.7604343385269</v>
      </c>
      <c r="H65" s="137">
        <f t="shared" si="54"/>
        <v>2954.0961643483442</v>
      </c>
      <c r="I65" s="137">
        <f t="shared" si="54"/>
        <v>3137.6034705679449</v>
      </c>
      <c r="J65" s="137">
        <f t="shared" si="54"/>
        <v>3253.3351932697024</v>
      </c>
      <c r="K65" s="137">
        <f t="shared" si="54"/>
        <v>3024.0092022678946</v>
      </c>
      <c r="L65" s="137">
        <f t="shared" si="54"/>
        <v>3074.8353096898381</v>
      </c>
      <c r="M65" s="137">
        <f t="shared" si="54"/>
        <v>3013.4286497224116</v>
      </c>
      <c r="N65" s="137">
        <f t="shared" si="54"/>
        <v>2950.6298541330711</v>
      </c>
      <c r="O65" s="137">
        <f t="shared" si="54"/>
        <v>2938.2746544658985</v>
      </c>
      <c r="P65" s="137">
        <f t="shared" si="54"/>
        <v>2873.1974795694696</v>
      </c>
      <c r="Q65" s="137">
        <f t="shared" si="54"/>
        <v>2890.722718029896</v>
      </c>
      <c r="R65" s="137">
        <f t="shared" ref="R65:V65" si="55">R66+R67+R68</f>
        <v>2926.8177172701517</v>
      </c>
      <c r="S65" s="137">
        <f t="shared" si="55"/>
        <v>3010.8831430613554</v>
      </c>
      <c r="T65" s="137">
        <f t="shared" si="55"/>
        <v>2937.9948646647258</v>
      </c>
      <c r="U65" s="137">
        <f t="shared" si="55"/>
        <v>2901.4495797476493</v>
      </c>
      <c r="V65" s="137">
        <f t="shared" si="55"/>
        <v>2635.5048924922589</v>
      </c>
      <c r="W65" s="137">
        <f t="shared" ref="W65:Y65" si="56">W66+W67+W68</f>
        <v>2712.6626828213084</v>
      </c>
      <c r="X65" s="137">
        <f t="shared" si="56"/>
        <v>2810.4915890517595</v>
      </c>
      <c r="Y65" s="137">
        <f t="shared" si="56"/>
        <v>2940.5596367831513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5.8867250273817575</v>
      </c>
      <c r="C66" s="102">
        <f>TrRoad_emi!C$19</f>
        <v>6.2170978340259699</v>
      </c>
      <c r="D66" s="102">
        <f>TrRoad_emi!D$19</f>
        <v>5.4429051745897334</v>
      </c>
      <c r="E66" s="102">
        <f>TrRoad_emi!E$19</f>
        <v>5.5374090981940745</v>
      </c>
      <c r="F66" s="102">
        <f>TrRoad_emi!F$19</f>
        <v>5.8397902573174116</v>
      </c>
      <c r="G66" s="102">
        <f>TrRoad_emi!G$19</f>
        <v>6.3926392861429582</v>
      </c>
      <c r="H66" s="102">
        <f>TrRoad_emi!H$19</f>
        <v>6.6183502235860461</v>
      </c>
      <c r="I66" s="102">
        <f>TrRoad_emi!I$19</f>
        <v>7.1142190751237591</v>
      </c>
      <c r="J66" s="102">
        <f>TrRoad_emi!J$19</f>
        <v>7.7010019172612116</v>
      </c>
      <c r="K66" s="102">
        <f>TrRoad_emi!K$19</f>
        <v>6.5534851731997481</v>
      </c>
      <c r="L66" s="102">
        <f>TrRoad_emi!L$19</f>
        <v>6.0091895096541963</v>
      </c>
      <c r="M66" s="102">
        <f>TrRoad_emi!M$19</f>
        <v>7.2768460986729844</v>
      </c>
      <c r="N66" s="102">
        <f>TrRoad_emi!N$19</f>
        <v>8.513553788845341</v>
      </c>
      <c r="O66" s="102">
        <f>TrRoad_emi!O$19</f>
        <v>8.6625280258890847</v>
      </c>
      <c r="P66" s="102">
        <f>TrRoad_emi!P$19</f>
        <v>9.4574921794925437</v>
      </c>
      <c r="Q66" s="102">
        <f>TrRoad_emi!Q$19</f>
        <v>10.516240655994604</v>
      </c>
      <c r="R66" s="102">
        <f>TrRoad_emi!R$19</f>
        <v>11.284494228371502</v>
      </c>
      <c r="S66" s="102">
        <f>TrRoad_emi!S$19</f>
        <v>10.616094102233772</v>
      </c>
      <c r="T66" s="102">
        <f>TrRoad_emi!T$19</f>
        <v>10.164986583423342</v>
      </c>
      <c r="U66" s="102">
        <f>TrRoad_emi!U$19</f>
        <v>10.778784807454878</v>
      </c>
      <c r="V66" s="102">
        <f>TrRoad_emi!V$19</f>
        <v>9.5450440278654813</v>
      </c>
      <c r="W66" s="102">
        <f>TrRoad_emi!W$19</f>
        <v>9.9745539525221432</v>
      </c>
      <c r="X66" s="102">
        <f>TrRoad_emi!X$19</f>
        <v>10.127802298246548</v>
      </c>
      <c r="Y66" s="102">
        <f>TrRoad_emi!Y$19</f>
        <v>10.832238636822204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2230.227883179829</v>
      </c>
      <c r="C67" s="102">
        <f>TrRoad_emi!C$20</f>
        <v>2309.2416731549811</v>
      </c>
      <c r="D67" s="102">
        <f>TrRoad_emi!D$20</f>
        <v>2748.2915801911809</v>
      </c>
      <c r="E67" s="102">
        <f>TrRoad_emi!E$20</f>
        <v>2618.8406349464485</v>
      </c>
      <c r="F67" s="102">
        <f>TrRoad_emi!F$20</f>
        <v>2442.6298032587729</v>
      </c>
      <c r="G67" s="102">
        <f>TrRoad_emi!G$20</f>
        <v>2570.7710871990266</v>
      </c>
      <c r="H67" s="102">
        <f>TrRoad_emi!H$20</f>
        <v>2474.3466451818499</v>
      </c>
      <c r="I67" s="102">
        <f>TrRoad_emi!I$20</f>
        <v>2566.2399298390574</v>
      </c>
      <c r="J67" s="102">
        <f>TrRoad_emi!J$20</f>
        <v>2697.1320296044969</v>
      </c>
      <c r="K67" s="102">
        <f>TrRoad_emi!K$20</f>
        <v>2513.6753035876382</v>
      </c>
      <c r="L67" s="102">
        <f>TrRoad_emi!L$20</f>
        <v>2574.8359199085962</v>
      </c>
      <c r="M67" s="102">
        <f>TrRoad_emi!M$20</f>
        <v>2548.5856623377872</v>
      </c>
      <c r="N67" s="102">
        <f>TrRoad_emi!N$20</f>
        <v>2487.5737691773434</v>
      </c>
      <c r="O67" s="102">
        <f>TrRoad_emi!O$20</f>
        <v>2491.1708387533854</v>
      </c>
      <c r="P67" s="102">
        <f>TrRoad_emi!P$20</f>
        <v>2432.7588766993949</v>
      </c>
      <c r="Q67" s="102">
        <f>TrRoad_emi!Q$20</f>
        <v>2459.9054709354045</v>
      </c>
      <c r="R67" s="102">
        <f>TrRoad_emi!R$20</f>
        <v>2511.4971957017556</v>
      </c>
      <c r="S67" s="102">
        <f>TrRoad_emi!S$20</f>
        <v>2563.5905899287113</v>
      </c>
      <c r="T67" s="102">
        <f>TrRoad_emi!T$20</f>
        <v>2478.1528054320638</v>
      </c>
      <c r="U67" s="102">
        <f>TrRoad_emi!U$20</f>
        <v>2431.1419386281464</v>
      </c>
      <c r="V67" s="102">
        <f>TrRoad_emi!V$20</f>
        <v>2237.7065010660071</v>
      </c>
      <c r="W67" s="102">
        <f>TrRoad_emi!W$20</f>
        <v>2313.7623227906079</v>
      </c>
      <c r="X67" s="102">
        <f>TrRoad_emi!X$20</f>
        <v>2386.428241127217</v>
      </c>
      <c r="Y67" s="102">
        <f>TrRoad_emi!Y$20</f>
        <v>2515.1430719774826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562.08652783997638</v>
      </c>
      <c r="C68" s="102">
        <f>TrRoad_emi!C$27</f>
        <v>515.53814319380035</v>
      </c>
      <c r="D68" s="102">
        <f>TrRoad_emi!D$27</f>
        <v>532.8043808173494</v>
      </c>
      <c r="E68" s="102">
        <f>TrRoad_emi!E$27</f>
        <v>543.20475274570686</v>
      </c>
      <c r="F68" s="102">
        <f>TrRoad_emi!F$27</f>
        <v>501.64395988396433</v>
      </c>
      <c r="G68" s="102">
        <f>TrRoad_emi!G$27</f>
        <v>478.59670785335703</v>
      </c>
      <c r="H68" s="102">
        <f>TrRoad_emi!H$27</f>
        <v>473.13116894290835</v>
      </c>
      <c r="I68" s="102">
        <f>TrRoad_emi!I$27</f>
        <v>564.24932165376367</v>
      </c>
      <c r="J68" s="102">
        <f>TrRoad_emi!J$27</f>
        <v>548.50216174794423</v>
      </c>
      <c r="K68" s="102">
        <f>TrRoad_emi!K$27</f>
        <v>503.78041350705683</v>
      </c>
      <c r="L68" s="102">
        <f>TrRoad_emi!L$27</f>
        <v>493.99020027158747</v>
      </c>
      <c r="M68" s="102">
        <f>TrRoad_emi!M$27</f>
        <v>457.56614128595146</v>
      </c>
      <c r="N68" s="102">
        <f>TrRoad_emi!N$27</f>
        <v>454.54253116688244</v>
      </c>
      <c r="O68" s="102">
        <f>TrRoad_emi!O$27</f>
        <v>438.44128768662381</v>
      </c>
      <c r="P68" s="102">
        <f>TrRoad_emi!P$27</f>
        <v>430.98111069058211</v>
      </c>
      <c r="Q68" s="102">
        <f>TrRoad_emi!Q$27</f>
        <v>420.30100643849642</v>
      </c>
      <c r="R68" s="102">
        <f>TrRoad_emi!R$27</f>
        <v>404.03602734002476</v>
      </c>
      <c r="S68" s="102">
        <f>TrRoad_emi!S$27</f>
        <v>436.67645903041034</v>
      </c>
      <c r="T68" s="102">
        <f>TrRoad_emi!T$27</f>
        <v>449.67707264923848</v>
      </c>
      <c r="U68" s="102">
        <f>TrRoad_emi!U$27</f>
        <v>459.52885631204816</v>
      </c>
      <c r="V68" s="102">
        <f>TrRoad_emi!V$27</f>
        <v>388.25334739838615</v>
      </c>
      <c r="W68" s="102">
        <f>TrRoad_emi!W$27</f>
        <v>388.92580607817837</v>
      </c>
      <c r="X68" s="102">
        <f>TrRoad_emi!X$27</f>
        <v>413.935545626296</v>
      </c>
      <c r="Y68" s="102">
        <f>TrRoad_emi!Y$27</f>
        <v>414.58432616884659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0</v>
      </c>
      <c r="C69" s="110">
        <f t="shared" si="57"/>
        <v>0</v>
      </c>
      <c r="D69" s="110">
        <f t="shared" si="57"/>
        <v>0</v>
      </c>
      <c r="E69" s="110">
        <f t="shared" si="57"/>
        <v>0</v>
      </c>
      <c r="F69" s="110">
        <f t="shared" si="57"/>
        <v>0</v>
      </c>
      <c r="G69" s="110">
        <f t="shared" si="57"/>
        <v>0</v>
      </c>
      <c r="H69" s="110">
        <f t="shared" si="57"/>
        <v>0</v>
      </c>
      <c r="I69" s="110">
        <f t="shared" si="57"/>
        <v>0</v>
      </c>
      <c r="J69" s="110">
        <f t="shared" si="57"/>
        <v>0</v>
      </c>
      <c r="K69" s="110">
        <f t="shared" si="57"/>
        <v>0</v>
      </c>
      <c r="L69" s="110">
        <f t="shared" si="57"/>
        <v>0</v>
      </c>
      <c r="M69" s="110">
        <f t="shared" si="57"/>
        <v>0</v>
      </c>
      <c r="N69" s="110">
        <f t="shared" si="57"/>
        <v>0</v>
      </c>
      <c r="O69" s="110">
        <f t="shared" si="57"/>
        <v>0</v>
      </c>
      <c r="P69" s="110">
        <f t="shared" si="57"/>
        <v>0</v>
      </c>
      <c r="Q69" s="110">
        <f t="shared" si="57"/>
        <v>0</v>
      </c>
      <c r="R69" s="110">
        <f t="shared" ref="R69:V69" si="58">R70+R71+R72</f>
        <v>0</v>
      </c>
      <c r="S69" s="110">
        <f t="shared" si="58"/>
        <v>0</v>
      </c>
      <c r="T69" s="110">
        <f t="shared" si="58"/>
        <v>0</v>
      </c>
      <c r="U69" s="110">
        <f t="shared" si="58"/>
        <v>0</v>
      </c>
      <c r="V69" s="110">
        <f t="shared" si="58"/>
        <v>0</v>
      </c>
      <c r="W69" s="110">
        <f t="shared" ref="W69:Y69" si="59">W70+W71+W72</f>
        <v>0</v>
      </c>
      <c r="X69" s="110">
        <f t="shared" si="59"/>
        <v>0</v>
      </c>
      <c r="Y69" s="110">
        <f t="shared" si="59"/>
        <v>0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X71" s="102">
        <f>TrRail_emi!X$11</f>
        <v>0</v>
      </c>
      <c r="Y71" s="102">
        <f>TrRail_emi!Y$11</f>
        <v>0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80.117805405408888</v>
      </c>
      <c r="C73" s="110">
        <f t="shared" si="60"/>
        <v>91.129970221054734</v>
      </c>
      <c r="D73" s="110">
        <f t="shared" si="60"/>
        <v>138.47584953955408</v>
      </c>
      <c r="E73" s="110">
        <f t="shared" si="60"/>
        <v>100.04702872107696</v>
      </c>
      <c r="F73" s="110">
        <f t="shared" si="60"/>
        <v>80.247060086810336</v>
      </c>
      <c r="G73" s="110">
        <f t="shared" si="60"/>
        <v>117.53691964286895</v>
      </c>
      <c r="H73" s="110">
        <f t="shared" si="60"/>
        <v>119.57450246803613</v>
      </c>
      <c r="I73" s="110">
        <f t="shared" si="60"/>
        <v>148.22073556827991</v>
      </c>
      <c r="J73" s="110">
        <f t="shared" si="60"/>
        <v>187.87152926433666</v>
      </c>
      <c r="K73" s="110">
        <f t="shared" si="60"/>
        <v>133.93415327042692</v>
      </c>
      <c r="L73" s="110">
        <f t="shared" si="60"/>
        <v>120.32091795859786</v>
      </c>
      <c r="M73" s="110">
        <f t="shared" si="60"/>
        <v>125.83343544281703</v>
      </c>
      <c r="N73" s="110">
        <f t="shared" si="60"/>
        <v>106.78840111488148</v>
      </c>
      <c r="O73" s="110">
        <f t="shared" si="60"/>
        <v>118.83557477696743</v>
      </c>
      <c r="P73" s="110">
        <f t="shared" si="60"/>
        <v>102.42209384925916</v>
      </c>
      <c r="Q73" s="110">
        <f t="shared" si="60"/>
        <v>126.48275999165043</v>
      </c>
      <c r="R73" s="110">
        <f t="shared" ref="R73:V73" si="61">R74+R75+R76</f>
        <v>145.45165184072138</v>
      </c>
      <c r="S73" s="110">
        <f t="shared" si="61"/>
        <v>117.30034734002081</v>
      </c>
      <c r="T73" s="110">
        <f t="shared" si="61"/>
        <v>139.85414802695146</v>
      </c>
      <c r="U73" s="110">
        <f t="shared" si="61"/>
        <v>134.38783170141267</v>
      </c>
      <c r="V73" s="110">
        <f t="shared" si="61"/>
        <v>78.333983594654441</v>
      </c>
      <c r="W73" s="110">
        <f t="shared" ref="W73:Y73" si="62">W74+W75+W76</f>
        <v>64.20448803210796</v>
      </c>
      <c r="X73" s="110">
        <f t="shared" si="62"/>
        <v>99.873254687638308</v>
      </c>
      <c r="Y73" s="110">
        <f t="shared" si="62"/>
        <v>86.085472707324143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49.352113435970196</v>
      </c>
      <c r="C75" s="102">
        <f>TrAvia_emi!C$8</f>
        <v>56.080229861078365</v>
      </c>
      <c r="D75" s="102">
        <f>TrAvia_emi!D$8</f>
        <v>74.230153942216418</v>
      </c>
      <c r="E75" s="102">
        <f>TrAvia_emi!E$8</f>
        <v>55.069220212540891</v>
      </c>
      <c r="F75" s="102">
        <f>TrAvia_emi!F$8</f>
        <v>46.816240947885504</v>
      </c>
      <c r="G75" s="102">
        <f>TrAvia_emi!G$8</f>
        <v>72.114966853087381</v>
      </c>
      <c r="H75" s="102">
        <f>TrAvia_emi!H$8</f>
        <v>77.364210266185012</v>
      </c>
      <c r="I75" s="102">
        <f>TrAvia_emi!I$8</f>
        <v>97.712681711299282</v>
      </c>
      <c r="J75" s="102">
        <f>TrAvia_emi!J$8</f>
        <v>129.54170480504393</v>
      </c>
      <c r="K75" s="102">
        <f>TrAvia_emi!K$8</f>
        <v>88.122013493457288</v>
      </c>
      <c r="L75" s="102">
        <f>TrAvia_emi!L$8</f>
        <v>76.386137442994652</v>
      </c>
      <c r="M75" s="102">
        <f>TrAvia_emi!M$8</f>
        <v>78.280568705408967</v>
      </c>
      <c r="N75" s="102">
        <f>TrAvia_emi!N$8</f>
        <v>65.857256402272142</v>
      </c>
      <c r="O75" s="102">
        <f>TrAvia_emi!O$8</f>
        <v>72.874938532923977</v>
      </c>
      <c r="P75" s="102">
        <f>TrAvia_emi!P$8</f>
        <v>64.420264297712365</v>
      </c>
      <c r="Q75" s="102">
        <f>TrAvia_emi!Q$8</f>
        <v>82.132160146942113</v>
      </c>
      <c r="R75" s="102">
        <f>TrAvia_emi!R$8</f>
        <v>96.393315024318255</v>
      </c>
      <c r="S75" s="102">
        <f>TrAvia_emi!S$8</f>
        <v>76.861111931096644</v>
      </c>
      <c r="T75" s="102">
        <f>TrAvia_emi!T$8</f>
        <v>92.433102019719811</v>
      </c>
      <c r="U75" s="102">
        <f>TrAvia_emi!U$8</f>
        <v>88.596875886341934</v>
      </c>
      <c r="V75" s="102">
        <f>TrAvia_emi!V$8</f>
        <v>43.955143686353352</v>
      </c>
      <c r="W75" s="102">
        <f>TrAvia_emi!W$8</f>
        <v>38.614706968102652</v>
      </c>
      <c r="X75" s="102">
        <f>TrAvia_emi!X$8</f>
        <v>65.425211112661074</v>
      </c>
      <c r="Y75" s="102">
        <f>TrAvia_emi!Y$8</f>
        <v>56.041426211417971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30.765691969438699</v>
      </c>
      <c r="C76" s="102">
        <f>TrAvia_emi!C$9</f>
        <v>35.049740359976369</v>
      </c>
      <c r="D76" s="102">
        <f>TrAvia_emi!D$9</f>
        <v>64.245695597337644</v>
      </c>
      <c r="E76" s="102">
        <f>TrAvia_emi!E$9</f>
        <v>44.977808508536064</v>
      </c>
      <c r="F76" s="102">
        <f>TrAvia_emi!F$9</f>
        <v>33.430819138924839</v>
      </c>
      <c r="G76" s="102">
        <f>TrAvia_emi!G$9</f>
        <v>45.421952789781564</v>
      </c>
      <c r="H76" s="102">
        <f>TrAvia_emi!H$9</f>
        <v>42.210292201851118</v>
      </c>
      <c r="I76" s="102">
        <f>TrAvia_emi!I$9</f>
        <v>50.508053856980631</v>
      </c>
      <c r="J76" s="102">
        <f>TrAvia_emi!J$9</f>
        <v>58.329824459292723</v>
      </c>
      <c r="K76" s="102">
        <f>TrAvia_emi!K$9</f>
        <v>45.812139776969623</v>
      </c>
      <c r="L76" s="102">
        <f>TrAvia_emi!L$9</f>
        <v>43.934780515603208</v>
      </c>
      <c r="M76" s="102">
        <f>TrAvia_emi!M$9</f>
        <v>47.55286673740806</v>
      </c>
      <c r="N76" s="102">
        <f>TrAvia_emi!N$9</f>
        <v>40.931144712609331</v>
      </c>
      <c r="O76" s="102">
        <f>TrAvia_emi!O$9</f>
        <v>45.960636244043464</v>
      </c>
      <c r="P76" s="102">
        <f>TrAvia_emi!P$9</f>
        <v>38.001829551546791</v>
      </c>
      <c r="Q76" s="102">
        <f>TrAvia_emi!Q$9</f>
        <v>44.350599844708313</v>
      </c>
      <c r="R76" s="102">
        <f>TrAvia_emi!R$9</f>
        <v>49.058336816403134</v>
      </c>
      <c r="S76" s="102">
        <f>TrAvia_emi!S$9</f>
        <v>40.439235408924155</v>
      </c>
      <c r="T76" s="102">
        <f>TrAvia_emi!T$9</f>
        <v>47.421046007231652</v>
      </c>
      <c r="U76" s="102">
        <f>TrAvia_emi!U$9</f>
        <v>45.790955815070717</v>
      </c>
      <c r="V76" s="102">
        <f>TrAvia_emi!V$9</f>
        <v>34.378839908301089</v>
      </c>
      <c r="W76" s="102">
        <f>TrAvia_emi!W$9</f>
        <v>25.589781064005308</v>
      </c>
      <c r="X76" s="102">
        <f>TrAvia_emi!X$9</f>
        <v>34.448043574977234</v>
      </c>
      <c r="Y76" s="102">
        <f>TrAvia_emi!Y$9</f>
        <v>30.044046495906176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1260.0338781874034</v>
      </c>
      <c r="C77" s="28">
        <f t="shared" si="63"/>
        <v>1233.6986021961384</v>
      </c>
      <c r="D77" s="28">
        <f t="shared" si="63"/>
        <v>1807.6537573573262</v>
      </c>
      <c r="E77" s="28">
        <f t="shared" si="63"/>
        <v>1395.5593981285731</v>
      </c>
      <c r="F77" s="28">
        <f t="shared" si="63"/>
        <v>1594.5899076731353</v>
      </c>
      <c r="G77" s="28">
        <f t="shared" si="63"/>
        <v>2046.1122704986037</v>
      </c>
      <c r="H77" s="28">
        <f t="shared" si="63"/>
        <v>2208.2519701836191</v>
      </c>
      <c r="I77" s="28">
        <f t="shared" si="63"/>
        <v>2547.0909786637753</v>
      </c>
      <c r="J77" s="28">
        <f t="shared" si="63"/>
        <v>2839.0352549059589</v>
      </c>
      <c r="K77" s="28">
        <f t="shared" si="63"/>
        <v>2369.2501128616773</v>
      </c>
      <c r="L77" s="28">
        <f t="shared" si="63"/>
        <v>3206.3428541915646</v>
      </c>
      <c r="M77" s="28">
        <f t="shared" si="63"/>
        <v>3142.1579429547701</v>
      </c>
      <c r="N77" s="28">
        <f t="shared" si="63"/>
        <v>3028.5888592320484</v>
      </c>
      <c r="O77" s="28">
        <f t="shared" si="63"/>
        <v>3011.203360437135</v>
      </c>
      <c r="P77" s="28">
        <f t="shared" si="63"/>
        <v>2922.1246209012725</v>
      </c>
      <c r="Q77" s="28">
        <f t="shared" si="63"/>
        <v>2833.583646658456</v>
      </c>
      <c r="R77" s="28">
        <f t="shared" si="63"/>
        <v>3442.6116148091255</v>
      </c>
      <c r="S77" s="28">
        <f t="shared" si="63"/>
        <v>4386.3521632386255</v>
      </c>
      <c r="T77" s="28">
        <f t="shared" si="63"/>
        <v>4427.2883376683203</v>
      </c>
      <c r="U77" s="28">
        <f t="shared" si="63"/>
        <v>4443.6313128709371</v>
      </c>
      <c r="V77" s="28">
        <f t="shared" si="63"/>
        <v>4119.1695228730869</v>
      </c>
      <c r="W77" s="28">
        <f t="shared" si="63"/>
        <v>4459.3784081865833</v>
      </c>
      <c r="X77" s="28">
        <f t="shared" si="63"/>
        <v>4550.3268007805991</v>
      </c>
      <c r="Y77" s="28">
        <f t="shared" si="63"/>
        <v>4333.9179321495249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1188.2821132676122</v>
      </c>
      <c r="C78" s="137">
        <f t="shared" si="64"/>
        <v>1148.5023718483931</v>
      </c>
      <c r="D78" s="137">
        <f t="shared" si="64"/>
        <v>1745.2138764811161</v>
      </c>
      <c r="E78" s="137">
        <f t="shared" si="64"/>
        <v>1358.1045846268501</v>
      </c>
      <c r="F78" s="137">
        <f t="shared" si="64"/>
        <v>1543.9316736399455</v>
      </c>
      <c r="G78" s="137">
        <f t="shared" si="64"/>
        <v>1988.3867135262726</v>
      </c>
      <c r="H78" s="137">
        <f t="shared" si="64"/>
        <v>2174.2504946296553</v>
      </c>
      <c r="I78" s="137">
        <f t="shared" si="64"/>
        <v>2500.4176789132553</v>
      </c>
      <c r="J78" s="137">
        <f t="shared" si="64"/>
        <v>2776.0553188606955</v>
      </c>
      <c r="K78" s="137">
        <f t="shared" si="64"/>
        <v>2328.2392472153042</v>
      </c>
      <c r="L78" s="137">
        <f t="shared" si="64"/>
        <v>3152.1812109901625</v>
      </c>
      <c r="M78" s="137">
        <f t="shared" si="64"/>
        <v>3086.6645256775873</v>
      </c>
      <c r="N78" s="137">
        <f t="shared" si="64"/>
        <v>2973.2358081713301</v>
      </c>
      <c r="O78" s="137">
        <f t="shared" si="64"/>
        <v>2955.9501260629027</v>
      </c>
      <c r="P78" s="137">
        <f t="shared" si="64"/>
        <v>2869.6433061437315</v>
      </c>
      <c r="Q78" s="137">
        <f t="shared" si="64"/>
        <v>2780.7623309877063</v>
      </c>
      <c r="R78" s="137">
        <f t="shared" ref="R78:V78" si="65">R79+R80</f>
        <v>3382.872824675047</v>
      </c>
      <c r="S78" s="137">
        <f t="shared" si="65"/>
        <v>4325.190892383046</v>
      </c>
      <c r="T78" s="137">
        <f t="shared" si="65"/>
        <v>4373.7007453844717</v>
      </c>
      <c r="U78" s="137">
        <f t="shared" si="65"/>
        <v>4383.8205145827496</v>
      </c>
      <c r="V78" s="137">
        <f t="shared" si="65"/>
        <v>4057.6404080485418</v>
      </c>
      <c r="W78" s="137">
        <f t="shared" ref="W78:Y78" si="66">W79+W80</f>
        <v>4402.0892621994917</v>
      </c>
      <c r="X78" s="137">
        <f t="shared" si="66"/>
        <v>4504.5090709022379</v>
      </c>
      <c r="Y78" s="137">
        <f t="shared" si="66"/>
        <v>4292.4072703728489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541.87103788136415</v>
      </c>
      <c r="C79" s="102">
        <f>TrRoad_emi!C$34</f>
        <v>544.26401097474866</v>
      </c>
      <c r="D79" s="102">
        <f>TrRoad_emi!D$34</f>
        <v>662.10822297981952</v>
      </c>
      <c r="E79" s="102">
        <f>TrRoad_emi!E$34</f>
        <v>619.51706589858395</v>
      </c>
      <c r="F79" s="102">
        <f>TrRoad_emi!F$34</f>
        <v>659.90228174812137</v>
      </c>
      <c r="G79" s="102">
        <f>TrRoad_emi!G$34</f>
        <v>729.95583620786135</v>
      </c>
      <c r="H79" s="102">
        <f>TrRoad_emi!H$34</f>
        <v>661.06380449260951</v>
      </c>
      <c r="I79" s="102">
        <f>TrRoad_emi!I$34</f>
        <v>788.6010690030123</v>
      </c>
      <c r="J79" s="102">
        <f>TrRoad_emi!J$34</f>
        <v>781.40391111510121</v>
      </c>
      <c r="K79" s="102">
        <f>TrRoad_emi!K$34</f>
        <v>765.34566280777074</v>
      </c>
      <c r="L79" s="102">
        <f>TrRoad_emi!L$34</f>
        <v>898.58076048977853</v>
      </c>
      <c r="M79" s="102">
        <f>TrRoad_emi!M$34</f>
        <v>942.45510235997494</v>
      </c>
      <c r="N79" s="102">
        <f>TrRoad_emi!N$34</f>
        <v>921.97165067293736</v>
      </c>
      <c r="O79" s="102">
        <f>TrRoad_emi!O$34</f>
        <v>808.75095526622556</v>
      </c>
      <c r="P79" s="102">
        <f>TrRoad_emi!P$34</f>
        <v>721.73151298615664</v>
      </c>
      <c r="Q79" s="102">
        <f>TrRoad_emi!Q$34</f>
        <v>779.70571320300098</v>
      </c>
      <c r="R79" s="102">
        <f>TrRoad_emi!R$34</f>
        <v>791.41930870089357</v>
      </c>
      <c r="S79" s="102">
        <f>TrRoad_emi!S$34</f>
        <v>863.00780336368348</v>
      </c>
      <c r="T79" s="102">
        <f>TrRoad_emi!T$34</f>
        <v>846.10765189603558</v>
      </c>
      <c r="U79" s="102">
        <f>TrRoad_emi!U$34</f>
        <v>839.31662714239314</v>
      </c>
      <c r="V79" s="102">
        <f>TrRoad_emi!V$34</f>
        <v>859.7000179056198</v>
      </c>
      <c r="W79" s="102">
        <f>TrRoad_emi!W$34</f>
        <v>820.46837601652953</v>
      </c>
      <c r="X79" s="102">
        <f>TrRoad_emi!X$34</f>
        <v>857.16459177820684</v>
      </c>
      <c r="Y79" s="102">
        <f>TrRoad_emi!Y$34</f>
        <v>888.89663208549143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646.41107538624806</v>
      </c>
      <c r="C80" s="102">
        <f>TrRoad_emi!C$40</f>
        <v>604.2383608736443</v>
      </c>
      <c r="D80" s="102">
        <f>TrRoad_emi!D$40</f>
        <v>1083.1056535012967</v>
      </c>
      <c r="E80" s="102">
        <f>TrRoad_emi!E$40</f>
        <v>738.5875187282661</v>
      </c>
      <c r="F80" s="102">
        <f>TrRoad_emi!F$40</f>
        <v>884.02939189182428</v>
      </c>
      <c r="G80" s="102">
        <f>TrRoad_emi!G$40</f>
        <v>1258.4308773184111</v>
      </c>
      <c r="H80" s="102">
        <f>TrRoad_emi!H$40</f>
        <v>1513.1866901370458</v>
      </c>
      <c r="I80" s="102">
        <f>TrRoad_emi!I$40</f>
        <v>1711.8166099102427</v>
      </c>
      <c r="J80" s="102">
        <f>TrRoad_emi!J$40</f>
        <v>1994.651407745594</v>
      </c>
      <c r="K80" s="102">
        <f>TrRoad_emi!K$40</f>
        <v>1562.8935844075336</v>
      </c>
      <c r="L80" s="102">
        <f>TrRoad_emi!L$40</f>
        <v>2253.6004505003839</v>
      </c>
      <c r="M80" s="102">
        <f>TrRoad_emi!M$40</f>
        <v>2144.2094233176122</v>
      </c>
      <c r="N80" s="102">
        <f>TrRoad_emi!N$40</f>
        <v>2051.2641574983927</v>
      </c>
      <c r="O80" s="102">
        <f>TrRoad_emi!O$40</f>
        <v>2147.1991707966772</v>
      </c>
      <c r="P80" s="102">
        <f>TrRoad_emi!P$40</f>
        <v>2147.9117931575747</v>
      </c>
      <c r="Q80" s="102">
        <f>TrRoad_emi!Q$40</f>
        <v>2001.0566177847054</v>
      </c>
      <c r="R80" s="102">
        <f>TrRoad_emi!R$40</f>
        <v>2591.4535159741536</v>
      </c>
      <c r="S80" s="102">
        <f>TrRoad_emi!S$40</f>
        <v>3462.1830890193623</v>
      </c>
      <c r="T80" s="102">
        <f>TrRoad_emi!T$40</f>
        <v>3527.5930934884364</v>
      </c>
      <c r="U80" s="102">
        <f>TrRoad_emi!U$40</f>
        <v>3544.5038874403563</v>
      </c>
      <c r="V80" s="102">
        <f>TrRoad_emi!V$40</f>
        <v>3197.9403901429218</v>
      </c>
      <c r="W80" s="102">
        <f>TrRoad_emi!W$40</f>
        <v>3581.6208861829618</v>
      </c>
      <c r="X80" s="102">
        <f>TrRoad_emi!X$40</f>
        <v>3647.3444791240308</v>
      </c>
      <c r="Y80" s="102">
        <f>TrRoad_emi!Y$40</f>
        <v>3403.5106382873578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X81" s="110">
        <f>TrRail_emi!X$15</f>
        <v>0</v>
      </c>
      <c r="Y81" s="110">
        <f>TrRail_emi!Y$15</f>
        <v>0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2.3227345945910907</v>
      </c>
      <c r="C82" s="110">
        <f t="shared" si="67"/>
        <v>2.2809854989452729</v>
      </c>
      <c r="D82" s="110">
        <f t="shared" si="67"/>
        <v>1.5889454604459632</v>
      </c>
      <c r="E82" s="110">
        <f t="shared" si="67"/>
        <v>1.9910641989230413</v>
      </c>
      <c r="F82" s="110">
        <f t="shared" si="67"/>
        <v>0.70929135318966785</v>
      </c>
      <c r="G82" s="110">
        <f t="shared" si="67"/>
        <v>0.78376231713102984</v>
      </c>
      <c r="H82" s="110">
        <f t="shared" si="67"/>
        <v>1.5346628119639107</v>
      </c>
      <c r="I82" s="110">
        <f t="shared" si="67"/>
        <v>1.2197619117201079</v>
      </c>
      <c r="J82" s="110">
        <f t="shared" si="67"/>
        <v>2.0422259756633925</v>
      </c>
      <c r="K82" s="110">
        <f t="shared" si="67"/>
        <v>3.0496692095730591</v>
      </c>
      <c r="L82" s="110">
        <f t="shared" si="67"/>
        <v>4.2127005214021391</v>
      </c>
      <c r="M82" s="110">
        <f t="shared" si="67"/>
        <v>4.923990837182985</v>
      </c>
      <c r="N82" s="110">
        <f t="shared" si="67"/>
        <v>5.2893188851185231</v>
      </c>
      <c r="O82" s="110">
        <f t="shared" si="67"/>
        <v>5.695196463032576</v>
      </c>
      <c r="P82" s="110">
        <f t="shared" si="67"/>
        <v>3.4289711107408474</v>
      </c>
      <c r="Q82" s="110">
        <f t="shared" si="67"/>
        <v>4.2746662883495929</v>
      </c>
      <c r="R82" s="110">
        <f t="shared" si="67"/>
        <v>3.9852218792786509</v>
      </c>
      <c r="S82" s="110">
        <f t="shared" si="67"/>
        <v>4.1170963799792126</v>
      </c>
      <c r="T82" s="110">
        <f t="shared" si="67"/>
        <v>3.356329493048559</v>
      </c>
      <c r="U82" s="110">
        <f t="shared" si="67"/>
        <v>2.5959907785873599</v>
      </c>
      <c r="V82" s="110">
        <f t="shared" si="67"/>
        <v>8.8376339253455889</v>
      </c>
      <c r="W82" s="110">
        <f t="shared" ref="W82:Y82" si="68">W83+W84+W85</f>
        <v>4.2874232078920667</v>
      </c>
      <c r="X82" s="110">
        <f t="shared" si="68"/>
        <v>2.8647415923616979</v>
      </c>
      <c r="Y82" s="110">
        <f t="shared" si="68"/>
        <v>1.0861448126758781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1.2126898470357983</v>
      </c>
      <c r="C84" s="102">
        <f>TrAvia_emi!C$12</f>
        <v>1.1668339009968398</v>
      </c>
      <c r="D84" s="102">
        <f>TrAvia_emi!D$12</f>
        <v>1.2606216375757939</v>
      </c>
      <c r="E84" s="102">
        <f>TrAvia_emi!E$12</f>
        <v>0.54588264282991905</v>
      </c>
      <c r="F84" s="102">
        <f>TrAvia_emi!F$12</f>
        <v>0.21570784012590177</v>
      </c>
      <c r="G84" s="102">
        <f>TrAvia_emi!G$12</f>
        <v>0.17839192583224628</v>
      </c>
      <c r="H84" s="102">
        <f>TrAvia_emi!H$12</f>
        <v>0.14969548128016874</v>
      </c>
      <c r="I84" s="102">
        <f>TrAvia_emi!I$12</f>
        <v>0.18196270348861646</v>
      </c>
      <c r="J84" s="102">
        <f>TrAvia_emi!J$12</f>
        <v>1.5522152784948657</v>
      </c>
      <c r="K84" s="102">
        <f>TrAvia_emi!K$12</f>
        <v>2.6956689793221567</v>
      </c>
      <c r="L84" s="102">
        <f>TrAvia_emi!L$12</f>
        <v>3.2779496265366892</v>
      </c>
      <c r="M84" s="102">
        <f>TrAvia_emi!M$12</f>
        <v>4.8401416406615558</v>
      </c>
      <c r="N84" s="102">
        <f>TrAvia_emi!N$12</f>
        <v>5.2201227135781636</v>
      </c>
      <c r="O84" s="102">
        <f>TrAvia_emi!O$12</f>
        <v>5.5599499589014618</v>
      </c>
      <c r="P84" s="102">
        <f>TrAvia_emi!P$12</f>
        <v>2.7615059604653878</v>
      </c>
      <c r="Q84" s="102">
        <f>TrAvia_emi!Q$12</f>
        <v>3.7596315533898124</v>
      </c>
      <c r="R84" s="102">
        <f>TrAvia_emi!R$12</f>
        <v>3.5648797605976554</v>
      </c>
      <c r="S84" s="102">
        <f>TrAvia_emi!S$12</f>
        <v>3.9873901729179169</v>
      </c>
      <c r="T84" s="102">
        <f>TrAvia_emi!T$12</f>
        <v>3.2234359447567038</v>
      </c>
      <c r="U84" s="102">
        <f>TrAvia_emi!U$12</f>
        <v>2.5603662123894919</v>
      </c>
      <c r="V84" s="102">
        <f>TrAvia_emi!V$12</f>
        <v>8.4980807515755252</v>
      </c>
      <c r="W84" s="102">
        <f>TrAvia_emi!W$12</f>
        <v>4.2689286896772565</v>
      </c>
      <c r="X84" s="102">
        <f>TrAvia_emi!X$12</f>
        <v>2.853236494882883</v>
      </c>
      <c r="Y84" s="102">
        <f>TrAvia_emi!Y$12</f>
        <v>1.080455885154497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1.1100447475552924</v>
      </c>
      <c r="C85" s="102">
        <f>TrAvia_emi!C$13</f>
        <v>1.1141515979484329</v>
      </c>
      <c r="D85" s="102">
        <f>TrAvia_emi!D$13</f>
        <v>0.3283238228701692</v>
      </c>
      <c r="E85" s="102">
        <f>TrAvia_emi!E$13</f>
        <v>1.4451815560931223</v>
      </c>
      <c r="F85" s="102">
        <f>TrAvia_emi!F$13</f>
        <v>0.49358351306376613</v>
      </c>
      <c r="G85" s="102">
        <f>TrAvia_emi!G$13</f>
        <v>0.60537039129878356</v>
      </c>
      <c r="H85" s="102">
        <f>TrAvia_emi!H$13</f>
        <v>1.384967330683742</v>
      </c>
      <c r="I85" s="102">
        <f>TrAvia_emi!I$13</f>
        <v>1.0377992082314915</v>
      </c>
      <c r="J85" s="102">
        <f>TrAvia_emi!J$13</f>
        <v>0.49001069716852685</v>
      </c>
      <c r="K85" s="102">
        <f>TrAvia_emi!K$13</f>
        <v>0.35400023025090249</v>
      </c>
      <c r="L85" s="102">
        <f>TrAvia_emi!L$13</f>
        <v>0.93475089486545004</v>
      </c>
      <c r="M85" s="102">
        <f>TrAvia_emi!M$13</f>
        <v>8.384919652142947E-2</v>
      </c>
      <c r="N85" s="102">
        <f>TrAvia_emi!N$13</f>
        <v>6.9196171540359938E-2</v>
      </c>
      <c r="O85" s="102">
        <f>TrAvia_emi!O$13</f>
        <v>0.13524650413111439</v>
      </c>
      <c r="P85" s="102">
        <f>TrAvia_emi!P$13</f>
        <v>0.66746515027545938</v>
      </c>
      <c r="Q85" s="102">
        <f>TrAvia_emi!Q$13</f>
        <v>0.51503473495978047</v>
      </c>
      <c r="R85" s="102">
        <f>TrAvia_emi!R$13</f>
        <v>0.42034211868099525</v>
      </c>
      <c r="S85" s="102">
        <f>TrAvia_emi!S$13</f>
        <v>0.12970620706129612</v>
      </c>
      <c r="T85" s="102">
        <f>TrAvia_emi!T$13</f>
        <v>0.1328935482918554</v>
      </c>
      <c r="U85" s="102">
        <f>TrAvia_emi!U$13</f>
        <v>3.5624566197867989E-2</v>
      </c>
      <c r="V85" s="102">
        <f>TrAvia_emi!V$13</f>
        <v>0.33955317377006322</v>
      </c>
      <c r="W85" s="102">
        <f>TrAvia_emi!W$13</f>
        <v>1.8494518214810088E-2</v>
      </c>
      <c r="X85" s="102">
        <f>TrAvia_emi!X$13</f>
        <v>1.1505097478815103E-2</v>
      </c>
      <c r="Y85" s="102">
        <f>TrAvia_emi!Y$13</f>
        <v>5.6889275213812705E-3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69.429030325200003</v>
      </c>
      <c r="C86" s="110">
        <f t="shared" si="69"/>
        <v>82.9152448488</v>
      </c>
      <c r="D86" s="110">
        <f t="shared" si="69"/>
        <v>60.850935415763999</v>
      </c>
      <c r="E86" s="110">
        <f t="shared" si="69"/>
        <v>35.463749302799997</v>
      </c>
      <c r="F86" s="110">
        <f t="shared" si="69"/>
        <v>49.948942680000009</v>
      </c>
      <c r="G86" s="110">
        <f t="shared" si="69"/>
        <v>56.941794655199999</v>
      </c>
      <c r="H86" s="110">
        <f t="shared" si="69"/>
        <v>32.466812742000002</v>
      </c>
      <c r="I86" s="110">
        <f t="shared" si="69"/>
        <v>45.453537838800003</v>
      </c>
      <c r="J86" s="110">
        <f t="shared" si="69"/>
        <v>60.937710069600001</v>
      </c>
      <c r="K86" s="110">
        <f t="shared" si="69"/>
        <v>37.961196436800002</v>
      </c>
      <c r="L86" s="110">
        <f t="shared" si="69"/>
        <v>49.948942680000009</v>
      </c>
      <c r="M86" s="110">
        <f t="shared" si="69"/>
        <v>50.569426440000008</v>
      </c>
      <c r="N86" s="110">
        <f t="shared" si="69"/>
        <v>50.063732175600002</v>
      </c>
      <c r="O86" s="110">
        <f t="shared" si="69"/>
        <v>49.558037911200003</v>
      </c>
      <c r="P86" s="110">
        <f t="shared" si="69"/>
        <v>49.052343646800004</v>
      </c>
      <c r="Q86" s="110">
        <f t="shared" si="69"/>
        <v>48.546649382399998</v>
      </c>
      <c r="R86" s="110">
        <f t="shared" ref="R86:V86" si="70">R87+R88</f>
        <v>55.753568254800001</v>
      </c>
      <c r="S86" s="110">
        <f t="shared" si="70"/>
        <v>57.044174475600002</v>
      </c>
      <c r="T86" s="110">
        <f t="shared" si="70"/>
        <v>50.231262790800002</v>
      </c>
      <c r="U86" s="110">
        <f t="shared" si="70"/>
        <v>57.2148075096</v>
      </c>
      <c r="V86" s="110">
        <f t="shared" si="70"/>
        <v>52.691480899200009</v>
      </c>
      <c r="W86" s="110">
        <f t="shared" ref="W86:Y86" si="71">W87+W88</f>
        <v>53.001722779200001</v>
      </c>
      <c r="X86" s="110">
        <f t="shared" si="71"/>
        <v>42.952988286000007</v>
      </c>
      <c r="Y86" s="110">
        <f t="shared" si="71"/>
        <v>40.424516963999999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69.429030325200003</v>
      </c>
      <c r="C88" s="169">
        <f>TrNavi_emi!C$5</f>
        <v>82.9152448488</v>
      </c>
      <c r="D88" s="169">
        <f>TrNavi_emi!D$5</f>
        <v>60.850935415763999</v>
      </c>
      <c r="E88" s="169">
        <f>TrNavi_emi!E$5</f>
        <v>35.463749302799997</v>
      </c>
      <c r="F88" s="169">
        <f>TrNavi_emi!F$5</f>
        <v>49.948942680000009</v>
      </c>
      <c r="G88" s="169">
        <f>TrNavi_emi!G$5</f>
        <v>56.941794655199999</v>
      </c>
      <c r="H88" s="169">
        <f>TrNavi_emi!H$5</f>
        <v>32.466812742000002</v>
      </c>
      <c r="I88" s="169">
        <f>TrNavi_emi!I$5</f>
        <v>45.453537838800003</v>
      </c>
      <c r="J88" s="169">
        <f>TrNavi_emi!J$5</f>
        <v>60.937710069600001</v>
      </c>
      <c r="K88" s="169">
        <f>TrNavi_emi!K$5</f>
        <v>37.961196436800002</v>
      </c>
      <c r="L88" s="169">
        <f>TrNavi_emi!L$5</f>
        <v>49.948942680000009</v>
      </c>
      <c r="M88" s="169">
        <f>TrNavi_emi!M$5</f>
        <v>50.569426440000008</v>
      </c>
      <c r="N88" s="169">
        <f>TrNavi_emi!N$5</f>
        <v>50.063732175600002</v>
      </c>
      <c r="O88" s="169">
        <f>TrNavi_emi!O$5</f>
        <v>49.558037911200003</v>
      </c>
      <c r="P88" s="169">
        <f>TrNavi_emi!P$5</f>
        <v>49.052343646800004</v>
      </c>
      <c r="Q88" s="169">
        <f>TrNavi_emi!Q$5</f>
        <v>48.546649382399998</v>
      </c>
      <c r="R88" s="169">
        <f>TrNavi_emi!R$5</f>
        <v>55.753568254800001</v>
      </c>
      <c r="S88" s="169">
        <f>TrNavi_emi!S$5</f>
        <v>57.044174475600002</v>
      </c>
      <c r="T88" s="169">
        <f>TrNavi_emi!T$5</f>
        <v>50.231262790800002</v>
      </c>
      <c r="U88" s="169">
        <f>TrNavi_emi!U$5</f>
        <v>57.2148075096</v>
      </c>
      <c r="V88" s="169">
        <f>TrNavi_emi!V$5</f>
        <v>52.691480899200009</v>
      </c>
      <c r="W88" s="169">
        <f>TrNavi_emi!W$5</f>
        <v>53.001722779200001</v>
      </c>
      <c r="X88" s="169">
        <f>TrNavi_emi!X$5</f>
        <v>42.952988286000007</v>
      </c>
      <c r="Y88" s="169">
        <f>TrNavi_emi!Y$5</f>
        <v>40.424516963999999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X89" s="28">
        <f t="shared" ref="X89:Y89" si="73">X90+X91</f>
        <v>0</v>
      </c>
      <c r="Y89" s="28">
        <f t="shared" si="73"/>
        <v>0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X90" s="102">
        <f>MBunk_emi!X$4</f>
        <v>0</v>
      </c>
      <c r="Y90" s="102">
        <f>MBunk_emi!Y$4</f>
        <v>0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X91" s="86">
        <f>MBunk_emi!X$5</f>
        <v>0</v>
      </c>
      <c r="Y91" s="86">
        <f>MBunk_emi!Y$5</f>
        <v>0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0.90165468910058932</v>
      </c>
      <c r="C97" s="139">
        <f t="shared" si="75"/>
        <v>0.9017194413089531</v>
      </c>
      <c r="D97" s="139">
        <f t="shared" si="75"/>
        <v>0.90422436517301485</v>
      </c>
      <c r="E97" s="139">
        <f t="shared" si="75"/>
        <v>0.90662019276169037</v>
      </c>
      <c r="F97" s="139">
        <f t="shared" si="75"/>
        <v>0.89747029060767747</v>
      </c>
      <c r="G97" s="139">
        <f t="shared" si="75"/>
        <v>0.89595368301983802</v>
      </c>
      <c r="H97" s="139">
        <f t="shared" si="75"/>
        <v>0.89630148930584908</v>
      </c>
      <c r="I97" s="139">
        <f t="shared" si="75"/>
        <v>0.89478669171239567</v>
      </c>
      <c r="J97" s="139">
        <f t="shared" si="75"/>
        <v>0.88502829019534646</v>
      </c>
      <c r="K97" s="139">
        <f t="shared" si="75"/>
        <v>0.89216486258010164</v>
      </c>
      <c r="L97" s="139">
        <f t="shared" si="75"/>
        <v>0.89113692923751231</v>
      </c>
      <c r="M97" s="139">
        <f t="shared" si="75"/>
        <v>0.88815720518904651</v>
      </c>
      <c r="N97" s="139">
        <f t="shared" si="75"/>
        <v>0.89276901358857785</v>
      </c>
      <c r="O97" s="139">
        <f t="shared" si="75"/>
        <v>0.89439430859202185</v>
      </c>
      <c r="P97" s="139">
        <f t="shared" si="75"/>
        <v>0.89057771123723761</v>
      </c>
      <c r="Q97" s="139">
        <f t="shared" si="75"/>
        <v>0.86816148473487675</v>
      </c>
      <c r="R97" s="139">
        <f t="shared" si="75"/>
        <v>0.86533663346640821</v>
      </c>
      <c r="S97" s="139">
        <f t="shared" si="75"/>
        <v>0.85606194250764389</v>
      </c>
      <c r="T97" s="139">
        <f t="shared" si="75"/>
        <v>0.85167957195578903</v>
      </c>
      <c r="U97" s="139">
        <f t="shared" si="75"/>
        <v>0.84800462585944469</v>
      </c>
      <c r="V97" s="139">
        <f t="shared" si="75"/>
        <v>0.91539009372850255</v>
      </c>
      <c r="W97" s="139">
        <f t="shared" si="75"/>
        <v>0.91885942852883518</v>
      </c>
      <c r="X97" s="139">
        <f t="shared" si="75"/>
        <v>0.87029424401914146</v>
      </c>
      <c r="Y97" s="139">
        <f t="shared" si="75"/>
        <v>0.85989052676030131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1.6283939217031731E-3</v>
      </c>
      <c r="C98" s="140">
        <f t="shared" si="76"/>
        <v>1.7170222965261145E-3</v>
      </c>
      <c r="D98" s="140">
        <f t="shared" si="76"/>
        <v>1.466865247815961E-3</v>
      </c>
      <c r="E98" s="140">
        <f t="shared" si="76"/>
        <v>1.5072674552315062E-3</v>
      </c>
      <c r="F98" s="140">
        <f t="shared" si="76"/>
        <v>1.5667174653811659E-3</v>
      </c>
      <c r="G98" s="140">
        <f t="shared" si="76"/>
        <v>1.7016406237760672E-3</v>
      </c>
      <c r="H98" s="140">
        <f t="shared" si="76"/>
        <v>1.7316902859776905E-3</v>
      </c>
      <c r="I98" s="140">
        <f t="shared" si="76"/>
        <v>1.9158219956976624E-3</v>
      </c>
      <c r="J98" s="140">
        <f t="shared" si="76"/>
        <v>2.11299350875055E-3</v>
      </c>
      <c r="K98" s="140">
        <f t="shared" si="76"/>
        <v>1.9892375365367964E-3</v>
      </c>
      <c r="L98" s="140">
        <f t="shared" si="76"/>
        <v>1.803113791417349E-3</v>
      </c>
      <c r="M98" s="140">
        <f t="shared" si="76"/>
        <v>2.1576202612222078E-3</v>
      </c>
      <c r="N98" s="140">
        <f t="shared" si="76"/>
        <v>2.5240859916310257E-3</v>
      </c>
      <c r="O98" s="140">
        <f t="shared" si="76"/>
        <v>2.5838532818571098E-3</v>
      </c>
      <c r="P98" s="140">
        <f t="shared" si="76"/>
        <v>2.8514024080602703E-3</v>
      </c>
      <c r="Q98" s="140">
        <f t="shared" si="76"/>
        <v>3.0796619228774733E-3</v>
      </c>
      <c r="R98" s="140">
        <f t="shared" si="76"/>
        <v>3.1894840218820073E-3</v>
      </c>
      <c r="S98" s="140">
        <f t="shared" si="76"/>
        <v>2.9825357658674642E-3</v>
      </c>
      <c r="T98" s="140">
        <f t="shared" si="76"/>
        <v>2.8031126378625926E-3</v>
      </c>
      <c r="U98" s="140">
        <f t="shared" si="76"/>
        <v>2.9805894994493118E-3</v>
      </c>
      <c r="V98" s="140">
        <f t="shared" si="76"/>
        <v>3.5328054828489119E-3</v>
      </c>
      <c r="W98" s="140">
        <f t="shared" si="76"/>
        <v>3.5508894759431514E-3</v>
      </c>
      <c r="X98" s="140">
        <f t="shared" si="76"/>
        <v>3.1338252443366011E-3</v>
      </c>
      <c r="Y98" s="140">
        <f t="shared" si="76"/>
        <v>3.1475340849083703E-3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0.64779007900601415</v>
      </c>
      <c r="C99" s="140">
        <f t="shared" si="77"/>
        <v>0.65013194542760511</v>
      </c>
      <c r="D99" s="140">
        <f t="shared" si="77"/>
        <v>0.65881369263661405</v>
      </c>
      <c r="E99" s="140">
        <f t="shared" si="77"/>
        <v>0.67152691889172489</v>
      </c>
      <c r="F99" s="140">
        <f t="shared" si="77"/>
        <v>0.66395139309028106</v>
      </c>
      <c r="G99" s="140">
        <f t="shared" si="77"/>
        <v>0.67205956995153815</v>
      </c>
      <c r="H99" s="140">
        <f t="shared" si="77"/>
        <v>0.67278719388814157</v>
      </c>
      <c r="I99" s="140">
        <f t="shared" si="77"/>
        <v>0.66989678040222433</v>
      </c>
      <c r="J99" s="140">
        <f t="shared" si="77"/>
        <v>0.68859310636810522</v>
      </c>
      <c r="K99" s="140">
        <f t="shared" si="77"/>
        <v>0.73970531801282868</v>
      </c>
      <c r="L99" s="140">
        <f t="shared" si="77"/>
        <v>0.74353242843782441</v>
      </c>
      <c r="M99" s="140">
        <f t="shared" si="77"/>
        <v>0.73605911425918902</v>
      </c>
      <c r="N99" s="140">
        <f t="shared" si="77"/>
        <v>0.74083725368658382</v>
      </c>
      <c r="O99" s="140">
        <f t="shared" si="77"/>
        <v>0.74715363663520606</v>
      </c>
      <c r="P99" s="140">
        <f t="shared" si="77"/>
        <v>0.74197260389467623</v>
      </c>
      <c r="Q99" s="140">
        <f t="shared" si="77"/>
        <v>0.72393796757084006</v>
      </c>
      <c r="R99" s="140">
        <f t="shared" si="77"/>
        <v>0.71155950028113646</v>
      </c>
      <c r="S99" s="140">
        <f t="shared" si="77"/>
        <v>0.70461427280301803</v>
      </c>
      <c r="T99" s="140">
        <f t="shared" si="77"/>
        <v>0.69624554114493753</v>
      </c>
      <c r="U99" s="140">
        <f t="shared" si="77"/>
        <v>0.69480239704846225</v>
      </c>
      <c r="V99" s="140">
        <f t="shared" si="77"/>
        <v>0.79242506138529556</v>
      </c>
      <c r="W99" s="140">
        <f t="shared" si="77"/>
        <v>0.81668470185664677</v>
      </c>
      <c r="X99" s="140">
        <f t="shared" si="77"/>
        <v>0.75215012515578539</v>
      </c>
      <c r="Y99" s="140">
        <f t="shared" si="77"/>
        <v>0.73812883273713559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0.25223621617287195</v>
      </c>
      <c r="C100" s="140">
        <f t="shared" si="78"/>
        <v>0.24987047358482189</v>
      </c>
      <c r="D100" s="140">
        <f t="shared" si="78"/>
        <v>0.24394380728858478</v>
      </c>
      <c r="E100" s="140">
        <f t="shared" si="78"/>
        <v>0.2335860064147339</v>
      </c>
      <c r="F100" s="140">
        <f t="shared" si="78"/>
        <v>0.23195218005201507</v>
      </c>
      <c r="G100" s="140">
        <f t="shared" si="78"/>
        <v>0.22219247244452389</v>
      </c>
      <c r="H100" s="140">
        <f t="shared" si="78"/>
        <v>0.22178260513172976</v>
      </c>
      <c r="I100" s="140">
        <f t="shared" si="78"/>
        <v>0.22297408931447377</v>
      </c>
      <c r="J100" s="140">
        <f t="shared" si="78"/>
        <v>0.19432219031849077</v>
      </c>
      <c r="K100" s="140">
        <f t="shared" si="78"/>
        <v>0.15047030703073611</v>
      </c>
      <c r="L100" s="140">
        <f t="shared" si="78"/>
        <v>0.14580138700827047</v>
      </c>
      <c r="M100" s="140">
        <f t="shared" si="78"/>
        <v>0.14994047066863533</v>
      </c>
      <c r="N100" s="140">
        <f t="shared" si="78"/>
        <v>0.14940767391036303</v>
      </c>
      <c r="O100" s="140">
        <f t="shared" si="78"/>
        <v>0.14465681867495872</v>
      </c>
      <c r="P100" s="140">
        <f t="shared" si="78"/>
        <v>0.14575370493450102</v>
      </c>
      <c r="Q100" s="140">
        <f t="shared" si="78"/>
        <v>0.14114385524115919</v>
      </c>
      <c r="R100" s="140">
        <f t="shared" si="78"/>
        <v>0.15058764916338965</v>
      </c>
      <c r="S100" s="140">
        <f t="shared" si="78"/>
        <v>0.14846513393875824</v>
      </c>
      <c r="T100" s="140">
        <f t="shared" si="78"/>
        <v>0.15263091817298893</v>
      </c>
      <c r="U100" s="140">
        <f t="shared" si="78"/>
        <v>0.15022163931153326</v>
      </c>
      <c r="V100" s="140">
        <f t="shared" si="78"/>
        <v>0.11943222686035802</v>
      </c>
      <c r="W100" s="140">
        <f t="shared" si="78"/>
        <v>9.862383719624522E-2</v>
      </c>
      <c r="X100" s="140">
        <f t="shared" si="78"/>
        <v>0.11501029361901938</v>
      </c>
      <c r="Y100" s="140">
        <f t="shared" si="78"/>
        <v>0.11861415993825741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8.716971266661229E-2</v>
      </c>
      <c r="C101" s="124">
        <f t="shared" si="79"/>
        <v>8.5465292081362221E-2</v>
      </c>
      <c r="D101" s="124">
        <f t="shared" si="79"/>
        <v>8.0187887355155696E-2</v>
      </c>
      <c r="E101" s="124">
        <f t="shared" si="79"/>
        <v>7.1428420707946541E-2</v>
      </c>
      <c r="F101" s="124">
        <f t="shared" si="79"/>
        <v>6.789007231466801E-2</v>
      </c>
      <c r="G101" s="124">
        <f t="shared" si="79"/>
        <v>6.6836863982125044E-2</v>
      </c>
      <c r="H101" s="124">
        <f t="shared" si="79"/>
        <v>6.6339493959156476E-2</v>
      </c>
      <c r="I101" s="124">
        <f t="shared" si="79"/>
        <v>6.5972694630657441E-2</v>
      </c>
      <c r="J101" s="124">
        <f t="shared" si="79"/>
        <v>6.9479798376121046E-2</v>
      </c>
      <c r="K101" s="124">
        <f t="shared" si="79"/>
        <v>7.1577433908687857E-2</v>
      </c>
      <c r="L101" s="124">
        <f t="shared" si="79"/>
        <v>7.1712694435428465E-2</v>
      </c>
      <c r="M101" s="124">
        <f t="shared" si="79"/>
        <v>7.4950112999693147E-2</v>
      </c>
      <c r="N101" s="124">
        <f t="shared" si="79"/>
        <v>7.5595072972848593E-2</v>
      </c>
      <c r="O101" s="124">
        <f t="shared" si="79"/>
        <v>7.5950955748799218E-2</v>
      </c>
      <c r="P101" s="124">
        <f t="shared" si="79"/>
        <v>7.7322387681072441E-2</v>
      </c>
      <c r="Q101" s="124">
        <f t="shared" si="79"/>
        <v>9.628840791259298E-2</v>
      </c>
      <c r="R101" s="124">
        <f t="shared" si="79"/>
        <v>9.6760403811984086E-2</v>
      </c>
      <c r="S101" s="124">
        <f t="shared" si="79"/>
        <v>0.10120318245703117</v>
      </c>
      <c r="T101" s="124">
        <f t="shared" si="79"/>
        <v>9.9635746010277679E-2</v>
      </c>
      <c r="U101" s="124">
        <f t="shared" si="79"/>
        <v>0.10283660750720988</v>
      </c>
      <c r="V101" s="124">
        <f t="shared" si="79"/>
        <v>7.3452619662999069E-2</v>
      </c>
      <c r="W101" s="124">
        <f t="shared" si="79"/>
        <v>6.7260473128808493E-2</v>
      </c>
      <c r="X101" s="124">
        <f t="shared" si="79"/>
        <v>9.2041024875917296E-2</v>
      </c>
      <c r="Y101" s="124">
        <f t="shared" si="79"/>
        <v>9.5697024605429976E-2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9.4749687681100307E-3</v>
      </c>
      <c r="C102" s="140">
        <f t="shared" si="80"/>
        <v>9.6580046302301818E-3</v>
      </c>
      <c r="D102" s="140">
        <f t="shared" si="80"/>
        <v>9.4481033992185326E-3</v>
      </c>
      <c r="E102" s="140">
        <f t="shared" si="80"/>
        <v>9.770620828734887E-3</v>
      </c>
      <c r="F102" s="140">
        <f t="shared" si="80"/>
        <v>9.4942210670307808E-3</v>
      </c>
      <c r="G102" s="140">
        <f t="shared" si="80"/>
        <v>1.0051161471504838E-2</v>
      </c>
      <c r="H102" s="140">
        <f t="shared" si="80"/>
        <v>9.8184226633377374E-3</v>
      </c>
      <c r="I102" s="140">
        <f t="shared" si="80"/>
        <v>1.0178029339789707E-2</v>
      </c>
      <c r="J102" s="140">
        <f t="shared" si="80"/>
        <v>9.5817202468856111E-3</v>
      </c>
      <c r="K102" s="140">
        <f t="shared" si="80"/>
        <v>8.1901197534628659E-3</v>
      </c>
      <c r="L102" s="140">
        <f t="shared" si="80"/>
        <v>7.8406613514991307E-3</v>
      </c>
      <c r="M102" s="140">
        <f t="shared" si="80"/>
        <v>8.399002546162139E-3</v>
      </c>
      <c r="N102" s="140">
        <f t="shared" si="80"/>
        <v>7.9611837278027626E-3</v>
      </c>
      <c r="O102" s="140">
        <f t="shared" si="80"/>
        <v>7.5776621734544598E-3</v>
      </c>
      <c r="P102" s="140">
        <f t="shared" si="80"/>
        <v>6.9941341909271733E-3</v>
      </c>
      <c r="Q102" s="140">
        <f t="shared" si="80"/>
        <v>6.5948839801482631E-3</v>
      </c>
      <c r="R102" s="140">
        <f t="shared" si="80"/>
        <v>7.7004347438895393E-3</v>
      </c>
      <c r="S102" s="140">
        <f t="shared" si="80"/>
        <v>7.1376781859596831E-3</v>
      </c>
      <c r="T102" s="140">
        <f t="shared" si="80"/>
        <v>6.8682445337631794E-3</v>
      </c>
      <c r="U102" s="140">
        <f t="shared" si="80"/>
        <v>6.7598293019832762E-3</v>
      </c>
      <c r="V102" s="140">
        <f t="shared" si="80"/>
        <v>5.3743353516298529E-3</v>
      </c>
      <c r="W102" s="140">
        <f t="shared" si="80"/>
        <v>6.9529155389305907E-3</v>
      </c>
      <c r="X102" s="140">
        <f t="shared" si="80"/>
        <v>8.1081499196737194E-3</v>
      </c>
      <c r="Y102" s="140">
        <f t="shared" si="80"/>
        <v>9.1367838925059709E-3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7.7694743898502255E-2</v>
      </c>
      <c r="C103" s="140">
        <f t="shared" si="81"/>
        <v>7.5807287451132049E-2</v>
      </c>
      <c r="D103" s="140">
        <f t="shared" si="81"/>
        <v>7.0739783955937177E-2</v>
      </c>
      <c r="E103" s="140">
        <f t="shared" si="81"/>
        <v>6.1657799879211654E-2</v>
      </c>
      <c r="F103" s="140">
        <f t="shared" si="81"/>
        <v>5.8395851247637229E-2</v>
      </c>
      <c r="G103" s="140">
        <f t="shared" si="81"/>
        <v>5.6785702510620206E-2</v>
      </c>
      <c r="H103" s="140">
        <f t="shared" si="81"/>
        <v>5.6521071295818737E-2</v>
      </c>
      <c r="I103" s="140">
        <f t="shared" si="81"/>
        <v>5.5794665290867726E-2</v>
      </c>
      <c r="J103" s="140">
        <f t="shared" si="81"/>
        <v>5.9898078129235442E-2</v>
      </c>
      <c r="K103" s="140">
        <f t="shared" si="81"/>
        <v>6.3387314155224986E-2</v>
      </c>
      <c r="L103" s="140">
        <f t="shared" si="81"/>
        <v>6.387203308392933E-2</v>
      </c>
      <c r="M103" s="140">
        <f t="shared" si="81"/>
        <v>6.6551110453531015E-2</v>
      </c>
      <c r="N103" s="140">
        <f t="shared" si="81"/>
        <v>6.7633889245045833E-2</v>
      </c>
      <c r="O103" s="140">
        <f t="shared" si="81"/>
        <v>6.837329357534476E-2</v>
      </c>
      <c r="P103" s="140">
        <f t="shared" si="81"/>
        <v>7.0328253490145265E-2</v>
      </c>
      <c r="Q103" s="140">
        <f t="shared" si="81"/>
        <v>8.9693523932444716E-2</v>
      </c>
      <c r="R103" s="140">
        <f t="shared" si="81"/>
        <v>8.9059969068094533E-2</v>
      </c>
      <c r="S103" s="140">
        <f t="shared" si="81"/>
        <v>9.4065504271071479E-2</v>
      </c>
      <c r="T103" s="140">
        <f t="shared" si="81"/>
        <v>9.2767501476514511E-2</v>
      </c>
      <c r="U103" s="140">
        <f t="shared" si="81"/>
        <v>9.6076778205226615E-2</v>
      </c>
      <c r="V103" s="140">
        <f t="shared" si="81"/>
        <v>6.8078284311369225E-2</v>
      </c>
      <c r="W103" s="140">
        <f t="shared" si="81"/>
        <v>6.0307557589877894E-2</v>
      </c>
      <c r="X103" s="140">
        <f t="shared" si="81"/>
        <v>8.3932874956243589E-2</v>
      </c>
      <c r="Y103" s="140">
        <f t="shared" si="81"/>
        <v>8.6560240712923994E-2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1.1175598232798387E-2</v>
      </c>
      <c r="C105" s="124">
        <f t="shared" si="83"/>
        <v>1.2815266609684642E-2</v>
      </c>
      <c r="D105" s="124">
        <f t="shared" si="83"/>
        <v>1.5587747471829588E-2</v>
      </c>
      <c r="E105" s="124">
        <f t="shared" si="83"/>
        <v>2.1951386530363239E-2</v>
      </c>
      <c r="F105" s="124">
        <f t="shared" si="83"/>
        <v>3.4639637077654419E-2</v>
      </c>
      <c r="G105" s="124">
        <f t="shared" si="83"/>
        <v>3.7209452998036997E-2</v>
      </c>
      <c r="H105" s="124">
        <f t="shared" si="83"/>
        <v>3.7359016734994456E-2</v>
      </c>
      <c r="I105" s="124">
        <f t="shared" si="83"/>
        <v>3.9240613656946789E-2</v>
      </c>
      <c r="J105" s="124">
        <f t="shared" si="83"/>
        <v>4.5491911428532608E-2</v>
      </c>
      <c r="K105" s="124">
        <f t="shared" si="83"/>
        <v>3.6257703511210555E-2</v>
      </c>
      <c r="L105" s="124">
        <f t="shared" si="83"/>
        <v>3.7150376327059378E-2</v>
      </c>
      <c r="M105" s="124">
        <f t="shared" si="83"/>
        <v>3.6892681811260458E-2</v>
      </c>
      <c r="N105" s="124">
        <f t="shared" si="83"/>
        <v>3.1635913438573589E-2</v>
      </c>
      <c r="O105" s="124">
        <f t="shared" si="83"/>
        <v>2.9654735659178932E-2</v>
      </c>
      <c r="P105" s="124">
        <f t="shared" si="83"/>
        <v>3.2099901081689933E-2</v>
      </c>
      <c r="Q105" s="124">
        <f t="shared" si="83"/>
        <v>3.5550107352530273E-2</v>
      </c>
      <c r="R105" s="124">
        <f t="shared" si="83"/>
        <v>3.7902962721607598E-2</v>
      </c>
      <c r="S105" s="124">
        <f t="shared" si="83"/>
        <v>4.2734875035324957E-2</v>
      </c>
      <c r="T105" s="124">
        <f t="shared" si="83"/>
        <v>4.8684682033933294E-2</v>
      </c>
      <c r="U105" s="124">
        <f t="shared" si="83"/>
        <v>4.9158766633345417E-2</v>
      </c>
      <c r="V105" s="124">
        <f t="shared" si="83"/>
        <v>1.1157286608498461E-2</v>
      </c>
      <c r="W105" s="124">
        <f t="shared" si="83"/>
        <v>1.3880098342356354E-2</v>
      </c>
      <c r="X105" s="124">
        <f t="shared" si="83"/>
        <v>3.7664731104941312E-2</v>
      </c>
      <c r="Y105" s="124">
        <f t="shared" si="83"/>
        <v>4.4412448634268811E-2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6.8899646948290053E-3</v>
      </c>
      <c r="C107" s="140">
        <f t="shared" si="85"/>
        <v>7.9019066794664503E-3</v>
      </c>
      <c r="D107" s="140">
        <f t="shared" si="85"/>
        <v>8.3464538104031684E-3</v>
      </c>
      <c r="E107" s="140">
        <f t="shared" si="85"/>
        <v>1.211978365686011E-2</v>
      </c>
      <c r="F107" s="140">
        <f t="shared" si="85"/>
        <v>1.9944272737256716E-2</v>
      </c>
      <c r="G107" s="140">
        <f t="shared" si="85"/>
        <v>2.5031020824345277E-2</v>
      </c>
      <c r="H107" s="140">
        <f t="shared" si="85"/>
        <v>2.989080677977651E-2</v>
      </c>
      <c r="I107" s="140">
        <f t="shared" si="85"/>
        <v>2.8499377690912431E-2</v>
      </c>
      <c r="J107" s="140">
        <f t="shared" si="85"/>
        <v>3.3613898504595147E-2</v>
      </c>
      <c r="K107" s="140">
        <f t="shared" si="85"/>
        <v>2.6281919948422234E-2</v>
      </c>
      <c r="L107" s="140">
        <f t="shared" si="85"/>
        <v>2.6303300904335573E-2</v>
      </c>
      <c r="M107" s="140">
        <f t="shared" si="85"/>
        <v>2.6899155532335923E-2</v>
      </c>
      <c r="N107" s="140">
        <f t="shared" si="85"/>
        <v>2.216486518791572E-2</v>
      </c>
      <c r="O107" s="140">
        <f t="shared" si="85"/>
        <v>2.1774333676323684E-2</v>
      </c>
      <c r="P107" s="140">
        <f t="shared" si="85"/>
        <v>2.4014869286239898E-2</v>
      </c>
      <c r="Q107" s="140">
        <f t="shared" si="85"/>
        <v>2.615994370284893E-2</v>
      </c>
      <c r="R107" s="140">
        <f t="shared" si="85"/>
        <v>2.9040845660671812E-2</v>
      </c>
      <c r="S107" s="140">
        <f t="shared" si="85"/>
        <v>2.7907649465657613E-2</v>
      </c>
      <c r="T107" s="140">
        <f t="shared" si="85"/>
        <v>3.0374827573207683E-2</v>
      </c>
      <c r="U107" s="140">
        <f t="shared" si="85"/>
        <v>2.9614066152833206E-2</v>
      </c>
      <c r="V107" s="140">
        <f t="shared" si="85"/>
        <v>8.1908034160582035E-3</v>
      </c>
      <c r="W107" s="140">
        <f t="shared" si="85"/>
        <v>1.037378510677449E-2</v>
      </c>
      <c r="X107" s="140">
        <f t="shared" si="85"/>
        <v>2.4170077081761297E-2</v>
      </c>
      <c r="Y107" s="140">
        <f t="shared" si="85"/>
        <v>2.8526054048531681E-2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4.2856335379693805E-3</v>
      </c>
      <c r="C108" s="140">
        <f t="shared" si="86"/>
        <v>4.9133599302181924E-3</v>
      </c>
      <c r="D108" s="140">
        <f t="shared" si="86"/>
        <v>7.2412936614264191E-3</v>
      </c>
      <c r="E108" s="140">
        <f t="shared" si="86"/>
        <v>9.8316028735031275E-3</v>
      </c>
      <c r="F108" s="140">
        <f t="shared" si="86"/>
        <v>1.4695364340397702E-2</v>
      </c>
      <c r="G108" s="140">
        <f t="shared" si="86"/>
        <v>1.2178432173691718E-2</v>
      </c>
      <c r="H108" s="140">
        <f t="shared" si="86"/>
        <v>7.468209955217942E-3</v>
      </c>
      <c r="I108" s="140">
        <f t="shared" si="86"/>
        <v>1.074123596603436E-2</v>
      </c>
      <c r="J108" s="140">
        <f t="shared" si="86"/>
        <v>1.187801292393746E-2</v>
      </c>
      <c r="K108" s="140">
        <f t="shared" si="86"/>
        <v>9.9757835627883214E-3</v>
      </c>
      <c r="L108" s="140">
        <f t="shared" si="86"/>
        <v>1.0847075422723805E-2</v>
      </c>
      <c r="M108" s="140">
        <f t="shared" si="86"/>
        <v>9.9935262789245406E-3</v>
      </c>
      <c r="N108" s="140">
        <f t="shared" si="86"/>
        <v>9.4710482506578687E-3</v>
      </c>
      <c r="O108" s="140">
        <f t="shared" si="86"/>
        <v>7.880401982855249E-3</v>
      </c>
      <c r="P108" s="140">
        <f t="shared" si="86"/>
        <v>8.0850317954500334E-3</v>
      </c>
      <c r="Q108" s="140">
        <f t="shared" si="86"/>
        <v>9.3901636496813504E-3</v>
      </c>
      <c r="R108" s="140">
        <f t="shared" si="86"/>
        <v>8.8621170609357904E-3</v>
      </c>
      <c r="S108" s="140">
        <f t="shared" si="86"/>
        <v>1.4827225569667346E-2</v>
      </c>
      <c r="T108" s="140">
        <f t="shared" si="86"/>
        <v>1.8309854460725611E-2</v>
      </c>
      <c r="U108" s="140">
        <f t="shared" si="86"/>
        <v>1.9544700480512212E-2</v>
      </c>
      <c r="V108" s="140">
        <f t="shared" si="86"/>
        <v>2.9664831924402584E-3</v>
      </c>
      <c r="W108" s="140">
        <f t="shared" si="86"/>
        <v>3.5063132355818631E-3</v>
      </c>
      <c r="X108" s="140">
        <f t="shared" si="86"/>
        <v>1.3494654023180019E-2</v>
      </c>
      <c r="Y108" s="140">
        <f t="shared" si="86"/>
        <v>1.5886394585737134E-2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0.41043671887295258</v>
      </c>
      <c r="C110" s="139">
        <f t="shared" si="88"/>
        <v>0.43810292477783158</v>
      </c>
      <c r="D110" s="139">
        <f t="shared" si="88"/>
        <v>0.45668334125419219</v>
      </c>
      <c r="E110" s="139">
        <f t="shared" si="88"/>
        <v>0.4710388210501319</v>
      </c>
      <c r="F110" s="139">
        <f t="shared" si="88"/>
        <v>0.49794440153928554</v>
      </c>
      <c r="G110" s="139">
        <f t="shared" si="88"/>
        <v>0.51292401569748292</v>
      </c>
      <c r="H110" s="139">
        <f t="shared" si="88"/>
        <v>0.49949522849286759</v>
      </c>
      <c r="I110" s="139">
        <f t="shared" si="88"/>
        <v>0.53822992866000219</v>
      </c>
      <c r="J110" s="139">
        <f t="shared" si="88"/>
        <v>0.55441501853112274</v>
      </c>
      <c r="K110" s="139">
        <f t="shared" si="88"/>
        <v>0.60202291615387427</v>
      </c>
      <c r="L110" s="139">
        <f t="shared" si="88"/>
        <v>0.5650158671988581</v>
      </c>
      <c r="M110" s="139">
        <f t="shared" si="88"/>
        <v>0.57949525244764877</v>
      </c>
      <c r="N110" s="139">
        <f t="shared" si="88"/>
        <v>0.59334812827254046</v>
      </c>
      <c r="O110" s="139">
        <f t="shared" si="88"/>
        <v>0.56973422770596327</v>
      </c>
      <c r="P110" s="139">
        <f t="shared" si="88"/>
        <v>0.5761337160234179</v>
      </c>
      <c r="Q110" s="139">
        <f t="shared" si="88"/>
        <v>0.60639383089437571</v>
      </c>
      <c r="R110" s="139">
        <f t="shared" si="88"/>
        <v>0.62095674764930697</v>
      </c>
      <c r="S110" s="139">
        <f t="shared" si="88"/>
        <v>0.63855984075573069</v>
      </c>
      <c r="T110" s="139">
        <f t="shared" si="88"/>
        <v>0.64715305667141465</v>
      </c>
      <c r="U110" s="139">
        <f t="shared" si="88"/>
        <v>0.65805256183069727</v>
      </c>
      <c r="V110" s="139">
        <f t="shared" si="88"/>
        <v>0.68383189781279963</v>
      </c>
      <c r="W110" s="139">
        <f t="shared" si="88"/>
        <v>0.65030306860064702</v>
      </c>
      <c r="X110" s="139">
        <f t="shared" si="88"/>
        <v>0.67308782637901887</v>
      </c>
      <c r="Y110" s="139">
        <f t="shared" si="88"/>
        <v>0.67376696003865189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8.7678828272550035E-3</v>
      </c>
      <c r="C111" s="140">
        <f t="shared" si="89"/>
        <v>9.0338593217403219E-3</v>
      </c>
      <c r="D111" s="140">
        <f t="shared" si="89"/>
        <v>9.6050912036993626E-3</v>
      </c>
      <c r="E111" s="140">
        <f t="shared" si="89"/>
        <v>9.6478937166881735E-3</v>
      </c>
      <c r="F111" s="140">
        <f t="shared" si="89"/>
        <v>9.8285701394751086E-3</v>
      </c>
      <c r="G111" s="140">
        <f t="shared" si="89"/>
        <v>1.0589239689995334E-2</v>
      </c>
      <c r="H111" s="140">
        <f t="shared" si="89"/>
        <v>1.0448427853935686E-2</v>
      </c>
      <c r="I111" s="140">
        <f t="shared" si="89"/>
        <v>1.1108971159350983E-2</v>
      </c>
      <c r="J111" s="140">
        <f t="shared" si="89"/>
        <v>1.1788298997107498E-2</v>
      </c>
      <c r="K111" s="140">
        <f t="shared" si="89"/>
        <v>1.5208679287455991E-2</v>
      </c>
      <c r="L111" s="140">
        <f t="shared" si="89"/>
        <v>1.4593400644279393E-2</v>
      </c>
      <c r="M111" s="140">
        <f t="shared" si="89"/>
        <v>1.5161356670791855E-2</v>
      </c>
      <c r="N111" s="140">
        <f t="shared" si="89"/>
        <v>1.5913699158651849E-2</v>
      </c>
      <c r="O111" s="140">
        <f t="shared" si="89"/>
        <v>1.3700425575032016E-2</v>
      </c>
      <c r="P111" s="140">
        <f t="shared" si="89"/>
        <v>1.1550079939712349E-2</v>
      </c>
      <c r="Q111" s="140">
        <f t="shared" si="89"/>
        <v>1.3132693975837158E-2</v>
      </c>
      <c r="R111" s="140">
        <f t="shared" si="89"/>
        <v>1.1582850381380013E-2</v>
      </c>
      <c r="S111" s="140">
        <f t="shared" si="89"/>
        <v>1.1031547641939754E-2</v>
      </c>
      <c r="T111" s="140">
        <f t="shared" si="89"/>
        <v>1.0937949727101942E-2</v>
      </c>
      <c r="U111" s="140">
        <f t="shared" si="89"/>
        <v>1.0728735386147253E-2</v>
      </c>
      <c r="V111" s="140">
        <f t="shared" si="89"/>
        <v>1.1786322141239071E-2</v>
      </c>
      <c r="W111" s="140">
        <f t="shared" si="89"/>
        <v>1.1335529007591681E-2</v>
      </c>
      <c r="X111" s="140">
        <f t="shared" si="89"/>
        <v>1.1384688989030802E-2</v>
      </c>
      <c r="Y111" s="140">
        <f t="shared" si="89"/>
        <v>1.208132124567734E-2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0.40166883604569759</v>
      </c>
      <c r="C112" s="140">
        <f t="shared" si="90"/>
        <v>0.4290690654560913</v>
      </c>
      <c r="D112" s="140">
        <f t="shared" si="90"/>
        <v>0.44707825005049279</v>
      </c>
      <c r="E112" s="140">
        <f t="shared" si="90"/>
        <v>0.46139092733344372</v>
      </c>
      <c r="F112" s="140">
        <f t="shared" si="90"/>
        <v>0.48811583139981041</v>
      </c>
      <c r="G112" s="140">
        <f t="shared" si="90"/>
        <v>0.50233477600748755</v>
      </c>
      <c r="H112" s="140">
        <f t="shared" si="90"/>
        <v>0.48904680063893186</v>
      </c>
      <c r="I112" s="140">
        <f t="shared" si="90"/>
        <v>0.52712095750065124</v>
      </c>
      <c r="J112" s="140">
        <f t="shared" si="90"/>
        <v>0.5426267195340152</v>
      </c>
      <c r="K112" s="140">
        <f t="shared" si="90"/>
        <v>0.58681423686641832</v>
      </c>
      <c r="L112" s="140">
        <f t="shared" si="90"/>
        <v>0.55042246655457872</v>
      </c>
      <c r="M112" s="140">
        <f t="shared" si="90"/>
        <v>0.56433389577685689</v>
      </c>
      <c r="N112" s="140">
        <f t="shared" si="90"/>
        <v>0.57743442911388865</v>
      </c>
      <c r="O112" s="140">
        <f t="shared" si="90"/>
        <v>0.55603380213093123</v>
      </c>
      <c r="P112" s="140">
        <f t="shared" si="90"/>
        <v>0.56458363608370554</v>
      </c>
      <c r="Q112" s="140">
        <f t="shared" si="90"/>
        <v>0.59326113691853855</v>
      </c>
      <c r="R112" s="140">
        <f t="shared" si="90"/>
        <v>0.6093738972679269</v>
      </c>
      <c r="S112" s="140">
        <f t="shared" si="90"/>
        <v>0.62752829311379099</v>
      </c>
      <c r="T112" s="140">
        <f t="shared" si="90"/>
        <v>0.63621510694431271</v>
      </c>
      <c r="U112" s="140">
        <f t="shared" si="90"/>
        <v>0.64732382644455011</v>
      </c>
      <c r="V112" s="140">
        <f t="shared" si="90"/>
        <v>0.67204557567156054</v>
      </c>
      <c r="W112" s="140">
        <f t="shared" si="90"/>
        <v>0.6389675395930553</v>
      </c>
      <c r="X112" s="140">
        <f t="shared" si="90"/>
        <v>0.66170313738998809</v>
      </c>
      <c r="Y112" s="140">
        <f t="shared" si="90"/>
        <v>0.6616856387929746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0.5248029504009768</v>
      </c>
      <c r="C113" s="124">
        <f t="shared" si="91"/>
        <v>0.51469995415118885</v>
      </c>
      <c r="D113" s="124">
        <f t="shared" si="91"/>
        <v>0.51351011267395463</v>
      </c>
      <c r="E113" s="124">
        <f t="shared" si="91"/>
        <v>0.50249028254018357</v>
      </c>
      <c r="F113" s="124">
        <f t="shared" si="91"/>
        <v>0.46612024845752698</v>
      </c>
      <c r="G113" s="124">
        <f t="shared" si="91"/>
        <v>0.4515218591563947</v>
      </c>
      <c r="H113" s="124">
        <f t="shared" si="91"/>
        <v>0.46970824894796387</v>
      </c>
      <c r="I113" s="124">
        <f t="shared" si="91"/>
        <v>0.41807152042769014</v>
      </c>
      <c r="J113" s="124">
        <f t="shared" si="91"/>
        <v>0.39817476264073298</v>
      </c>
      <c r="K113" s="124">
        <f t="shared" si="91"/>
        <v>0.35207829086517839</v>
      </c>
      <c r="L113" s="124">
        <f t="shared" si="91"/>
        <v>0.37882152318321066</v>
      </c>
      <c r="M113" s="124">
        <f t="shared" si="91"/>
        <v>0.37586373366280967</v>
      </c>
      <c r="N113" s="124">
        <f t="shared" si="91"/>
        <v>0.35933020586055753</v>
      </c>
      <c r="O113" s="124">
        <f t="shared" si="91"/>
        <v>0.3842089078920079</v>
      </c>
      <c r="P113" s="124">
        <f t="shared" si="91"/>
        <v>0.38400037236100104</v>
      </c>
      <c r="Q113" s="124">
        <f t="shared" si="91"/>
        <v>0.36130929583599469</v>
      </c>
      <c r="R113" s="124">
        <f t="shared" si="91"/>
        <v>0.34165811030437704</v>
      </c>
      <c r="S113" s="124">
        <f t="shared" si="91"/>
        <v>0.32513285768438588</v>
      </c>
      <c r="T113" s="124">
        <f t="shared" si="91"/>
        <v>0.32245938804144852</v>
      </c>
      <c r="U113" s="124">
        <f t="shared" si="91"/>
        <v>0.30633767769955611</v>
      </c>
      <c r="V113" s="124">
        <f t="shared" si="91"/>
        <v>0.28172163582372356</v>
      </c>
      <c r="W113" s="124">
        <f t="shared" si="91"/>
        <v>0.31694895216928848</v>
      </c>
      <c r="X113" s="124">
        <f t="shared" si="91"/>
        <v>0.30059285909717903</v>
      </c>
      <c r="Y113" s="124">
        <f t="shared" si="91"/>
        <v>0.30041242122608341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3.1977971671727257E-4</v>
      </c>
      <c r="C114" s="124">
        <f t="shared" si="92"/>
        <v>3.3258361706690068E-4</v>
      </c>
      <c r="D114" s="124">
        <f t="shared" si="92"/>
        <v>1.3872193210649427E-4</v>
      </c>
      <c r="E114" s="124">
        <f t="shared" si="92"/>
        <v>5.0914691623596419E-4</v>
      </c>
      <c r="F114" s="124">
        <f t="shared" si="92"/>
        <v>3.3494760089665117E-4</v>
      </c>
      <c r="G114" s="124">
        <f t="shared" si="92"/>
        <v>2.3111633987935254E-4</v>
      </c>
      <c r="H114" s="124">
        <f t="shared" si="92"/>
        <v>2.8523782574466821E-4</v>
      </c>
      <c r="I114" s="124">
        <f t="shared" si="92"/>
        <v>1.8825688210141631E-4</v>
      </c>
      <c r="J114" s="124">
        <f t="shared" si="92"/>
        <v>2.6639544203311513E-4</v>
      </c>
      <c r="K114" s="124">
        <f t="shared" si="92"/>
        <v>4.4813481210808135E-4</v>
      </c>
      <c r="L114" s="124">
        <f t="shared" si="92"/>
        <v>5.896557542870005E-4</v>
      </c>
      <c r="M114" s="124">
        <f t="shared" si="92"/>
        <v>6.8006715083851932E-4</v>
      </c>
      <c r="N114" s="124">
        <f t="shared" si="92"/>
        <v>6.4802827257845138E-4</v>
      </c>
      <c r="O114" s="124">
        <f t="shared" si="92"/>
        <v>5.5248939150838341E-4</v>
      </c>
      <c r="P114" s="124">
        <f t="shared" si="92"/>
        <v>5.0467738897481615E-4</v>
      </c>
      <c r="Q114" s="124">
        <f t="shared" si="92"/>
        <v>5.7152806113667663E-4</v>
      </c>
      <c r="R114" s="124">
        <f t="shared" si="92"/>
        <v>5.2525272673987892E-4</v>
      </c>
      <c r="S114" s="124">
        <f t="shared" si="92"/>
        <v>5.2235921948803605E-4</v>
      </c>
      <c r="T114" s="124">
        <f t="shared" si="92"/>
        <v>4.2536683661165381E-4</v>
      </c>
      <c r="U114" s="124">
        <f t="shared" si="92"/>
        <v>3.2104593759959963E-4</v>
      </c>
      <c r="V114" s="124">
        <f t="shared" si="92"/>
        <v>4.343290911858287E-4</v>
      </c>
      <c r="W114" s="124">
        <f t="shared" si="92"/>
        <v>2.7909389794807723E-4</v>
      </c>
      <c r="X114" s="124">
        <f t="shared" si="92"/>
        <v>2.4083223417701156E-4</v>
      </c>
      <c r="Y114" s="124">
        <f t="shared" si="92"/>
        <v>1.4434341679599462E-4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9.4554143565309383E-5</v>
      </c>
      <c r="C116" s="140">
        <f t="shared" si="96"/>
        <v>9.4691787840034454E-5</v>
      </c>
      <c r="D116" s="140">
        <f t="shared" si="96"/>
        <v>8.1764358704878353E-5</v>
      </c>
      <c r="E116" s="140">
        <f t="shared" si="96"/>
        <v>7.1032918158425923E-5</v>
      </c>
      <c r="F116" s="140">
        <f t="shared" si="96"/>
        <v>4.922913237939839E-5</v>
      </c>
      <c r="G116" s="140">
        <f t="shared" si="96"/>
        <v>3.2102649227685398E-5</v>
      </c>
      <c r="H116" s="140">
        <f t="shared" si="96"/>
        <v>2.3814630525957627E-5</v>
      </c>
      <c r="I116" s="140">
        <f t="shared" si="96"/>
        <v>1.9352763653989108E-5</v>
      </c>
      <c r="J116" s="140">
        <f t="shared" si="96"/>
        <v>1.9370933597510743E-4</v>
      </c>
      <c r="K116" s="140">
        <f t="shared" si="96"/>
        <v>3.8668519750813019E-4</v>
      </c>
      <c r="L116" s="140">
        <f t="shared" si="96"/>
        <v>4.5209600577923151E-4</v>
      </c>
      <c r="M116" s="140">
        <f t="shared" si="96"/>
        <v>6.6719617204439284E-4</v>
      </c>
      <c r="N116" s="140">
        <f t="shared" si="96"/>
        <v>6.3450022169243478E-4</v>
      </c>
      <c r="O116" s="140">
        <f t="shared" si="96"/>
        <v>5.3212229798357835E-4</v>
      </c>
      <c r="P116" s="140">
        <f t="shared" si="96"/>
        <v>3.7276987288492602E-4</v>
      </c>
      <c r="Q116" s="140">
        <f t="shared" si="96"/>
        <v>4.4856314942750007E-4</v>
      </c>
      <c r="R116" s="140">
        <f t="shared" si="94"/>
        <v>4.1574861611138778E-4</v>
      </c>
      <c r="S116" s="140">
        <f t="shared" si="94"/>
        <v>4.6749858437076093E-4</v>
      </c>
      <c r="T116" s="140">
        <f t="shared" si="94"/>
        <v>3.6559876588867433E-4</v>
      </c>
      <c r="U116" s="140">
        <f t="shared" si="94"/>
        <v>3.0440269417650556E-4</v>
      </c>
      <c r="V116" s="140">
        <f t="shared" si="94"/>
        <v>4.1423177089508657E-4</v>
      </c>
      <c r="W116" s="140">
        <f t="shared" si="95"/>
        <v>2.7636784009542526E-4</v>
      </c>
      <c r="X116" s="140">
        <f t="shared" si="95"/>
        <v>2.3676945258934294E-4</v>
      </c>
      <c r="Y116" s="140">
        <f t="shared" si="95"/>
        <v>1.4134835273234289E-4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2.2522557315196321E-4</v>
      </c>
      <c r="C117" s="140">
        <f t="shared" si="97"/>
        <v>2.3789182922686627E-4</v>
      </c>
      <c r="D117" s="140">
        <f t="shared" si="97"/>
        <v>5.695757340161592E-5</v>
      </c>
      <c r="E117" s="140">
        <f t="shared" si="97"/>
        <v>4.3811399807753827E-4</v>
      </c>
      <c r="F117" s="140">
        <f t="shared" si="97"/>
        <v>2.8571846851725274E-4</v>
      </c>
      <c r="G117" s="140">
        <f t="shared" si="97"/>
        <v>1.9901369065166712E-4</v>
      </c>
      <c r="H117" s="140">
        <f t="shared" si="97"/>
        <v>2.614231952187106E-4</v>
      </c>
      <c r="I117" s="140">
        <f t="shared" si="97"/>
        <v>1.6890411844742721E-4</v>
      </c>
      <c r="J117" s="140">
        <f t="shared" si="97"/>
        <v>7.2686106058007701E-5</v>
      </c>
      <c r="K117" s="140">
        <f t="shared" si="97"/>
        <v>6.1449614599951228E-5</v>
      </c>
      <c r="L117" s="140">
        <f t="shared" si="97"/>
        <v>1.3755974850776907E-4</v>
      </c>
      <c r="M117" s="140">
        <f t="shared" si="97"/>
        <v>1.2870978794126487E-5</v>
      </c>
      <c r="N117" s="140">
        <f t="shared" si="97"/>
        <v>1.35280508860165E-5</v>
      </c>
      <c r="O117" s="140">
        <f t="shared" si="97"/>
        <v>2.0367093524805064E-5</v>
      </c>
      <c r="P117" s="140">
        <f t="shared" si="97"/>
        <v>1.3190751608989018E-4</v>
      </c>
      <c r="Q117" s="140">
        <f t="shared" si="97"/>
        <v>1.2296491170917654E-4</v>
      </c>
      <c r="R117" s="140">
        <f t="shared" ref="R117:V120" si="98">IF(R25=0,0,R25/R$17)</f>
        <v>1.0950411062849116E-4</v>
      </c>
      <c r="S117" s="140">
        <f t="shared" si="98"/>
        <v>5.486063511727509E-5</v>
      </c>
      <c r="T117" s="140">
        <f t="shared" si="98"/>
        <v>5.9768070722979455E-5</v>
      </c>
      <c r="U117" s="140">
        <f t="shared" si="98"/>
        <v>1.6643243423094059E-5</v>
      </c>
      <c r="V117" s="140">
        <f t="shared" si="98"/>
        <v>2.0097320290742087E-5</v>
      </c>
      <c r="W117" s="140">
        <f t="shared" si="95"/>
        <v>2.7260578526519829E-6</v>
      </c>
      <c r="X117" s="140">
        <f t="shared" si="95"/>
        <v>4.0627815876686263E-6</v>
      </c>
      <c r="Y117" s="140">
        <f t="shared" si="95"/>
        <v>2.9950640636517483E-6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6.4440551009353447E-2</v>
      </c>
      <c r="C118" s="124">
        <f t="shared" si="99"/>
        <v>4.6864537453912454E-2</v>
      </c>
      <c r="D118" s="124">
        <f t="shared" si="99"/>
        <v>2.9667824139746685E-2</v>
      </c>
      <c r="E118" s="124">
        <f t="shared" si="99"/>
        <v>2.5961749493448621E-2</v>
      </c>
      <c r="F118" s="124">
        <f t="shared" si="99"/>
        <v>3.5600402402291023E-2</v>
      </c>
      <c r="G118" s="124">
        <f t="shared" si="99"/>
        <v>3.5323008806243152E-2</v>
      </c>
      <c r="H118" s="124">
        <f t="shared" si="99"/>
        <v>3.0511284733424009E-2</v>
      </c>
      <c r="I118" s="124">
        <f t="shared" si="99"/>
        <v>4.3510294030206377E-2</v>
      </c>
      <c r="J118" s="124">
        <f t="shared" si="99"/>
        <v>4.7143823386111089E-2</v>
      </c>
      <c r="K118" s="124">
        <f t="shared" si="99"/>
        <v>4.545065816883908E-2</v>
      </c>
      <c r="L118" s="124">
        <f t="shared" si="99"/>
        <v>5.5572953863644352E-2</v>
      </c>
      <c r="M118" s="124">
        <f t="shared" si="99"/>
        <v>4.3960946738702988E-2</v>
      </c>
      <c r="N118" s="124">
        <f t="shared" si="99"/>
        <v>4.6673637594323511E-2</v>
      </c>
      <c r="O118" s="124">
        <f t="shared" si="99"/>
        <v>4.5504375010520362E-2</v>
      </c>
      <c r="P118" s="124">
        <f t="shared" si="99"/>
        <v>3.936123422660618E-2</v>
      </c>
      <c r="Q118" s="124">
        <f t="shared" si="99"/>
        <v>3.1725345208492961E-2</v>
      </c>
      <c r="R118" s="124">
        <f t="shared" si="98"/>
        <v>3.6859889319576164E-2</v>
      </c>
      <c r="S118" s="124">
        <f t="shared" si="98"/>
        <v>3.5784942340395427E-2</v>
      </c>
      <c r="T118" s="124">
        <f t="shared" si="98"/>
        <v>2.9962188450525135E-2</v>
      </c>
      <c r="U118" s="124">
        <f t="shared" si="98"/>
        <v>3.5288714532147047E-2</v>
      </c>
      <c r="V118" s="124">
        <f t="shared" si="98"/>
        <v>3.4012137272290889E-2</v>
      </c>
      <c r="W118" s="124">
        <f t="shared" si="95"/>
        <v>3.2468885332116372E-2</v>
      </c>
      <c r="X118" s="124">
        <f t="shared" si="95"/>
        <v>2.6078482289625126E-2</v>
      </c>
      <c r="Y118" s="124">
        <f t="shared" si="95"/>
        <v>2.5676275318468667E-2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6.4440551009353447E-2</v>
      </c>
      <c r="C120" s="127">
        <f t="shared" si="101"/>
        <v>4.6864537453912454E-2</v>
      </c>
      <c r="D120" s="127">
        <f t="shared" si="101"/>
        <v>2.9667824139746685E-2</v>
      </c>
      <c r="E120" s="127">
        <f t="shared" si="101"/>
        <v>2.5961749493448621E-2</v>
      </c>
      <c r="F120" s="127">
        <f t="shared" si="101"/>
        <v>3.5600402402291023E-2</v>
      </c>
      <c r="G120" s="127">
        <f t="shared" si="101"/>
        <v>3.5323008806243152E-2</v>
      </c>
      <c r="H120" s="127">
        <f t="shared" si="101"/>
        <v>3.0511284733424009E-2</v>
      </c>
      <c r="I120" s="127">
        <f t="shared" si="101"/>
        <v>4.3510294030206377E-2</v>
      </c>
      <c r="J120" s="127">
        <f t="shared" si="101"/>
        <v>4.7143823386111089E-2</v>
      </c>
      <c r="K120" s="127">
        <f t="shared" si="101"/>
        <v>4.545065816883908E-2</v>
      </c>
      <c r="L120" s="127">
        <f t="shared" si="101"/>
        <v>5.5572953863644352E-2</v>
      </c>
      <c r="M120" s="127">
        <f t="shared" si="101"/>
        <v>4.3960946738702988E-2</v>
      </c>
      <c r="N120" s="127">
        <f t="shared" si="101"/>
        <v>4.6673637594323511E-2</v>
      </c>
      <c r="O120" s="127">
        <f t="shared" si="101"/>
        <v>4.5504375010520362E-2</v>
      </c>
      <c r="P120" s="127">
        <f t="shared" si="101"/>
        <v>3.936123422660618E-2</v>
      </c>
      <c r="Q120" s="127">
        <f t="shared" si="101"/>
        <v>3.1725345208492961E-2</v>
      </c>
      <c r="R120" s="127">
        <f t="shared" si="98"/>
        <v>3.6859889319576164E-2</v>
      </c>
      <c r="S120" s="127">
        <f t="shared" si="98"/>
        <v>3.5784942340395427E-2</v>
      </c>
      <c r="T120" s="127">
        <f t="shared" si="98"/>
        <v>2.9962188450525135E-2</v>
      </c>
      <c r="U120" s="127">
        <f t="shared" si="98"/>
        <v>3.5288714532147047E-2</v>
      </c>
      <c r="V120" s="127">
        <f t="shared" si="98"/>
        <v>3.4012137272290889E-2</v>
      </c>
      <c r="W120" s="127">
        <f t="shared" si="95"/>
        <v>3.2468885332116372E-2</v>
      </c>
      <c r="X120" s="127">
        <f t="shared" si="95"/>
        <v>2.6078482289625126E-2</v>
      </c>
      <c r="Y120" s="127">
        <f t="shared" si="95"/>
        <v>2.5676275318468667E-2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0</v>
      </c>
      <c r="C121" s="31">
        <f t="shared" si="102"/>
        <v>0</v>
      </c>
      <c r="D121" s="31">
        <f t="shared" si="102"/>
        <v>0</v>
      </c>
      <c r="E121" s="31">
        <f t="shared" si="102"/>
        <v>0</v>
      </c>
      <c r="F121" s="31">
        <f t="shared" si="102"/>
        <v>0</v>
      </c>
      <c r="G121" s="31">
        <f t="shared" si="102"/>
        <v>0</v>
      </c>
      <c r="H121" s="31">
        <f t="shared" si="102"/>
        <v>0</v>
      </c>
      <c r="I121" s="31">
        <f t="shared" si="102"/>
        <v>0</v>
      </c>
      <c r="J121" s="31">
        <f t="shared" si="102"/>
        <v>0</v>
      </c>
      <c r="K121" s="31">
        <f t="shared" si="102"/>
        <v>0</v>
      </c>
      <c r="L121" s="31">
        <f t="shared" si="102"/>
        <v>0</v>
      </c>
      <c r="M121" s="31">
        <f t="shared" si="102"/>
        <v>0</v>
      </c>
      <c r="N121" s="31">
        <f t="shared" si="102"/>
        <v>0</v>
      </c>
      <c r="O121" s="31">
        <f t="shared" si="102"/>
        <v>0</v>
      </c>
      <c r="P121" s="31">
        <f t="shared" si="102"/>
        <v>0</v>
      </c>
      <c r="Q121" s="31">
        <f t="shared" si="102"/>
        <v>0</v>
      </c>
      <c r="R121" s="31">
        <f t="shared" si="102"/>
        <v>0</v>
      </c>
      <c r="S121" s="31">
        <f t="shared" si="102"/>
        <v>0</v>
      </c>
      <c r="T121" s="31">
        <f t="shared" si="102"/>
        <v>0</v>
      </c>
      <c r="U121" s="31">
        <f t="shared" si="102"/>
        <v>0</v>
      </c>
      <c r="V121" s="31">
        <f t="shared" si="102"/>
        <v>0</v>
      </c>
      <c r="W121" s="31">
        <f t="shared" si="102"/>
        <v>0</v>
      </c>
      <c r="X121" s="31">
        <f t="shared" si="102"/>
        <v>0</v>
      </c>
      <c r="Y121" s="31">
        <f t="shared" si="102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</v>
      </c>
      <c r="C122" s="140">
        <f t="shared" si="103"/>
        <v>0</v>
      </c>
      <c r="D122" s="140">
        <f t="shared" si="103"/>
        <v>0</v>
      </c>
      <c r="E122" s="140">
        <f t="shared" si="103"/>
        <v>0</v>
      </c>
      <c r="F122" s="140">
        <f t="shared" si="103"/>
        <v>0</v>
      </c>
      <c r="G122" s="140">
        <f t="shared" si="103"/>
        <v>0</v>
      </c>
      <c r="H122" s="140">
        <f t="shared" si="103"/>
        <v>0</v>
      </c>
      <c r="I122" s="140">
        <f t="shared" si="103"/>
        <v>0</v>
      </c>
      <c r="J122" s="140">
        <f t="shared" si="103"/>
        <v>0</v>
      </c>
      <c r="K122" s="140">
        <f t="shared" si="103"/>
        <v>0</v>
      </c>
      <c r="L122" s="140">
        <f t="shared" si="103"/>
        <v>0</v>
      </c>
      <c r="M122" s="140">
        <f t="shared" si="103"/>
        <v>0</v>
      </c>
      <c r="N122" s="140">
        <f t="shared" si="103"/>
        <v>0</v>
      </c>
      <c r="O122" s="140">
        <f t="shared" si="103"/>
        <v>0</v>
      </c>
      <c r="P122" s="140">
        <f t="shared" si="103"/>
        <v>0</v>
      </c>
      <c r="Q122" s="140">
        <f t="shared" si="103"/>
        <v>0</v>
      </c>
      <c r="R122" s="140">
        <f t="shared" si="103"/>
        <v>0</v>
      </c>
      <c r="S122" s="140">
        <f t="shared" si="103"/>
        <v>0</v>
      </c>
      <c r="T122" s="140">
        <f t="shared" si="103"/>
        <v>0</v>
      </c>
      <c r="U122" s="140">
        <f t="shared" si="103"/>
        <v>0</v>
      </c>
      <c r="V122" s="140">
        <f t="shared" si="103"/>
        <v>0</v>
      </c>
      <c r="W122" s="140">
        <f t="shared" si="103"/>
        <v>0</v>
      </c>
      <c r="X122" s="140">
        <f t="shared" si="103"/>
        <v>0</v>
      </c>
      <c r="Y122" s="140">
        <f t="shared" si="103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</v>
      </c>
      <c r="C123" s="127">
        <f t="shared" si="104"/>
        <v>0</v>
      </c>
      <c r="D123" s="127">
        <f t="shared" si="104"/>
        <v>0</v>
      </c>
      <c r="E123" s="127">
        <f t="shared" si="104"/>
        <v>0</v>
      </c>
      <c r="F123" s="127">
        <f t="shared" si="104"/>
        <v>0</v>
      </c>
      <c r="G123" s="127">
        <f t="shared" si="104"/>
        <v>0</v>
      </c>
      <c r="H123" s="127">
        <f t="shared" si="104"/>
        <v>0</v>
      </c>
      <c r="I123" s="127">
        <f t="shared" si="104"/>
        <v>0</v>
      </c>
      <c r="J123" s="127">
        <f t="shared" si="104"/>
        <v>0</v>
      </c>
      <c r="K123" s="127">
        <f t="shared" si="104"/>
        <v>0</v>
      </c>
      <c r="L123" s="127">
        <f t="shared" si="104"/>
        <v>0</v>
      </c>
      <c r="M123" s="127">
        <f t="shared" si="104"/>
        <v>0</v>
      </c>
      <c r="N123" s="127">
        <f t="shared" si="104"/>
        <v>0</v>
      </c>
      <c r="O123" s="127">
        <f t="shared" si="104"/>
        <v>0</v>
      </c>
      <c r="P123" s="127">
        <f t="shared" si="104"/>
        <v>0</v>
      </c>
      <c r="Q123" s="127">
        <f t="shared" si="104"/>
        <v>0</v>
      </c>
      <c r="R123" s="127">
        <f t="shared" si="104"/>
        <v>0</v>
      </c>
      <c r="S123" s="127">
        <f t="shared" si="104"/>
        <v>0</v>
      </c>
      <c r="T123" s="127">
        <f t="shared" si="104"/>
        <v>0</v>
      </c>
      <c r="U123" s="127">
        <f t="shared" si="104"/>
        <v>0</v>
      </c>
      <c r="V123" s="127">
        <f t="shared" si="104"/>
        <v>0</v>
      </c>
      <c r="W123" s="127">
        <f t="shared" si="104"/>
        <v>0</v>
      </c>
      <c r="X123" s="127">
        <f t="shared" si="104"/>
        <v>0</v>
      </c>
      <c r="Y123" s="127">
        <f t="shared" si="104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0.93996544822929173</v>
      </c>
      <c r="C127" s="139">
        <f t="shared" ref="C127:Y127" si="107">IF(C35=0,0,C35/C$34)</f>
        <v>0.94438916477218604</v>
      </c>
      <c r="D127" s="139">
        <f t="shared" si="107"/>
        <v>0.93965150846516199</v>
      </c>
      <c r="E127" s="139">
        <f t="shared" si="107"/>
        <v>0.94804604341356857</v>
      </c>
      <c r="F127" s="139">
        <f t="shared" si="107"/>
        <v>0.95119115747851435</v>
      </c>
      <c r="G127" s="139">
        <f t="shared" si="107"/>
        <v>0.94448348045389696</v>
      </c>
      <c r="H127" s="139">
        <f t="shared" si="107"/>
        <v>0.9412157006930908</v>
      </c>
      <c r="I127" s="139">
        <f t="shared" si="107"/>
        <v>0.93806296706091996</v>
      </c>
      <c r="J127" s="139">
        <f t="shared" si="107"/>
        <v>0.92984011034329572</v>
      </c>
      <c r="K127" s="139">
        <f t="shared" si="107"/>
        <v>0.93993406094707954</v>
      </c>
      <c r="L127" s="139">
        <f t="shared" si="107"/>
        <v>0.94491158428623578</v>
      </c>
      <c r="M127" s="139">
        <f t="shared" si="107"/>
        <v>0.94240770403897045</v>
      </c>
      <c r="N127" s="139">
        <f t="shared" si="107"/>
        <v>0.94608293220802253</v>
      </c>
      <c r="O127" s="139">
        <f t="shared" si="107"/>
        <v>0.94282235674796311</v>
      </c>
      <c r="P127" s="139">
        <f t="shared" si="107"/>
        <v>0.94582883148288655</v>
      </c>
      <c r="Q127" s="139">
        <f t="shared" si="107"/>
        <v>0.934430215280591</v>
      </c>
      <c r="R127" s="139">
        <f t="shared" si="107"/>
        <v>0.93025440972500428</v>
      </c>
      <c r="S127" s="139">
        <f t="shared" si="107"/>
        <v>0.93830376510409186</v>
      </c>
      <c r="T127" s="139">
        <f t="shared" si="107"/>
        <v>0.93135097172030179</v>
      </c>
      <c r="U127" s="139">
        <f t="shared" si="107"/>
        <v>0.934841835135647</v>
      </c>
      <c r="V127" s="139">
        <f t="shared" si="107"/>
        <v>0.95104550137965838</v>
      </c>
      <c r="W127" s="139">
        <f t="shared" si="107"/>
        <v>0.95506059108681407</v>
      </c>
      <c r="X127" s="139">
        <f t="shared" si="107"/>
        <v>0.94654482261962836</v>
      </c>
      <c r="Y127" s="139">
        <f t="shared" si="107"/>
        <v>0.94987498406175819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2.0335382184178503E-3</v>
      </c>
      <c r="C128" s="140">
        <f t="shared" ref="C128:Y128" si="108">IF(C36=0,0,C36/C$34)</f>
        <v>2.0895654360987702E-3</v>
      </c>
      <c r="D128" s="140">
        <f t="shared" si="108"/>
        <v>1.5936308520480193E-3</v>
      </c>
      <c r="E128" s="140">
        <f t="shared" si="108"/>
        <v>1.6994986281845858E-3</v>
      </c>
      <c r="F128" s="140">
        <f t="shared" si="108"/>
        <v>1.9338414527675925E-3</v>
      </c>
      <c r="G128" s="140">
        <f t="shared" si="108"/>
        <v>2.0184098611339641E-3</v>
      </c>
      <c r="H128" s="140">
        <f t="shared" si="108"/>
        <v>2.1325552975639409E-3</v>
      </c>
      <c r="I128" s="140">
        <f t="shared" si="108"/>
        <v>2.161071281662891E-3</v>
      </c>
      <c r="J128" s="140">
        <f t="shared" si="108"/>
        <v>2.234636469474595E-3</v>
      </c>
      <c r="K128" s="140">
        <f t="shared" si="108"/>
        <v>2.0877176901825186E-3</v>
      </c>
      <c r="L128" s="140">
        <f t="shared" si="108"/>
        <v>1.8894182761547665E-3</v>
      </c>
      <c r="M128" s="140">
        <f t="shared" si="108"/>
        <v>2.3100736616964205E-3</v>
      </c>
      <c r="N128" s="140">
        <f t="shared" si="108"/>
        <v>2.7693534572358859E-3</v>
      </c>
      <c r="O128" s="140">
        <f t="shared" si="108"/>
        <v>2.8105849100703594E-3</v>
      </c>
      <c r="P128" s="140">
        <f t="shared" si="108"/>
        <v>3.1322615952414316E-3</v>
      </c>
      <c r="Q128" s="140">
        <f t="shared" si="108"/>
        <v>3.3898350758533678E-3</v>
      </c>
      <c r="R128" s="140">
        <f t="shared" si="108"/>
        <v>3.5585933591947652E-3</v>
      </c>
      <c r="S128" s="140">
        <f t="shared" si="108"/>
        <v>3.312679418406825E-3</v>
      </c>
      <c r="T128" s="140">
        <f t="shared" si="108"/>
        <v>3.2223590464319691E-3</v>
      </c>
      <c r="U128" s="140">
        <f t="shared" si="108"/>
        <v>3.477109484446158E-3</v>
      </c>
      <c r="V128" s="140">
        <f t="shared" si="108"/>
        <v>3.4651971872707195E-3</v>
      </c>
      <c r="W128" s="140">
        <f t="shared" si="108"/>
        <v>3.5349119786933993E-3</v>
      </c>
      <c r="X128" s="140">
        <f t="shared" si="108"/>
        <v>3.4316118687981638E-3</v>
      </c>
      <c r="Y128" s="140">
        <f t="shared" si="108"/>
        <v>3.5483765340536453E-3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0.75633987663202651</v>
      </c>
      <c r="C129" s="140">
        <f t="shared" ref="C129:Y129" si="109">IF(C37=0,0,C37/C$34)</f>
        <v>0.77253567917487653</v>
      </c>
      <c r="D129" s="140">
        <f t="shared" si="109"/>
        <v>0.79168644373134989</v>
      </c>
      <c r="E129" s="140">
        <f t="shared" si="109"/>
        <v>0.79004221969130151</v>
      </c>
      <c r="F129" s="140">
        <f t="shared" si="109"/>
        <v>0.79371611851047663</v>
      </c>
      <c r="G129" s="140">
        <f t="shared" si="109"/>
        <v>0.79955630799919553</v>
      </c>
      <c r="H129" s="140">
        <f t="shared" si="109"/>
        <v>0.79090097547087623</v>
      </c>
      <c r="I129" s="140">
        <f t="shared" si="109"/>
        <v>0.77163161514493872</v>
      </c>
      <c r="J129" s="140">
        <f t="shared" si="109"/>
        <v>0.77428624598192819</v>
      </c>
      <c r="K129" s="140">
        <f t="shared" si="109"/>
        <v>0.78611331266300588</v>
      </c>
      <c r="L129" s="140">
        <f t="shared" si="109"/>
        <v>0.79485004596847098</v>
      </c>
      <c r="M129" s="140">
        <f t="shared" si="109"/>
        <v>0.79853956347464883</v>
      </c>
      <c r="N129" s="140">
        <f t="shared" si="109"/>
        <v>0.79897997524190423</v>
      </c>
      <c r="O129" s="140">
        <f t="shared" si="109"/>
        <v>0.80014620163045302</v>
      </c>
      <c r="P129" s="140">
        <f t="shared" si="109"/>
        <v>0.79965424346121894</v>
      </c>
      <c r="Q129" s="140">
        <f t="shared" si="109"/>
        <v>0.79192566497590366</v>
      </c>
      <c r="R129" s="140">
        <f t="shared" si="109"/>
        <v>0.79332637740478917</v>
      </c>
      <c r="S129" s="140">
        <f t="shared" si="109"/>
        <v>0.79488097202000185</v>
      </c>
      <c r="T129" s="140">
        <f t="shared" si="109"/>
        <v>0.7807923465782759</v>
      </c>
      <c r="U129" s="140">
        <f t="shared" si="109"/>
        <v>0.77820545390045437</v>
      </c>
      <c r="V129" s="140">
        <f t="shared" si="109"/>
        <v>0.80204043973629979</v>
      </c>
      <c r="W129" s="140">
        <f t="shared" si="109"/>
        <v>0.80930319721197408</v>
      </c>
      <c r="X129" s="140">
        <f t="shared" si="109"/>
        <v>0.79912623054335219</v>
      </c>
      <c r="Y129" s="140">
        <f t="shared" si="109"/>
        <v>0.80953095626803184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0.18159203337884747</v>
      </c>
      <c r="C130" s="140">
        <f t="shared" ref="C130:Y130" si="110">IF(C38=0,0,C38/C$34)</f>
        <v>0.16976392016121081</v>
      </c>
      <c r="D130" s="140">
        <f t="shared" si="110"/>
        <v>0.14637143388176413</v>
      </c>
      <c r="E130" s="140">
        <f t="shared" si="110"/>
        <v>0.15630432509408251</v>
      </c>
      <c r="F130" s="140">
        <f t="shared" si="110"/>
        <v>0.15554119751527018</v>
      </c>
      <c r="G130" s="140">
        <f t="shared" si="110"/>
        <v>0.14290876259356741</v>
      </c>
      <c r="H130" s="140">
        <f t="shared" si="110"/>
        <v>0.14818216992465064</v>
      </c>
      <c r="I130" s="140">
        <f t="shared" si="110"/>
        <v>0.16427028063431837</v>
      </c>
      <c r="J130" s="140">
        <f t="shared" si="110"/>
        <v>0.15331922789189287</v>
      </c>
      <c r="K130" s="140">
        <f t="shared" si="110"/>
        <v>0.15173303059389107</v>
      </c>
      <c r="L130" s="140">
        <f t="shared" si="110"/>
        <v>0.14817212004161001</v>
      </c>
      <c r="M130" s="140">
        <f t="shared" si="110"/>
        <v>0.14155806690262529</v>
      </c>
      <c r="N130" s="140">
        <f t="shared" si="110"/>
        <v>0.14433360350888241</v>
      </c>
      <c r="O130" s="140">
        <f t="shared" si="110"/>
        <v>0.13986557020743956</v>
      </c>
      <c r="P130" s="140">
        <f t="shared" si="110"/>
        <v>0.14304232642642631</v>
      </c>
      <c r="Q130" s="140">
        <f t="shared" si="110"/>
        <v>0.13911471522883403</v>
      </c>
      <c r="R130" s="140">
        <f t="shared" si="110"/>
        <v>0.13336943896102038</v>
      </c>
      <c r="S130" s="140">
        <f t="shared" si="110"/>
        <v>0.14011011366568316</v>
      </c>
      <c r="T130" s="140">
        <f t="shared" si="110"/>
        <v>0.14733626609559394</v>
      </c>
      <c r="U130" s="140">
        <f t="shared" si="110"/>
        <v>0.15315927175074648</v>
      </c>
      <c r="V130" s="140">
        <f t="shared" si="110"/>
        <v>0.14553986445608777</v>
      </c>
      <c r="W130" s="140">
        <f t="shared" si="110"/>
        <v>0.14222248189614661</v>
      </c>
      <c r="X130" s="140">
        <f t="shared" si="110"/>
        <v>0.14398698020747805</v>
      </c>
      <c r="Y130" s="140">
        <f t="shared" si="110"/>
        <v>0.13679565125967258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3.3359088063428625E-2</v>
      </c>
      <c r="C131" s="124">
        <f t="shared" ref="C131:Y131" si="111">IF(C39=0,0,C39/C$34)</f>
        <v>2.6089646114074334E-2</v>
      </c>
      <c r="D131" s="124">
        <f t="shared" si="111"/>
        <v>2.1270220277539564E-2</v>
      </c>
      <c r="E131" s="124">
        <f t="shared" si="111"/>
        <v>2.2358656509952678E-2</v>
      </c>
      <c r="F131" s="124">
        <f t="shared" si="111"/>
        <v>2.3196040594217617E-2</v>
      </c>
      <c r="G131" s="124">
        <f t="shared" si="111"/>
        <v>1.9747436349230003E-2</v>
      </c>
      <c r="H131" s="124">
        <f t="shared" si="111"/>
        <v>2.170814183004267E-2</v>
      </c>
      <c r="I131" s="124">
        <f t="shared" si="111"/>
        <v>1.9252231853566556E-2</v>
      </c>
      <c r="J131" s="124">
        <f t="shared" si="111"/>
        <v>1.851308512477411E-2</v>
      </c>
      <c r="K131" s="124">
        <f t="shared" si="111"/>
        <v>2.0552607903373366E-2</v>
      </c>
      <c r="L131" s="124">
        <f t="shared" si="111"/>
        <v>2.001923063702768E-2</v>
      </c>
      <c r="M131" s="124">
        <f t="shared" si="111"/>
        <v>2.0395732629635972E-2</v>
      </c>
      <c r="N131" s="124">
        <f t="shared" si="111"/>
        <v>2.1477494635322177E-2</v>
      </c>
      <c r="O131" s="124">
        <f t="shared" si="111"/>
        <v>2.1155243382258146E-2</v>
      </c>
      <c r="P131" s="124">
        <f t="shared" si="111"/>
        <v>2.2871069259253203E-2</v>
      </c>
      <c r="Q131" s="124">
        <f t="shared" si="111"/>
        <v>2.7775676932764698E-2</v>
      </c>
      <c r="R131" s="124">
        <f t="shared" si="111"/>
        <v>2.663582714962642E-2</v>
      </c>
      <c r="S131" s="124">
        <f t="shared" si="111"/>
        <v>2.7514672700381281E-2</v>
      </c>
      <c r="T131" s="124">
        <f t="shared" si="111"/>
        <v>2.7192571402867322E-2</v>
      </c>
      <c r="U131" s="124">
        <f t="shared" si="111"/>
        <v>2.4831801773223718E-2</v>
      </c>
      <c r="V131" s="124">
        <f t="shared" si="111"/>
        <v>2.2887597623238949E-2</v>
      </c>
      <c r="W131" s="124">
        <f t="shared" si="111"/>
        <v>2.4069532073929093E-2</v>
      </c>
      <c r="X131" s="124">
        <f t="shared" si="111"/>
        <v>2.2453572674651909E-2</v>
      </c>
      <c r="Y131" s="124">
        <f t="shared" si="111"/>
        <v>2.4639082441873537E-2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1.6525745124339347E-3</v>
      </c>
      <c r="C132" s="140">
        <f t="shared" ref="C132:Y132" si="112">IF(C40=0,0,C40/C$34)</f>
        <v>1.612747215837386E-3</v>
      </c>
      <c r="D132" s="140">
        <f t="shared" si="112"/>
        <v>1.4154757920537839E-3</v>
      </c>
      <c r="E132" s="140">
        <f t="shared" si="112"/>
        <v>1.5090980268076413E-3</v>
      </c>
      <c r="F132" s="140">
        <f t="shared" si="112"/>
        <v>1.6213111199984618E-3</v>
      </c>
      <c r="G132" s="140">
        <f t="shared" si="112"/>
        <v>1.6194595196853045E-3</v>
      </c>
      <c r="H132" s="140">
        <f t="shared" si="112"/>
        <v>1.6130690437630359E-3</v>
      </c>
      <c r="I132" s="140">
        <f t="shared" si="112"/>
        <v>1.5757389271158831E-3</v>
      </c>
      <c r="J132" s="140">
        <f t="shared" si="112"/>
        <v>1.3285703178901088E-3</v>
      </c>
      <c r="K132" s="140">
        <f t="shared" si="112"/>
        <v>1.129526290288401E-3</v>
      </c>
      <c r="L132" s="140">
        <f t="shared" si="112"/>
        <v>1.0677148904986238E-3</v>
      </c>
      <c r="M132" s="140">
        <f t="shared" si="112"/>
        <v>1.1361969659269974E-3</v>
      </c>
      <c r="N132" s="140">
        <f t="shared" si="112"/>
        <v>1.087412860651431E-3</v>
      </c>
      <c r="O132" s="140">
        <f t="shared" si="112"/>
        <v>1.0118531441081456E-3</v>
      </c>
      <c r="P132" s="140">
        <f t="shared" si="112"/>
        <v>9.3481519872993374E-4</v>
      </c>
      <c r="Q132" s="140">
        <f t="shared" si="112"/>
        <v>8.4065422925642551E-4</v>
      </c>
      <c r="R132" s="140">
        <f t="shared" si="112"/>
        <v>9.8570721547317614E-4</v>
      </c>
      <c r="S132" s="140">
        <f t="shared" si="112"/>
        <v>8.9202972368430749E-4</v>
      </c>
      <c r="T132" s="140">
        <f t="shared" si="112"/>
        <v>9.0265896152861896E-4</v>
      </c>
      <c r="U132" s="140">
        <f t="shared" si="112"/>
        <v>9.0601723957131131E-4</v>
      </c>
      <c r="V132" s="140">
        <f t="shared" si="112"/>
        <v>9.9174450151821988E-4</v>
      </c>
      <c r="W132" s="140">
        <f t="shared" si="112"/>
        <v>1.5329793800374289E-3</v>
      </c>
      <c r="X132" s="140">
        <f t="shared" si="112"/>
        <v>1.141276935315675E-3</v>
      </c>
      <c r="Y132" s="140">
        <f t="shared" si="112"/>
        <v>1.2465331999739779E-3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3.1706513550994693E-2</v>
      </c>
      <c r="C133" s="140">
        <f t="shared" ref="C133:Y133" si="113">IF(C41=0,0,C41/C$34)</f>
        <v>2.4476898898236951E-2</v>
      </c>
      <c r="D133" s="140">
        <f t="shared" si="113"/>
        <v>1.9854744485485781E-2</v>
      </c>
      <c r="E133" s="140">
        <f t="shared" si="113"/>
        <v>2.0849558483145039E-2</v>
      </c>
      <c r="F133" s="140">
        <f t="shared" si="113"/>
        <v>2.1574729474219154E-2</v>
      </c>
      <c r="G133" s="140">
        <f t="shared" si="113"/>
        <v>1.8127976829544697E-2</v>
      </c>
      <c r="H133" s="140">
        <f t="shared" si="113"/>
        <v>2.0095072786279634E-2</v>
      </c>
      <c r="I133" s="140">
        <f t="shared" si="113"/>
        <v>1.7676492926450672E-2</v>
      </c>
      <c r="J133" s="140">
        <f t="shared" si="113"/>
        <v>1.7184514806884002E-2</v>
      </c>
      <c r="K133" s="140">
        <f t="shared" si="113"/>
        <v>1.9423081613084967E-2</v>
      </c>
      <c r="L133" s="140">
        <f t="shared" si="113"/>
        <v>1.8951515746529056E-2</v>
      </c>
      <c r="M133" s="140">
        <f t="shared" si="113"/>
        <v>1.9259535663708974E-2</v>
      </c>
      <c r="N133" s="140">
        <f t="shared" si="113"/>
        <v>2.0390081774670745E-2</v>
      </c>
      <c r="O133" s="140">
        <f t="shared" si="113"/>
        <v>2.014339023815E-2</v>
      </c>
      <c r="P133" s="140">
        <f t="shared" si="113"/>
        <v>2.1936254060523269E-2</v>
      </c>
      <c r="Q133" s="140">
        <f t="shared" si="113"/>
        <v>2.6935022703508275E-2</v>
      </c>
      <c r="R133" s="140">
        <f t="shared" si="113"/>
        <v>2.5650119934153247E-2</v>
      </c>
      <c r="S133" s="140">
        <f t="shared" si="113"/>
        <v>2.6622642976696975E-2</v>
      </c>
      <c r="T133" s="140">
        <f t="shared" si="113"/>
        <v>2.6289912441338704E-2</v>
      </c>
      <c r="U133" s="140">
        <f t="shared" si="113"/>
        <v>2.3925784533652409E-2</v>
      </c>
      <c r="V133" s="140">
        <f t="shared" si="113"/>
        <v>2.1895853121720727E-2</v>
      </c>
      <c r="W133" s="140">
        <f t="shared" si="113"/>
        <v>2.2536552693891661E-2</v>
      </c>
      <c r="X133" s="140">
        <f t="shared" si="113"/>
        <v>2.1312295739336233E-2</v>
      </c>
      <c r="Y133" s="140">
        <f t="shared" si="113"/>
        <v>2.3392549241899561E-2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2.6675463707279724E-2</v>
      </c>
      <c r="C135" s="124">
        <f t="shared" ref="C135:Y135" si="115">IF(C43=0,0,C43/C$34)</f>
        <v>2.9521189113739542E-2</v>
      </c>
      <c r="D135" s="124">
        <f t="shared" si="115"/>
        <v>3.9078271257298375E-2</v>
      </c>
      <c r="E135" s="124">
        <f t="shared" si="115"/>
        <v>2.9595300076478672E-2</v>
      </c>
      <c r="F135" s="124">
        <f t="shared" si="115"/>
        <v>2.5612801927267927E-2</v>
      </c>
      <c r="G135" s="124">
        <f t="shared" si="115"/>
        <v>3.5769083196873198E-2</v>
      </c>
      <c r="H135" s="124">
        <f t="shared" si="115"/>
        <v>3.7076157476866434E-2</v>
      </c>
      <c r="I135" s="124">
        <f t="shared" si="115"/>
        <v>4.2684801085513382E-2</v>
      </c>
      <c r="J135" s="124">
        <f t="shared" si="115"/>
        <v>5.164680453193022E-2</v>
      </c>
      <c r="K135" s="124">
        <f t="shared" si="115"/>
        <v>3.951333114954711E-2</v>
      </c>
      <c r="L135" s="124">
        <f t="shared" si="115"/>
        <v>3.5069185076736363E-2</v>
      </c>
      <c r="M135" s="124">
        <f t="shared" si="115"/>
        <v>3.7196563331393637E-2</v>
      </c>
      <c r="N135" s="124">
        <f t="shared" si="115"/>
        <v>3.2439573156655424E-2</v>
      </c>
      <c r="O135" s="124">
        <f t="shared" si="115"/>
        <v>3.6022399869778669E-2</v>
      </c>
      <c r="P135" s="124">
        <f t="shared" si="115"/>
        <v>3.1300099257860148E-2</v>
      </c>
      <c r="Q135" s="124">
        <f t="shared" si="115"/>
        <v>3.7794107786644271E-2</v>
      </c>
      <c r="R135" s="124">
        <f t="shared" si="115"/>
        <v>4.310976312536946E-2</v>
      </c>
      <c r="S135" s="124">
        <f t="shared" si="115"/>
        <v>3.4181562195526871E-2</v>
      </c>
      <c r="T135" s="124">
        <f t="shared" si="115"/>
        <v>4.1456456876830687E-2</v>
      </c>
      <c r="U135" s="124">
        <f t="shared" si="115"/>
        <v>4.0326363091129178E-2</v>
      </c>
      <c r="V135" s="124">
        <f t="shared" si="115"/>
        <v>2.6066900997102637E-2</v>
      </c>
      <c r="W135" s="124">
        <f t="shared" si="115"/>
        <v>2.0869876839256771E-2</v>
      </c>
      <c r="X135" s="124">
        <f t="shared" si="115"/>
        <v>3.1001604705719835E-2</v>
      </c>
      <c r="Y135" s="124">
        <f t="shared" si="115"/>
        <v>2.5485933496368331E-2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1.6431934252032022E-2</v>
      </c>
      <c r="C137" s="140">
        <f t="shared" ref="C137:Y137" si="117">IF(C45=0,0,C45/C$34)</f>
        <v>1.8166966007505371E-2</v>
      </c>
      <c r="D137" s="140">
        <f t="shared" si="117"/>
        <v>2.0947956635545845E-2</v>
      </c>
      <c r="E137" s="140">
        <f t="shared" si="117"/>
        <v>1.6290239880202294E-2</v>
      </c>
      <c r="F137" s="140">
        <f t="shared" si="117"/>
        <v>1.4942542506607398E-2</v>
      </c>
      <c r="G137" s="140">
        <f t="shared" si="117"/>
        <v>2.1946178757666079E-2</v>
      </c>
      <c r="H137" s="140">
        <f t="shared" si="117"/>
        <v>2.3988121076809296E-2</v>
      </c>
      <c r="I137" s="140">
        <f t="shared" si="117"/>
        <v>2.8139425744905532E-2</v>
      </c>
      <c r="J137" s="140">
        <f t="shared" si="117"/>
        <v>3.5611649795992482E-2</v>
      </c>
      <c r="K137" s="140">
        <f t="shared" si="117"/>
        <v>2.5997807248621121E-2</v>
      </c>
      <c r="L137" s="140">
        <f t="shared" si="117"/>
        <v>2.2263789511705431E-2</v>
      </c>
      <c r="M137" s="140">
        <f t="shared" si="117"/>
        <v>2.3139860413264022E-2</v>
      </c>
      <c r="N137" s="140">
        <f t="shared" si="117"/>
        <v>2.000574280215912E-2</v>
      </c>
      <c r="O137" s="140">
        <f t="shared" si="117"/>
        <v>2.2090440352103453E-2</v>
      </c>
      <c r="P137" s="140">
        <f t="shared" si="117"/>
        <v>1.968677451276853E-2</v>
      </c>
      <c r="Q137" s="140">
        <f t="shared" si="117"/>
        <v>2.4541777184087166E-2</v>
      </c>
      <c r="R137" s="140">
        <f t="shared" si="117"/>
        <v>2.8569582572482578E-2</v>
      </c>
      <c r="S137" s="140">
        <f t="shared" si="117"/>
        <v>2.2397485919410973E-2</v>
      </c>
      <c r="T137" s="140">
        <f t="shared" si="117"/>
        <v>2.7399608534555205E-2</v>
      </c>
      <c r="U137" s="140">
        <f t="shared" si="117"/>
        <v>2.6585664345492789E-2</v>
      </c>
      <c r="V137" s="140">
        <f t="shared" si="117"/>
        <v>1.4626785543225993E-2</v>
      </c>
      <c r="W137" s="140">
        <f t="shared" si="117"/>
        <v>1.2551835600733688E-2</v>
      </c>
      <c r="X137" s="140">
        <f t="shared" si="117"/>
        <v>2.0308605532548409E-2</v>
      </c>
      <c r="Y137" s="140">
        <f t="shared" si="117"/>
        <v>1.6591278604250657E-2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1.0243529455247697E-2</v>
      </c>
      <c r="C138" s="140">
        <f t="shared" ref="C138:Y138" si="118">IF(C46=0,0,C46/C$34)</f>
        <v>1.1354223106234174E-2</v>
      </c>
      <c r="D138" s="140">
        <f t="shared" si="118"/>
        <v>1.8130314621752529E-2</v>
      </c>
      <c r="E138" s="140">
        <f t="shared" si="118"/>
        <v>1.3305060196276378E-2</v>
      </c>
      <c r="F138" s="140">
        <f t="shared" si="118"/>
        <v>1.0670259420660529E-2</v>
      </c>
      <c r="G138" s="140">
        <f t="shared" si="118"/>
        <v>1.3822904439207117E-2</v>
      </c>
      <c r="H138" s="140">
        <f t="shared" si="118"/>
        <v>1.3088036400057141E-2</v>
      </c>
      <c r="I138" s="140">
        <f t="shared" si="118"/>
        <v>1.4545375340607848E-2</v>
      </c>
      <c r="J138" s="140">
        <f t="shared" si="118"/>
        <v>1.6035154735937741E-2</v>
      </c>
      <c r="K138" s="140">
        <f t="shared" si="118"/>
        <v>1.3515523900925992E-2</v>
      </c>
      <c r="L138" s="140">
        <f t="shared" si="118"/>
        <v>1.2805395565030931E-2</v>
      </c>
      <c r="M138" s="140">
        <f t="shared" si="118"/>
        <v>1.4056702918129617E-2</v>
      </c>
      <c r="N138" s="140">
        <f t="shared" si="118"/>
        <v>1.2433830354496305E-2</v>
      </c>
      <c r="O138" s="140">
        <f t="shared" si="118"/>
        <v>1.3931959517675214E-2</v>
      </c>
      <c r="P138" s="140">
        <f t="shared" si="118"/>
        <v>1.161332474509162E-2</v>
      </c>
      <c r="Q138" s="140">
        <f t="shared" si="118"/>
        <v>1.3252330602557108E-2</v>
      </c>
      <c r="R138" s="140">
        <f t="shared" si="118"/>
        <v>1.4540180552886885E-2</v>
      </c>
      <c r="S138" s="140">
        <f t="shared" si="118"/>
        <v>1.1784076276115898E-2</v>
      </c>
      <c r="T138" s="140">
        <f t="shared" si="118"/>
        <v>1.4056848342275486E-2</v>
      </c>
      <c r="U138" s="140">
        <f t="shared" si="118"/>
        <v>1.3740698745636389E-2</v>
      </c>
      <c r="V138" s="140">
        <f t="shared" si="118"/>
        <v>1.144011545387664E-2</v>
      </c>
      <c r="W138" s="140">
        <f t="shared" si="118"/>
        <v>8.3180412385230849E-3</v>
      </c>
      <c r="X138" s="140">
        <f t="shared" si="118"/>
        <v>1.0692999173171432E-2</v>
      </c>
      <c r="Y138" s="140">
        <f t="shared" si="118"/>
        <v>8.894654892117668E-3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0.84136216799624242</v>
      </c>
      <c r="C140" s="139">
        <f t="shared" ref="C140:Y140" si="121">IF(C48=0,0,C48/C$47)</f>
        <v>0.86671376842991066</v>
      </c>
      <c r="D140" s="139">
        <f t="shared" si="121"/>
        <v>0.91896732497397882</v>
      </c>
      <c r="E140" s="139">
        <f t="shared" si="121"/>
        <v>0.9119037253895369</v>
      </c>
      <c r="F140" s="139">
        <f t="shared" si="121"/>
        <v>0.91588756353856948</v>
      </c>
      <c r="G140" s="139">
        <f t="shared" si="121"/>
        <v>0.9427755371073625</v>
      </c>
      <c r="H140" s="139">
        <f t="shared" si="121"/>
        <v>0.95677977757329302</v>
      </c>
      <c r="I140" s="139">
        <f t="shared" si="121"/>
        <v>0.95787595409043214</v>
      </c>
      <c r="J140" s="139">
        <f t="shared" si="121"/>
        <v>0.96028773432369796</v>
      </c>
      <c r="K140" s="139">
        <f t="shared" si="121"/>
        <v>0.96759402382558235</v>
      </c>
      <c r="L140" s="139">
        <f t="shared" si="121"/>
        <v>0.96879534472287177</v>
      </c>
      <c r="M140" s="139">
        <f t="shared" si="121"/>
        <v>0.96804782081553598</v>
      </c>
      <c r="N140" s="139">
        <f t="shared" si="121"/>
        <v>0.96905738767659921</v>
      </c>
      <c r="O140" s="139">
        <f t="shared" si="121"/>
        <v>0.96492220001739393</v>
      </c>
      <c r="P140" s="139">
        <f t="shared" si="121"/>
        <v>0.96793335857929719</v>
      </c>
      <c r="Q140" s="139">
        <f t="shared" si="121"/>
        <v>0.97037568039339273</v>
      </c>
      <c r="R140" s="139">
        <f t="shared" si="121"/>
        <v>0.97271098938758793</v>
      </c>
      <c r="S140" s="139">
        <f t="shared" si="121"/>
        <v>0.97977047717151944</v>
      </c>
      <c r="T140" s="139">
        <f t="shared" si="121"/>
        <v>0.98087079790150355</v>
      </c>
      <c r="U140" s="139">
        <f t="shared" si="121"/>
        <v>0.98095436453008322</v>
      </c>
      <c r="V140" s="139">
        <f t="shared" si="121"/>
        <v>0.97716850745398742</v>
      </c>
      <c r="W140" s="139">
        <f t="shared" si="121"/>
        <v>0.97827183529573569</v>
      </c>
      <c r="X140" s="139">
        <f t="shared" si="121"/>
        <v>0.97888691733412247</v>
      </c>
      <c r="Y140" s="139">
        <f t="shared" si="121"/>
        <v>0.97937965634164781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0.38760000309877579</v>
      </c>
      <c r="C141" s="140">
        <f t="shared" ref="C141:Y141" si="122">IF(C49=0,0,C49/C$47)</f>
        <v>0.41195253863711861</v>
      </c>
      <c r="D141" s="140">
        <f t="shared" si="122"/>
        <v>0.35186609217695414</v>
      </c>
      <c r="E141" s="140">
        <f t="shared" si="122"/>
        <v>0.41953841124634</v>
      </c>
      <c r="F141" s="140">
        <f t="shared" si="122"/>
        <v>0.3954341596406275</v>
      </c>
      <c r="G141" s="140">
        <f t="shared" si="122"/>
        <v>0.34906342256078876</v>
      </c>
      <c r="H141" s="140">
        <f t="shared" si="122"/>
        <v>0.29242868512549219</v>
      </c>
      <c r="I141" s="140">
        <f t="shared" si="122"/>
        <v>0.30417831096516146</v>
      </c>
      <c r="J141" s="140">
        <f t="shared" si="122"/>
        <v>0.27209220104217557</v>
      </c>
      <c r="K141" s="140">
        <f t="shared" si="122"/>
        <v>0.321001919048854</v>
      </c>
      <c r="L141" s="140">
        <f t="shared" si="122"/>
        <v>0.27788700150148077</v>
      </c>
      <c r="M141" s="140">
        <f t="shared" si="122"/>
        <v>0.29705961537324804</v>
      </c>
      <c r="N141" s="140">
        <f t="shared" si="122"/>
        <v>0.30201848501913076</v>
      </c>
      <c r="O141" s="140">
        <f t="shared" si="122"/>
        <v>0.26540035897744269</v>
      </c>
      <c r="P141" s="140">
        <f t="shared" si="122"/>
        <v>0.24469248127420556</v>
      </c>
      <c r="Q141" s="140">
        <f t="shared" si="122"/>
        <v>0.2728217740990444</v>
      </c>
      <c r="R141" s="140">
        <f t="shared" si="122"/>
        <v>0.22801468416350967</v>
      </c>
      <c r="S141" s="140">
        <f t="shared" si="122"/>
        <v>0.19655824778038419</v>
      </c>
      <c r="T141" s="140">
        <f t="shared" si="122"/>
        <v>0.1907722406521675</v>
      </c>
      <c r="U141" s="140">
        <f t="shared" si="122"/>
        <v>0.18882041022301346</v>
      </c>
      <c r="V141" s="140">
        <f t="shared" si="122"/>
        <v>0.20847884230674588</v>
      </c>
      <c r="W141" s="140">
        <f t="shared" si="122"/>
        <v>0.1837574675218539</v>
      </c>
      <c r="X141" s="140">
        <f t="shared" si="122"/>
        <v>0.18764654795481928</v>
      </c>
      <c r="Y141" s="140">
        <f t="shared" si="122"/>
        <v>0.20480508807938724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0.45376216489746651</v>
      </c>
      <c r="C142" s="140">
        <f t="shared" ref="C142:Y142" si="123">IF(C50=0,0,C50/C$47)</f>
        <v>0.45476122979279204</v>
      </c>
      <c r="D142" s="140">
        <f t="shared" si="123"/>
        <v>0.56710123279702473</v>
      </c>
      <c r="E142" s="140">
        <f t="shared" si="123"/>
        <v>0.49236531414319684</v>
      </c>
      <c r="F142" s="140">
        <f t="shared" si="123"/>
        <v>0.52045340389794204</v>
      </c>
      <c r="G142" s="140">
        <f t="shared" si="123"/>
        <v>0.59371211454657369</v>
      </c>
      <c r="H142" s="140">
        <f t="shared" si="123"/>
        <v>0.66435109244780066</v>
      </c>
      <c r="I142" s="140">
        <f t="shared" si="123"/>
        <v>0.65369764312527079</v>
      </c>
      <c r="J142" s="140">
        <f t="shared" si="123"/>
        <v>0.68819553328152239</v>
      </c>
      <c r="K142" s="140">
        <f t="shared" si="123"/>
        <v>0.64659210477672835</v>
      </c>
      <c r="L142" s="140">
        <f t="shared" si="123"/>
        <v>0.69090834322139105</v>
      </c>
      <c r="M142" s="140">
        <f t="shared" si="123"/>
        <v>0.67098820544228799</v>
      </c>
      <c r="N142" s="140">
        <f t="shared" si="123"/>
        <v>0.66703890265746846</v>
      </c>
      <c r="O142" s="140">
        <f t="shared" si="123"/>
        <v>0.6995218410399513</v>
      </c>
      <c r="P142" s="140">
        <f t="shared" si="123"/>
        <v>0.72324087730509168</v>
      </c>
      <c r="Q142" s="140">
        <f t="shared" si="123"/>
        <v>0.69755390629434844</v>
      </c>
      <c r="R142" s="140">
        <f t="shared" si="123"/>
        <v>0.74469630522407826</v>
      </c>
      <c r="S142" s="140">
        <f t="shared" si="123"/>
        <v>0.78321222939113533</v>
      </c>
      <c r="T142" s="140">
        <f t="shared" si="123"/>
        <v>0.79009855724933598</v>
      </c>
      <c r="U142" s="140">
        <f t="shared" si="123"/>
        <v>0.79213395430706968</v>
      </c>
      <c r="V142" s="140">
        <f t="shared" si="123"/>
        <v>0.76868966514724146</v>
      </c>
      <c r="W142" s="140">
        <f t="shared" si="123"/>
        <v>0.79451436777388174</v>
      </c>
      <c r="X142" s="140">
        <f t="shared" si="123"/>
        <v>0.7912403693793032</v>
      </c>
      <c r="Y142" s="140">
        <f t="shared" si="123"/>
        <v>0.77457456826226045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0.10822024661925485</v>
      </c>
      <c r="C143" s="124">
        <f t="shared" ref="C143:Y143" si="124">IF(C51=0,0,C51/C$47)</f>
        <v>7.2030058701039124E-2</v>
      </c>
      <c r="D143" s="124">
        <f t="shared" si="124"/>
        <v>4.8420984512083348E-2</v>
      </c>
      <c r="E143" s="124">
        <f t="shared" si="124"/>
        <v>6.314913485454289E-2</v>
      </c>
      <c r="F143" s="124">
        <f t="shared" si="124"/>
        <v>5.4310807269227115E-2</v>
      </c>
      <c r="G143" s="124">
        <f t="shared" si="124"/>
        <v>3.0281205623426316E-2</v>
      </c>
      <c r="H143" s="124">
        <f t="shared" si="124"/>
        <v>2.8860213805094299E-2</v>
      </c>
      <c r="I143" s="124">
        <f t="shared" si="124"/>
        <v>2.5003312650618569E-2</v>
      </c>
      <c r="J143" s="124">
        <f t="shared" si="124"/>
        <v>1.8955836848212112E-2</v>
      </c>
      <c r="K143" s="124">
        <f t="shared" si="124"/>
        <v>1.6243380457380118E-2</v>
      </c>
      <c r="L143" s="124">
        <f t="shared" si="124"/>
        <v>1.5373798046466254E-2</v>
      </c>
      <c r="M143" s="124">
        <f t="shared" si="124"/>
        <v>1.5455871646011426E-2</v>
      </c>
      <c r="N143" s="124">
        <f t="shared" si="124"/>
        <v>1.3814621674567344E-2</v>
      </c>
      <c r="O143" s="124">
        <f t="shared" si="124"/>
        <v>1.8054816462028771E-2</v>
      </c>
      <c r="P143" s="124">
        <f t="shared" si="124"/>
        <v>1.5732288629711377E-2</v>
      </c>
      <c r="Q143" s="124">
        <f t="shared" si="124"/>
        <v>1.2793212702473184E-2</v>
      </c>
      <c r="R143" s="124">
        <f t="shared" si="124"/>
        <v>1.151461388704874E-2</v>
      </c>
      <c r="S143" s="124">
        <f t="shared" si="124"/>
        <v>7.3178624934721178E-3</v>
      </c>
      <c r="T143" s="124">
        <f t="shared" si="124"/>
        <v>7.9325405807289511E-3</v>
      </c>
      <c r="U143" s="124">
        <f t="shared" si="124"/>
        <v>6.6085892466647258E-3</v>
      </c>
      <c r="V143" s="124">
        <f t="shared" si="124"/>
        <v>9.0552418092569986E-3</v>
      </c>
      <c r="W143" s="124">
        <f t="shared" si="124"/>
        <v>9.892874300954646E-3</v>
      </c>
      <c r="X143" s="124">
        <f t="shared" si="124"/>
        <v>1.1882873533783866E-2</v>
      </c>
      <c r="Y143" s="124">
        <f t="shared" si="124"/>
        <v>1.180301084072208E-2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1.6803834603712417E-3</v>
      </c>
      <c r="C144" s="124">
        <f t="shared" ref="C144:Y144" si="125">IF(C52=0,0,C52/C$47)</f>
        <v>1.6888290439281094E-3</v>
      </c>
      <c r="D144" s="124">
        <f t="shared" si="125"/>
        <v>8.5461699295492487E-4</v>
      </c>
      <c r="E144" s="124">
        <f t="shared" si="125"/>
        <v>1.3645261651485197E-3</v>
      </c>
      <c r="F144" s="124">
        <f t="shared" si="125"/>
        <v>4.2985098248457895E-4</v>
      </c>
      <c r="G144" s="124">
        <f t="shared" si="125"/>
        <v>3.7685586285609321E-4</v>
      </c>
      <c r="H144" s="124">
        <f t="shared" si="125"/>
        <v>6.670522527135877E-4</v>
      </c>
      <c r="I144" s="124">
        <f t="shared" si="125"/>
        <v>4.6075610182839667E-4</v>
      </c>
      <c r="J144" s="124">
        <f t="shared" si="125"/>
        <v>6.9296746241078258E-4</v>
      </c>
      <c r="K144" s="124">
        <f t="shared" si="125"/>
        <v>1.2358540298825086E-3</v>
      </c>
      <c r="L144" s="124">
        <f t="shared" si="125"/>
        <v>1.2659896229332904E-3</v>
      </c>
      <c r="M144" s="124">
        <f t="shared" si="125"/>
        <v>1.5044380803496636E-3</v>
      </c>
      <c r="N144" s="124">
        <f t="shared" si="125"/>
        <v>1.6818450110050562E-3</v>
      </c>
      <c r="O144" s="124">
        <f t="shared" si="125"/>
        <v>1.8026376806704845E-3</v>
      </c>
      <c r="P144" s="124">
        <f t="shared" si="125"/>
        <v>1.0976983224787599E-3</v>
      </c>
      <c r="Q144" s="124">
        <f t="shared" si="125"/>
        <v>1.4002994700929824E-3</v>
      </c>
      <c r="R144" s="124">
        <f t="shared" si="125"/>
        <v>1.0823122469449029E-3</v>
      </c>
      <c r="S144" s="124">
        <f t="shared" si="125"/>
        <v>8.9390699915732521E-4</v>
      </c>
      <c r="T144" s="124">
        <f t="shared" si="125"/>
        <v>7.2135112107546613E-4</v>
      </c>
      <c r="U144" s="124">
        <f t="shared" si="125"/>
        <v>5.5558911243568782E-4</v>
      </c>
      <c r="V144" s="124">
        <f t="shared" si="125"/>
        <v>2.030351345852918E-3</v>
      </c>
      <c r="W144" s="124">
        <f t="shared" si="125"/>
        <v>9.1074938275174737E-4</v>
      </c>
      <c r="X144" s="124">
        <f t="shared" si="125"/>
        <v>5.9363934112266123E-4</v>
      </c>
      <c r="Y144" s="124">
        <f t="shared" si="125"/>
        <v>2.3757846100916011E-4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8.773210534963557E-4</v>
      </c>
      <c r="C146" s="140">
        <f t="shared" ref="C146:Y146" si="127">IF(C54=0,0,C54/C$47)</f>
        <v>8.6391736482086218E-4</v>
      </c>
      <c r="D146" s="140">
        <f t="shared" si="127"/>
        <v>6.7802747166448556E-4</v>
      </c>
      <c r="E146" s="140">
        <f t="shared" si="127"/>
        <v>3.7410704770079556E-4</v>
      </c>
      <c r="F146" s="140">
        <f t="shared" si="127"/>
        <v>1.3072516193913191E-4</v>
      </c>
      <c r="G146" s="140">
        <f t="shared" si="127"/>
        <v>8.5776059484666623E-5</v>
      </c>
      <c r="H146" s="140">
        <f t="shared" si="127"/>
        <v>6.5066219908721824E-5</v>
      </c>
      <c r="I146" s="140">
        <f t="shared" si="127"/>
        <v>6.8735074551835745E-5</v>
      </c>
      <c r="J146" s="140">
        <f t="shared" si="127"/>
        <v>5.2669718996421354E-4</v>
      </c>
      <c r="K146" s="140">
        <f t="shared" si="127"/>
        <v>1.0923982708901552E-3</v>
      </c>
      <c r="L146" s="140">
        <f t="shared" si="127"/>
        <v>9.8508075535174355E-4</v>
      </c>
      <c r="M146" s="140">
        <f t="shared" si="127"/>
        <v>1.4788194452983992E-3</v>
      </c>
      <c r="N146" s="140">
        <f t="shared" si="127"/>
        <v>1.6598427006105682E-3</v>
      </c>
      <c r="O146" s="140">
        <f t="shared" si="127"/>
        <v>1.7598295973834184E-3</v>
      </c>
      <c r="P146" s="140">
        <f t="shared" si="127"/>
        <v>8.8402624648039815E-4</v>
      </c>
      <c r="Q146" s="140">
        <f t="shared" si="127"/>
        <v>1.2315838750512674E-3</v>
      </c>
      <c r="R146" s="140">
        <f t="shared" si="127"/>
        <v>9.6815513430816393E-4</v>
      </c>
      <c r="S146" s="140">
        <f t="shared" si="127"/>
        <v>8.657450919233665E-4</v>
      </c>
      <c r="T146" s="140">
        <f t="shared" si="127"/>
        <v>6.9278929177873808E-4</v>
      </c>
      <c r="U146" s="140">
        <f t="shared" si="127"/>
        <v>5.4796480911456806E-4</v>
      </c>
      <c r="V146" s="140">
        <f t="shared" si="127"/>
        <v>1.9523426560637315E-3</v>
      </c>
      <c r="W146" s="140">
        <f t="shared" si="127"/>
        <v>9.0682071272509272E-4</v>
      </c>
      <c r="X146" s="140">
        <f t="shared" si="127"/>
        <v>5.9125522434749149E-4</v>
      </c>
      <c r="Y146" s="140">
        <f t="shared" si="127"/>
        <v>2.3633409043393943E-4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8.0306240687488578E-4</v>
      </c>
      <c r="C147" s="140">
        <f t="shared" ref="C147:Y147" si="128">IF(C55=0,0,C55/C$47)</f>
        <v>8.2491167910724733E-4</v>
      </c>
      <c r="D147" s="140">
        <f t="shared" si="128"/>
        <v>1.7658952129043939E-4</v>
      </c>
      <c r="E147" s="140">
        <f t="shared" si="128"/>
        <v>9.9041911744772405E-4</v>
      </c>
      <c r="F147" s="140">
        <f t="shared" si="128"/>
        <v>2.9912582054544698E-4</v>
      </c>
      <c r="G147" s="140">
        <f t="shared" si="128"/>
        <v>2.9107980337142659E-4</v>
      </c>
      <c r="H147" s="140">
        <f t="shared" si="128"/>
        <v>6.019860328048658E-4</v>
      </c>
      <c r="I147" s="140">
        <f t="shared" si="128"/>
        <v>3.9202102727656089E-4</v>
      </c>
      <c r="J147" s="140">
        <f t="shared" si="128"/>
        <v>1.6627027244656901E-4</v>
      </c>
      <c r="K147" s="140">
        <f t="shared" si="128"/>
        <v>1.4345575899235344E-4</v>
      </c>
      <c r="L147" s="140">
        <f t="shared" si="128"/>
        <v>2.8090886758154682E-4</v>
      </c>
      <c r="M147" s="140">
        <f t="shared" si="128"/>
        <v>2.5618635051264458E-5</v>
      </c>
      <c r="N147" s="140">
        <f t="shared" si="128"/>
        <v>2.2002310394487897E-5</v>
      </c>
      <c r="O147" s="140">
        <f t="shared" si="128"/>
        <v>4.2808083287066162E-5</v>
      </c>
      <c r="P147" s="140">
        <f t="shared" si="128"/>
        <v>2.1367207599836172E-4</v>
      </c>
      <c r="Q147" s="140">
        <f t="shared" si="128"/>
        <v>1.6871559504171485E-4</v>
      </c>
      <c r="R147" s="140">
        <f t="shared" si="128"/>
        <v>1.1415711263673886E-4</v>
      </c>
      <c r="S147" s="140">
        <f t="shared" si="128"/>
        <v>2.8161907233958724E-5</v>
      </c>
      <c r="T147" s="140">
        <f t="shared" si="128"/>
        <v>2.8561829296727975E-5</v>
      </c>
      <c r="U147" s="140">
        <f t="shared" si="128"/>
        <v>7.6243033211197616E-6</v>
      </c>
      <c r="V147" s="140">
        <f t="shared" si="128"/>
        <v>7.8008689789186845E-5</v>
      </c>
      <c r="W147" s="140">
        <f t="shared" si="128"/>
        <v>3.9286700266546833E-6</v>
      </c>
      <c r="X147" s="140">
        <f t="shared" si="128"/>
        <v>2.3841167751696668E-6</v>
      </c>
      <c r="Y147" s="140">
        <f t="shared" si="128"/>
        <v>1.2443705752206597E-6</v>
      </c>
      <c r="DA147" s="175"/>
    </row>
    <row r="148" spans="1:105" ht="11.45" customHeight="1" x14ac:dyDescent="0.25">
      <c r="A148" s="109" t="s">
        <v>141</v>
      </c>
      <c r="B148" s="124">
        <f t="shared" si="119"/>
        <v>4.8737201924131578E-2</v>
      </c>
      <c r="C148" s="124">
        <f t="shared" ref="C148:Y148" si="129">IF(C56=0,0,C56/C$47)</f>
        <v>5.956734382512216E-2</v>
      </c>
      <c r="D148" s="124">
        <f t="shared" si="129"/>
        <v>3.1757073520982955E-2</v>
      </c>
      <c r="E148" s="124">
        <f t="shared" si="129"/>
        <v>2.3582613590771715E-2</v>
      </c>
      <c r="F148" s="124">
        <f t="shared" si="129"/>
        <v>2.9371778209718608E-2</v>
      </c>
      <c r="G148" s="124">
        <f t="shared" si="129"/>
        <v>2.6566401406355109E-2</v>
      </c>
      <c r="H148" s="124">
        <f t="shared" si="129"/>
        <v>1.3692956368899044E-2</v>
      </c>
      <c r="I148" s="124">
        <f t="shared" si="129"/>
        <v>1.6659977157120909E-2</v>
      </c>
      <c r="J148" s="124">
        <f t="shared" si="129"/>
        <v>2.0063461365679186E-2</v>
      </c>
      <c r="K148" s="124">
        <f t="shared" si="129"/>
        <v>1.4926741687155125E-2</v>
      </c>
      <c r="L148" s="124">
        <f t="shared" si="129"/>
        <v>1.4564867607728722E-2</v>
      </c>
      <c r="M148" s="124">
        <f t="shared" si="129"/>
        <v>1.4991869458103079E-2</v>
      </c>
      <c r="N148" s="124">
        <f t="shared" si="129"/>
        <v>1.5446145637828526E-2</v>
      </c>
      <c r="O148" s="124">
        <f t="shared" si="129"/>
        <v>1.5220345839906882E-2</v>
      </c>
      <c r="P148" s="124">
        <f t="shared" si="129"/>
        <v>1.5236654468512668E-2</v>
      </c>
      <c r="Q148" s="124">
        <f t="shared" si="129"/>
        <v>1.5430807434041087E-2</v>
      </c>
      <c r="R148" s="124">
        <f t="shared" si="129"/>
        <v>1.4692084478418379E-2</v>
      </c>
      <c r="S148" s="124">
        <f t="shared" si="129"/>
        <v>1.2017753335851148E-2</v>
      </c>
      <c r="T148" s="124">
        <f t="shared" si="129"/>
        <v>1.0475310396692E-2</v>
      </c>
      <c r="U148" s="124">
        <f t="shared" si="129"/>
        <v>1.1881457110816292E-2</v>
      </c>
      <c r="V148" s="124">
        <f t="shared" si="129"/>
        <v>1.1745899390902696E-2</v>
      </c>
      <c r="W148" s="124">
        <f t="shared" si="129"/>
        <v>1.0924541020557923E-2</v>
      </c>
      <c r="X148" s="124">
        <f t="shared" si="129"/>
        <v>8.636569790970914E-3</v>
      </c>
      <c r="Y148" s="124">
        <f t="shared" si="129"/>
        <v>8.5797543566210697E-3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4.8737201924131578E-2</v>
      </c>
      <c r="C150" s="127">
        <f t="shared" ref="C150:Y150" si="131">IF(C58=0,0,C58/C$47)</f>
        <v>5.956734382512216E-2</v>
      </c>
      <c r="D150" s="127">
        <f t="shared" si="131"/>
        <v>3.1757073520982955E-2</v>
      </c>
      <c r="E150" s="127">
        <f t="shared" si="131"/>
        <v>2.3582613590771715E-2</v>
      </c>
      <c r="F150" s="127">
        <f t="shared" si="131"/>
        <v>2.9371778209718608E-2</v>
      </c>
      <c r="G150" s="127">
        <f t="shared" si="131"/>
        <v>2.6566401406355109E-2</v>
      </c>
      <c r="H150" s="127">
        <f t="shared" si="131"/>
        <v>1.3692956368899044E-2</v>
      </c>
      <c r="I150" s="127">
        <f t="shared" si="131"/>
        <v>1.6659977157120909E-2</v>
      </c>
      <c r="J150" s="127">
        <f t="shared" si="131"/>
        <v>2.0063461365679186E-2</v>
      </c>
      <c r="K150" s="127">
        <f t="shared" si="131"/>
        <v>1.4926741687155125E-2</v>
      </c>
      <c r="L150" s="127">
        <f t="shared" si="131"/>
        <v>1.4564867607728722E-2</v>
      </c>
      <c r="M150" s="127">
        <f t="shared" si="131"/>
        <v>1.4991869458103079E-2</v>
      </c>
      <c r="N150" s="127">
        <f t="shared" si="131"/>
        <v>1.5446145637828526E-2</v>
      </c>
      <c r="O150" s="127">
        <f t="shared" si="131"/>
        <v>1.5220345839906882E-2</v>
      </c>
      <c r="P150" s="127">
        <f t="shared" si="131"/>
        <v>1.5236654468512668E-2</v>
      </c>
      <c r="Q150" s="127">
        <f t="shared" si="131"/>
        <v>1.5430807434041087E-2</v>
      </c>
      <c r="R150" s="127">
        <f t="shared" si="131"/>
        <v>1.4692084478418379E-2</v>
      </c>
      <c r="S150" s="127">
        <f t="shared" si="131"/>
        <v>1.2017753335851148E-2</v>
      </c>
      <c r="T150" s="127">
        <f t="shared" si="131"/>
        <v>1.0475310396692E-2</v>
      </c>
      <c r="U150" s="127">
        <f t="shared" si="131"/>
        <v>1.1881457110816292E-2</v>
      </c>
      <c r="V150" s="127">
        <f t="shared" si="131"/>
        <v>1.1745899390902696E-2</v>
      </c>
      <c r="W150" s="127">
        <f t="shared" si="131"/>
        <v>1.0924541020557923E-2</v>
      </c>
      <c r="X150" s="127">
        <f t="shared" si="131"/>
        <v>8.636569790970914E-3</v>
      </c>
      <c r="Y150" s="127">
        <f t="shared" si="131"/>
        <v>8.5797543566210697E-3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0</v>
      </c>
      <c r="C151" s="31">
        <f t="shared" si="132"/>
        <v>0</v>
      </c>
      <c r="D151" s="31">
        <f t="shared" si="132"/>
        <v>0</v>
      </c>
      <c r="E151" s="31">
        <f t="shared" si="132"/>
        <v>0</v>
      </c>
      <c r="F151" s="31">
        <f t="shared" si="132"/>
        <v>0</v>
      </c>
      <c r="G151" s="31">
        <f t="shared" si="132"/>
        <v>0</v>
      </c>
      <c r="H151" s="31">
        <f t="shared" si="132"/>
        <v>0</v>
      </c>
      <c r="I151" s="31">
        <f t="shared" si="132"/>
        <v>0</v>
      </c>
      <c r="J151" s="31">
        <f t="shared" si="132"/>
        <v>0</v>
      </c>
      <c r="K151" s="31">
        <f t="shared" si="132"/>
        <v>0</v>
      </c>
      <c r="L151" s="31">
        <f t="shared" si="132"/>
        <v>0</v>
      </c>
      <c r="M151" s="31">
        <f t="shared" si="132"/>
        <v>0</v>
      </c>
      <c r="N151" s="31">
        <f t="shared" si="132"/>
        <v>0</v>
      </c>
      <c r="O151" s="31">
        <f t="shared" si="132"/>
        <v>0</v>
      </c>
      <c r="P151" s="31">
        <f t="shared" si="132"/>
        <v>0</v>
      </c>
      <c r="Q151" s="31">
        <f t="shared" si="132"/>
        <v>0</v>
      </c>
      <c r="R151" s="31">
        <f t="shared" si="132"/>
        <v>0</v>
      </c>
      <c r="S151" s="31">
        <f t="shared" si="132"/>
        <v>0</v>
      </c>
      <c r="T151" s="31">
        <f t="shared" si="132"/>
        <v>0</v>
      </c>
      <c r="U151" s="31">
        <f t="shared" si="132"/>
        <v>0</v>
      </c>
      <c r="V151" s="31">
        <f t="shared" si="132"/>
        <v>0</v>
      </c>
      <c r="W151" s="31">
        <f t="shared" si="132"/>
        <v>0</v>
      </c>
      <c r="X151" s="31">
        <f t="shared" si="132"/>
        <v>0</v>
      </c>
      <c r="Y151" s="31">
        <f t="shared" si="132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</v>
      </c>
      <c r="C152" s="140">
        <f t="shared" si="133"/>
        <v>0</v>
      </c>
      <c r="D152" s="140">
        <f t="shared" si="133"/>
        <v>0</v>
      </c>
      <c r="E152" s="140">
        <f t="shared" si="133"/>
        <v>0</v>
      </c>
      <c r="F152" s="140">
        <f t="shared" si="133"/>
        <v>0</v>
      </c>
      <c r="G152" s="140">
        <f t="shared" si="133"/>
        <v>0</v>
      </c>
      <c r="H152" s="140">
        <f t="shared" si="133"/>
        <v>0</v>
      </c>
      <c r="I152" s="140">
        <f t="shared" si="133"/>
        <v>0</v>
      </c>
      <c r="J152" s="140">
        <f t="shared" si="133"/>
        <v>0</v>
      </c>
      <c r="K152" s="140">
        <f t="shared" si="133"/>
        <v>0</v>
      </c>
      <c r="L152" s="140">
        <f t="shared" si="133"/>
        <v>0</v>
      </c>
      <c r="M152" s="140">
        <f t="shared" si="133"/>
        <v>0</v>
      </c>
      <c r="N152" s="140">
        <f t="shared" si="133"/>
        <v>0</v>
      </c>
      <c r="O152" s="140">
        <f t="shared" si="133"/>
        <v>0</v>
      </c>
      <c r="P152" s="140">
        <f t="shared" si="133"/>
        <v>0</v>
      </c>
      <c r="Q152" s="140">
        <f t="shared" si="133"/>
        <v>0</v>
      </c>
      <c r="R152" s="140">
        <f t="shared" si="133"/>
        <v>0</v>
      </c>
      <c r="S152" s="140">
        <f t="shared" si="133"/>
        <v>0</v>
      </c>
      <c r="T152" s="140">
        <f t="shared" si="133"/>
        <v>0</v>
      </c>
      <c r="U152" s="140">
        <f t="shared" si="133"/>
        <v>0</v>
      </c>
      <c r="V152" s="140">
        <f t="shared" si="133"/>
        <v>0</v>
      </c>
      <c r="W152" s="140">
        <f t="shared" si="133"/>
        <v>0</v>
      </c>
      <c r="X152" s="140">
        <f t="shared" si="133"/>
        <v>0</v>
      </c>
      <c r="Y152" s="140">
        <f t="shared" si="133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</v>
      </c>
      <c r="C153" s="127">
        <f t="shared" si="134"/>
        <v>0</v>
      </c>
      <c r="D153" s="127">
        <f t="shared" si="134"/>
        <v>0</v>
      </c>
      <c r="E153" s="127">
        <f t="shared" si="134"/>
        <v>0</v>
      </c>
      <c r="F153" s="127">
        <f t="shared" si="134"/>
        <v>0</v>
      </c>
      <c r="G153" s="127">
        <f t="shared" si="134"/>
        <v>0</v>
      </c>
      <c r="H153" s="127">
        <f t="shared" si="134"/>
        <v>0</v>
      </c>
      <c r="I153" s="127">
        <f t="shared" si="134"/>
        <v>0</v>
      </c>
      <c r="J153" s="127">
        <f t="shared" si="134"/>
        <v>0</v>
      </c>
      <c r="K153" s="127">
        <f t="shared" si="134"/>
        <v>0</v>
      </c>
      <c r="L153" s="127">
        <f t="shared" si="134"/>
        <v>0</v>
      </c>
      <c r="M153" s="127">
        <f t="shared" si="134"/>
        <v>0</v>
      </c>
      <c r="N153" s="127">
        <f t="shared" si="134"/>
        <v>0</v>
      </c>
      <c r="O153" s="127">
        <f t="shared" si="134"/>
        <v>0</v>
      </c>
      <c r="P153" s="127">
        <f t="shared" si="134"/>
        <v>0</v>
      </c>
      <c r="Q153" s="127">
        <f t="shared" si="134"/>
        <v>0</v>
      </c>
      <c r="R153" s="127">
        <f t="shared" si="134"/>
        <v>0</v>
      </c>
      <c r="S153" s="127">
        <f t="shared" si="134"/>
        <v>0</v>
      </c>
      <c r="T153" s="127">
        <f t="shared" si="134"/>
        <v>0</v>
      </c>
      <c r="U153" s="127">
        <f t="shared" si="134"/>
        <v>0</v>
      </c>
      <c r="V153" s="127">
        <f t="shared" si="134"/>
        <v>0</v>
      </c>
      <c r="W153" s="127">
        <f t="shared" si="134"/>
        <v>0</v>
      </c>
      <c r="X153" s="127">
        <f t="shared" si="134"/>
        <v>0</v>
      </c>
      <c r="Y153" s="127">
        <f t="shared" si="134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0.97216507029447685</v>
      </c>
      <c r="C157" s="139">
        <f t="shared" ref="C157:W157" si="138">IF(C65=0,0,C65/C$64)</f>
        <v>0.96881382163538521</v>
      </c>
      <c r="D157" s="139">
        <f t="shared" si="138"/>
        <v>0.95956926873806558</v>
      </c>
      <c r="E157" s="139">
        <f t="shared" si="138"/>
        <v>0.96938238599122273</v>
      </c>
      <c r="F157" s="139">
        <f t="shared" si="138"/>
        <v>0.97351897337575455</v>
      </c>
      <c r="G157" s="139">
        <f t="shared" si="138"/>
        <v>0.96296063478091631</v>
      </c>
      <c r="H157" s="139">
        <f t="shared" si="138"/>
        <v>0.96109716510653764</v>
      </c>
      <c r="I157" s="139">
        <f t="shared" si="138"/>
        <v>0.95489085043214428</v>
      </c>
      <c r="J157" s="139">
        <f t="shared" si="138"/>
        <v>0.94540533469433896</v>
      </c>
      <c r="K157" s="139">
        <f t="shared" si="138"/>
        <v>0.95758817110017613</v>
      </c>
      <c r="L157" s="139">
        <f t="shared" si="138"/>
        <v>0.96234271209732003</v>
      </c>
      <c r="M157" s="139">
        <f t="shared" si="138"/>
        <v>0.95991623762875655</v>
      </c>
      <c r="N157" s="139">
        <f t="shared" si="138"/>
        <v>0.96507236099229055</v>
      </c>
      <c r="O157" s="139">
        <f t="shared" si="138"/>
        <v>0.96112813543972253</v>
      </c>
      <c r="P157" s="139">
        <f t="shared" si="138"/>
        <v>0.96557957382583526</v>
      </c>
      <c r="Q157" s="139">
        <f t="shared" si="138"/>
        <v>0.95807950074564097</v>
      </c>
      <c r="R157" s="139">
        <f t="shared" si="138"/>
        <v>0.95265660840057931</v>
      </c>
      <c r="S157" s="139">
        <f t="shared" si="138"/>
        <v>0.96250208860830921</v>
      </c>
      <c r="T157" s="139">
        <f t="shared" si="138"/>
        <v>0.95456107578693583</v>
      </c>
      <c r="U157" s="139">
        <f t="shared" si="138"/>
        <v>0.95573286263796753</v>
      </c>
      <c r="V157" s="139">
        <f t="shared" si="138"/>
        <v>0.97113535947734508</v>
      </c>
      <c r="W157" s="139">
        <f t="shared" si="138"/>
        <v>0.97687880475306432</v>
      </c>
      <c r="X157" s="139">
        <f t="shared" ref="X157:Y157" si="139">IF(X65=0,0,X65/X$64)</f>
        <v>0.96568359637023538</v>
      </c>
      <c r="Y157" s="139">
        <f t="shared" si="139"/>
        <v>0.97155746062285564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2.0451955280573995E-3</v>
      </c>
      <c r="C158" s="140">
        <f t="shared" ref="C158:W158" si="140">IF(C66=0,0,C66/C$64)</f>
        <v>2.1275933865870815E-3</v>
      </c>
      <c r="D158" s="140">
        <f t="shared" si="140"/>
        <v>1.5891625661063145E-3</v>
      </c>
      <c r="E158" s="140">
        <f t="shared" si="140"/>
        <v>1.6946255830332304E-3</v>
      </c>
      <c r="F158" s="140">
        <f t="shared" si="140"/>
        <v>1.9270941654029401E-3</v>
      </c>
      <c r="G158" s="140">
        <f t="shared" si="140"/>
        <v>2.0145100105801294E-3</v>
      </c>
      <c r="H158" s="140">
        <f t="shared" si="140"/>
        <v>2.15323986887676E-3</v>
      </c>
      <c r="I158" s="140">
        <f t="shared" si="140"/>
        <v>2.1651246776495429E-3</v>
      </c>
      <c r="J158" s="140">
        <f t="shared" si="140"/>
        <v>2.2378783194955346E-3</v>
      </c>
      <c r="K158" s="140">
        <f t="shared" si="140"/>
        <v>2.0752383546419257E-3</v>
      </c>
      <c r="L158" s="140">
        <f t="shared" si="140"/>
        <v>1.8807185256405525E-3</v>
      </c>
      <c r="M158" s="140">
        <f t="shared" si="140"/>
        <v>2.3180116540954506E-3</v>
      </c>
      <c r="N158" s="140">
        <f t="shared" si="140"/>
        <v>2.7845564715367685E-3</v>
      </c>
      <c r="O158" s="140">
        <f t="shared" si="140"/>
        <v>2.8335674464817959E-3</v>
      </c>
      <c r="P158" s="140">
        <f t="shared" si="140"/>
        <v>3.1783270495921311E-3</v>
      </c>
      <c r="Q158" s="140">
        <f t="shared" si="140"/>
        <v>3.485424089475787E-3</v>
      </c>
      <c r="R158" s="140">
        <f t="shared" si="140"/>
        <v>3.6730158956202724E-3</v>
      </c>
      <c r="S158" s="140">
        <f t="shared" si="140"/>
        <v>3.3936929003073359E-3</v>
      </c>
      <c r="T158" s="140">
        <f t="shared" si="140"/>
        <v>3.3026267830252457E-3</v>
      </c>
      <c r="U158" s="140">
        <f t="shared" si="140"/>
        <v>3.5505145192574598E-3</v>
      </c>
      <c r="V158" s="140">
        <f t="shared" si="140"/>
        <v>3.5171741815521814E-3</v>
      </c>
      <c r="W158" s="140">
        <f t="shared" si="140"/>
        <v>3.5920169524913423E-3</v>
      </c>
      <c r="X158" s="140">
        <f t="shared" ref="X158:Y158" si="141">IF(X66=0,0,X66/X$64)</f>
        <v>3.4799081359276549E-3</v>
      </c>
      <c r="Y158" s="140">
        <f t="shared" si="141"/>
        <v>3.5789589611468428E-3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0.77483695467546199</v>
      </c>
      <c r="C159" s="140">
        <f t="shared" ref="C159:W159" si="142">IF(C67=0,0,C67/C$64)</f>
        <v>0.79026057543222838</v>
      </c>
      <c r="D159" s="140">
        <f t="shared" si="142"/>
        <v>0.80241745169007095</v>
      </c>
      <c r="E159" s="140">
        <f t="shared" si="142"/>
        <v>0.80144960561331813</v>
      </c>
      <c r="F159" s="140">
        <f t="shared" si="142"/>
        <v>0.80605251810218603</v>
      </c>
      <c r="G159" s="140">
        <f t="shared" si="142"/>
        <v>0.81012612447856291</v>
      </c>
      <c r="H159" s="140">
        <f t="shared" si="142"/>
        <v>0.80501358583894977</v>
      </c>
      <c r="I159" s="140">
        <f t="shared" si="142"/>
        <v>0.78100341614339708</v>
      </c>
      <c r="J159" s="140">
        <f t="shared" si="142"/>
        <v>0.78377506702601707</v>
      </c>
      <c r="K159" s="140">
        <f t="shared" si="142"/>
        <v>0.7959849245488263</v>
      </c>
      <c r="L159" s="140">
        <f t="shared" si="142"/>
        <v>0.80585603221148849</v>
      </c>
      <c r="M159" s="140">
        <f t="shared" si="142"/>
        <v>0.81184227159028288</v>
      </c>
      <c r="N159" s="140">
        <f t="shared" si="142"/>
        <v>0.8136190607573921</v>
      </c>
      <c r="O159" s="140">
        <f t="shared" si="142"/>
        <v>0.8148776628739216</v>
      </c>
      <c r="P159" s="140">
        <f t="shared" si="142"/>
        <v>0.81756381038466086</v>
      </c>
      <c r="Q159" s="140">
        <f t="shared" si="142"/>
        <v>0.81529265701467024</v>
      </c>
      <c r="R159" s="140">
        <f t="shared" si="142"/>
        <v>0.81747297973048272</v>
      </c>
      <c r="S159" s="140">
        <f t="shared" si="142"/>
        <v>0.8195141358538971</v>
      </c>
      <c r="T159" s="140">
        <f t="shared" si="142"/>
        <v>0.80515736646380842</v>
      </c>
      <c r="U159" s="140">
        <f t="shared" si="142"/>
        <v>0.80081427597524624</v>
      </c>
      <c r="V159" s="140">
        <f t="shared" si="142"/>
        <v>0.82455392646322401</v>
      </c>
      <c r="W159" s="140">
        <f t="shared" si="142"/>
        <v>0.8332275836152141</v>
      </c>
      <c r="X159" s="140">
        <f t="shared" ref="X159:Y159" si="143">IF(X67=0,0,X67/X$64)</f>
        <v>0.81997562823120218</v>
      </c>
      <c r="Y159" s="140">
        <f t="shared" si="143"/>
        <v>0.83100032577023797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0.19528292009095741</v>
      </c>
      <c r="C160" s="140">
        <f t="shared" ref="C160:W160" si="144">IF(C68=0,0,C68/C$64)</f>
        <v>0.17642565281656972</v>
      </c>
      <c r="D160" s="140">
        <f t="shared" si="144"/>
        <v>0.15556265448188836</v>
      </c>
      <c r="E160" s="140">
        <f t="shared" si="144"/>
        <v>0.16623815479487131</v>
      </c>
      <c r="F160" s="140">
        <f t="shared" si="144"/>
        <v>0.16553936110816558</v>
      </c>
      <c r="G160" s="140">
        <f t="shared" si="144"/>
        <v>0.15082000029177314</v>
      </c>
      <c r="H160" s="140">
        <f t="shared" si="144"/>
        <v>0.1539303393987112</v>
      </c>
      <c r="I160" s="140">
        <f t="shared" si="144"/>
        <v>0.17172230961109758</v>
      </c>
      <c r="J160" s="140">
        <f t="shared" si="144"/>
        <v>0.15939238934882638</v>
      </c>
      <c r="K160" s="140">
        <f t="shared" si="144"/>
        <v>0.15952800819670795</v>
      </c>
      <c r="L160" s="140">
        <f t="shared" si="144"/>
        <v>0.15460596136019092</v>
      </c>
      <c r="M160" s="140">
        <f t="shared" si="144"/>
        <v>0.14575595438437833</v>
      </c>
      <c r="N160" s="140">
        <f t="shared" si="144"/>
        <v>0.14866874376336175</v>
      </c>
      <c r="O160" s="140">
        <f t="shared" si="144"/>
        <v>0.14341690511931904</v>
      </c>
      <c r="P160" s="140">
        <f t="shared" si="144"/>
        <v>0.14483743639158222</v>
      </c>
      <c r="Q160" s="140">
        <f t="shared" si="144"/>
        <v>0.13930141964149484</v>
      </c>
      <c r="R160" s="140">
        <f t="shared" si="144"/>
        <v>0.13151061277447634</v>
      </c>
      <c r="S160" s="140">
        <f t="shared" si="144"/>
        <v>0.13959425985410481</v>
      </c>
      <c r="T160" s="140">
        <f t="shared" si="144"/>
        <v>0.1461010825401021</v>
      </c>
      <c r="U160" s="140">
        <f t="shared" si="144"/>
        <v>0.15136807214346384</v>
      </c>
      <c r="V160" s="140">
        <f t="shared" si="144"/>
        <v>0.14306425883256893</v>
      </c>
      <c r="W160" s="140">
        <f t="shared" si="144"/>
        <v>0.14005920418535886</v>
      </c>
      <c r="X160" s="140">
        <f t="shared" ref="X160:Y160" si="145">IF(X68=0,0,X68/X$64)</f>
        <v>0.14222806000310556</v>
      </c>
      <c r="Y160" s="140">
        <f t="shared" si="145"/>
        <v>0.1369781758914709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0</v>
      </c>
      <c r="C161" s="124">
        <f t="shared" ref="C161:W161" si="146">IF(C69=0,0,C69/C$64)</f>
        <v>0</v>
      </c>
      <c r="D161" s="124">
        <f t="shared" si="146"/>
        <v>0</v>
      </c>
      <c r="E161" s="124">
        <f t="shared" si="146"/>
        <v>0</v>
      </c>
      <c r="F161" s="124">
        <f t="shared" si="146"/>
        <v>0</v>
      </c>
      <c r="G161" s="124">
        <f t="shared" si="146"/>
        <v>0</v>
      </c>
      <c r="H161" s="124">
        <f t="shared" si="146"/>
        <v>0</v>
      </c>
      <c r="I161" s="124">
        <f t="shared" si="146"/>
        <v>0</v>
      </c>
      <c r="J161" s="124">
        <f t="shared" si="146"/>
        <v>0</v>
      </c>
      <c r="K161" s="124">
        <f t="shared" si="146"/>
        <v>0</v>
      </c>
      <c r="L161" s="124">
        <f t="shared" si="146"/>
        <v>0</v>
      </c>
      <c r="M161" s="124">
        <f t="shared" si="146"/>
        <v>0</v>
      </c>
      <c r="N161" s="124">
        <f t="shared" si="146"/>
        <v>0</v>
      </c>
      <c r="O161" s="124">
        <f t="shared" si="146"/>
        <v>0</v>
      </c>
      <c r="P161" s="124">
        <f t="shared" si="146"/>
        <v>0</v>
      </c>
      <c r="Q161" s="124">
        <f t="shared" si="146"/>
        <v>0</v>
      </c>
      <c r="R161" s="124">
        <f t="shared" si="146"/>
        <v>0</v>
      </c>
      <c r="S161" s="124">
        <f t="shared" si="146"/>
        <v>0</v>
      </c>
      <c r="T161" s="124">
        <f t="shared" si="146"/>
        <v>0</v>
      </c>
      <c r="U161" s="124">
        <f t="shared" si="146"/>
        <v>0</v>
      </c>
      <c r="V161" s="124">
        <f t="shared" si="146"/>
        <v>0</v>
      </c>
      <c r="W161" s="124">
        <f t="shared" si="146"/>
        <v>0</v>
      </c>
      <c r="X161" s="124">
        <f t="shared" ref="X161:Y161" si="147">IF(X69=0,0,X69/X$64)</f>
        <v>0</v>
      </c>
      <c r="Y161" s="124">
        <f t="shared" si="147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0</v>
      </c>
      <c r="C163" s="140">
        <f t="shared" ref="C163:W163" si="150">IF(C71=0,0,C71/C$64)</f>
        <v>0</v>
      </c>
      <c r="D163" s="140">
        <f t="shared" si="150"/>
        <v>0</v>
      </c>
      <c r="E163" s="140">
        <f t="shared" si="150"/>
        <v>0</v>
      </c>
      <c r="F163" s="140">
        <f t="shared" si="150"/>
        <v>0</v>
      </c>
      <c r="G163" s="140">
        <f t="shared" si="150"/>
        <v>0</v>
      </c>
      <c r="H163" s="140">
        <f t="shared" si="150"/>
        <v>0</v>
      </c>
      <c r="I163" s="140">
        <f t="shared" si="150"/>
        <v>0</v>
      </c>
      <c r="J163" s="140">
        <f t="shared" si="150"/>
        <v>0</v>
      </c>
      <c r="K163" s="140">
        <f t="shared" si="150"/>
        <v>0</v>
      </c>
      <c r="L163" s="140">
        <f t="shared" si="150"/>
        <v>0</v>
      </c>
      <c r="M163" s="140">
        <f t="shared" si="150"/>
        <v>0</v>
      </c>
      <c r="N163" s="140">
        <f t="shared" si="150"/>
        <v>0</v>
      </c>
      <c r="O163" s="140">
        <f t="shared" si="150"/>
        <v>0</v>
      </c>
      <c r="P163" s="140">
        <f t="shared" si="150"/>
        <v>0</v>
      </c>
      <c r="Q163" s="140">
        <f t="shared" si="150"/>
        <v>0</v>
      </c>
      <c r="R163" s="140">
        <f t="shared" si="150"/>
        <v>0</v>
      </c>
      <c r="S163" s="140">
        <f t="shared" si="150"/>
        <v>0</v>
      </c>
      <c r="T163" s="140">
        <f t="shared" si="150"/>
        <v>0</v>
      </c>
      <c r="U163" s="140">
        <f t="shared" si="150"/>
        <v>0</v>
      </c>
      <c r="V163" s="140">
        <f t="shared" si="150"/>
        <v>0</v>
      </c>
      <c r="W163" s="140">
        <f t="shared" si="150"/>
        <v>0</v>
      </c>
      <c r="X163" s="140">
        <f t="shared" ref="X163:Y163" si="151">IF(X71=0,0,X71/X$64)</f>
        <v>0</v>
      </c>
      <c r="Y163" s="140">
        <f t="shared" si="15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2.7834929705523176E-2</v>
      </c>
      <c r="C165" s="124">
        <f t="shared" ref="C165:W165" si="154">IF(C73=0,0,C73/C$64)</f>
        <v>3.1186178364614715E-2</v>
      </c>
      <c r="D165" s="124">
        <f t="shared" si="154"/>
        <v>4.0430731261934402E-2</v>
      </c>
      <c r="E165" s="124">
        <f t="shared" si="154"/>
        <v>3.061761400877723E-2</v>
      </c>
      <c r="F165" s="124">
        <f t="shared" si="154"/>
        <v>2.6481026624245414E-2</v>
      </c>
      <c r="G165" s="124">
        <f t="shared" si="154"/>
        <v>3.7039365219083735E-2</v>
      </c>
      <c r="H165" s="124">
        <f t="shared" si="154"/>
        <v>3.8902834893462405E-2</v>
      </c>
      <c r="I165" s="124">
        <f t="shared" si="154"/>
        <v>4.5109149567855771E-2</v>
      </c>
      <c r="J165" s="124">
        <f t="shared" si="154"/>
        <v>5.4594665305661053E-2</v>
      </c>
      <c r="K165" s="124">
        <f t="shared" si="154"/>
        <v>4.241182889982386E-2</v>
      </c>
      <c r="L165" s="124">
        <f t="shared" si="154"/>
        <v>3.7657287902679921E-2</v>
      </c>
      <c r="M165" s="124">
        <f t="shared" si="154"/>
        <v>4.0083762371243385E-2</v>
      </c>
      <c r="N165" s="124">
        <f t="shared" si="154"/>
        <v>3.4927639007709496E-2</v>
      </c>
      <c r="O165" s="124">
        <f t="shared" si="154"/>
        <v>3.8871864560277448E-2</v>
      </c>
      <c r="P165" s="124">
        <f t="shared" si="154"/>
        <v>3.4420426174164818E-2</v>
      </c>
      <c r="Q165" s="124">
        <f t="shared" si="154"/>
        <v>4.1920499254359103E-2</v>
      </c>
      <c r="R165" s="124">
        <f t="shared" si="154"/>
        <v>4.7343391599420748E-2</v>
      </c>
      <c r="S165" s="124">
        <f t="shared" si="154"/>
        <v>3.7497911391690786E-2</v>
      </c>
      <c r="T165" s="124">
        <f t="shared" si="154"/>
        <v>4.5438924213064155E-2</v>
      </c>
      <c r="U165" s="124">
        <f t="shared" si="154"/>
        <v>4.4267137362032451E-2</v>
      </c>
      <c r="V165" s="124">
        <f t="shared" si="154"/>
        <v>2.8864640522654861E-2</v>
      </c>
      <c r="W165" s="124">
        <f t="shared" si="154"/>
        <v>2.3121195246935761E-2</v>
      </c>
      <c r="X165" s="124">
        <f t="shared" ref="X165:Y165" si="155">IF(X73=0,0,X73/X$64)</f>
        <v>3.4316403629764722E-2</v>
      </c>
      <c r="Y165" s="124">
        <f t="shared" si="155"/>
        <v>2.8442539377144322E-2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1.7146158726615526E-2</v>
      </c>
      <c r="C167" s="140">
        <f t="shared" ref="C167:W167" si="158">IF(C75=0,0,C75/C$64)</f>
        <v>1.9191579311765305E-2</v>
      </c>
      <c r="D167" s="140">
        <f t="shared" si="158"/>
        <v>2.1672944528226341E-2</v>
      </c>
      <c r="E167" s="140">
        <f t="shared" si="158"/>
        <v>1.6852955552859126E-2</v>
      </c>
      <c r="F167" s="140">
        <f t="shared" si="158"/>
        <v>1.5449065942688812E-2</v>
      </c>
      <c r="G167" s="140">
        <f t="shared" si="158"/>
        <v>2.2725562343726764E-2</v>
      </c>
      <c r="H167" s="140">
        <f t="shared" si="158"/>
        <v>2.5169973836629882E-2</v>
      </c>
      <c r="I167" s="140">
        <f t="shared" si="158"/>
        <v>2.9737647415471101E-2</v>
      </c>
      <c r="J167" s="140">
        <f t="shared" si="158"/>
        <v>3.7644267040618795E-2</v>
      </c>
      <c r="K167" s="140">
        <f t="shared" si="158"/>
        <v>2.7904874651697321E-2</v>
      </c>
      <c r="L167" s="140">
        <f t="shared" si="158"/>
        <v>2.3906855252337114E-2</v>
      </c>
      <c r="M167" s="140">
        <f t="shared" si="158"/>
        <v>2.493597749462477E-2</v>
      </c>
      <c r="N167" s="140">
        <f t="shared" si="158"/>
        <v>2.154015280350683E-2</v>
      </c>
      <c r="O167" s="140">
        <f t="shared" si="158"/>
        <v>2.3837851130076009E-2</v>
      </c>
      <c r="P167" s="140">
        <f t="shared" si="158"/>
        <v>2.1649361656705019E-2</v>
      </c>
      <c r="Q167" s="140">
        <f t="shared" si="158"/>
        <v>2.7221268403900066E-2</v>
      </c>
      <c r="R167" s="140">
        <f t="shared" si="158"/>
        <v>3.137528108487924E-2</v>
      </c>
      <c r="S167" s="140">
        <f t="shared" si="158"/>
        <v>2.4570525407777349E-2</v>
      </c>
      <c r="T167" s="140">
        <f t="shared" si="158"/>
        <v>3.0031720736971471E-2</v>
      </c>
      <c r="U167" s="140">
        <f t="shared" si="158"/>
        <v>2.9183669570780137E-2</v>
      </c>
      <c r="V167" s="140">
        <f t="shared" si="158"/>
        <v>1.6196666675264197E-2</v>
      </c>
      <c r="W167" s="140">
        <f t="shared" si="158"/>
        <v>1.3905853104322297E-2</v>
      </c>
      <c r="X167" s="140">
        <f t="shared" ref="X167:Y167" si="159">IF(X75=0,0,X75/X$64)</f>
        <v>2.2480071958469353E-2</v>
      </c>
      <c r="Y167" s="140">
        <f t="shared" si="159"/>
        <v>1.8516021596219564E-2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1.0688770978907651E-2</v>
      </c>
      <c r="C168" s="140">
        <f t="shared" ref="C168:W168" si="160">IF(C76=0,0,C76/C$64)</f>
        <v>1.1994599052849412E-2</v>
      </c>
      <c r="D168" s="140">
        <f t="shared" si="160"/>
        <v>1.8757786733708058E-2</v>
      </c>
      <c r="E168" s="140">
        <f t="shared" si="160"/>
        <v>1.3764658455918106E-2</v>
      </c>
      <c r="F168" s="140">
        <f t="shared" si="160"/>
        <v>1.1031960681556601E-2</v>
      </c>
      <c r="G168" s="140">
        <f t="shared" si="160"/>
        <v>1.431380287535697E-2</v>
      </c>
      <c r="H168" s="140">
        <f t="shared" si="160"/>
        <v>1.3732861056832522E-2</v>
      </c>
      <c r="I168" s="140">
        <f t="shared" si="160"/>
        <v>1.5371502152384671E-2</v>
      </c>
      <c r="J168" s="140">
        <f t="shared" si="160"/>
        <v>1.6950398265042257E-2</v>
      </c>
      <c r="K168" s="140">
        <f t="shared" si="160"/>
        <v>1.4506954248126536E-2</v>
      </c>
      <c r="L168" s="140">
        <f t="shared" si="160"/>
        <v>1.3750432650342807E-2</v>
      </c>
      <c r="M168" s="140">
        <f t="shared" si="160"/>
        <v>1.5147784876618612E-2</v>
      </c>
      <c r="N168" s="140">
        <f t="shared" si="160"/>
        <v>1.3387486204202661E-2</v>
      </c>
      <c r="O168" s="140">
        <f t="shared" si="160"/>
        <v>1.5034013430201444E-2</v>
      </c>
      <c r="P168" s="140">
        <f t="shared" si="160"/>
        <v>1.2771064517459799E-2</v>
      </c>
      <c r="Q168" s="140">
        <f t="shared" si="160"/>
        <v>1.4699230850459035E-2</v>
      </c>
      <c r="R168" s="140">
        <f t="shared" si="160"/>
        <v>1.5968110514541507E-2</v>
      </c>
      <c r="S168" s="140">
        <f t="shared" si="160"/>
        <v>1.2927385983913433E-2</v>
      </c>
      <c r="T168" s="140">
        <f t="shared" si="160"/>
        <v>1.5407203476092686E-2</v>
      </c>
      <c r="U168" s="140">
        <f t="shared" si="160"/>
        <v>1.5083467791252312E-2</v>
      </c>
      <c r="V168" s="140">
        <f t="shared" si="160"/>
        <v>1.2667973847390664E-2</v>
      </c>
      <c r="W168" s="140">
        <f t="shared" si="160"/>
        <v>9.2153421426134641E-3</v>
      </c>
      <c r="X168" s="140">
        <f t="shared" ref="X168:Y168" si="161">IF(X76=0,0,X76/X$64)</f>
        <v>1.183633167129537E-2</v>
      </c>
      <c r="Y168" s="140">
        <f t="shared" si="161"/>
        <v>9.9265177809247616E-3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0.94305568591297861</v>
      </c>
      <c r="C170" s="139">
        <f t="shared" ref="C170:W170" si="165">IF(C78=0,0,C78/C$77)</f>
        <v>0.93094242775659686</v>
      </c>
      <c r="D170" s="139">
        <f t="shared" si="165"/>
        <v>0.96545805267072105</v>
      </c>
      <c r="E170" s="139">
        <f t="shared" si="165"/>
        <v>0.973161433650227</v>
      </c>
      <c r="F170" s="139">
        <f t="shared" si="165"/>
        <v>0.96823118358555804</v>
      </c>
      <c r="G170" s="139">
        <f t="shared" si="165"/>
        <v>0.97178768838609997</v>
      </c>
      <c r="H170" s="139">
        <f t="shared" si="165"/>
        <v>0.98460253811020648</v>
      </c>
      <c r="I170" s="139">
        <f t="shared" si="165"/>
        <v>0.98167584112955197</v>
      </c>
      <c r="J170" s="139">
        <f t="shared" si="165"/>
        <v>0.97781643044536637</v>
      </c>
      <c r="K170" s="139">
        <f t="shared" si="165"/>
        <v>0.98269036037025304</v>
      </c>
      <c r="L170" s="139">
        <f t="shared" si="165"/>
        <v>0.98310796890276475</v>
      </c>
      <c r="M170" s="139">
        <f t="shared" si="165"/>
        <v>0.98233907451991453</v>
      </c>
      <c r="N170" s="139">
        <f t="shared" si="165"/>
        <v>0.98172315436874646</v>
      </c>
      <c r="O170" s="139">
        <f t="shared" si="165"/>
        <v>0.98165077951885282</v>
      </c>
      <c r="P170" s="139">
        <f t="shared" si="165"/>
        <v>0.98204001486378967</v>
      </c>
      <c r="Q170" s="139">
        <f t="shared" si="165"/>
        <v>0.98135882957503651</v>
      </c>
      <c r="R170" s="139">
        <f t="shared" si="165"/>
        <v>0.98264724667833592</v>
      </c>
      <c r="S170" s="139">
        <f t="shared" si="165"/>
        <v>0.98605646136482994</v>
      </c>
      <c r="T170" s="139">
        <f t="shared" si="165"/>
        <v>0.98789606906152605</v>
      </c>
      <c r="U170" s="139">
        <f t="shared" si="165"/>
        <v>0.9865401078359165</v>
      </c>
      <c r="V170" s="139">
        <f t="shared" si="165"/>
        <v>0.98506273789343124</v>
      </c>
      <c r="W170" s="139">
        <f t="shared" si="165"/>
        <v>0.98715310952712165</v>
      </c>
      <c r="X170" s="139">
        <f t="shared" ref="X170:Y170" si="166">IF(X78=0,0,X78/X$77)</f>
        <v>0.98993089246458055</v>
      </c>
      <c r="Y170" s="139">
        <f t="shared" si="166"/>
        <v>0.99042190866865643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0.43004481646228587</v>
      </c>
      <c r="C171" s="140">
        <f t="shared" ref="C171:W171" si="167">IF(C79=0,0,C79/C$77)</f>
        <v>0.44116448701967431</v>
      </c>
      <c r="D171" s="140">
        <f t="shared" si="167"/>
        <v>0.3662804451820349</v>
      </c>
      <c r="E171" s="140">
        <f t="shared" si="167"/>
        <v>0.44392024211176412</v>
      </c>
      <c r="F171" s="140">
        <f t="shared" si="167"/>
        <v>0.41383824052358825</v>
      </c>
      <c r="G171" s="140">
        <f t="shared" si="167"/>
        <v>0.3567525823155262</v>
      </c>
      <c r="H171" s="140">
        <f t="shared" si="167"/>
        <v>0.29936067686951556</v>
      </c>
      <c r="I171" s="140">
        <f t="shared" si="167"/>
        <v>0.30960852031155905</v>
      </c>
      <c r="J171" s="140">
        <f t="shared" si="167"/>
        <v>0.27523571951591869</v>
      </c>
      <c r="K171" s="140">
        <f t="shared" si="167"/>
        <v>0.32303286962107808</v>
      </c>
      <c r="L171" s="140">
        <f t="shared" si="167"/>
        <v>0.28025099041267171</v>
      </c>
      <c r="M171" s="140">
        <f t="shared" si="167"/>
        <v>0.29993880621854568</v>
      </c>
      <c r="N171" s="140">
        <f t="shared" si="167"/>
        <v>0.30442284955994964</v>
      </c>
      <c r="O171" s="140">
        <f t="shared" si="167"/>
        <v>0.26858064981330904</v>
      </c>
      <c r="P171" s="140">
        <f t="shared" si="167"/>
        <v>0.24698861500422684</v>
      </c>
      <c r="Q171" s="140">
        <f t="shared" si="167"/>
        <v>0.27516594194156929</v>
      </c>
      <c r="R171" s="140">
        <f t="shared" si="167"/>
        <v>0.2298892228494307</v>
      </c>
      <c r="S171" s="140">
        <f t="shared" si="167"/>
        <v>0.19674840761679496</v>
      </c>
      <c r="T171" s="140">
        <f t="shared" si="167"/>
        <v>0.19111193745778199</v>
      </c>
      <c r="U171" s="140">
        <f t="shared" si="167"/>
        <v>0.18888079771859567</v>
      </c>
      <c r="V171" s="140">
        <f t="shared" si="167"/>
        <v>0.20870712242646089</v>
      </c>
      <c r="W171" s="140">
        <f t="shared" si="167"/>
        <v>0.18398716164349346</v>
      </c>
      <c r="X171" s="140">
        <f t="shared" ref="X171:Y171" si="168">IF(X79=0,0,X79/X$77)</f>
        <v>0.18837429250821328</v>
      </c>
      <c r="Y171" s="140">
        <f t="shared" si="168"/>
        <v>0.20510232219478575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0.51301086945069274</v>
      </c>
      <c r="C172" s="140">
        <f t="shared" ref="C172:W172" si="169">IF(C80=0,0,C80/C$77)</f>
        <v>0.48977794073692243</v>
      </c>
      <c r="D172" s="140">
        <f t="shared" si="169"/>
        <v>0.5991776074886862</v>
      </c>
      <c r="E172" s="140">
        <f t="shared" si="169"/>
        <v>0.52924119153846283</v>
      </c>
      <c r="F172" s="140">
        <f t="shared" si="169"/>
        <v>0.55439294306196985</v>
      </c>
      <c r="G172" s="140">
        <f t="shared" si="169"/>
        <v>0.61503510607057366</v>
      </c>
      <c r="H172" s="140">
        <f t="shared" si="169"/>
        <v>0.68524186124069097</v>
      </c>
      <c r="I172" s="140">
        <f t="shared" si="169"/>
        <v>0.67206732081799281</v>
      </c>
      <c r="J172" s="140">
        <f t="shared" si="169"/>
        <v>0.70258071092944763</v>
      </c>
      <c r="K172" s="140">
        <f t="shared" si="169"/>
        <v>0.6596574907491749</v>
      </c>
      <c r="L172" s="140">
        <f t="shared" si="169"/>
        <v>0.70285697849009299</v>
      </c>
      <c r="M172" s="140">
        <f t="shared" si="169"/>
        <v>0.6824002683013688</v>
      </c>
      <c r="N172" s="140">
        <f t="shared" si="169"/>
        <v>0.67730030480879688</v>
      </c>
      <c r="O172" s="140">
        <f t="shared" si="169"/>
        <v>0.71307012970554384</v>
      </c>
      <c r="P172" s="140">
        <f t="shared" si="169"/>
        <v>0.7350513998595628</v>
      </c>
      <c r="Q172" s="140">
        <f t="shared" si="169"/>
        <v>0.70619288763346721</v>
      </c>
      <c r="R172" s="140">
        <f t="shared" si="169"/>
        <v>0.75275802382890522</v>
      </c>
      <c r="S172" s="140">
        <f t="shared" si="169"/>
        <v>0.78930805374803492</v>
      </c>
      <c r="T172" s="140">
        <f t="shared" si="169"/>
        <v>0.79678413160374406</v>
      </c>
      <c r="U172" s="140">
        <f t="shared" si="169"/>
        <v>0.79765931011732083</v>
      </c>
      <c r="V172" s="140">
        <f t="shared" si="169"/>
        <v>0.77635561546697029</v>
      </c>
      <c r="W172" s="140">
        <f t="shared" si="169"/>
        <v>0.80316594788362805</v>
      </c>
      <c r="X172" s="140">
        <f t="shared" ref="X172:Y172" si="170">IF(X80=0,0,X80/X$77)</f>
        <v>0.80155659995636719</v>
      </c>
      <c r="Y172" s="140">
        <f t="shared" si="170"/>
        <v>0.78531958647387068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0</v>
      </c>
      <c r="C173" s="124">
        <f t="shared" ref="C173:W173" si="171">IF(C81=0,0,C81/C$77)</f>
        <v>0</v>
      </c>
      <c r="D173" s="124">
        <f t="shared" si="171"/>
        <v>0</v>
      </c>
      <c r="E173" s="124">
        <f t="shared" si="171"/>
        <v>0</v>
      </c>
      <c r="F173" s="124">
        <f t="shared" si="171"/>
        <v>0</v>
      </c>
      <c r="G173" s="124">
        <f t="shared" si="171"/>
        <v>0</v>
      </c>
      <c r="H173" s="124">
        <f t="shared" si="171"/>
        <v>0</v>
      </c>
      <c r="I173" s="124">
        <f t="shared" si="171"/>
        <v>0</v>
      </c>
      <c r="J173" s="124">
        <f t="shared" si="171"/>
        <v>0</v>
      </c>
      <c r="K173" s="124">
        <f t="shared" si="171"/>
        <v>0</v>
      </c>
      <c r="L173" s="124">
        <f t="shared" si="171"/>
        <v>0</v>
      </c>
      <c r="M173" s="124">
        <f t="shared" si="171"/>
        <v>0</v>
      </c>
      <c r="N173" s="124">
        <f t="shared" si="171"/>
        <v>0</v>
      </c>
      <c r="O173" s="124">
        <f t="shared" si="171"/>
        <v>0</v>
      </c>
      <c r="P173" s="124">
        <f t="shared" si="171"/>
        <v>0</v>
      </c>
      <c r="Q173" s="124">
        <f t="shared" si="171"/>
        <v>0</v>
      </c>
      <c r="R173" s="124">
        <f t="shared" si="171"/>
        <v>0</v>
      </c>
      <c r="S173" s="124">
        <f t="shared" si="171"/>
        <v>0</v>
      </c>
      <c r="T173" s="124">
        <f t="shared" si="171"/>
        <v>0</v>
      </c>
      <c r="U173" s="124">
        <f t="shared" si="171"/>
        <v>0</v>
      </c>
      <c r="V173" s="124">
        <f t="shared" si="171"/>
        <v>0</v>
      </c>
      <c r="W173" s="124">
        <f t="shared" si="171"/>
        <v>0</v>
      </c>
      <c r="X173" s="124">
        <f t="shared" ref="X173:Y173" si="172">IF(X81=0,0,X81/X$77)</f>
        <v>0</v>
      </c>
      <c r="Y173" s="124">
        <f t="shared" si="17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1.8433905903644545E-3</v>
      </c>
      <c r="C174" s="124">
        <f t="shared" ref="C174:W174" si="173">IF(C82=0,0,C82/C$77)</f>
        <v>1.848900124296836E-3</v>
      </c>
      <c r="D174" s="124">
        <f t="shared" si="173"/>
        <v>8.7900985129414362E-4</v>
      </c>
      <c r="E174" s="124">
        <f t="shared" si="173"/>
        <v>1.426714048569364E-3</v>
      </c>
      <c r="F174" s="124">
        <f t="shared" si="173"/>
        <v>4.448111390750511E-4</v>
      </c>
      <c r="G174" s="124">
        <f t="shared" si="173"/>
        <v>3.8304951709225611E-4</v>
      </c>
      <c r="H174" s="124">
        <f t="shared" si="173"/>
        <v>6.9496725585907731E-4</v>
      </c>
      <c r="I174" s="124">
        <f t="shared" si="173"/>
        <v>4.788843123145939E-4</v>
      </c>
      <c r="J174" s="124">
        <f t="shared" si="173"/>
        <v>7.193380117891631E-4</v>
      </c>
      <c r="K174" s="124">
        <f t="shared" si="173"/>
        <v>1.2871875337338461E-3</v>
      </c>
      <c r="L174" s="124">
        <f t="shared" si="173"/>
        <v>1.3138646467251594E-3</v>
      </c>
      <c r="M174" s="124">
        <f t="shared" si="173"/>
        <v>1.5670729882383456E-3</v>
      </c>
      <c r="N174" s="124">
        <f t="shared" si="173"/>
        <v>1.7464631651784265E-3</v>
      </c>
      <c r="O174" s="124">
        <f t="shared" si="173"/>
        <v>1.8913357157670702E-3</v>
      </c>
      <c r="P174" s="124">
        <f t="shared" si="173"/>
        <v>1.1734513600871847E-3</v>
      </c>
      <c r="Q174" s="124">
        <f t="shared" si="173"/>
        <v>1.5085724726674485E-3</v>
      </c>
      <c r="R174" s="124">
        <f t="shared" si="173"/>
        <v>1.1576158815404479E-3</v>
      </c>
      <c r="S174" s="124">
        <f t="shared" si="173"/>
        <v>9.3861510128712274E-4</v>
      </c>
      <c r="T174" s="124">
        <f t="shared" si="173"/>
        <v>7.5810049788087818E-4</v>
      </c>
      <c r="U174" s="124">
        <f t="shared" si="173"/>
        <v>5.8420480814150733E-4</v>
      </c>
      <c r="V174" s="124">
        <f t="shared" si="173"/>
        <v>2.1454892488089231E-3</v>
      </c>
      <c r="W174" s="124">
        <f t="shared" si="173"/>
        <v>9.6143964818530786E-4</v>
      </c>
      <c r="X174" s="124">
        <f t="shared" ref="X174:Y174" si="174">IF(X82=0,0,X82/X$77)</f>
        <v>6.2956831844918418E-4</v>
      </c>
      <c r="Y174" s="124">
        <f t="shared" si="174"/>
        <v>2.5061499310329E-4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9.6242638236067833E-4</v>
      </c>
      <c r="C176" s="140">
        <f t="shared" ref="C176:W176" si="177">IF(C84=0,0,C84/C$77)</f>
        <v>9.4580142906843618E-4</v>
      </c>
      <c r="D176" s="140">
        <f t="shared" si="177"/>
        <v>6.9738003334152989E-4</v>
      </c>
      <c r="E176" s="140">
        <f t="shared" si="177"/>
        <v>3.9115686767753527E-4</v>
      </c>
      <c r="F176" s="140">
        <f t="shared" si="177"/>
        <v>1.352748058218103E-4</v>
      </c>
      <c r="G176" s="140">
        <f t="shared" si="177"/>
        <v>8.7185795424986687E-5</v>
      </c>
      <c r="H176" s="140">
        <f t="shared" si="177"/>
        <v>6.7789130634273294E-5</v>
      </c>
      <c r="I176" s="140">
        <f t="shared" si="177"/>
        <v>7.1439420504749922E-5</v>
      </c>
      <c r="J176" s="140">
        <f t="shared" si="177"/>
        <v>5.467404026817137E-4</v>
      </c>
      <c r="K176" s="140">
        <f t="shared" si="177"/>
        <v>1.1377730720317314E-3</v>
      </c>
      <c r="L176" s="140">
        <f t="shared" si="177"/>
        <v>1.0223328494803714E-3</v>
      </c>
      <c r="M176" s="140">
        <f t="shared" si="177"/>
        <v>1.5403877617017764E-3</v>
      </c>
      <c r="N176" s="140">
        <f t="shared" si="177"/>
        <v>1.7236155041862686E-3</v>
      </c>
      <c r="O176" s="140">
        <f t="shared" si="177"/>
        <v>1.8464212785995052E-3</v>
      </c>
      <c r="P176" s="140">
        <f t="shared" si="177"/>
        <v>9.4503360353387497E-4</v>
      </c>
      <c r="Q176" s="140">
        <f t="shared" si="177"/>
        <v>1.3268115652147455E-3</v>
      </c>
      <c r="R176" s="140">
        <f t="shared" si="177"/>
        <v>1.0355161021541226E-3</v>
      </c>
      <c r="S176" s="140">
        <f t="shared" si="177"/>
        <v>9.0904469694331645E-4</v>
      </c>
      <c r="T176" s="140">
        <f t="shared" si="177"/>
        <v>7.2808358049124972E-4</v>
      </c>
      <c r="U176" s="140">
        <f t="shared" si="177"/>
        <v>5.7618781400099836E-4</v>
      </c>
      <c r="V176" s="140">
        <f t="shared" si="177"/>
        <v>2.0630568138521729E-3</v>
      </c>
      <c r="W176" s="140">
        <f t="shared" si="177"/>
        <v>9.5729231720732713E-4</v>
      </c>
      <c r="X176" s="140">
        <f t="shared" ref="X176:Y176" si="178">IF(X84=0,0,X84/X$77)</f>
        <v>6.2703990719818541E-4</v>
      </c>
      <c r="Y176" s="140">
        <f t="shared" si="178"/>
        <v>2.4930234076181858E-4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8.8096420800377613E-4</v>
      </c>
      <c r="C177" s="140">
        <f t="shared" ref="C177:W177" si="179">IF(C85=0,0,C85/C$77)</f>
        <v>9.0309869522839955E-4</v>
      </c>
      <c r="D177" s="140">
        <f t="shared" si="179"/>
        <v>1.8162981795261365E-4</v>
      </c>
      <c r="E177" s="140">
        <f t="shared" si="179"/>
        <v>1.0355571808918287E-3</v>
      </c>
      <c r="F177" s="140">
        <f t="shared" si="179"/>
        <v>3.0953633325324082E-4</v>
      </c>
      <c r="G177" s="140">
        <f t="shared" si="179"/>
        <v>2.958637216672694E-4</v>
      </c>
      <c r="H177" s="140">
        <f t="shared" si="179"/>
        <v>6.2717812522480399E-4</v>
      </c>
      <c r="I177" s="140">
        <f t="shared" si="179"/>
        <v>4.0744489180984399E-4</v>
      </c>
      <c r="J177" s="140">
        <f t="shared" si="179"/>
        <v>1.7259760910744946E-4</v>
      </c>
      <c r="K177" s="140">
        <f t="shared" si="179"/>
        <v>1.4941446170211491E-4</v>
      </c>
      <c r="L177" s="140">
        <f t="shared" si="179"/>
        <v>2.9153179724478802E-4</v>
      </c>
      <c r="M177" s="140">
        <f t="shared" si="179"/>
        <v>2.6685226536569566E-5</v>
      </c>
      <c r="N177" s="140">
        <f t="shared" si="179"/>
        <v>2.2847660992157859E-5</v>
      </c>
      <c r="O177" s="140">
        <f t="shared" si="179"/>
        <v>4.4914437167565038E-5</v>
      </c>
      <c r="P177" s="140">
        <f t="shared" si="179"/>
        <v>2.2841775655330974E-4</v>
      </c>
      <c r="Q177" s="140">
        <f t="shared" si="179"/>
        <v>1.8176090745270306E-4</v>
      </c>
      <c r="R177" s="140">
        <f t="shared" si="179"/>
        <v>1.2209977938632528E-4</v>
      </c>
      <c r="S177" s="140">
        <f t="shared" si="179"/>
        <v>2.9570404343806416E-5</v>
      </c>
      <c r="T177" s="140">
        <f t="shared" si="179"/>
        <v>3.0016917389628441E-5</v>
      </c>
      <c r="U177" s="140">
        <f t="shared" si="179"/>
        <v>8.0169941405088593E-6</v>
      </c>
      <c r="V177" s="140">
        <f t="shared" si="179"/>
        <v>8.2432434956750141E-5</v>
      </c>
      <c r="W177" s="140">
        <f t="shared" si="179"/>
        <v>4.1473309779806119E-6</v>
      </c>
      <c r="X177" s="140">
        <f t="shared" ref="X177:Y177" si="180">IF(X85=0,0,X85/X$77)</f>
        <v>2.5284112509988134E-6</v>
      </c>
      <c r="Y177" s="140">
        <f t="shared" si="180"/>
        <v>1.3126523414714712E-6</v>
      </c>
      <c r="DA177" s="175"/>
    </row>
    <row r="178" spans="1:105" ht="11.45" customHeight="1" x14ac:dyDescent="0.25">
      <c r="A178" s="109" t="s">
        <v>141</v>
      </c>
      <c r="B178" s="124">
        <f t="shared" si="162"/>
        <v>5.5100923496656892E-2</v>
      </c>
      <c r="C178" s="124">
        <f t="shared" ref="C178:W178" si="181">IF(C86=0,0,C86/C$77)</f>
        <v>6.7208672119106277E-2</v>
      </c>
      <c r="D178" s="124">
        <f t="shared" si="181"/>
        <v>3.3662937477984815E-2</v>
      </c>
      <c r="E178" s="124">
        <f t="shared" si="181"/>
        <v>2.5411852301203675E-2</v>
      </c>
      <c r="F178" s="124">
        <f t="shared" si="181"/>
        <v>3.1324005275366835E-2</v>
      </c>
      <c r="G178" s="124">
        <f t="shared" si="181"/>
        <v>2.7829262096807729E-2</v>
      </c>
      <c r="H178" s="124">
        <f t="shared" si="181"/>
        <v>1.4702494633934525E-2</v>
      </c>
      <c r="I178" s="124">
        <f t="shared" si="181"/>
        <v>1.7845274558133489E-2</v>
      </c>
      <c r="J178" s="124">
        <f t="shared" si="181"/>
        <v>2.1464231542844478E-2</v>
      </c>
      <c r="K178" s="124">
        <f t="shared" si="181"/>
        <v>1.6022452096013162E-2</v>
      </c>
      <c r="L178" s="124">
        <f t="shared" si="181"/>
        <v>1.5578166450510156E-2</v>
      </c>
      <c r="M178" s="124">
        <f t="shared" si="181"/>
        <v>1.6093852491847173E-2</v>
      </c>
      <c r="N178" s="124">
        <f t="shared" si="181"/>
        <v>1.6530382466075154E-2</v>
      </c>
      <c r="O178" s="124">
        <f t="shared" si="181"/>
        <v>1.6457884765380206E-2</v>
      </c>
      <c r="P178" s="124">
        <f t="shared" si="181"/>
        <v>1.6786533776123061E-2</v>
      </c>
      <c r="Q178" s="124">
        <f t="shared" si="181"/>
        <v>1.7132597952295967E-2</v>
      </c>
      <c r="R178" s="124">
        <f t="shared" si="181"/>
        <v>1.6195137440123707E-2</v>
      </c>
      <c r="S178" s="124">
        <f t="shared" si="181"/>
        <v>1.3004923533882861E-2</v>
      </c>
      <c r="T178" s="124">
        <f t="shared" si="181"/>
        <v>1.1345830440593089E-2</v>
      </c>
      <c r="U178" s="124">
        <f t="shared" si="181"/>
        <v>1.2875687355941938E-2</v>
      </c>
      <c r="V178" s="124">
        <f t="shared" si="181"/>
        <v>1.2791772857759964E-2</v>
      </c>
      <c r="W178" s="124">
        <f t="shared" si="181"/>
        <v>1.1885450824693139E-2</v>
      </c>
      <c r="X178" s="124">
        <f t="shared" ref="X178:Y178" si="182">IF(X86=0,0,X86/X$77)</f>
        <v>9.4395392169704193E-3</v>
      </c>
      <c r="Y178" s="124">
        <f t="shared" si="182"/>
        <v>9.3274763382402946E-3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5.5100923496656892E-2</v>
      </c>
      <c r="C180" s="127">
        <f t="shared" ref="C180:W180" si="185">IF(C88=0,0,C88/C$77)</f>
        <v>6.7208672119106277E-2</v>
      </c>
      <c r="D180" s="127">
        <f t="shared" si="185"/>
        <v>3.3662937477984815E-2</v>
      </c>
      <c r="E180" s="127">
        <f t="shared" si="185"/>
        <v>2.5411852301203675E-2</v>
      </c>
      <c r="F180" s="127">
        <f t="shared" si="185"/>
        <v>3.1324005275366835E-2</v>
      </c>
      <c r="G180" s="127">
        <f t="shared" si="185"/>
        <v>2.7829262096807729E-2</v>
      </c>
      <c r="H180" s="127">
        <f t="shared" si="185"/>
        <v>1.4702494633934525E-2</v>
      </c>
      <c r="I180" s="127">
        <f t="shared" si="185"/>
        <v>1.7845274558133489E-2</v>
      </c>
      <c r="J180" s="127">
        <f t="shared" si="185"/>
        <v>2.1464231542844478E-2</v>
      </c>
      <c r="K180" s="127">
        <f t="shared" si="185"/>
        <v>1.6022452096013162E-2</v>
      </c>
      <c r="L180" s="127">
        <f t="shared" si="185"/>
        <v>1.5578166450510156E-2</v>
      </c>
      <c r="M180" s="127">
        <f t="shared" si="185"/>
        <v>1.6093852491847173E-2</v>
      </c>
      <c r="N180" s="127">
        <f t="shared" si="185"/>
        <v>1.6530382466075154E-2</v>
      </c>
      <c r="O180" s="127">
        <f t="shared" si="185"/>
        <v>1.6457884765380206E-2</v>
      </c>
      <c r="P180" s="127">
        <f t="shared" si="185"/>
        <v>1.6786533776123061E-2</v>
      </c>
      <c r="Q180" s="127">
        <f t="shared" si="185"/>
        <v>1.7132597952295967E-2</v>
      </c>
      <c r="R180" s="127">
        <f t="shared" si="185"/>
        <v>1.6195137440123707E-2</v>
      </c>
      <c r="S180" s="127">
        <f t="shared" si="185"/>
        <v>1.3004923533882861E-2</v>
      </c>
      <c r="T180" s="127">
        <f t="shared" si="185"/>
        <v>1.1345830440593089E-2</v>
      </c>
      <c r="U180" s="127">
        <f t="shared" si="185"/>
        <v>1.2875687355941938E-2</v>
      </c>
      <c r="V180" s="127">
        <f t="shared" si="185"/>
        <v>1.2791772857759964E-2</v>
      </c>
      <c r="W180" s="127">
        <f t="shared" si="185"/>
        <v>1.1885450824693139E-2</v>
      </c>
      <c r="X180" s="127">
        <f t="shared" ref="X180:Y180" si="186">IF(X88=0,0,X88/X$77)</f>
        <v>9.4395392169704193E-3</v>
      </c>
      <c r="Y180" s="127">
        <f t="shared" si="186"/>
        <v>9.3274763382402946E-3</v>
      </c>
      <c r="DA180" s="178"/>
    </row>
    <row r="181" spans="1:105" ht="11.45" customHeight="1" x14ac:dyDescent="0.25">
      <c r="A181" s="27" t="s">
        <v>169</v>
      </c>
      <c r="B181" s="31">
        <f>IF(B89=0,0,B89/B$89)</f>
        <v>0</v>
      </c>
      <c r="C181" s="31">
        <f t="shared" ref="C181:W181" si="187">IF(C89=0,0,C89/C$89)</f>
        <v>0</v>
      </c>
      <c r="D181" s="31">
        <f t="shared" si="187"/>
        <v>0</v>
      </c>
      <c r="E181" s="31">
        <f t="shared" si="187"/>
        <v>0</v>
      </c>
      <c r="F181" s="31">
        <f t="shared" si="187"/>
        <v>0</v>
      </c>
      <c r="G181" s="31">
        <f t="shared" si="187"/>
        <v>0</v>
      </c>
      <c r="H181" s="31">
        <f t="shared" si="187"/>
        <v>0</v>
      </c>
      <c r="I181" s="31">
        <f t="shared" si="187"/>
        <v>0</v>
      </c>
      <c r="J181" s="31">
        <f t="shared" si="187"/>
        <v>0</v>
      </c>
      <c r="K181" s="31">
        <f t="shared" si="187"/>
        <v>0</v>
      </c>
      <c r="L181" s="31">
        <f t="shared" si="187"/>
        <v>0</v>
      </c>
      <c r="M181" s="31">
        <f t="shared" si="187"/>
        <v>0</v>
      </c>
      <c r="N181" s="31">
        <f t="shared" si="187"/>
        <v>0</v>
      </c>
      <c r="O181" s="31">
        <f t="shared" si="187"/>
        <v>0</v>
      </c>
      <c r="P181" s="31">
        <f t="shared" si="187"/>
        <v>0</v>
      </c>
      <c r="Q181" s="31">
        <f t="shared" si="187"/>
        <v>0</v>
      </c>
      <c r="R181" s="31">
        <f t="shared" si="187"/>
        <v>0</v>
      </c>
      <c r="S181" s="31">
        <f t="shared" si="187"/>
        <v>0</v>
      </c>
      <c r="T181" s="31">
        <f t="shared" si="187"/>
        <v>0</v>
      </c>
      <c r="U181" s="31">
        <f t="shared" si="187"/>
        <v>0</v>
      </c>
      <c r="V181" s="31">
        <f t="shared" si="187"/>
        <v>0</v>
      </c>
      <c r="W181" s="31">
        <f t="shared" si="187"/>
        <v>0</v>
      </c>
      <c r="X181" s="31">
        <f t="shared" ref="X181:Y181" si="188">IF(X89=0,0,X89/X$89)</f>
        <v>0</v>
      </c>
      <c r="Y181" s="31">
        <f t="shared" si="188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189">IF(C90=0,0,C90/C$89)</f>
        <v>0</v>
      </c>
      <c r="D182" s="140">
        <f t="shared" si="189"/>
        <v>0</v>
      </c>
      <c r="E182" s="140">
        <f t="shared" si="189"/>
        <v>0</v>
      </c>
      <c r="F182" s="140">
        <f t="shared" si="189"/>
        <v>0</v>
      </c>
      <c r="G182" s="140">
        <f t="shared" si="189"/>
        <v>0</v>
      </c>
      <c r="H182" s="140">
        <f t="shared" si="189"/>
        <v>0</v>
      </c>
      <c r="I182" s="140">
        <f t="shared" si="189"/>
        <v>0</v>
      </c>
      <c r="J182" s="140">
        <f t="shared" si="189"/>
        <v>0</v>
      </c>
      <c r="K182" s="140">
        <f t="shared" si="189"/>
        <v>0</v>
      </c>
      <c r="L182" s="140">
        <f t="shared" si="189"/>
        <v>0</v>
      </c>
      <c r="M182" s="140">
        <f t="shared" si="189"/>
        <v>0</v>
      </c>
      <c r="N182" s="140">
        <f t="shared" si="189"/>
        <v>0</v>
      </c>
      <c r="O182" s="140">
        <f t="shared" si="189"/>
        <v>0</v>
      </c>
      <c r="P182" s="140">
        <f t="shared" si="189"/>
        <v>0</v>
      </c>
      <c r="Q182" s="140">
        <f t="shared" si="189"/>
        <v>0</v>
      </c>
      <c r="R182" s="140">
        <f t="shared" si="189"/>
        <v>0</v>
      </c>
      <c r="S182" s="140">
        <f t="shared" si="189"/>
        <v>0</v>
      </c>
      <c r="T182" s="140">
        <f t="shared" si="189"/>
        <v>0</v>
      </c>
      <c r="U182" s="140">
        <f t="shared" si="189"/>
        <v>0</v>
      </c>
      <c r="V182" s="140">
        <f t="shared" si="189"/>
        <v>0</v>
      </c>
      <c r="W182" s="140">
        <f t="shared" si="189"/>
        <v>0</v>
      </c>
      <c r="X182" s="140">
        <f t="shared" ref="X182:Y182" si="190">IF(X90=0,0,X90/X$89)</f>
        <v>0</v>
      </c>
      <c r="Y182" s="140">
        <f t="shared" si="190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191">IF(C91=0,0,C91/C$89)</f>
        <v>0</v>
      </c>
      <c r="D183" s="127">
        <f t="shared" si="191"/>
        <v>0</v>
      </c>
      <c r="E183" s="127">
        <f t="shared" si="191"/>
        <v>0</v>
      </c>
      <c r="F183" s="127">
        <f t="shared" si="191"/>
        <v>0</v>
      </c>
      <c r="G183" s="127">
        <f t="shared" si="191"/>
        <v>0</v>
      </c>
      <c r="H183" s="127">
        <f t="shared" si="191"/>
        <v>0</v>
      </c>
      <c r="I183" s="127">
        <f t="shared" si="191"/>
        <v>0</v>
      </c>
      <c r="J183" s="127">
        <f t="shared" si="191"/>
        <v>0</v>
      </c>
      <c r="K183" s="127">
        <f t="shared" si="191"/>
        <v>0</v>
      </c>
      <c r="L183" s="127">
        <f t="shared" si="191"/>
        <v>0</v>
      </c>
      <c r="M183" s="127">
        <f t="shared" si="191"/>
        <v>0</v>
      </c>
      <c r="N183" s="127">
        <f t="shared" si="191"/>
        <v>0</v>
      </c>
      <c r="O183" s="127">
        <f t="shared" si="191"/>
        <v>0</v>
      </c>
      <c r="P183" s="127">
        <f t="shared" si="191"/>
        <v>0</v>
      </c>
      <c r="Q183" s="127">
        <f t="shared" si="191"/>
        <v>0</v>
      </c>
      <c r="R183" s="127">
        <f t="shared" si="191"/>
        <v>0</v>
      </c>
      <c r="S183" s="127">
        <f t="shared" si="191"/>
        <v>0</v>
      </c>
      <c r="T183" s="127">
        <f t="shared" si="191"/>
        <v>0</v>
      </c>
      <c r="U183" s="127">
        <f t="shared" si="191"/>
        <v>0</v>
      </c>
      <c r="V183" s="127">
        <f t="shared" si="191"/>
        <v>0</v>
      </c>
      <c r="W183" s="127">
        <f t="shared" si="191"/>
        <v>0</v>
      </c>
      <c r="X183" s="127">
        <f t="shared" ref="X183:Y183" si="192">IF(X91=0,0,X91/X$89)</f>
        <v>0</v>
      </c>
      <c r="Y183" s="127">
        <f t="shared" si="19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27.009447708617934</v>
      </c>
      <c r="C186" s="32">
        <f t="shared" si="193"/>
        <v>27.713690778241798</v>
      </c>
      <c r="D186" s="32">
        <f t="shared" si="193"/>
        <v>31.047922433428429</v>
      </c>
      <c r="E186" s="32">
        <f t="shared" si="193"/>
        <v>29.896462967769946</v>
      </c>
      <c r="F186" s="32">
        <f t="shared" si="193"/>
        <v>27.278955724839836</v>
      </c>
      <c r="G186" s="32">
        <f t="shared" si="193"/>
        <v>28.407933764224804</v>
      </c>
      <c r="H186" s="32">
        <f t="shared" si="193"/>
        <v>27.362875185400497</v>
      </c>
      <c r="I186" s="32">
        <f t="shared" si="193"/>
        <v>29.727567391826181</v>
      </c>
      <c r="J186" s="32">
        <f t="shared" si="193"/>
        <v>31.524442335289024</v>
      </c>
      <c r="K186" s="32">
        <f t="shared" si="193"/>
        <v>31.52553853206847</v>
      </c>
      <c r="L186" s="32">
        <f t="shared" si="193"/>
        <v>31.527618302488765</v>
      </c>
      <c r="M186" s="32">
        <f t="shared" si="193"/>
        <v>30.764685444292969</v>
      </c>
      <c r="N186" s="32">
        <f t="shared" si="193"/>
        <v>30.077634697366737</v>
      </c>
      <c r="O186" s="32">
        <f t="shared" si="193"/>
        <v>30.152465546027759</v>
      </c>
      <c r="P186" s="32">
        <f t="shared" si="193"/>
        <v>29.596629480672156</v>
      </c>
      <c r="Q186" s="32">
        <f t="shared" si="193"/>
        <v>29.23314214870895</v>
      </c>
      <c r="R186" s="32">
        <f t="shared" si="193"/>
        <v>28.650770702199289</v>
      </c>
      <c r="S186" s="32">
        <f t="shared" si="193"/>
        <v>28.564880045164038</v>
      </c>
      <c r="T186" s="32">
        <f t="shared" si="193"/>
        <v>27.415716173932044</v>
      </c>
      <c r="U186" s="32">
        <f t="shared" si="193"/>
        <v>26.878941727754114</v>
      </c>
      <c r="V186" s="32">
        <f t="shared" si="193"/>
        <v>31.861590469252686</v>
      </c>
      <c r="W186" s="32">
        <f t="shared" si="193"/>
        <v>31.301159049717921</v>
      </c>
      <c r="X186" s="32">
        <f t="shared" si="193"/>
        <v>28.353119549896636</v>
      </c>
      <c r="Y186" s="32">
        <f t="shared" si="193"/>
        <v>27.413565205292201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28.157062707877042</v>
      </c>
      <c r="C187" s="141">
        <f t="shared" si="194"/>
        <v>29.025113674854218</v>
      </c>
      <c r="D187" s="141">
        <f t="shared" si="194"/>
        <v>32.264367421351395</v>
      </c>
      <c r="E187" s="141">
        <f t="shared" si="194"/>
        <v>31.262510646621706</v>
      </c>
      <c r="F187" s="141">
        <f t="shared" si="194"/>
        <v>28.91182219875656</v>
      </c>
      <c r="G187" s="141">
        <f t="shared" si="194"/>
        <v>29.946664278118423</v>
      </c>
      <c r="H187" s="141">
        <f t="shared" si="194"/>
        <v>28.734045461142859</v>
      </c>
      <c r="I187" s="141">
        <f t="shared" si="194"/>
        <v>31.165338431344491</v>
      </c>
      <c r="J187" s="141">
        <f t="shared" si="194"/>
        <v>33.120625932856925</v>
      </c>
      <c r="K187" s="141">
        <f t="shared" si="194"/>
        <v>33.213510976319462</v>
      </c>
      <c r="L187" s="141">
        <f t="shared" si="194"/>
        <v>33.430116945626338</v>
      </c>
      <c r="M187" s="141">
        <f t="shared" si="194"/>
        <v>32.643856747033951</v>
      </c>
      <c r="N187" s="141">
        <f t="shared" si="194"/>
        <v>31.873795343752896</v>
      </c>
      <c r="O187" s="141">
        <f t="shared" si="194"/>
        <v>31.785106808897726</v>
      </c>
      <c r="P187" s="141">
        <f t="shared" si="194"/>
        <v>31.432793707183922</v>
      </c>
      <c r="Q187" s="141">
        <f t="shared" si="194"/>
        <v>31.464574035656756</v>
      </c>
      <c r="R187" s="141">
        <f t="shared" si="194"/>
        <v>30.800158871091494</v>
      </c>
      <c r="S187" s="141">
        <f t="shared" si="194"/>
        <v>31.309106462100242</v>
      </c>
      <c r="T187" s="141">
        <f t="shared" si="194"/>
        <v>29.980352634693777</v>
      </c>
      <c r="U187" s="141">
        <f t="shared" si="194"/>
        <v>29.631394033742716</v>
      </c>
      <c r="V187" s="141">
        <f t="shared" si="194"/>
        <v>33.102632954176421</v>
      </c>
      <c r="W187" s="141">
        <f t="shared" si="194"/>
        <v>32.534360028921263</v>
      </c>
      <c r="X187" s="141">
        <f t="shared" si="194"/>
        <v>30.837269922791485</v>
      </c>
      <c r="Y187" s="141">
        <f t="shared" si="194"/>
        <v>30.282296411100624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33.729396457330175</v>
      </c>
      <c r="C188" s="97">
        <f t="shared" si="195"/>
        <v>33.726743370838065</v>
      </c>
      <c r="D188" s="97">
        <f t="shared" si="195"/>
        <v>33.731065041983456</v>
      </c>
      <c r="E188" s="97">
        <f t="shared" si="195"/>
        <v>33.709344433163238</v>
      </c>
      <c r="F188" s="97">
        <f t="shared" si="195"/>
        <v>33.671147819924769</v>
      </c>
      <c r="G188" s="97">
        <f t="shared" si="195"/>
        <v>33.696218133834073</v>
      </c>
      <c r="H188" s="97">
        <f t="shared" si="195"/>
        <v>33.697044388201007</v>
      </c>
      <c r="I188" s="97">
        <f t="shared" si="195"/>
        <v>33.533069517128602</v>
      </c>
      <c r="J188" s="97">
        <f t="shared" si="195"/>
        <v>33.339273514352385</v>
      </c>
      <c r="K188" s="97">
        <f t="shared" si="195"/>
        <v>33.086257059332603</v>
      </c>
      <c r="L188" s="97">
        <f t="shared" si="195"/>
        <v>33.036660530187227</v>
      </c>
      <c r="M188" s="97">
        <f t="shared" si="195"/>
        <v>32.938460410535257</v>
      </c>
      <c r="N188" s="97">
        <f t="shared" si="195"/>
        <v>33.000302648487136</v>
      </c>
      <c r="O188" s="97">
        <f t="shared" si="195"/>
        <v>32.798326925192875</v>
      </c>
      <c r="P188" s="97">
        <f t="shared" si="195"/>
        <v>32.511856484670631</v>
      </c>
      <c r="Q188" s="97">
        <f t="shared" si="195"/>
        <v>32.177405544733126</v>
      </c>
      <c r="R188" s="97">
        <f t="shared" si="195"/>
        <v>31.96643772383511</v>
      </c>
      <c r="S188" s="97">
        <f t="shared" si="195"/>
        <v>31.726791442969631</v>
      </c>
      <c r="T188" s="97">
        <f t="shared" si="195"/>
        <v>31.516136681130305</v>
      </c>
      <c r="U188" s="97">
        <f t="shared" si="195"/>
        <v>31.356556557257257</v>
      </c>
      <c r="V188" s="97">
        <f t="shared" si="195"/>
        <v>31.251846220243131</v>
      </c>
      <c r="W188" s="97">
        <f t="shared" si="195"/>
        <v>31.160317104053561</v>
      </c>
      <c r="X188" s="97">
        <f t="shared" si="195"/>
        <v>31.047328417789707</v>
      </c>
      <c r="Y188" s="97">
        <f t="shared" si="195"/>
        <v>30.904717428037042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31.535404770602543</v>
      </c>
      <c r="C189" s="97">
        <f t="shared" si="196"/>
        <v>32.931491950806787</v>
      </c>
      <c r="D189" s="97">
        <f t="shared" si="196"/>
        <v>37.309818498453119</v>
      </c>
      <c r="E189" s="97">
        <f t="shared" si="196"/>
        <v>35.172779079291232</v>
      </c>
      <c r="F189" s="97">
        <f t="shared" si="196"/>
        <v>32.610439680175375</v>
      </c>
      <c r="G189" s="97">
        <f t="shared" si="196"/>
        <v>33.797216279573483</v>
      </c>
      <c r="H189" s="97">
        <f t="shared" si="196"/>
        <v>32.166671530640343</v>
      </c>
      <c r="I189" s="97">
        <f t="shared" si="196"/>
        <v>34.242187023367705</v>
      </c>
      <c r="J189" s="97">
        <f t="shared" si="196"/>
        <v>35.447555147925463</v>
      </c>
      <c r="K189" s="97">
        <f t="shared" si="196"/>
        <v>33.50340321400769</v>
      </c>
      <c r="L189" s="97">
        <f t="shared" si="196"/>
        <v>33.703612510432876</v>
      </c>
      <c r="M189" s="97">
        <f t="shared" si="196"/>
        <v>33.376148748386889</v>
      </c>
      <c r="N189" s="97">
        <f t="shared" si="196"/>
        <v>32.438201111311514</v>
      </c>
      <c r="O189" s="97">
        <f t="shared" si="196"/>
        <v>32.291057144685752</v>
      </c>
      <c r="P189" s="97">
        <f t="shared" si="196"/>
        <v>31.897498953652022</v>
      </c>
      <c r="Q189" s="97">
        <f t="shared" si="196"/>
        <v>31.978534864157535</v>
      </c>
      <c r="R189" s="97">
        <f t="shared" si="196"/>
        <v>31.943094178421706</v>
      </c>
      <c r="S189" s="97">
        <f t="shared" si="196"/>
        <v>32.224268642202688</v>
      </c>
      <c r="T189" s="97">
        <f t="shared" si="196"/>
        <v>30.744873898032342</v>
      </c>
      <c r="U189" s="97">
        <f t="shared" si="196"/>
        <v>30.105450321513175</v>
      </c>
      <c r="V189" s="97">
        <f t="shared" si="196"/>
        <v>32.248202733497642</v>
      </c>
      <c r="W189" s="97">
        <f t="shared" si="196"/>
        <v>31.018247357624425</v>
      </c>
      <c r="X189" s="97">
        <f t="shared" si="196"/>
        <v>30.123935092560217</v>
      </c>
      <c r="Y189" s="97">
        <f t="shared" si="196"/>
        <v>30.065387871468452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19.444870384854294</v>
      </c>
      <c r="C190" s="97">
        <f t="shared" si="197"/>
        <v>18.828894511431027</v>
      </c>
      <c r="D190" s="97">
        <f t="shared" si="197"/>
        <v>18.629408863224583</v>
      </c>
      <c r="E190" s="97">
        <f t="shared" si="197"/>
        <v>20.005250051583385</v>
      </c>
      <c r="F190" s="97">
        <f t="shared" si="197"/>
        <v>18.292569785100248</v>
      </c>
      <c r="G190" s="97">
        <f t="shared" si="197"/>
        <v>18.271288029791425</v>
      </c>
      <c r="H190" s="97">
        <f t="shared" si="197"/>
        <v>18.282273390835606</v>
      </c>
      <c r="I190" s="97">
        <f t="shared" si="197"/>
        <v>21.90100138112285</v>
      </c>
      <c r="J190" s="97">
        <f t="shared" si="197"/>
        <v>24.872625975691768</v>
      </c>
      <c r="K190" s="97">
        <f t="shared" si="197"/>
        <v>31.790095979521947</v>
      </c>
      <c r="L190" s="97">
        <f t="shared" si="197"/>
        <v>32.040257912480882</v>
      </c>
      <c r="M190" s="97">
        <f t="shared" si="197"/>
        <v>29.044789448379571</v>
      </c>
      <c r="N190" s="97">
        <f t="shared" si="197"/>
        <v>29.056160820087737</v>
      </c>
      <c r="O190" s="97">
        <f t="shared" si="197"/>
        <v>29.153771148745687</v>
      </c>
      <c r="P190" s="97">
        <f t="shared" si="197"/>
        <v>29.046059152999142</v>
      </c>
      <c r="Q190" s="97">
        <f t="shared" si="197"/>
        <v>28.812874909171086</v>
      </c>
      <c r="R190" s="97">
        <f t="shared" si="197"/>
        <v>25.374838079895735</v>
      </c>
      <c r="S190" s="97">
        <f t="shared" si="197"/>
        <v>26.957363549245535</v>
      </c>
      <c r="T190" s="97">
        <f t="shared" si="197"/>
        <v>26.46468554179588</v>
      </c>
      <c r="U190" s="97">
        <f t="shared" si="197"/>
        <v>27.404568072354323</v>
      </c>
      <c r="V190" s="97">
        <f t="shared" si="197"/>
        <v>38.826468200012869</v>
      </c>
      <c r="W190" s="97">
        <f t="shared" si="197"/>
        <v>45.138464014726026</v>
      </c>
      <c r="X190" s="97">
        <f t="shared" si="197"/>
        <v>35.496649343186277</v>
      </c>
      <c r="Y190" s="97">
        <f t="shared" si="197"/>
        <v>31.615588792767024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10.336279851034325</v>
      </c>
      <c r="C191" s="130">
        <f t="shared" si="198"/>
        <v>8.4600469653913493</v>
      </c>
      <c r="D191" s="130">
        <f t="shared" si="198"/>
        <v>8.2356097797421839</v>
      </c>
      <c r="E191" s="130">
        <f t="shared" si="198"/>
        <v>9.3582461957544449</v>
      </c>
      <c r="F191" s="130">
        <f t="shared" si="198"/>
        <v>9.3204167087702139</v>
      </c>
      <c r="G191" s="130">
        <f t="shared" si="198"/>
        <v>8.3933301235109052</v>
      </c>
      <c r="H191" s="130">
        <f t="shared" si="198"/>
        <v>8.9538997051761946</v>
      </c>
      <c r="I191" s="130">
        <f t="shared" si="198"/>
        <v>8.6751348125775216</v>
      </c>
      <c r="J191" s="130">
        <f t="shared" si="198"/>
        <v>8.3997751591751353</v>
      </c>
      <c r="K191" s="130">
        <f t="shared" si="198"/>
        <v>9.0521830276685549</v>
      </c>
      <c r="L191" s="130">
        <f t="shared" si="198"/>
        <v>8.801212493863348</v>
      </c>
      <c r="M191" s="130">
        <f t="shared" si="198"/>
        <v>8.3718125783108803</v>
      </c>
      <c r="N191" s="130">
        <f t="shared" si="198"/>
        <v>8.5454277964371386</v>
      </c>
      <c r="O191" s="130">
        <f t="shared" si="198"/>
        <v>8.3986138279959093</v>
      </c>
      <c r="P191" s="130">
        <f t="shared" si="198"/>
        <v>8.7543411810420118</v>
      </c>
      <c r="Q191" s="130">
        <f t="shared" si="198"/>
        <v>8.4326901820747011</v>
      </c>
      <c r="R191" s="130">
        <f t="shared" si="198"/>
        <v>7.8868725848872909</v>
      </c>
      <c r="S191" s="130">
        <f t="shared" si="198"/>
        <v>7.7660929833114789</v>
      </c>
      <c r="T191" s="130">
        <f t="shared" si="198"/>
        <v>7.4822927460541218</v>
      </c>
      <c r="U191" s="130">
        <f t="shared" si="198"/>
        <v>6.490417848632613</v>
      </c>
      <c r="V191" s="130">
        <f t="shared" si="198"/>
        <v>9.9279680648888355</v>
      </c>
      <c r="W191" s="130">
        <f t="shared" si="198"/>
        <v>11.201292774963383</v>
      </c>
      <c r="X191" s="130">
        <f t="shared" si="198"/>
        <v>6.916794236319646</v>
      </c>
      <c r="Y191" s="130">
        <f t="shared" si="198"/>
        <v>7.0581619011020411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4.710846649796661</v>
      </c>
      <c r="C192" s="97">
        <f t="shared" si="199"/>
        <v>4.6277858993035563</v>
      </c>
      <c r="D192" s="97">
        <f t="shared" si="199"/>
        <v>4.6514713843750393</v>
      </c>
      <c r="E192" s="97">
        <f t="shared" si="199"/>
        <v>4.6175871588940902</v>
      </c>
      <c r="F192" s="97">
        <f t="shared" si="199"/>
        <v>4.6583783910627083</v>
      </c>
      <c r="G192" s="97">
        <f t="shared" si="199"/>
        <v>4.5771325930331113</v>
      </c>
      <c r="H192" s="97">
        <f t="shared" si="199"/>
        <v>4.4954478354995429</v>
      </c>
      <c r="I192" s="97">
        <f t="shared" si="199"/>
        <v>4.602353125927336</v>
      </c>
      <c r="J192" s="97">
        <f t="shared" si="199"/>
        <v>4.3710771443485399</v>
      </c>
      <c r="K192" s="97">
        <f t="shared" si="199"/>
        <v>4.3477904669727847</v>
      </c>
      <c r="L192" s="97">
        <f t="shared" si="199"/>
        <v>4.2933250161464942</v>
      </c>
      <c r="M192" s="97">
        <f t="shared" si="199"/>
        <v>4.1617730280932506</v>
      </c>
      <c r="N192" s="97">
        <f t="shared" si="199"/>
        <v>4.1082843841011538</v>
      </c>
      <c r="O192" s="97">
        <f t="shared" si="199"/>
        <v>4.0262902155021854</v>
      </c>
      <c r="P192" s="97">
        <f t="shared" si="199"/>
        <v>3.9557975747163989</v>
      </c>
      <c r="Q192" s="97">
        <f t="shared" si="199"/>
        <v>3.7263679930899967</v>
      </c>
      <c r="R192" s="97">
        <f t="shared" si="199"/>
        <v>3.6674905183029267</v>
      </c>
      <c r="S192" s="97">
        <f t="shared" si="199"/>
        <v>3.5698894500294851</v>
      </c>
      <c r="T192" s="97">
        <f t="shared" si="199"/>
        <v>3.603110193510497</v>
      </c>
      <c r="U192" s="97">
        <f t="shared" si="199"/>
        <v>3.6025738963013487</v>
      </c>
      <c r="V192" s="97">
        <f t="shared" si="199"/>
        <v>5.8795283677122798</v>
      </c>
      <c r="W192" s="97">
        <f t="shared" si="199"/>
        <v>6.9012820773988324</v>
      </c>
      <c r="X192" s="97">
        <f t="shared" si="199"/>
        <v>3.9908933242624527</v>
      </c>
      <c r="Y192" s="97">
        <f t="shared" si="199"/>
        <v>3.7400380221399496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11.022308290209649</v>
      </c>
      <c r="C193" s="97">
        <f t="shared" si="200"/>
        <v>8.9482849219913128</v>
      </c>
      <c r="D193" s="97">
        <f t="shared" si="200"/>
        <v>8.7143122617518962</v>
      </c>
      <c r="E193" s="97">
        <f t="shared" si="200"/>
        <v>10.109476080995531</v>
      </c>
      <c r="F193" s="97">
        <f t="shared" si="200"/>
        <v>10.078388747290232</v>
      </c>
      <c r="G193" s="97">
        <f t="shared" si="200"/>
        <v>9.06880327767003</v>
      </c>
      <c r="H193" s="97">
        <f t="shared" si="200"/>
        <v>9.7283890040701468</v>
      </c>
      <c r="I193" s="97">
        <f t="shared" si="200"/>
        <v>9.4180892023060441</v>
      </c>
      <c r="J193" s="97">
        <f t="shared" si="200"/>
        <v>9.0442341892956826</v>
      </c>
      <c r="K193" s="97">
        <f t="shared" si="200"/>
        <v>9.6600260788040853</v>
      </c>
      <c r="L193" s="97">
        <f t="shared" si="200"/>
        <v>9.3545817451129132</v>
      </c>
      <c r="M193" s="97">
        <f t="shared" si="200"/>
        <v>8.9031355368723482</v>
      </c>
      <c r="N193" s="97">
        <f t="shared" si="200"/>
        <v>9.0677238572806882</v>
      </c>
      <c r="O193" s="97">
        <f t="shared" si="200"/>
        <v>8.8831888647679094</v>
      </c>
      <c r="P193" s="97">
        <f t="shared" si="200"/>
        <v>9.2315556181723153</v>
      </c>
      <c r="Q193" s="97">
        <f t="shared" si="200"/>
        <v>8.7787313169165913</v>
      </c>
      <c r="R193" s="97">
        <f t="shared" si="200"/>
        <v>8.2516950365819284</v>
      </c>
      <c r="S193" s="97">
        <f t="shared" si="200"/>
        <v>8.0845003596972234</v>
      </c>
      <c r="T193" s="97">
        <f t="shared" si="200"/>
        <v>7.7694964966986539</v>
      </c>
      <c r="U193" s="97">
        <f t="shared" si="200"/>
        <v>6.6936025570834428</v>
      </c>
      <c r="V193" s="97">
        <f t="shared" si="200"/>
        <v>10.247565904399076</v>
      </c>
      <c r="W193" s="97">
        <f t="shared" si="200"/>
        <v>11.697045088462518</v>
      </c>
      <c r="X193" s="97">
        <f t="shared" si="200"/>
        <v>7.1994444286005308</v>
      </c>
      <c r="Y193" s="97">
        <f t="shared" si="200"/>
        <v>7.4084033117190264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64.469885825923754</v>
      </c>
      <c r="C195" s="130">
        <f t="shared" si="202"/>
        <v>63.841130381626016</v>
      </c>
      <c r="D195" s="130">
        <f t="shared" si="202"/>
        <v>77.836719963661722</v>
      </c>
      <c r="E195" s="130">
        <f t="shared" si="202"/>
        <v>40.30701165653624</v>
      </c>
      <c r="F195" s="130">
        <f t="shared" si="202"/>
        <v>20.17026010395907</v>
      </c>
      <c r="G195" s="130">
        <f t="shared" si="202"/>
        <v>27.308268850859662</v>
      </c>
      <c r="H195" s="130">
        <f t="shared" si="202"/>
        <v>27.155700499029752</v>
      </c>
      <c r="I195" s="130">
        <f t="shared" si="202"/>
        <v>32.336785351257049</v>
      </c>
      <c r="J195" s="130">
        <f t="shared" si="202"/>
        <v>35.78958676701388</v>
      </c>
      <c r="K195" s="130">
        <f t="shared" si="202"/>
        <v>34.35625875478506</v>
      </c>
      <c r="L195" s="130">
        <f t="shared" si="202"/>
        <v>29.76141806868733</v>
      </c>
      <c r="M195" s="130">
        <f t="shared" si="202"/>
        <v>31.018091239704063</v>
      </c>
      <c r="N195" s="130">
        <f t="shared" si="202"/>
        <v>30.841708839508659</v>
      </c>
      <c r="O195" s="130">
        <f t="shared" si="202"/>
        <v>36.627005664187706</v>
      </c>
      <c r="P195" s="130">
        <f t="shared" si="202"/>
        <v>28.859199225743481</v>
      </c>
      <c r="Q195" s="130">
        <f t="shared" si="202"/>
        <v>31.078401939958219</v>
      </c>
      <c r="R195" s="130">
        <f t="shared" si="202"/>
        <v>32.586580299881646</v>
      </c>
      <c r="S195" s="130">
        <f t="shared" si="202"/>
        <v>22.847667696803747</v>
      </c>
      <c r="T195" s="130">
        <f t="shared" si="202"/>
        <v>23.345298928313028</v>
      </c>
      <c r="U195" s="130">
        <f t="shared" si="202"/>
        <v>22.04957605432401</v>
      </c>
      <c r="V195" s="130">
        <f t="shared" si="202"/>
        <v>74.438611601106061</v>
      </c>
      <c r="W195" s="130">
        <f t="shared" si="202"/>
        <v>47.063883711842735</v>
      </c>
      <c r="X195" s="130">
        <f t="shared" si="202"/>
        <v>23.337275447709111</v>
      </c>
      <c r="Y195" s="130">
        <f t="shared" si="202"/>
        <v>15.731181711547082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64.415057056068349</v>
      </c>
      <c r="C197" s="97">
        <f t="shared" si="204"/>
        <v>63.715467511042426</v>
      </c>
      <c r="D197" s="97">
        <f t="shared" si="204"/>
        <v>77.924175647937034</v>
      </c>
      <c r="E197" s="97">
        <f t="shared" si="204"/>
        <v>40.183931256800186</v>
      </c>
      <c r="F197" s="97">
        <f t="shared" si="204"/>
        <v>20.437794891003239</v>
      </c>
      <c r="G197" s="97">
        <f t="shared" si="204"/>
        <v>24.906918375428365</v>
      </c>
      <c r="H197" s="97">
        <f t="shared" si="204"/>
        <v>21.959392658518112</v>
      </c>
      <c r="I197" s="97">
        <f t="shared" si="204"/>
        <v>29.352103202790534</v>
      </c>
      <c r="J197" s="97">
        <f t="shared" si="204"/>
        <v>33.398012441335936</v>
      </c>
      <c r="K197" s="97">
        <f t="shared" si="204"/>
        <v>31.184741288845466</v>
      </c>
      <c r="L197" s="97">
        <f t="shared" si="204"/>
        <v>26.685785949257159</v>
      </c>
      <c r="M197" s="97">
        <f t="shared" si="204"/>
        <v>26.465162669628764</v>
      </c>
      <c r="N197" s="97">
        <f t="shared" si="204"/>
        <v>27.147714130058262</v>
      </c>
      <c r="O197" s="97">
        <f t="shared" si="204"/>
        <v>30.590200899586836</v>
      </c>
      <c r="P197" s="97">
        <f t="shared" si="204"/>
        <v>24.262558499862649</v>
      </c>
      <c r="Q197" s="97">
        <f t="shared" si="204"/>
        <v>27.424877864940918</v>
      </c>
      <c r="R197" s="97">
        <f t="shared" si="204"/>
        <v>28.185837592541084</v>
      </c>
      <c r="S197" s="97">
        <f t="shared" si="204"/>
        <v>22.924951074382761</v>
      </c>
      <c r="T197" s="97">
        <f t="shared" si="204"/>
        <v>24.73034255255476</v>
      </c>
      <c r="U197" s="97">
        <f t="shared" si="204"/>
        <v>24.130239969352029</v>
      </c>
      <c r="V197" s="97">
        <f t="shared" si="204"/>
        <v>56.897062130216405</v>
      </c>
      <c r="W197" s="97">
        <f t="shared" si="204"/>
        <v>37.873061612574389</v>
      </c>
      <c r="X197" s="97">
        <f t="shared" si="204"/>
        <v>23.823354745961662</v>
      </c>
      <c r="Y197" s="97">
        <f t="shared" si="204"/>
        <v>15.944234596309546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64.558033420723376</v>
      </c>
      <c r="C198" s="97">
        <f t="shared" si="205"/>
        <v>64.043227579984801</v>
      </c>
      <c r="D198" s="97">
        <f t="shared" si="205"/>
        <v>77.735916866398938</v>
      </c>
      <c r="E198" s="97">
        <f t="shared" si="205"/>
        <v>40.458737457140039</v>
      </c>
      <c r="F198" s="97">
        <f t="shared" si="205"/>
        <v>19.807166911036681</v>
      </c>
      <c r="G198" s="97">
        <f t="shared" si="205"/>
        <v>32.24390037549221</v>
      </c>
      <c r="H198" s="97">
        <f t="shared" si="205"/>
        <v>47.953433096310292</v>
      </c>
      <c r="I198" s="97">
        <f t="shared" si="205"/>
        <v>40.255946992007772</v>
      </c>
      <c r="J198" s="97">
        <f t="shared" si="205"/>
        <v>42.55756531395803</v>
      </c>
      <c r="K198" s="97">
        <f t="shared" si="205"/>
        <v>42.711849834945731</v>
      </c>
      <c r="L198" s="97">
        <f t="shared" si="205"/>
        <v>37.219582961588614</v>
      </c>
      <c r="M198" s="97">
        <f t="shared" si="205"/>
        <v>43.273018110947632</v>
      </c>
      <c r="N198" s="97">
        <f t="shared" si="205"/>
        <v>39.486675328213302</v>
      </c>
      <c r="O198" s="97">
        <f t="shared" si="205"/>
        <v>53.307297046431863</v>
      </c>
      <c r="P198" s="97">
        <f t="shared" si="205"/>
        <v>42.51254394727659</v>
      </c>
      <c r="Q198" s="97">
        <f t="shared" si="205"/>
        <v>41.256710613279267</v>
      </c>
      <c r="R198" s="97">
        <f t="shared" si="205"/>
        <v>47.007659244951341</v>
      </c>
      <c r="S198" s="97">
        <f t="shared" si="205"/>
        <v>22.702205728827121</v>
      </c>
      <c r="T198" s="97">
        <f t="shared" si="205"/>
        <v>21.047603916156934</v>
      </c>
      <c r="U198" s="97">
        <f t="shared" si="205"/>
        <v>18.896960905123336</v>
      </c>
      <c r="V198" s="97">
        <f t="shared" si="205"/>
        <v>122.87285983661509</v>
      </c>
      <c r="W198" s="97">
        <f t="shared" si="205"/>
        <v>74.255867715115016</v>
      </c>
      <c r="X198" s="97">
        <f t="shared" si="205"/>
        <v>22.466665939200645</v>
      </c>
      <c r="Y198" s="97">
        <f t="shared" si="205"/>
        <v>15.348617998104759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21.452632512428174</v>
      </c>
      <c r="C199" s="32">
        <f t="shared" si="206"/>
        <v>21.128063663955171</v>
      </c>
      <c r="D199" s="32">
        <f t="shared" si="206"/>
        <v>30.554698870083623</v>
      </c>
      <c r="E199" s="32">
        <f t="shared" si="206"/>
        <v>24.084628402359304</v>
      </c>
      <c r="F199" s="32">
        <f t="shared" si="206"/>
        <v>26.334940100797983</v>
      </c>
      <c r="G199" s="32">
        <f t="shared" si="206"/>
        <v>32.964609635331534</v>
      </c>
      <c r="H199" s="32">
        <f t="shared" si="206"/>
        <v>35.941124587443916</v>
      </c>
      <c r="I199" s="32">
        <f t="shared" si="206"/>
        <v>38.111072629377098</v>
      </c>
      <c r="J199" s="32">
        <f t="shared" si="206"/>
        <v>41.919619199013532</v>
      </c>
      <c r="K199" s="32">
        <f t="shared" si="206"/>
        <v>41.443357857708094</v>
      </c>
      <c r="L199" s="32">
        <f t="shared" si="206"/>
        <v>51.665538641632587</v>
      </c>
      <c r="M199" s="32">
        <f t="shared" si="206"/>
        <v>51.339208431836447</v>
      </c>
      <c r="N199" s="32">
        <f t="shared" si="206"/>
        <v>49.453542682188825</v>
      </c>
      <c r="O199" s="32">
        <f t="shared" si="206"/>
        <v>47.472743691659446</v>
      </c>
      <c r="P199" s="32">
        <f t="shared" si="206"/>
        <v>45.132547558890579</v>
      </c>
      <c r="Q199" s="32">
        <f t="shared" si="206"/>
        <v>43.416852315958351</v>
      </c>
      <c r="R199" s="32">
        <f t="shared" si="206"/>
        <v>49.9292570578084</v>
      </c>
      <c r="S199" s="32">
        <f t="shared" si="206"/>
        <v>58.682183922473477</v>
      </c>
      <c r="T199" s="32">
        <f t="shared" si="206"/>
        <v>59.525178512783974</v>
      </c>
      <c r="U199" s="32">
        <f t="shared" si="206"/>
        <v>58.456735773801654</v>
      </c>
      <c r="V199" s="32">
        <f t="shared" si="206"/>
        <v>58.968703196248917</v>
      </c>
      <c r="W199" s="32">
        <f t="shared" si="206"/>
        <v>60.519005343019231</v>
      </c>
      <c r="X199" s="32">
        <f t="shared" si="206"/>
        <v>61.478756312918868</v>
      </c>
      <c r="Y199" s="32">
        <f t="shared" si="206"/>
        <v>60.928657871018778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43.976166288061336</v>
      </c>
      <c r="C200" s="141">
        <f t="shared" si="207"/>
        <v>41.798359796616118</v>
      </c>
      <c r="D200" s="141">
        <f t="shared" si="207"/>
        <v>61.484112402509162</v>
      </c>
      <c r="E200" s="141">
        <f t="shared" si="207"/>
        <v>46.626437956366708</v>
      </c>
      <c r="F200" s="141">
        <f t="shared" si="207"/>
        <v>48.438829817732348</v>
      </c>
      <c r="G200" s="141">
        <f t="shared" si="207"/>
        <v>60.590314751052404</v>
      </c>
      <c r="H200" s="141">
        <f t="shared" si="207"/>
        <v>68.844984350034963</v>
      </c>
      <c r="I200" s="141">
        <f t="shared" si="207"/>
        <v>67.825436885608113</v>
      </c>
      <c r="J200" s="141">
        <f t="shared" si="207"/>
        <v>72.607874604452363</v>
      </c>
      <c r="K200" s="141">
        <f t="shared" si="207"/>
        <v>66.609333821661167</v>
      </c>
      <c r="L200" s="141">
        <f t="shared" si="207"/>
        <v>88.587482625504663</v>
      </c>
      <c r="M200" s="141">
        <f t="shared" si="207"/>
        <v>85.762236420260621</v>
      </c>
      <c r="N200" s="141">
        <f t="shared" si="207"/>
        <v>80.767627973274145</v>
      </c>
      <c r="O200" s="141">
        <f t="shared" si="207"/>
        <v>80.401531198611579</v>
      </c>
      <c r="P200" s="141">
        <f t="shared" si="207"/>
        <v>75.824929395628644</v>
      </c>
      <c r="Q200" s="141">
        <f t="shared" si="207"/>
        <v>69.477384927380697</v>
      </c>
      <c r="R200" s="141">
        <f t="shared" si="207"/>
        <v>78.212753490387513</v>
      </c>
      <c r="S200" s="141">
        <f t="shared" si="207"/>
        <v>90.038658358383032</v>
      </c>
      <c r="T200" s="141">
        <f t="shared" si="207"/>
        <v>90.220557163664921</v>
      </c>
      <c r="U200" s="141">
        <f t="shared" si="207"/>
        <v>87.141048328971934</v>
      </c>
      <c r="V200" s="141">
        <f t="shared" si="207"/>
        <v>84.263924910607145</v>
      </c>
      <c r="W200" s="141">
        <f t="shared" si="207"/>
        <v>91.040687466823599</v>
      </c>
      <c r="X200" s="141">
        <f t="shared" si="207"/>
        <v>89.409952000529586</v>
      </c>
      <c r="Y200" s="141">
        <f t="shared" si="207"/>
        <v>88.565173934401571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948.35213838017057</v>
      </c>
      <c r="C201" s="97">
        <f t="shared" si="208"/>
        <v>963.45970784679719</v>
      </c>
      <c r="D201" s="97">
        <f t="shared" si="208"/>
        <v>1119.3191465916693</v>
      </c>
      <c r="E201" s="97">
        <f t="shared" si="208"/>
        <v>1047.3194494158292</v>
      </c>
      <c r="F201" s="97">
        <f t="shared" si="208"/>
        <v>1059.5371208798695</v>
      </c>
      <c r="G201" s="97">
        <f t="shared" si="208"/>
        <v>1086.644537242905</v>
      </c>
      <c r="H201" s="97">
        <f t="shared" si="208"/>
        <v>1005.9136122645249</v>
      </c>
      <c r="I201" s="97">
        <f t="shared" si="208"/>
        <v>1043.5315327753349</v>
      </c>
      <c r="J201" s="97">
        <f t="shared" si="208"/>
        <v>967.56974500800584</v>
      </c>
      <c r="K201" s="97">
        <f t="shared" si="208"/>
        <v>874.72404097081892</v>
      </c>
      <c r="L201" s="97">
        <f t="shared" si="208"/>
        <v>983.81329780801821</v>
      </c>
      <c r="M201" s="97">
        <f t="shared" si="208"/>
        <v>1005.8997912573889</v>
      </c>
      <c r="N201" s="97">
        <f t="shared" si="208"/>
        <v>938.55513358648318</v>
      </c>
      <c r="O201" s="97">
        <f t="shared" si="208"/>
        <v>919.62714212117453</v>
      </c>
      <c r="P201" s="97">
        <f t="shared" si="208"/>
        <v>956.1487977620061</v>
      </c>
      <c r="Q201" s="97">
        <f t="shared" si="208"/>
        <v>901.95223435722255</v>
      </c>
      <c r="R201" s="97">
        <f t="shared" si="208"/>
        <v>982.88447175801957</v>
      </c>
      <c r="S201" s="97">
        <f t="shared" si="208"/>
        <v>1045.58921577566</v>
      </c>
      <c r="T201" s="97">
        <f t="shared" si="208"/>
        <v>1038.1974651032531</v>
      </c>
      <c r="U201" s="97">
        <f t="shared" si="208"/>
        <v>1028.809494487055</v>
      </c>
      <c r="V201" s="97">
        <f t="shared" si="208"/>
        <v>1043.0503109761146</v>
      </c>
      <c r="W201" s="97">
        <f t="shared" si="208"/>
        <v>981.05868295400023</v>
      </c>
      <c r="X201" s="97">
        <f t="shared" si="208"/>
        <v>1013.31502387022</v>
      </c>
      <c r="Y201" s="97">
        <f t="shared" si="208"/>
        <v>1032.8753691817953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24.234872357589897</v>
      </c>
      <c r="C202" s="97">
        <f t="shared" si="209"/>
        <v>22.393187923597608</v>
      </c>
      <c r="D202" s="97">
        <f t="shared" si="209"/>
        <v>38.7574376409707</v>
      </c>
      <c r="E202" s="97">
        <f t="shared" si="209"/>
        <v>25.70149287044779</v>
      </c>
      <c r="F202" s="97">
        <f t="shared" si="209"/>
        <v>28.079624415382249</v>
      </c>
      <c r="G202" s="97">
        <f t="shared" si="209"/>
        <v>38.961045554814071</v>
      </c>
      <c r="H202" s="97">
        <f t="shared" si="209"/>
        <v>48.824622412978208</v>
      </c>
      <c r="I202" s="97">
        <f t="shared" si="209"/>
        <v>47.262621605723282</v>
      </c>
      <c r="J202" s="97">
        <f t="shared" si="209"/>
        <v>53.165267487007767</v>
      </c>
      <c r="K202" s="97">
        <f t="shared" si="209"/>
        <v>45.665129273832974</v>
      </c>
      <c r="L202" s="97">
        <f t="shared" si="209"/>
        <v>64.852279609832337</v>
      </c>
      <c r="M202" s="97">
        <f t="shared" si="209"/>
        <v>61.041882460532889</v>
      </c>
      <c r="N202" s="97">
        <f t="shared" si="209"/>
        <v>57.127589177307826</v>
      </c>
      <c r="O202" s="97">
        <f t="shared" si="209"/>
        <v>59.723385411356134</v>
      </c>
      <c r="P202" s="97">
        <f t="shared" si="209"/>
        <v>57.815532022728192</v>
      </c>
      <c r="Q202" s="97">
        <f t="shared" si="209"/>
        <v>51.049349177510898</v>
      </c>
      <c r="R202" s="97">
        <f t="shared" si="209"/>
        <v>61.016944474050987</v>
      </c>
      <c r="S202" s="97">
        <f t="shared" si="209"/>
        <v>73.24068826826101</v>
      </c>
      <c r="T202" s="97">
        <f t="shared" si="209"/>
        <v>73.922730142081249</v>
      </c>
      <c r="U202" s="97">
        <f t="shared" si="209"/>
        <v>71.533849632447584</v>
      </c>
      <c r="V202" s="97">
        <f t="shared" si="209"/>
        <v>67.44874805372497</v>
      </c>
      <c r="W202" s="97">
        <f t="shared" si="209"/>
        <v>75.251427168015866</v>
      </c>
      <c r="X202" s="97">
        <f t="shared" si="209"/>
        <v>73.514044448824308</v>
      </c>
      <c r="Y202" s="97">
        <f t="shared" si="209"/>
        <v>71.323580410982956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4.4237731120859571</v>
      </c>
      <c r="C203" s="130">
        <f t="shared" si="210"/>
        <v>2.9567822061762801</v>
      </c>
      <c r="D203" s="130">
        <f t="shared" si="210"/>
        <v>2.8811284612403889</v>
      </c>
      <c r="E203" s="130">
        <f t="shared" si="210"/>
        <v>3.0267718595742497</v>
      </c>
      <c r="F203" s="130">
        <f t="shared" si="210"/>
        <v>3.0684611127581314</v>
      </c>
      <c r="G203" s="130">
        <f t="shared" si="210"/>
        <v>2.2107636705085918</v>
      </c>
      <c r="H203" s="130">
        <f t="shared" si="210"/>
        <v>2.208325151436878</v>
      </c>
      <c r="I203" s="130">
        <f t="shared" si="210"/>
        <v>2.2792824142336241</v>
      </c>
      <c r="J203" s="130">
        <f t="shared" si="210"/>
        <v>1.9956600388374071</v>
      </c>
      <c r="K203" s="130">
        <f t="shared" si="210"/>
        <v>1.9120185668359988</v>
      </c>
      <c r="L203" s="130">
        <f t="shared" si="210"/>
        <v>2.0967540343641193</v>
      </c>
      <c r="M203" s="130">
        <f t="shared" si="210"/>
        <v>2.1111167289210715</v>
      </c>
      <c r="N203" s="130">
        <f t="shared" si="210"/>
        <v>1.9012651079119802</v>
      </c>
      <c r="O203" s="130">
        <f t="shared" si="210"/>
        <v>2.230848001428325</v>
      </c>
      <c r="P203" s="130">
        <f t="shared" si="210"/>
        <v>1.8490561882141381</v>
      </c>
      <c r="Q203" s="130">
        <f t="shared" si="210"/>
        <v>1.537300681026613</v>
      </c>
      <c r="R203" s="130">
        <f t="shared" si="210"/>
        <v>1.6827234575982537</v>
      </c>
      <c r="S203" s="130">
        <f t="shared" si="210"/>
        <v>1.3207774686929896</v>
      </c>
      <c r="T203" s="130">
        <f t="shared" si="210"/>
        <v>1.4643267079174003</v>
      </c>
      <c r="U203" s="130">
        <f t="shared" si="210"/>
        <v>1.261080773122367</v>
      </c>
      <c r="V203" s="130">
        <f t="shared" si="210"/>
        <v>1.8954024069150828</v>
      </c>
      <c r="W203" s="130">
        <f t="shared" si="210"/>
        <v>1.8889695283091235</v>
      </c>
      <c r="X203" s="130">
        <f t="shared" si="210"/>
        <v>2.4303447808936567</v>
      </c>
      <c r="Y203" s="130">
        <f t="shared" si="210"/>
        <v>2.3938477857447578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112.72962908769607</v>
      </c>
      <c r="C204" s="130">
        <f t="shared" si="211"/>
        <v>107.28636567348447</v>
      </c>
      <c r="D204" s="130">
        <f t="shared" si="211"/>
        <v>188.23674434514052</v>
      </c>
      <c r="E204" s="130">
        <f t="shared" si="211"/>
        <v>64.547392088431266</v>
      </c>
      <c r="F204" s="130">
        <f t="shared" si="211"/>
        <v>33.796629221098357</v>
      </c>
      <c r="G204" s="130">
        <f t="shared" si="211"/>
        <v>53.751744313371191</v>
      </c>
      <c r="H204" s="130">
        <f t="shared" si="211"/>
        <v>84.051293192001623</v>
      </c>
      <c r="I204" s="130">
        <f t="shared" si="211"/>
        <v>93.276320446818801</v>
      </c>
      <c r="J204" s="130">
        <f t="shared" si="211"/>
        <v>109.04440376256778</v>
      </c>
      <c r="K204" s="130">
        <f t="shared" si="211"/>
        <v>114.29136821434598</v>
      </c>
      <c r="L204" s="130">
        <f t="shared" si="211"/>
        <v>110.9257991769381</v>
      </c>
      <c r="M204" s="130">
        <f t="shared" si="211"/>
        <v>113.57210840816361</v>
      </c>
      <c r="N204" s="130">
        <f t="shared" si="211"/>
        <v>128.34809460646764</v>
      </c>
      <c r="O204" s="130">
        <f t="shared" si="211"/>
        <v>154.89194525484174</v>
      </c>
      <c r="P204" s="130">
        <f t="shared" si="211"/>
        <v>98.165526783802918</v>
      </c>
      <c r="Q204" s="130">
        <f t="shared" si="211"/>
        <v>106.37552103780729</v>
      </c>
      <c r="R204" s="130">
        <f t="shared" si="211"/>
        <v>102.88199117010588</v>
      </c>
      <c r="S204" s="130">
        <f t="shared" si="211"/>
        <v>100.42210987593749</v>
      </c>
      <c r="T204" s="130">
        <f t="shared" si="211"/>
        <v>100.94476239485374</v>
      </c>
      <c r="U204" s="130">
        <f t="shared" si="211"/>
        <v>101.16286219749531</v>
      </c>
      <c r="V204" s="130">
        <f t="shared" si="211"/>
        <v>275.66006589800298</v>
      </c>
      <c r="W204" s="130">
        <f t="shared" si="211"/>
        <v>197.48782458568326</v>
      </c>
      <c r="X204" s="130">
        <f t="shared" si="211"/>
        <v>151.54204135239266</v>
      </c>
      <c r="Y204" s="130">
        <f t="shared" si="211"/>
        <v>100.28401079634109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199.04834887615402</v>
      </c>
      <c r="C206" s="97">
        <f t="shared" si="213"/>
        <v>192.76118342138295</v>
      </c>
      <c r="D206" s="97">
        <f t="shared" si="213"/>
        <v>253.37354258630617</v>
      </c>
      <c r="E206" s="97">
        <f t="shared" si="213"/>
        <v>126.84582669800639</v>
      </c>
      <c r="F206" s="97">
        <f t="shared" si="213"/>
        <v>69.930936072617953</v>
      </c>
      <c r="G206" s="97">
        <f t="shared" si="213"/>
        <v>88.079158106693129</v>
      </c>
      <c r="H206" s="97">
        <f t="shared" si="213"/>
        <v>98.198169130711619</v>
      </c>
      <c r="I206" s="97">
        <f t="shared" si="213"/>
        <v>135.35882860279236</v>
      </c>
      <c r="J206" s="97">
        <f t="shared" si="213"/>
        <v>113.97977038818394</v>
      </c>
      <c r="K206" s="97">
        <f t="shared" si="213"/>
        <v>117.07883507149347</v>
      </c>
      <c r="L206" s="97">
        <f t="shared" si="213"/>
        <v>112.57504419450046</v>
      </c>
      <c r="M206" s="97">
        <f t="shared" si="213"/>
        <v>113.79174958781947</v>
      </c>
      <c r="N206" s="97">
        <f t="shared" si="213"/>
        <v>129.36969765182195</v>
      </c>
      <c r="O206" s="97">
        <f t="shared" si="213"/>
        <v>157.00138809097129</v>
      </c>
      <c r="P206" s="97">
        <f t="shared" si="213"/>
        <v>107.03213836409122</v>
      </c>
      <c r="Q206" s="97">
        <f t="shared" si="213"/>
        <v>119.20617038216827</v>
      </c>
      <c r="R206" s="97">
        <f t="shared" si="213"/>
        <v>116.27042087317071</v>
      </c>
      <c r="S206" s="97">
        <f t="shared" si="213"/>
        <v>108.67158620941304</v>
      </c>
      <c r="T206" s="97">
        <f t="shared" si="213"/>
        <v>112.79689679650548</v>
      </c>
      <c r="U206" s="97">
        <f t="shared" si="213"/>
        <v>105.22979813436973</v>
      </c>
      <c r="V206" s="97">
        <f t="shared" si="213"/>
        <v>277.92922395601806</v>
      </c>
      <c r="W206" s="97">
        <f t="shared" si="213"/>
        <v>198.57552000124639</v>
      </c>
      <c r="X206" s="97">
        <f t="shared" si="213"/>
        <v>153.52333444570252</v>
      </c>
      <c r="Y206" s="97">
        <f t="shared" si="213"/>
        <v>101.87256279225852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76.491325821198515</v>
      </c>
      <c r="C207" s="97">
        <f t="shared" si="214"/>
        <v>73.263493453980985</v>
      </c>
      <c r="D207" s="97">
        <f t="shared" si="214"/>
        <v>94.7308553437868</v>
      </c>
      <c r="E207" s="97">
        <f t="shared" si="214"/>
        <v>54.446734208431714</v>
      </c>
      <c r="F207" s="97">
        <f t="shared" si="214"/>
        <v>27.570708353389918</v>
      </c>
      <c r="G207" s="97">
        <f t="shared" si="214"/>
        <v>48.214432180260452</v>
      </c>
      <c r="H207" s="97">
        <f t="shared" si="214"/>
        <v>82.762568129579051</v>
      </c>
      <c r="I207" s="97">
        <f t="shared" si="214"/>
        <v>88.454573992109829</v>
      </c>
      <c r="J207" s="97">
        <f t="shared" si="214"/>
        <v>95.891593085395911</v>
      </c>
      <c r="K207" s="97">
        <f t="shared" si="214"/>
        <v>96.750620738212859</v>
      </c>
      <c r="L207" s="97">
        <f t="shared" si="214"/>
        <v>105.5054847820689</v>
      </c>
      <c r="M207" s="97">
        <f t="shared" si="214"/>
        <v>102.18651321500201</v>
      </c>
      <c r="N207" s="97">
        <f t="shared" si="214"/>
        <v>80.4322962242328</v>
      </c>
      <c r="O207" s="97">
        <f t="shared" si="214"/>
        <v>99.779438992758898</v>
      </c>
      <c r="P207" s="97">
        <f t="shared" si="214"/>
        <v>73.108534053747206</v>
      </c>
      <c r="Q207" s="97">
        <f t="shared" si="214"/>
        <v>59.57065289201941</v>
      </c>
      <c r="R207" s="97">
        <f t="shared" si="214"/>
        <v>52.050829773452669</v>
      </c>
      <c r="S207" s="97">
        <f t="shared" si="214"/>
        <v>30.123643599423321</v>
      </c>
      <c r="T207" s="97">
        <f t="shared" si="214"/>
        <v>28.445756521395094</v>
      </c>
      <c r="U207" s="97">
        <f t="shared" si="214"/>
        <v>26.779148352993325</v>
      </c>
      <c r="V207" s="97">
        <f t="shared" si="214"/>
        <v>228.8897827351567</v>
      </c>
      <c r="W207" s="97">
        <f t="shared" si="214"/>
        <v>87.217225453515468</v>
      </c>
      <c r="X207" s="97">
        <f t="shared" si="214"/>
        <v>36.076892414565322</v>
      </c>
      <c r="Y207" s="97">
        <f t="shared" si="214"/>
        <v>25.314259538722887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16.224896686725153</v>
      </c>
      <c r="C208" s="130">
        <f t="shared" si="215"/>
        <v>26.854903536977492</v>
      </c>
      <c r="D208" s="130">
        <f t="shared" si="215"/>
        <v>32.7064032016008</v>
      </c>
      <c r="E208" s="130">
        <f t="shared" si="215"/>
        <v>21.877511961722487</v>
      </c>
      <c r="F208" s="130">
        <f t="shared" si="215"/>
        <v>21.72739541160594</v>
      </c>
      <c r="G208" s="130">
        <f t="shared" si="215"/>
        <v>24.792651627718495</v>
      </c>
      <c r="H208" s="130">
        <f t="shared" si="215"/>
        <v>16.129778051787916</v>
      </c>
      <c r="I208" s="130">
        <f t="shared" si="215"/>
        <v>14.592629482071713</v>
      </c>
      <c r="J208" s="130">
        <f t="shared" si="215"/>
        <v>17.84014532243415</v>
      </c>
      <c r="K208" s="130">
        <f t="shared" si="215"/>
        <v>13.610678531701891</v>
      </c>
      <c r="L208" s="130">
        <f t="shared" si="215"/>
        <v>13.540790580319596</v>
      </c>
      <c r="M208" s="130">
        <f t="shared" si="215"/>
        <v>17.508055853920517</v>
      </c>
      <c r="N208" s="130">
        <f t="shared" si="215"/>
        <v>16.366125760649087</v>
      </c>
      <c r="O208" s="130">
        <f t="shared" si="215"/>
        <v>15.878727634194831</v>
      </c>
      <c r="P208" s="130">
        <f t="shared" si="215"/>
        <v>17.470718232044199</v>
      </c>
      <c r="Q208" s="130">
        <f t="shared" si="215"/>
        <v>21.117408906882591</v>
      </c>
      <c r="R208" s="130">
        <f t="shared" si="215"/>
        <v>19.901439645625693</v>
      </c>
      <c r="S208" s="130">
        <f t="shared" si="215"/>
        <v>19.707395498392284</v>
      </c>
      <c r="T208" s="130">
        <f t="shared" si="215"/>
        <v>20.811053984575835</v>
      </c>
      <c r="U208" s="130">
        <f t="shared" si="215"/>
        <v>19.681963713980792</v>
      </c>
      <c r="V208" s="130">
        <f t="shared" si="215"/>
        <v>20.364508393285373</v>
      </c>
      <c r="W208" s="130">
        <f t="shared" si="215"/>
        <v>20.362336114421932</v>
      </c>
      <c r="X208" s="130">
        <f t="shared" si="215"/>
        <v>20.360294117647058</v>
      </c>
      <c r="Y208" s="130">
        <f t="shared" si="215"/>
        <v>20.359375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16.224896686725153</v>
      </c>
      <c r="C210" s="98">
        <f t="shared" si="217"/>
        <v>26.854903536977492</v>
      </c>
      <c r="D210" s="98">
        <f t="shared" si="217"/>
        <v>32.7064032016008</v>
      </c>
      <c r="E210" s="98">
        <f t="shared" si="217"/>
        <v>21.877511961722487</v>
      </c>
      <c r="F210" s="98">
        <f t="shared" si="217"/>
        <v>21.72739541160594</v>
      </c>
      <c r="G210" s="98">
        <f t="shared" si="217"/>
        <v>24.792651627718495</v>
      </c>
      <c r="H210" s="98">
        <f t="shared" si="217"/>
        <v>16.129778051787916</v>
      </c>
      <c r="I210" s="98">
        <f t="shared" si="217"/>
        <v>14.592629482071713</v>
      </c>
      <c r="J210" s="98">
        <f t="shared" si="217"/>
        <v>17.84014532243415</v>
      </c>
      <c r="K210" s="98">
        <f t="shared" si="217"/>
        <v>13.610678531701891</v>
      </c>
      <c r="L210" s="98">
        <f t="shared" si="217"/>
        <v>13.540790580319596</v>
      </c>
      <c r="M210" s="98">
        <f t="shared" si="217"/>
        <v>17.508055853920517</v>
      </c>
      <c r="N210" s="98">
        <f t="shared" si="217"/>
        <v>16.366125760649087</v>
      </c>
      <c r="O210" s="98">
        <f t="shared" si="217"/>
        <v>15.878727634194831</v>
      </c>
      <c r="P210" s="98">
        <f t="shared" si="217"/>
        <v>17.470718232044199</v>
      </c>
      <c r="Q210" s="98">
        <f t="shared" si="217"/>
        <v>21.117408906882591</v>
      </c>
      <c r="R210" s="98">
        <f t="shared" si="217"/>
        <v>19.901439645625693</v>
      </c>
      <c r="S210" s="98">
        <f t="shared" si="217"/>
        <v>19.707395498392284</v>
      </c>
      <c r="T210" s="98">
        <f t="shared" si="217"/>
        <v>20.811053984575835</v>
      </c>
      <c r="U210" s="98">
        <f t="shared" si="217"/>
        <v>19.681963713980792</v>
      </c>
      <c r="V210" s="98">
        <f t="shared" si="217"/>
        <v>20.364508393285373</v>
      </c>
      <c r="W210" s="98">
        <f t="shared" si="217"/>
        <v>20.362336114421932</v>
      </c>
      <c r="X210" s="98">
        <f t="shared" si="217"/>
        <v>20.360294117647058</v>
      </c>
      <c r="Y210" s="98">
        <f t="shared" si="217"/>
        <v>20.359375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</v>
      </c>
      <c r="C211" s="32">
        <f t="shared" si="218"/>
        <v>0</v>
      </c>
      <c r="D211" s="32">
        <f t="shared" si="218"/>
        <v>0</v>
      </c>
      <c r="E211" s="32">
        <f t="shared" si="218"/>
        <v>0</v>
      </c>
      <c r="F211" s="32">
        <f t="shared" si="218"/>
        <v>0</v>
      </c>
      <c r="G211" s="32">
        <f t="shared" si="218"/>
        <v>0</v>
      </c>
      <c r="H211" s="32">
        <f t="shared" si="218"/>
        <v>0</v>
      </c>
      <c r="I211" s="32">
        <f t="shared" si="218"/>
        <v>0</v>
      </c>
      <c r="J211" s="32">
        <f t="shared" si="218"/>
        <v>0</v>
      </c>
      <c r="K211" s="32">
        <f t="shared" si="218"/>
        <v>0</v>
      </c>
      <c r="L211" s="32">
        <f t="shared" si="218"/>
        <v>0</v>
      </c>
      <c r="M211" s="32">
        <f t="shared" si="218"/>
        <v>0</v>
      </c>
      <c r="N211" s="32">
        <f t="shared" si="218"/>
        <v>0</v>
      </c>
      <c r="O211" s="32">
        <f t="shared" si="218"/>
        <v>0</v>
      </c>
      <c r="P211" s="32">
        <f t="shared" si="218"/>
        <v>0</v>
      </c>
      <c r="Q211" s="32">
        <f t="shared" si="218"/>
        <v>0</v>
      </c>
      <c r="R211" s="32">
        <f t="shared" si="218"/>
        <v>0</v>
      </c>
      <c r="S211" s="32">
        <f t="shared" si="218"/>
        <v>0</v>
      </c>
      <c r="T211" s="32">
        <f t="shared" si="218"/>
        <v>0</v>
      </c>
      <c r="U211" s="32">
        <f t="shared" si="218"/>
        <v>0</v>
      </c>
      <c r="V211" s="32">
        <f t="shared" si="218"/>
        <v>0</v>
      </c>
      <c r="W211" s="32">
        <f t="shared" si="218"/>
        <v>0</v>
      </c>
      <c r="X211" s="32">
        <f t="shared" si="218"/>
        <v>0</v>
      </c>
      <c r="Y211" s="32">
        <f t="shared" si="218"/>
        <v>0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0</v>
      </c>
      <c r="C212" s="97">
        <f t="shared" si="219"/>
        <v>0</v>
      </c>
      <c r="D212" s="97">
        <f t="shared" si="219"/>
        <v>0</v>
      </c>
      <c r="E212" s="97">
        <f t="shared" si="219"/>
        <v>0</v>
      </c>
      <c r="F212" s="97">
        <f t="shared" si="219"/>
        <v>0</v>
      </c>
      <c r="G212" s="97">
        <f t="shared" si="219"/>
        <v>0</v>
      </c>
      <c r="H212" s="97">
        <f t="shared" si="219"/>
        <v>0</v>
      </c>
      <c r="I212" s="97">
        <f t="shared" si="219"/>
        <v>0</v>
      </c>
      <c r="J212" s="97">
        <f t="shared" si="219"/>
        <v>0</v>
      </c>
      <c r="K212" s="97">
        <f t="shared" si="219"/>
        <v>0</v>
      </c>
      <c r="L212" s="97">
        <f t="shared" si="219"/>
        <v>0</v>
      </c>
      <c r="M212" s="97">
        <f t="shared" si="219"/>
        <v>0</v>
      </c>
      <c r="N212" s="97">
        <f t="shared" si="219"/>
        <v>0</v>
      </c>
      <c r="O212" s="97">
        <f t="shared" si="219"/>
        <v>0</v>
      </c>
      <c r="P212" s="97">
        <f t="shared" si="219"/>
        <v>0</v>
      </c>
      <c r="Q212" s="97">
        <f t="shared" si="219"/>
        <v>0</v>
      </c>
      <c r="R212" s="97">
        <f t="shared" si="219"/>
        <v>0</v>
      </c>
      <c r="S212" s="97">
        <f t="shared" si="219"/>
        <v>0</v>
      </c>
      <c r="T212" s="97">
        <f t="shared" si="219"/>
        <v>0</v>
      </c>
      <c r="U212" s="97">
        <f t="shared" si="219"/>
        <v>0</v>
      </c>
      <c r="V212" s="97">
        <f t="shared" si="219"/>
        <v>0</v>
      </c>
      <c r="W212" s="97">
        <f t="shared" si="219"/>
        <v>0</v>
      </c>
      <c r="X212" s="97">
        <f t="shared" si="219"/>
        <v>0</v>
      </c>
      <c r="Y212" s="97">
        <f t="shared" si="219"/>
        <v>0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</v>
      </c>
      <c r="C213" s="98">
        <f t="shared" si="220"/>
        <v>0</v>
      </c>
      <c r="D213" s="98">
        <f t="shared" si="220"/>
        <v>0</v>
      </c>
      <c r="E213" s="98">
        <f t="shared" si="220"/>
        <v>0</v>
      </c>
      <c r="F213" s="98">
        <f t="shared" si="220"/>
        <v>0</v>
      </c>
      <c r="G213" s="98">
        <f t="shared" si="220"/>
        <v>0</v>
      </c>
      <c r="H213" s="98">
        <f t="shared" si="220"/>
        <v>0</v>
      </c>
      <c r="I213" s="98">
        <f t="shared" si="220"/>
        <v>0</v>
      </c>
      <c r="J213" s="98">
        <f t="shared" si="220"/>
        <v>0</v>
      </c>
      <c r="K213" s="98">
        <f t="shared" si="220"/>
        <v>0</v>
      </c>
      <c r="L213" s="98">
        <f t="shared" si="220"/>
        <v>0</v>
      </c>
      <c r="M213" s="98">
        <f t="shared" si="220"/>
        <v>0</v>
      </c>
      <c r="N213" s="98">
        <f t="shared" si="220"/>
        <v>0</v>
      </c>
      <c r="O213" s="98">
        <f t="shared" si="220"/>
        <v>0</v>
      </c>
      <c r="P213" s="98">
        <f t="shared" si="220"/>
        <v>0</v>
      </c>
      <c r="Q213" s="98">
        <f t="shared" si="220"/>
        <v>0</v>
      </c>
      <c r="R213" s="98">
        <f t="shared" si="220"/>
        <v>0</v>
      </c>
      <c r="S213" s="98">
        <f t="shared" si="220"/>
        <v>0</v>
      </c>
      <c r="T213" s="98">
        <f t="shared" si="220"/>
        <v>0</v>
      </c>
      <c r="U213" s="98">
        <f t="shared" si="220"/>
        <v>0</v>
      </c>
      <c r="V213" s="98">
        <f t="shared" si="220"/>
        <v>0</v>
      </c>
      <c r="W213" s="98">
        <f t="shared" si="220"/>
        <v>0</v>
      </c>
      <c r="X213" s="98">
        <f t="shared" si="220"/>
        <v>0</v>
      </c>
      <c r="Y213" s="98">
        <f t="shared" si="220"/>
        <v>0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77.919948785493929</v>
      </c>
      <c r="C216" s="32">
        <f t="shared" si="221"/>
        <v>78.972731798461496</v>
      </c>
      <c r="D216" s="32">
        <f t="shared" si="221"/>
        <v>90.337360565297374</v>
      </c>
      <c r="E216" s="32">
        <f t="shared" si="221"/>
        <v>86.992601839692071</v>
      </c>
      <c r="F216" s="32">
        <f t="shared" si="221"/>
        <v>79.425712572656039</v>
      </c>
      <c r="G216" s="32">
        <f t="shared" si="221"/>
        <v>82.583831127830322</v>
      </c>
      <c r="H216" s="32">
        <f t="shared" si="221"/>
        <v>78.503008991864149</v>
      </c>
      <c r="I216" s="32">
        <f t="shared" si="221"/>
        <v>84.67965902355742</v>
      </c>
      <c r="J216" s="32">
        <f t="shared" si="221"/>
        <v>89.774246134666413</v>
      </c>
      <c r="K216" s="32">
        <f t="shared" si="221"/>
        <v>88.415877898371434</v>
      </c>
      <c r="L216" s="32">
        <f t="shared" si="221"/>
        <v>88.385068982539522</v>
      </c>
      <c r="M216" s="32">
        <f t="shared" si="221"/>
        <v>85.940509161831855</v>
      </c>
      <c r="N216" s="32">
        <f t="shared" si="221"/>
        <v>84.093162932582871</v>
      </c>
      <c r="O216" s="32">
        <f t="shared" si="221"/>
        <v>84.114565471312673</v>
      </c>
      <c r="P216" s="32">
        <f t="shared" si="221"/>
        <v>81.018245315381449</v>
      </c>
      <c r="Q216" s="32">
        <f t="shared" si="221"/>
        <v>79.338549326305724</v>
      </c>
      <c r="R216" s="32">
        <f t="shared" si="221"/>
        <v>78.535078927057597</v>
      </c>
      <c r="S216" s="32">
        <f t="shared" si="221"/>
        <v>78.384165550624914</v>
      </c>
      <c r="T216" s="32">
        <f t="shared" si="221"/>
        <v>75.296509184958836</v>
      </c>
      <c r="U216" s="32">
        <f t="shared" si="221"/>
        <v>73.71076008261835</v>
      </c>
      <c r="V216" s="32">
        <f t="shared" si="221"/>
        <v>86.616734449831981</v>
      </c>
      <c r="W216" s="32">
        <f t="shared" si="221"/>
        <v>85.051334091256322</v>
      </c>
      <c r="X216" s="32">
        <f t="shared" si="221"/>
        <v>77.107098644768385</v>
      </c>
      <c r="Y216" s="32">
        <f t="shared" si="221"/>
        <v>73.944998371461963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84.013373860401316</v>
      </c>
      <c r="C217" s="141">
        <f t="shared" si="222"/>
        <v>84.848868277244421</v>
      </c>
      <c r="D217" s="141">
        <f t="shared" si="222"/>
        <v>95.866643673976881</v>
      </c>
      <c r="E217" s="141">
        <f t="shared" si="222"/>
        <v>93.014800032268269</v>
      </c>
      <c r="F217" s="141">
        <f t="shared" si="222"/>
        <v>86.15598641266979</v>
      </c>
      <c r="G217" s="141">
        <f t="shared" si="222"/>
        <v>88.760144584097503</v>
      </c>
      <c r="H217" s="141">
        <f t="shared" si="222"/>
        <v>84.178170286034032</v>
      </c>
      <c r="I217" s="141">
        <f t="shared" si="222"/>
        <v>90.367718215123929</v>
      </c>
      <c r="J217" s="141">
        <f t="shared" si="222"/>
        <v>95.898687255683996</v>
      </c>
      <c r="K217" s="141">
        <f t="shared" si="222"/>
        <v>94.899499368387637</v>
      </c>
      <c r="L217" s="141">
        <f t="shared" si="222"/>
        <v>95.447426992329113</v>
      </c>
      <c r="M217" s="141">
        <f t="shared" si="222"/>
        <v>92.88410850302779</v>
      </c>
      <c r="N217" s="141">
        <f t="shared" si="222"/>
        <v>90.903678397665487</v>
      </c>
      <c r="O217" s="141">
        <f t="shared" si="222"/>
        <v>90.390641686923601</v>
      </c>
      <c r="P217" s="141">
        <f t="shared" si="222"/>
        <v>87.841366111737017</v>
      </c>
      <c r="Q217" s="141">
        <f t="shared" si="222"/>
        <v>87.555874183526484</v>
      </c>
      <c r="R217" s="141">
        <f t="shared" si="222"/>
        <v>86.459949847976517</v>
      </c>
      <c r="S217" s="141">
        <f t="shared" si="222"/>
        <v>88.130215011424013</v>
      </c>
      <c r="T217" s="141">
        <f t="shared" si="222"/>
        <v>84.392204741440324</v>
      </c>
      <c r="U217" s="141">
        <f t="shared" si="222"/>
        <v>83.074777651811857</v>
      </c>
      <c r="V217" s="141">
        <f t="shared" si="222"/>
        <v>91.891505187775863</v>
      </c>
      <c r="W217" s="141">
        <f t="shared" si="222"/>
        <v>90.421715237493146</v>
      </c>
      <c r="X217" s="141">
        <f t="shared" si="222"/>
        <v>85.558488794643495</v>
      </c>
      <c r="Y217" s="141">
        <f t="shared" si="222"/>
        <v>83.547629154850597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97.864238301672131</v>
      </c>
      <c r="C218" s="97">
        <f t="shared" si="223"/>
        <v>97.856540497502209</v>
      </c>
      <c r="D218" s="97">
        <f t="shared" si="223"/>
        <v>97.869079620619033</v>
      </c>
      <c r="E218" s="97">
        <f t="shared" si="223"/>
        <v>97.806058308028113</v>
      </c>
      <c r="F218" s="97">
        <f t="shared" si="223"/>
        <v>97.69523265287549</v>
      </c>
      <c r="G218" s="97">
        <f t="shared" si="223"/>
        <v>97.767972975336392</v>
      </c>
      <c r="H218" s="97">
        <f t="shared" si="223"/>
        <v>97.613187621848439</v>
      </c>
      <c r="I218" s="97">
        <f t="shared" si="223"/>
        <v>95.698880093548283</v>
      </c>
      <c r="J218" s="97">
        <f t="shared" si="223"/>
        <v>95.080197000994914</v>
      </c>
      <c r="K218" s="97">
        <f t="shared" si="223"/>
        <v>92.23836651176309</v>
      </c>
      <c r="L218" s="97">
        <f t="shared" si="223"/>
        <v>92.189099443810548</v>
      </c>
      <c r="M218" s="97">
        <f t="shared" si="223"/>
        <v>92.329083748582207</v>
      </c>
      <c r="N218" s="97">
        <f t="shared" si="223"/>
        <v>92.771071125277913</v>
      </c>
      <c r="O218" s="97">
        <f t="shared" si="223"/>
        <v>92.243741611817271</v>
      </c>
      <c r="P218" s="97">
        <f t="shared" si="223"/>
        <v>90.307309788497932</v>
      </c>
      <c r="Q218" s="97">
        <f t="shared" si="223"/>
        <v>89.791833639841656</v>
      </c>
      <c r="R218" s="97">
        <f t="shared" si="223"/>
        <v>90.441146995514444</v>
      </c>
      <c r="S218" s="97">
        <f t="shared" si="223"/>
        <v>89.189805926200407</v>
      </c>
      <c r="T218" s="97">
        <f t="shared" si="223"/>
        <v>88.714332968142926</v>
      </c>
      <c r="U218" s="97">
        <f t="shared" si="223"/>
        <v>87.805155304745242</v>
      </c>
      <c r="V218" s="97">
        <f t="shared" si="223"/>
        <v>86.233488816836541</v>
      </c>
      <c r="W218" s="97">
        <f t="shared" si="223"/>
        <v>86.036424382556191</v>
      </c>
      <c r="X218" s="97">
        <f t="shared" si="223"/>
        <v>85.622394036368021</v>
      </c>
      <c r="Y218" s="97">
        <f t="shared" si="223"/>
        <v>84.080460263303806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93.201884039442888</v>
      </c>
      <c r="C219" s="97">
        <f t="shared" si="224"/>
        <v>95.994416077277222</v>
      </c>
      <c r="D219" s="97">
        <f t="shared" si="224"/>
        <v>110.02848827733129</v>
      </c>
      <c r="E219" s="97">
        <f t="shared" si="224"/>
        <v>103.82336802039519</v>
      </c>
      <c r="F219" s="97">
        <f t="shared" si="224"/>
        <v>96.424672479818923</v>
      </c>
      <c r="G219" s="97">
        <f t="shared" si="224"/>
        <v>99.549685842589312</v>
      </c>
      <c r="H219" s="97">
        <f t="shared" si="224"/>
        <v>93.931616626750056</v>
      </c>
      <c r="I219" s="97">
        <f t="shared" si="224"/>
        <v>98.724318298032514</v>
      </c>
      <c r="J219" s="97">
        <f t="shared" si="224"/>
        <v>102.18344495565437</v>
      </c>
      <c r="K219" s="97">
        <f t="shared" si="224"/>
        <v>95.142895669479117</v>
      </c>
      <c r="L219" s="97">
        <f t="shared" si="224"/>
        <v>95.793590531961613</v>
      </c>
      <c r="M219" s="97">
        <f t="shared" si="224"/>
        <v>94.788770124513221</v>
      </c>
      <c r="N219" s="97">
        <f t="shared" si="224"/>
        <v>92.354697203539757</v>
      </c>
      <c r="O219" s="97">
        <f t="shared" si="224"/>
        <v>91.73893716639239</v>
      </c>
      <c r="P219" s="97">
        <f t="shared" si="224"/>
        <v>89.272279061296643</v>
      </c>
      <c r="Q219" s="97">
        <f t="shared" si="224"/>
        <v>89.35038578095255</v>
      </c>
      <c r="R219" s="97">
        <f t="shared" si="224"/>
        <v>90.224787889846084</v>
      </c>
      <c r="S219" s="97">
        <f t="shared" si="224"/>
        <v>91.166094947678218</v>
      </c>
      <c r="T219" s="97">
        <f t="shared" si="224"/>
        <v>87.07494045790807</v>
      </c>
      <c r="U219" s="97">
        <f t="shared" si="224"/>
        <v>84.957434254548033</v>
      </c>
      <c r="V219" s="97">
        <f t="shared" si="224"/>
        <v>90.128608960419029</v>
      </c>
      <c r="W219" s="97">
        <f t="shared" si="224"/>
        <v>86.774146040692145</v>
      </c>
      <c r="X219" s="97">
        <f t="shared" si="224"/>
        <v>84.060268738549865</v>
      </c>
      <c r="Y219" s="97">
        <f t="shared" si="224"/>
        <v>83.248770418439619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60.326131445535189</v>
      </c>
      <c r="C220" s="97">
        <f t="shared" si="225"/>
        <v>55.760152699761704</v>
      </c>
      <c r="D220" s="97">
        <f t="shared" si="225"/>
        <v>57.60801950508349</v>
      </c>
      <c r="E220" s="97">
        <f t="shared" si="225"/>
        <v>61.910770395033175</v>
      </c>
      <c r="F220" s="97">
        <f t="shared" si="225"/>
        <v>56.684449837418342</v>
      </c>
      <c r="G220" s="97">
        <f t="shared" si="225"/>
        <v>56.056324941003126</v>
      </c>
      <c r="H220" s="97">
        <f t="shared" si="225"/>
        <v>54.485764610620961</v>
      </c>
      <c r="I220" s="97">
        <f t="shared" si="225"/>
        <v>65.215589261122219</v>
      </c>
      <c r="J220" s="97">
        <f t="shared" si="225"/>
        <v>73.637146483072101</v>
      </c>
      <c r="K220" s="97">
        <f t="shared" si="225"/>
        <v>93.738154539748393</v>
      </c>
      <c r="L220" s="97">
        <f t="shared" si="225"/>
        <v>93.722418149267583</v>
      </c>
      <c r="M220" s="97">
        <f t="shared" si="225"/>
        <v>83.542094254493222</v>
      </c>
      <c r="N220" s="97">
        <f t="shared" si="225"/>
        <v>83.677260779626152</v>
      </c>
      <c r="O220" s="97">
        <f t="shared" si="225"/>
        <v>83.393584663702285</v>
      </c>
      <c r="P220" s="97">
        <f t="shared" si="225"/>
        <v>80.508930854947508</v>
      </c>
      <c r="Q220" s="97">
        <f t="shared" si="225"/>
        <v>78.302895542761604</v>
      </c>
      <c r="R220" s="97">
        <f t="shared" si="225"/>
        <v>68.58594586852854</v>
      </c>
      <c r="S220" s="97">
        <f t="shared" si="225"/>
        <v>73.700668190786544</v>
      </c>
      <c r="T220" s="97">
        <f t="shared" si="225"/>
        <v>72.075183947625973</v>
      </c>
      <c r="U220" s="97">
        <f t="shared" si="225"/>
        <v>74.273291791182828</v>
      </c>
      <c r="V220" s="97">
        <f t="shared" si="225"/>
        <v>103.75557119144473</v>
      </c>
      <c r="W220" s="97">
        <f t="shared" si="225"/>
        <v>120.78441182552123</v>
      </c>
      <c r="X220" s="97">
        <f t="shared" si="225"/>
        <v>95.354882659824</v>
      </c>
      <c r="Y220" s="97">
        <f t="shared" si="225"/>
        <v>85.39327006567386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0</v>
      </c>
      <c r="C221" s="130">
        <f t="shared" si="226"/>
        <v>0</v>
      </c>
      <c r="D221" s="130">
        <f t="shared" si="226"/>
        <v>0</v>
      </c>
      <c r="E221" s="130">
        <f t="shared" si="226"/>
        <v>0</v>
      </c>
      <c r="F221" s="130">
        <f t="shared" si="226"/>
        <v>0</v>
      </c>
      <c r="G221" s="130">
        <f t="shared" si="226"/>
        <v>0</v>
      </c>
      <c r="H221" s="130">
        <f t="shared" si="226"/>
        <v>0</v>
      </c>
      <c r="I221" s="130">
        <f t="shared" si="226"/>
        <v>0</v>
      </c>
      <c r="J221" s="130">
        <f t="shared" si="226"/>
        <v>0</v>
      </c>
      <c r="K221" s="130">
        <f t="shared" si="226"/>
        <v>0</v>
      </c>
      <c r="L221" s="130">
        <f t="shared" si="226"/>
        <v>0</v>
      </c>
      <c r="M221" s="130">
        <f t="shared" si="226"/>
        <v>0</v>
      </c>
      <c r="N221" s="130">
        <f t="shared" si="226"/>
        <v>0</v>
      </c>
      <c r="O221" s="130">
        <f t="shared" si="226"/>
        <v>0</v>
      </c>
      <c r="P221" s="130">
        <f t="shared" si="226"/>
        <v>0</v>
      </c>
      <c r="Q221" s="130">
        <f t="shared" si="226"/>
        <v>0</v>
      </c>
      <c r="R221" s="130">
        <f t="shared" si="226"/>
        <v>0</v>
      </c>
      <c r="S221" s="130">
        <f t="shared" si="226"/>
        <v>0</v>
      </c>
      <c r="T221" s="130">
        <f t="shared" si="226"/>
        <v>0</v>
      </c>
      <c r="U221" s="130">
        <f t="shared" si="226"/>
        <v>0</v>
      </c>
      <c r="V221" s="130">
        <f t="shared" si="226"/>
        <v>0</v>
      </c>
      <c r="W221" s="130">
        <f t="shared" si="226"/>
        <v>0</v>
      </c>
      <c r="X221" s="130">
        <f t="shared" si="226"/>
        <v>0</v>
      </c>
      <c r="Y221" s="130">
        <f t="shared" si="226"/>
        <v>0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0</v>
      </c>
      <c r="C223" s="97">
        <f t="shared" si="228"/>
        <v>0</v>
      </c>
      <c r="D223" s="97">
        <f t="shared" si="228"/>
        <v>0</v>
      </c>
      <c r="E223" s="97">
        <f t="shared" si="228"/>
        <v>0</v>
      </c>
      <c r="F223" s="97">
        <f t="shared" si="228"/>
        <v>0</v>
      </c>
      <c r="G223" s="97">
        <f t="shared" si="228"/>
        <v>0</v>
      </c>
      <c r="H223" s="97">
        <f t="shared" si="228"/>
        <v>0</v>
      </c>
      <c r="I223" s="97">
        <f t="shared" si="228"/>
        <v>0</v>
      </c>
      <c r="J223" s="97">
        <f t="shared" si="228"/>
        <v>0</v>
      </c>
      <c r="K223" s="97">
        <f t="shared" si="228"/>
        <v>0</v>
      </c>
      <c r="L223" s="97">
        <f t="shared" si="228"/>
        <v>0</v>
      </c>
      <c r="M223" s="97">
        <f t="shared" si="228"/>
        <v>0</v>
      </c>
      <c r="N223" s="97">
        <f t="shared" si="228"/>
        <v>0</v>
      </c>
      <c r="O223" s="97">
        <f t="shared" si="228"/>
        <v>0</v>
      </c>
      <c r="P223" s="97">
        <f t="shared" si="228"/>
        <v>0</v>
      </c>
      <c r="Q223" s="97">
        <f t="shared" si="228"/>
        <v>0</v>
      </c>
      <c r="R223" s="97">
        <f t="shared" si="228"/>
        <v>0</v>
      </c>
      <c r="S223" s="97">
        <f t="shared" si="228"/>
        <v>0</v>
      </c>
      <c r="T223" s="97">
        <f t="shared" si="228"/>
        <v>0</v>
      </c>
      <c r="U223" s="97">
        <f t="shared" si="228"/>
        <v>0</v>
      </c>
      <c r="V223" s="97">
        <f t="shared" si="228"/>
        <v>0</v>
      </c>
      <c r="W223" s="97">
        <f t="shared" si="228"/>
        <v>0</v>
      </c>
      <c r="X223" s="97">
        <f t="shared" si="228"/>
        <v>0</v>
      </c>
      <c r="Y223" s="97">
        <f t="shared" si="228"/>
        <v>0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194.07429042472785</v>
      </c>
      <c r="C225" s="130">
        <f t="shared" si="230"/>
        <v>192.18154212620834</v>
      </c>
      <c r="D225" s="130">
        <f t="shared" si="230"/>
        <v>234.31259420443462</v>
      </c>
      <c r="E225" s="130">
        <f t="shared" si="230"/>
        <v>121.33656801417825</v>
      </c>
      <c r="F225" s="130">
        <f t="shared" si="230"/>
        <v>60.718719557340954</v>
      </c>
      <c r="G225" s="130">
        <f t="shared" si="230"/>
        <v>82.206332957816244</v>
      </c>
      <c r="H225" s="130">
        <f t="shared" si="230"/>
        <v>81.7470550446739</v>
      </c>
      <c r="I225" s="130">
        <f t="shared" si="230"/>
        <v>97.343722441314384</v>
      </c>
      <c r="J225" s="130">
        <f t="shared" si="230"/>
        <v>107.73772230894019</v>
      </c>
      <c r="K225" s="130">
        <f t="shared" si="230"/>
        <v>103.42296180711</v>
      </c>
      <c r="L225" s="130">
        <f t="shared" si="230"/>
        <v>89.591070617215721</v>
      </c>
      <c r="M225" s="130">
        <f t="shared" si="230"/>
        <v>93.374045425320588</v>
      </c>
      <c r="N225" s="130">
        <f t="shared" si="230"/>
        <v>92.84307986329425</v>
      </c>
      <c r="O225" s="130">
        <f t="shared" si="230"/>
        <v>110.25861211935639</v>
      </c>
      <c r="P225" s="130">
        <f t="shared" si="230"/>
        <v>86.875112933888488</v>
      </c>
      <c r="Q225" s="130">
        <f t="shared" si="230"/>
        <v>93.555599281154088</v>
      </c>
      <c r="R225" s="130">
        <f t="shared" si="230"/>
        <v>98.095682473272504</v>
      </c>
      <c r="S225" s="130">
        <f t="shared" si="230"/>
        <v>68.778544266231151</v>
      </c>
      <c r="T225" s="130">
        <f t="shared" si="230"/>
        <v>70.276568140650852</v>
      </c>
      <c r="U225" s="130">
        <f t="shared" si="230"/>
        <v>66.376041652431297</v>
      </c>
      <c r="V225" s="130">
        <f t="shared" si="230"/>
        <v>224.08323733803635</v>
      </c>
      <c r="W225" s="130">
        <f t="shared" si="230"/>
        <v>141.67684212549034</v>
      </c>
      <c r="X225" s="130">
        <f t="shared" si="230"/>
        <v>70.252414983172869</v>
      </c>
      <c r="Y225" s="130">
        <f t="shared" si="230"/>
        <v>47.355721033141954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193.90923887440746</v>
      </c>
      <c r="C227" s="97">
        <f t="shared" si="232"/>
        <v>191.80325803079216</v>
      </c>
      <c r="D227" s="97">
        <f t="shared" si="232"/>
        <v>234.57586285540089</v>
      </c>
      <c r="E227" s="97">
        <f t="shared" si="232"/>
        <v>120.96605795451315</v>
      </c>
      <c r="F227" s="97">
        <f t="shared" si="232"/>
        <v>61.524081988100065</v>
      </c>
      <c r="G227" s="97">
        <f t="shared" si="232"/>
        <v>74.977525529201046</v>
      </c>
      <c r="H227" s="97">
        <f t="shared" si="232"/>
        <v>66.104561746349574</v>
      </c>
      <c r="I227" s="97">
        <f t="shared" si="232"/>
        <v>88.358906310709855</v>
      </c>
      <c r="J227" s="97">
        <f t="shared" si="232"/>
        <v>100.53834411386806</v>
      </c>
      <c r="K227" s="97">
        <f t="shared" si="232"/>
        <v>93.875713601431329</v>
      </c>
      <c r="L227" s="97">
        <f t="shared" si="232"/>
        <v>80.332466952279574</v>
      </c>
      <c r="M227" s="97">
        <f t="shared" si="232"/>
        <v>79.668322663880062</v>
      </c>
      <c r="N227" s="97">
        <f t="shared" si="232"/>
        <v>81.723013604684382</v>
      </c>
      <c r="O227" s="97">
        <f t="shared" si="232"/>
        <v>92.085963197874563</v>
      </c>
      <c r="P227" s="97">
        <f t="shared" si="232"/>
        <v>73.03780306767473</v>
      </c>
      <c r="Q227" s="97">
        <f t="shared" si="232"/>
        <v>82.557362145708012</v>
      </c>
      <c r="R227" s="97">
        <f t="shared" si="232"/>
        <v>84.848086214532316</v>
      </c>
      <c r="S227" s="97">
        <f t="shared" si="232"/>
        <v>69.011191128764338</v>
      </c>
      <c r="T227" s="97">
        <f t="shared" si="232"/>
        <v>74.445977705107083</v>
      </c>
      <c r="U227" s="97">
        <f t="shared" si="232"/>
        <v>72.639483377948153</v>
      </c>
      <c r="V227" s="97">
        <f t="shared" si="232"/>
        <v>171.27774958356213</v>
      </c>
      <c r="W227" s="97">
        <f t="shared" si="232"/>
        <v>114.00962580449951</v>
      </c>
      <c r="X227" s="97">
        <f t="shared" si="232"/>
        <v>71.715663966632064</v>
      </c>
      <c r="Y227" s="97">
        <f t="shared" si="232"/>
        <v>47.99707609222893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194.33964194031105</v>
      </c>
      <c r="C228" s="97">
        <f t="shared" si="233"/>
        <v>192.78991718172202</v>
      </c>
      <c r="D228" s="97">
        <f t="shared" si="233"/>
        <v>234.00914571335602</v>
      </c>
      <c r="E228" s="97">
        <f t="shared" si="233"/>
        <v>121.79330958761325</v>
      </c>
      <c r="F228" s="97">
        <f t="shared" si="233"/>
        <v>59.625696778229319</v>
      </c>
      <c r="G228" s="97">
        <f t="shared" si="233"/>
        <v>97.064109944227653</v>
      </c>
      <c r="H228" s="97">
        <f t="shared" si="233"/>
        <v>144.35466082140744</v>
      </c>
      <c r="I228" s="97">
        <f t="shared" si="233"/>
        <v>121.18284758475336</v>
      </c>
      <c r="J228" s="97">
        <f t="shared" si="233"/>
        <v>128.11143039420878</v>
      </c>
      <c r="K228" s="97">
        <f t="shared" si="233"/>
        <v>128.57587450715559</v>
      </c>
      <c r="L228" s="97">
        <f t="shared" si="233"/>
        <v>112.04245300943349</v>
      </c>
      <c r="M228" s="97">
        <f t="shared" si="233"/>
        <v>130.26516453115232</v>
      </c>
      <c r="N228" s="97">
        <f t="shared" si="233"/>
        <v>118.86710201793353</v>
      </c>
      <c r="O228" s="97">
        <f t="shared" si="233"/>
        <v>160.47144672600669</v>
      </c>
      <c r="P228" s="97">
        <f t="shared" si="233"/>
        <v>127.97590215989105</v>
      </c>
      <c r="Q228" s="97">
        <f t="shared" si="233"/>
        <v>124.19545552089222</v>
      </c>
      <c r="R228" s="97">
        <f t="shared" si="233"/>
        <v>141.50758909554216</v>
      </c>
      <c r="S228" s="97">
        <f t="shared" si="233"/>
        <v>68.340658765780987</v>
      </c>
      <c r="T228" s="97">
        <f t="shared" si="233"/>
        <v>63.359795706763258</v>
      </c>
      <c r="U228" s="97">
        <f t="shared" si="233"/>
        <v>56.885695264733108</v>
      </c>
      <c r="V228" s="97">
        <f t="shared" si="233"/>
        <v>369.88530039647304</v>
      </c>
      <c r="W228" s="97">
        <f t="shared" si="233"/>
        <v>223.53312173679367</v>
      </c>
      <c r="X228" s="97">
        <f t="shared" si="233"/>
        <v>67.63161117010236</v>
      </c>
      <c r="Y228" s="97">
        <f t="shared" si="233"/>
        <v>46.204085966980358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58.868467629122613</v>
      </c>
      <c r="C229" s="32">
        <f t="shared" si="234"/>
        <v>58.095573100342015</v>
      </c>
      <c r="D229" s="32">
        <f t="shared" si="234"/>
        <v>89.426636282857217</v>
      </c>
      <c r="E229" s="32">
        <f t="shared" si="234"/>
        <v>69.341939708022863</v>
      </c>
      <c r="F229" s="32">
        <f t="shared" si="234"/>
        <v>76.610043697430086</v>
      </c>
      <c r="G229" s="32">
        <f t="shared" si="234"/>
        <v>97.629125691455286</v>
      </c>
      <c r="H229" s="32">
        <f t="shared" si="234"/>
        <v>103.84803425619134</v>
      </c>
      <c r="I229" s="32">
        <f t="shared" si="234"/>
        <v>110.38314482405077</v>
      </c>
      <c r="J229" s="32">
        <f t="shared" si="234"/>
        <v>121.56491974952715</v>
      </c>
      <c r="K229" s="32">
        <f t="shared" si="234"/>
        <v>119.78195438949891</v>
      </c>
      <c r="L229" s="32">
        <f t="shared" si="234"/>
        <v>149.86202145249248</v>
      </c>
      <c r="M229" s="32">
        <f t="shared" si="234"/>
        <v>148.36975077854694</v>
      </c>
      <c r="N229" s="32">
        <f t="shared" si="234"/>
        <v>143.36233147870414</v>
      </c>
      <c r="O229" s="32">
        <f t="shared" si="234"/>
        <v>136.20569278953329</v>
      </c>
      <c r="P229" s="32">
        <f t="shared" si="234"/>
        <v>127.09218966036218</v>
      </c>
      <c r="Q229" s="32">
        <f t="shared" si="234"/>
        <v>121.31770494923057</v>
      </c>
      <c r="R229" s="32">
        <f t="shared" si="234"/>
        <v>140.52523044535076</v>
      </c>
      <c r="S229" s="32">
        <f t="shared" si="234"/>
        <v>168.23725535494421</v>
      </c>
      <c r="T229" s="32">
        <f t="shared" si="234"/>
        <v>170.50288881494907</v>
      </c>
      <c r="U229" s="32">
        <f t="shared" si="234"/>
        <v>167.35329443544535</v>
      </c>
      <c r="V229" s="32">
        <f t="shared" si="234"/>
        <v>167.98772093500767</v>
      </c>
      <c r="W229" s="32">
        <f t="shared" si="234"/>
        <v>172.57574039085316</v>
      </c>
      <c r="X229" s="32">
        <f t="shared" si="234"/>
        <v>174.50826012671089</v>
      </c>
      <c r="Y229" s="32">
        <f t="shared" si="234"/>
        <v>173.87323442737437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135.26139491387175</v>
      </c>
      <c r="C230" s="141">
        <f t="shared" si="235"/>
        <v>123.44960694195284</v>
      </c>
      <c r="D230" s="141">
        <f t="shared" si="235"/>
        <v>189.05367970162987</v>
      </c>
      <c r="E230" s="141">
        <f t="shared" si="235"/>
        <v>143.25974514776829</v>
      </c>
      <c r="F230" s="141">
        <f t="shared" si="235"/>
        <v>148.96489056690783</v>
      </c>
      <c r="G230" s="141">
        <f t="shared" si="235"/>
        <v>184.96849332711199</v>
      </c>
      <c r="H230" s="141">
        <f t="shared" si="235"/>
        <v>204.7047344474517</v>
      </c>
      <c r="I230" s="141">
        <f t="shared" si="235"/>
        <v>201.32746391761148</v>
      </c>
      <c r="J230" s="141">
        <f t="shared" si="235"/>
        <v>214.40287857243044</v>
      </c>
      <c r="K230" s="141">
        <f t="shared" si="235"/>
        <v>195.52174637615309</v>
      </c>
      <c r="L230" s="141">
        <f t="shared" si="235"/>
        <v>260.75470810445267</v>
      </c>
      <c r="M230" s="141">
        <f t="shared" si="235"/>
        <v>251.51095380149829</v>
      </c>
      <c r="N230" s="141">
        <f t="shared" si="235"/>
        <v>237.19990604282259</v>
      </c>
      <c r="O230" s="141">
        <f t="shared" si="235"/>
        <v>234.68209912562233</v>
      </c>
      <c r="P230" s="141">
        <f t="shared" si="235"/>
        <v>216.63307033060457</v>
      </c>
      <c r="Q230" s="141">
        <f t="shared" si="235"/>
        <v>196.33478256219968</v>
      </c>
      <c r="R230" s="141">
        <f t="shared" si="235"/>
        <v>222.37737380051595</v>
      </c>
      <c r="S230" s="141">
        <f t="shared" si="235"/>
        <v>259.78995561120217</v>
      </c>
      <c r="T230" s="141">
        <f t="shared" si="235"/>
        <v>260.27711974394009</v>
      </c>
      <c r="U230" s="141">
        <f t="shared" si="235"/>
        <v>250.89293274648327</v>
      </c>
      <c r="V230" s="141">
        <f t="shared" si="235"/>
        <v>241.9870217314963</v>
      </c>
      <c r="W230" s="141">
        <f t="shared" si="235"/>
        <v>261.96812990958489</v>
      </c>
      <c r="X230" s="141">
        <f t="shared" si="235"/>
        <v>256.65464582685701</v>
      </c>
      <c r="Y230" s="141">
        <f t="shared" si="235"/>
        <v>255.58964882765079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2887.3651548224284</v>
      </c>
      <c r="C231" s="97">
        <f t="shared" si="236"/>
        <v>2837.0713769305148</v>
      </c>
      <c r="D231" s="97">
        <f t="shared" si="236"/>
        <v>3410.1943910955592</v>
      </c>
      <c r="E231" s="97">
        <f t="shared" si="236"/>
        <v>3190.5710787879075</v>
      </c>
      <c r="F231" s="97">
        <f t="shared" si="236"/>
        <v>3225.7149555095743</v>
      </c>
      <c r="G231" s="97">
        <f t="shared" si="236"/>
        <v>3289.1353599768322</v>
      </c>
      <c r="H231" s="97">
        <f t="shared" si="236"/>
        <v>2975.3775650364396</v>
      </c>
      <c r="I231" s="97">
        <f t="shared" si="236"/>
        <v>3076.3930922211089</v>
      </c>
      <c r="J231" s="97">
        <f t="shared" si="236"/>
        <v>2838.3236770093699</v>
      </c>
      <c r="K231" s="97">
        <f t="shared" si="236"/>
        <v>2544.1728189491801</v>
      </c>
      <c r="L231" s="97">
        <f t="shared" si="236"/>
        <v>2877.9433225366597</v>
      </c>
      <c r="M231" s="97">
        <f t="shared" si="236"/>
        <v>2935.2152906733404</v>
      </c>
      <c r="N231" s="97">
        <f t="shared" si="236"/>
        <v>2742.4654087781837</v>
      </c>
      <c r="O231" s="97">
        <f t="shared" si="236"/>
        <v>2670.1516151697579</v>
      </c>
      <c r="P231" s="97">
        <f t="shared" si="236"/>
        <v>2717.7581511049816</v>
      </c>
      <c r="Q231" s="97">
        <f t="shared" si="236"/>
        <v>2541.9385099481397</v>
      </c>
      <c r="R231" s="97">
        <f t="shared" si="236"/>
        <v>2789.0575250588631</v>
      </c>
      <c r="S231" s="97">
        <f t="shared" si="236"/>
        <v>3000.5229698745256</v>
      </c>
      <c r="T231" s="97">
        <f t="shared" si="236"/>
        <v>2979.0900704941596</v>
      </c>
      <c r="U231" s="97">
        <f t="shared" si="236"/>
        <v>2946.2767619952633</v>
      </c>
      <c r="V231" s="97">
        <f t="shared" si="236"/>
        <v>2974.6543000596266</v>
      </c>
      <c r="W231" s="97">
        <f t="shared" si="236"/>
        <v>2801.0797397962251</v>
      </c>
      <c r="X231" s="97">
        <f t="shared" si="236"/>
        <v>2887.4631595014644</v>
      </c>
      <c r="Y231" s="97">
        <f t="shared" si="236"/>
        <v>2951.8132514961917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75.186723617787223</v>
      </c>
      <c r="C232" s="97">
        <f t="shared" si="237"/>
        <v>66.315501278962955</v>
      </c>
      <c r="D232" s="97">
        <f t="shared" si="237"/>
        <v>119.8502453824845</v>
      </c>
      <c r="E232" s="97">
        <f t="shared" si="237"/>
        <v>79.539081981428879</v>
      </c>
      <c r="F232" s="97">
        <f t="shared" si="237"/>
        <v>87.012272213592624</v>
      </c>
      <c r="G232" s="97">
        <f t="shared" si="237"/>
        <v>119.53251604927024</v>
      </c>
      <c r="H232" s="97">
        <f t="shared" si="237"/>
        <v>145.50963258920996</v>
      </c>
      <c r="I232" s="97">
        <f t="shared" si="237"/>
        <v>140.73601770097073</v>
      </c>
      <c r="J232" s="97">
        <f t="shared" si="237"/>
        <v>157.39948783769773</v>
      </c>
      <c r="K232" s="97">
        <f t="shared" si="237"/>
        <v>134.65089717582271</v>
      </c>
      <c r="L232" s="97">
        <f t="shared" si="237"/>
        <v>191.36494963196037</v>
      </c>
      <c r="M232" s="97">
        <f t="shared" si="237"/>
        <v>179.41073271828054</v>
      </c>
      <c r="N232" s="97">
        <f t="shared" si="237"/>
        <v>168.15649693356781</v>
      </c>
      <c r="O232" s="97">
        <f t="shared" si="237"/>
        <v>174.67321348423306</v>
      </c>
      <c r="P232" s="97">
        <f t="shared" si="237"/>
        <v>165.46581578077453</v>
      </c>
      <c r="Q232" s="97">
        <f t="shared" si="237"/>
        <v>144.41144893488294</v>
      </c>
      <c r="R232" s="97">
        <f t="shared" si="237"/>
        <v>173.59045939185378</v>
      </c>
      <c r="S232" s="97">
        <f t="shared" si="237"/>
        <v>211.6096151349831</v>
      </c>
      <c r="T232" s="97">
        <f t="shared" si="237"/>
        <v>213.53469088913053</v>
      </c>
      <c r="U232" s="97">
        <f t="shared" si="237"/>
        <v>206.21968160579218</v>
      </c>
      <c r="V232" s="97">
        <f t="shared" si="237"/>
        <v>194.06155653516123</v>
      </c>
      <c r="W232" s="97">
        <f t="shared" si="237"/>
        <v>216.92331695130287</v>
      </c>
      <c r="X232" s="97">
        <f t="shared" si="237"/>
        <v>211.39124140048861</v>
      </c>
      <c r="Y232" s="97">
        <f t="shared" si="237"/>
        <v>206.36091907399245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0</v>
      </c>
      <c r="C233" s="130">
        <f t="shared" si="238"/>
        <v>0</v>
      </c>
      <c r="D233" s="130">
        <f t="shared" si="238"/>
        <v>0</v>
      </c>
      <c r="E233" s="130">
        <f t="shared" si="238"/>
        <v>0</v>
      </c>
      <c r="F233" s="130">
        <f t="shared" si="238"/>
        <v>0</v>
      </c>
      <c r="G233" s="130">
        <f t="shared" si="238"/>
        <v>0</v>
      </c>
      <c r="H233" s="130">
        <f t="shared" si="238"/>
        <v>0</v>
      </c>
      <c r="I233" s="130">
        <f t="shared" si="238"/>
        <v>0</v>
      </c>
      <c r="J233" s="130">
        <f t="shared" si="238"/>
        <v>0</v>
      </c>
      <c r="K233" s="130">
        <f t="shared" si="238"/>
        <v>0</v>
      </c>
      <c r="L233" s="130">
        <f t="shared" si="238"/>
        <v>0</v>
      </c>
      <c r="M233" s="130">
        <f t="shared" si="238"/>
        <v>0</v>
      </c>
      <c r="N233" s="130">
        <f t="shared" si="238"/>
        <v>0</v>
      </c>
      <c r="O233" s="130">
        <f t="shared" si="238"/>
        <v>0</v>
      </c>
      <c r="P233" s="130">
        <f t="shared" si="238"/>
        <v>0</v>
      </c>
      <c r="Q233" s="130">
        <f t="shared" si="238"/>
        <v>0</v>
      </c>
      <c r="R233" s="130">
        <f t="shared" si="238"/>
        <v>0</v>
      </c>
      <c r="S233" s="130">
        <f t="shared" si="238"/>
        <v>0</v>
      </c>
      <c r="T233" s="130">
        <f t="shared" si="238"/>
        <v>0</v>
      </c>
      <c r="U233" s="130">
        <f t="shared" si="238"/>
        <v>0</v>
      </c>
      <c r="V233" s="130">
        <f t="shared" si="238"/>
        <v>0</v>
      </c>
      <c r="W233" s="130">
        <f t="shared" si="238"/>
        <v>0</v>
      </c>
      <c r="X233" s="130">
        <f t="shared" si="238"/>
        <v>0</v>
      </c>
      <c r="Y233" s="130">
        <f t="shared" si="238"/>
        <v>0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339.3510395552791</v>
      </c>
      <c r="C234" s="130">
        <f t="shared" si="239"/>
        <v>322.96513362145458</v>
      </c>
      <c r="D234" s="130">
        <f t="shared" si="239"/>
        <v>566.65080328022475</v>
      </c>
      <c r="E234" s="130">
        <f t="shared" si="239"/>
        <v>194.30760823981188</v>
      </c>
      <c r="F234" s="130">
        <f t="shared" si="239"/>
        <v>101.73830387326123</v>
      </c>
      <c r="G234" s="130">
        <f t="shared" si="239"/>
        <v>161.80937042258898</v>
      </c>
      <c r="H234" s="130">
        <f t="shared" si="239"/>
        <v>253.02038116777996</v>
      </c>
      <c r="I234" s="130">
        <f t="shared" si="239"/>
        <v>280.79056558320684</v>
      </c>
      <c r="J234" s="130">
        <f t="shared" si="239"/>
        <v>328.25737185497246</v>
      </c>
      <c r="K234" s="130">
        <f t="shared" si="239"/>
        <v>344.05235721623319</v>
      </c>
      <c r="L234" s="130">
        <f t="shared" si="239"/>
        <v>333.92095377968923</v>
      </c>
      <c r="M234" s="130">
        <f t="shared" si="239"/>
        <v>341.88716280449239</v>
      </c>
      <c r="N234" s="130">
        <f t="shared" si="239"/>
        <v>386.36744999631992</v>
      </c>
      <c r="O234" s="130">
        <f t="shared" si="239"/>
        <v>466.2726478065465</v>
      </c>
      <c r="P234" s="130">
        <f t="shared" si="239"/>
        <v>295.50858840012842</v>
      </c>
      <c r="Q234" s="130">
        <f t="shared" si="239"/>
        <v>320.22320963490489</v>
      </c>
      <c r="R234" s="130">
        <f t="shared" si="239"/>
        <v>309.70660453368862</v>
      </c>
      <c r="S234" s="130">
        <f t="shared" si="239"/>
        <v>302.30160124294554</v>
      </c>
      <c r="T234" s="130">
        <f t="shared" si="239"/>
        <v>303.87494692904227</v>
      </c>
      <c r="U234" s="130">
        <f t="shared" si="239"/>
        <v>304.53149477145246</v>
      </c>
      <c r="V234" s="130">
        <f t="shared" si="239"/>
        <v>829.82203244536481</v>
      </c>
      <c r="W234" s="130">
        <f t="shared" si="239"/>
        <v>594.4994152382684</v>
      </c>
      <c r="X234" s="130">
        <f t="shared" si="239"/>
        <v>456.18840126988806</v>
      </c>
      <c r="Y234" s="130">
        <f t="shared" si="239"/>
        <v>301.88588031312509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599.1970758666962</v>
      </c>
      <c r="C236" s="97">
        <f t="shared" si="241"/>
        <v>580.27076385627663</v>
      </c>
      <c r="D236" s="97">
        <f t="shared" si="241"/>
        <v>762.73270628414969</v>
      </c>
      <c r="E236" s="97">
        <f t="shared" si="241"/>
        <v>381.84515909061429</v>
      </c>
      <c r="F236" s="97">
        <f t="shared" si="241"/>
        <v>210.51374022401379</v>
      </c>
      <c r="G236" s="97">
        <f t="shared" si="241"/>
        <v>265.14549997683292</v>
      </c>
      <c r="H236" s="97">
        <f t="shared" si="241"/>
        <v>295.60685195733737</v>
      </c>
      <c r="I236" s="97">
        <f t="shared" si="241"/>
        <v>407.47192704420922</v>
      </c>
      <c r="J236" s="97">
        <f t="shared" si="241"/>
        <v>343.11435141343776</v>
      </c>
      <c r="K236" s="97">
        <f t="shared" si="241"/>
        <v>352.44349434099934</v>
      </c>
      <c r="L236" s="97">
        <f t="shared" si="241"/>
        <v>338.88569122911139</v>
      </c>
      <c r="M236" s="97">
        <f t="shared" si="241"/>
        <v>342.5483506683093</v>
      </c>
      <c r="N236" s="97">
        <f t="shared" si="241"/>
        <v>389.44279104249813</v>
      </c>
      <c r="O236" s="97">
        <f t="shared" si="241"/>
        <v>472.62272298302139</v>
      </c>
      <c r="P236" s="97">
        <f t="shared" si="241"/>
        <v>322.19983081309675</v>
      </c>
      <c r="Q236" s="97">
        <f t="shared" si="241"/>
        <v>358.84743139820876</v>
      </c>
      <c r="R236" s="97">
        <f t="shared" si="241"/>
        <v>350.00991764237801</v>
      </c>
      <c r="S236" s="97">
        <f t="shared" si="241"/>
        <v>327.13507574478922</v>
      </c>
      <c r="T236" s="97">
        <f t="shared" si="241"/>
        <v>339.55353615797105</v>
      </c>
      <c r="U236" s="97">
        <f t="shared" si="241"/>
        <v>316.77422943803612</v>
      </c>
      <c r="V236" s="97">
        <f t="shared" si="241"/>
        <v>836.65289982366164</v>
      </c>
      <c r="W236" s="97">
        <f t="shared" si="241"/>
        <v>597.77371475453594</v>
      </c>
      <c r="X236" s="97">
        <f t="shared" si="241"/>
        <v>462.15270609657523</v>
      </c>
      <c r="Y236" s="97">
        <f t="shared" si="241"/>
        <v>306.66791300111367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230.26254183975149</v>
      </c>
      <c r="C237" s="97">
        <f t="shared" si="242"/>
        <v>220.5457683686588</v>
      </c>
      <c r="D237" s="97">
        <f t="shared" si="242"/>
        <v>285.16916536527066</v>
      </c>
      <c r="E237" s="97">
        <f t="shared" si="242"/>
        <v>163.90150489759668</v>
      </c>
      <c r="F237" s="97">
        <f t="shared" si="242"/>
        <v>82.996357006726541</v>
      </c>
      <c r="G237" s="97">
        <f t="shared" si="242"/>
        <v>145.1403487650141</v>
      </c>
      <c r="H237" s="97">
        <f t="shared" si="242"/>
        <v>249.14092025609872</v>
      </c>
      <c r="I237" s="97">
        <f t="shared" si="242"/>
        <v>266.27561787052906</v>
      </c>
      <c r="J237" s="97">
        <f t="shared" si="242"/>
        <v>288.66334486762372</v>
      </c>
      <c r="K237" s="97">
        <f t="shared" si="242"/>
        <v>291.24928371395288</v>
      </c>
      <c r="L237" s="97">
        <f t="shared" si="242"/>
        <v>317.60413148992211</v>
      </c>
      <c r="M237" s="97">
        <f t="shared" si="242"/>
        <v>307.61300084704226</v>
      </c>
      <c r="N237" s="97">
        <f t="shared" si="242"/>
        <v>242.12608130093324</v>
      </c>
      <c r="O237" s="97">
        <f t="shared" si="242"/>
        <v>300.36696317074092</v>
      </c>
      <c r="P237" s="97">
        <f t="shared" si="242"/>
        <v>220.07929266050851</v>
      </c>
      <c r="Q237" s="97">
        <f t="shared" si="242"/>
        <v>179.32608445085268</v>
      </c>
      <c r="R237" s="97">
        <f t="shared" si="242"/>
        <v>156.68909173465852</v>
      </c>
      <c r="S237" s="97">
        <f t="shared" si="242"/>
        <v>90.681481464865172</v>
      </c>
      <c r="T237" s="97">
        <f t="shared" si="242"/>
        <v>85.630522557315658</v>
      </c>
      <c r="U237" s="97">
        <f t="shared" si="242"/>
        <v>80.613516655180675</v>
      </c>
      <c r="V237" s="97">
        <f t="shared" si="242"/>
        <v>689.02901875364364</v>
      </c>
      <c r="W237" s="97">
        <f t="shared" si="242"/>
        <v>262.55081618119181</v>
      </c>
      <c r="X237" s="97">
        <f t="shared" si="242"/>
        <v>108.60260114297621</v>
      </c>
      <c r="Y237" s="97">
        <f t="shared" si="242"/>
        <v>76.20374838060529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50.336424508953819</v>
      </c>
      <c r="C238" s="130">
        <f t="shared" si="243"/>
        <v>83.315157605305473</v>
      </c>
      <c r="D238" s="130">
        <f t="shared" si="243"/>
        <v>101.4689601730265</v>
      </c>
      <c r="E238" s="130">
        <f t="shared" si="243"/>
        <v>67.873204407272723</v>
      </c>
      <c r="F238" s="130">
        <f t="shared" si="243"/>
        <v>67.407480000000007</v>
      </c>
      <c r="G238" s="130">
        <f t="shared" si="243"/>
        <v>76.917188511684458</v>
      </c>
      <c r="H238" s="130">
        <f t="shared" si="243"/>
        <v>50.0413266676942</v>
      </c>
      <c r="I238" s="130">
        <f t="shared" si="243"/>
        <v>45.272448046613547</v>
      </c>
      <c r="J238" s="130">
        <f t="shared" si="243"/>
        <v>55.347602243051767</v>
      </c>
      <c r="K238" s="130">
        <f t="shared" si="243"/>
        <v>42.226024957508344</v>
      </c>
      <c r="L238" s="130">
        <f t="shared" si="243"/>
        <v>42.009203263246434</v>
      </c>
      <c r="M238" s="130">
        <f t="shared" si="243"/>
        <v>54.317321632653069</v>
      </c>
      <c r="N238" s="130">
        <f t="shared" si="243"/>
        <v>50.774576243002031</v>
      </c>
      <c r="O238" s="130">
        <f t="shared" si="243"/>
        <v>49.262463132405571</v>
      </c>
      <c r="P238" s="130">
        <f t="shared" si="243"/>
        <v>54.201484692596686</v>
      </c>
      <c r="Q238" s="130">
        <f t="shared" si="243"/>
        <v>65.515046400000003</v>
      </c>
      <c r="R238" s="130">
        <f t="shared" si="243"/>
        <v>61.742600503654486</v>
      </c>
      <c r="S238" s="130">
        <f t="shared" si="243"/>
        <v>61.140594293247595</v>
      </c>
      <c r="T238" s="130">
        <f t="shared" si="243"/>
        <v>64.564605129562977</v>
      </c>
      <c r="U238" s="130">
        <f t="shared" si="243"/>
        <v>61.061694247171822</v>
      </c>
      <c r="V238" s="130">
        <f t="shared" si="243"/>
        <v>63.179233692086349</v>
      </c>
      <c r="W238" s="130">
        <f t="shared" si="243"/>
        <v>63.172494373301554</v>
      </c>
      <c r="X238" s="130">
        <f t="shared" si="243"/>
        <v>63.166159244117658</v>
      </c>
      <c r="Y238" s="130">
        <f t="shared" si="243"/>
        <v>63.163307756249992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50.336424508953819</v>
      </c>
      <c r="C240" s="98">
        <f t="shared" si="245"/>
        <v>83.315157605305473</v>
      </c>
      <c r="D240" s="98">
        <f t="shared" si="245"/>
        <v>101.4689601730265</v>
      </c>
      <c r="E240" s="98">
        <f t="shared" si="245"/>
        <v>67.873204407272723</v>
      </c>
      <c r="F240" s="98">
        <f t="shared" si="245"/>
        <v>67.407480000000007</v>
      </c>
      <c r="G240" s="98">
        <f t="shared" si="245"/>
        <v>76.917188511684458</v>
      </c>
      <c r="H240" s="98">
        <f t="shared" si="245"/>
        <v>50.0413266676942</v>
      </c>
      <c r="I240" s="98">
        <f t="shared" si="245"/>
        <v>45.272448046613547</v>
      </c>
      <c r="J240" s="98">
        <f t="shared" si="245"/>
        <v>55.347602243051767</v>
      </c>
      <c r="K240" s="98">
        <f t="shared" si="245"/>
        <v>42.226024957508344</v>
      </c>
      <c r="L240" s="98">
        <f t="shared" si="245"/>
        <v>42.009203263246434</v>
      </c>
      <c r="M240" s="98">
        <f t="shared" si="245"/>
        <v>54.317321632653069</v>
      </c>
      <c r="N240" s="98">
        <f t="shared" si="245"/>
        <v>50.774576243002031</v>
      </c>
      <c r="O240" s="98">
        <f t="shared" si="245"/>
        <v>49.262463132405571</v>
      </c>
      <c r="P240" s="98">
        <f t="shared" si="245"/>
        <v>54.201484692596686</v>
      </c>
      <c r="Q240" s="98">
        <f t="shared" si="245"/>
        <v>65.515046400000003</v>
      </c>
      <c r="R240" s="98">
        <f t="shared" si="245"/>
        <v>61.742600503654486</v>
      </c>
      <c r="S240" s="98">
        <f t="shared" si="245"/>
        <v>61.140594293247595</v>
      </c>
      <c r="T240" s="98">
        <f t="shared" si="245"/>
        <v>64.564605129562977</v>
      </c>
      <c r="U240" s="98">
        <f t="shared" si="245"/>
        <v>61.061694247171822</v>
      </c>
      <c r="V240" s="98">
        <f t="shared" si="245"/>
        <v>63.179233692086349</v>
      </c>
      <c r="W240" s="98">
        <f t="shared" si="245"/>
        <v>63.172494373301554</v>
      </c>
      <c r="X240" s="98">
        <f t="shared" si="245"/>
        <v>63.166159244117658</v>
      </c>
      <c r="Y240" s="98">
        <f t="shared" si="245"/>
        <v>63.163307756249992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0</v>
      </c>
      <c r="C241" s="32">
        <f t="shared" si="246"/>
        <v>0</v>
      </c>
      <c r="D241" s="32">
        <f t="shared" si="246"/>
        <v>0</v>
      </c>
      <c r="E241" s="32">
        <f t="shared" si="246"/>
        <v>0</v>
      </c>
      <c r="F241" s="32">
        <f t="shared" si="246"/>
        <v>0</v>
      </c>
      <c r="G241" s="32">
        <f t="shared" si="246"/>
        <v>0</v>
      </c>
      <c r="H241" s="32">
        <f t="shared" si="246"/>
        <v>0</v>
      </c>
      <c r="I241" s="32">
        <f t="shared" si="246"/>
        <v>0</v>
      </c>
      <c r="J241" s="32">
        <f t="shared" si="246"/>
        <v>0</v>
      </c>
      <c r="K241" s="32">
        <f t="shared" si="246"/>
        <v>0</v>
      </c>
      <c r="L241" s="32">
        <f t="shared" si="246"/>
        <v>0</v>
      </c>
      <c r="M241" s="32">
        <f t="shared" si="246"/>
        <v>0</v>
      </c>
      <c r="N241" s="32">
        <f t="shared" si="246"/>
        <v>0</v>
      </c>
      <c r="O241" s="32">
        <f t="shared" si="246"/>
        <v>0</v>
      </c>
      <c r="P241" s="32">
        <f t="shared" si="246"/>
        <v>0</v>
      </c>
      <c r="Q241" s="32">
        <f t="shared" si="246"/>
        <v>0</v>
      </c>
      <c r="R241" s="32">
        <f t="shared" si="246"/>
        <v>0</v>
      </c>
      <c r="S241" s="32">
        <f t="shared" si="246"/>
        <v>0</v>
      </c>
      <c r="T241" s="32">
        <f t="shared" si="246"/>
        <v>0</v>
      </c>
      <c r="U241" s="32">
        <f t="shared" si="246"/>
        <v>0</v>
      </c>
      <c r="V241" s="32">
        <f t="shared" si="246"/>
        <v>0</v>
      </c>
      <c r="W241" s="32">
        <f t="shared" si="246"/>
        <v>0</v>
      </c>
      <c r="X241" s="32">
        <f t="shared" si="246"/>
        <v>0</v>
      </c>
      <c r="Y241" s="32">
        <f t="shared" si="246"/>
        <v>0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0</v>
      </c>
      <c r="C242" s="97">
        <f t="shared" si="247"/>
        <v>0</v>
      </c>
      <c r="D242" s="97">
        <f t="shared" si="247"/>
        <v>0</v>
      </c>
      <c r="E242" s="97">
        <f t="shared" si="247"/>
        <v>0</v>
      </c>
      <c r="F242" s="97">
        <f t="shared" si="247"/>
        <v>0</v>
      </c>
      <c r="G242" s="97">
        <f t="shared" si="247"/>
        <v>0</v>
      </c>
      <c r="H242" s="97">
        <f t="shared" si="247"/>
        <v>0</v>
      </c>
      <c r="I242" s="97">
        <f t="shared" si="247"/>
        <v>0</v>
      </c>
      <c r="J242" s="97">
        <f t="shared" si="247"/>
        <v>0</v>
      </c>
      <c r="K242" s="97">
        <f t="shared" si="247"/>
        <v>0</v>
      </c>
      <c r="L242" s="97">
        <f t="shared" si="247"/>
        <v>0</v>
      </c>
      <c r="M242" s="97">
        <f t="shared" si="247"/>
        <v>0</v>
      </c>
      <c r="N242" s="97">
        <f t="shared" si="247"/>
        <v>0</v>
      </c>
      <c r="O242" s="97">
        <f t="shared" si="247"/>
        <v>0</v>
      </c>
      <c r="P242" s="97">
        <f t="shared" si="247"/>
        <v>0</v>
      </c>
      <c r="Q242" s="97">
        <f t="shared" si="247"/>
        <v>0</v>
      </c>
      <c r="R242" s="97">
        <f t="shared" si="247"/>
        <v>0</v>
      </c>
      <c r="S242" s="97">
        <f t="shared" si="247"/>
        <v>0</v>
      </c>
      <c r="T242" s="97">
        <f t="shared" si="247"/>
        <v>0</v>
      </c>
      <c r="U242" s="97">
        <f t="shared" si="247"/>
        <v>0</v>
      </c>
      <c r="V242" s="97">
        <f t="shared" si="247"/>
        <v>0</v>
      </c>
      <c r="W242" s="97">
        <f t="shared" si="247"/>
        <v>0</v>
      </c>
      <c r="X242" s="97">
        <f t="shared" si="247"/>
        <v>0</v>
      </c>
      <c r="Y242" s="97">
        <f t="shared" si="247"/>
        <v>0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0</v>
      </c>
      <c r="C243" s="98">
        <f t="shared" si="248"/>
        <v>0</v>
      </c>
      <c r="D243" s="98">
        <f t="shared" si="248"/>
        <v>0</v>
      </c>
      <c r="E243" s="98">
        <f t="shared" si="248"/>
        <v>0</v>
      </c>
      <c r="F243" s="98">
        <f t="shared" si="248"/>
        <v>0</v>
      </c>
      <c r="G243" s="98">
        <f t="shared" si="248"/>
        <v>0</v>
      </c>
      <c r="H243" s="98">
        <f t="shared" si="248"/>
        <v>0</v>
      </c>
      <c r="I243" s="98">
        <f t="shared" si="248"/>
        <v>0</v>
      </c>
      <c r="J243" s="98">
        <f t="shared" si="248"/>
        <v>0</v>
      </c>
      <c r="K243" s="98">
        <f t="shared" si="248"/>
        <v>0</v>
      </c>
      <c r="L243" s="98">
        <f t="shared" si="248"/>
        <v>0</v>
      </c>
      <c r="M243" s="98">
        <f t="shared" si="248"/>
        <v>0</v>
      </c>
      <c r="N243" s="98">
        <f t="shared" si="248"/>
        <v>0</v>
      </c>
      <c r="O243" s="98">
        <f t="shared" si="248"/>
        <v>0</v>
      </c>
      <c r="P243" s="98">
        <f t="shared" si="248"/>
        <v>0</v>
      </c>
      <c r="Q243" s="98">
        <f t="shared" si="248"/>
        <v>0</v>
      </c>
      <c r="R243" s="98">
        <f t="shared" si="248"/>
        <v>0</v>
      </c>
      <c r="S243" s="98">
        <f t="shared" si="248"/>
        <v>0</v>
      </c>
      <c r="T243" s="98">
        <f t="shared" si="248"/>
        <v>0</v>
      </c>
      <c r="U243" s="98">
        <f t="shared" si="248"/>
        <v>0</v>
      </c>
      <c r="V243" s="98">
        <f t="shared" si="248"/>
        <v>0</v>
      </c>
      <c r="W243" s="98">
        <f t="shared" si="248"/>
        <v>0</v>
      </c>
      <c r="X243" s="98">
        <f t="shared" si="248"/>
        <v>0</v>
      </c>
      <c r="Y243" s="98">
        <f t="shared" si="248"/>
        <v>0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33306.615452639082</v>
      </c>
      <c r="C4" s="29">
        <f t="shared" si="0"/>
        <v>33365.169997701094</v>
      </c>
      <c r="D4" s="29">
        <f t="shared" si="0"/>
        <v>34282.402514893249</v>
      </c>
      <c r="E4" s="29">
        <f t="shared" si="0"/>
        <v>34054.610617788421</v>
      </c>
      <c r="F4" s="29">
        <f t="shared" si="0"/>
        <v>34241.538820873175</v>
      </c>
      <c r="G4" s="29">
        <f t="shared" si="0"/>
        <v>34427.168282080565</v>
      </c>
      <c r="H4" s="29">
        <f t="shared" si="0"/>
        <v>35093.375804088457</v>
      </c>
      <c r="I4" s="29">
        <f t="shared" si="0"/>
        <v>34720.401627257597</v>
      </c>
      <c r="J4" s="29">
        <f t="shared" si="0"/>
        <v>33924.710403967227</v>
      </c>
      <c r="K4" s="29">
        <f t="shared" si="0"/>
        <v>31865.38624960581</v>
      </c>
      <c r="L4" s="29">
        <f t="shared" ref="L4" si="1">L5+L6+L13</f>
        <v>32214.962797655673</v>
      </c>
      <c r="M4" s="29">
        <f t="shared" ref="M4:V4" si="2">M5+M6+M13</f>
        <v>32442.887144943434</v>
      </c>
      <c r="N4" s="29">
        <f t="shared" si="2"/>
        <v>32458.860918975166</v>
      </c>
      <c r="O4" s="29">
        <f t="shared" si="2"/>
        <v>32506.403313773193</v>
      </c>
      <c r="P4" s="29">
        <f t="shared" si="2"/>
        <v>32708.934375117424</v>
      </c>
      <c r="Q4" s="29">
        <f t="shared" si="2"/>
        <v>33015.748457614987</v>
      </c>
      <c r="R4" s="29">
        <f t="shared" si="2"/>
        <v>33851.716574164195</v>
      </c>
      <c r="S4" s="29">
        <f t="shared" si="2"/>
        <v>34164.028110802465</v>
      </c>
      <c r="T4" s="29">
        <f t="shared" si="2"/>
        <v>34813.581108185455</v>
      </c>
      <c r="U4" s="29">
        <f t="shared" si="2"/>
        <v>34925.75799490411</v>
      </c>
      <c r="V4" s="29">
        <f t="shared" si="2"/>
        <v>28680.615113516007</v>
      </c>
      <c r="W4" s="29">
        <f t="shared" ref="W4:Y4" si="3">W5+W6+W13</f>
        <v>30000.124148236784</v>
      </c>
      <c r="X4" s="29">
        <f t="shared" si="3"/>
        <v>32848.775482669749</v>
      </c>
      <c r="Y4" s="29">
        <f t="shared" si="3"/>
        <v>35196.206840687213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60.151952639079347</v>
      </c>
      <c r="C5" s="152">
        <f t="shared" si="4"/>
        <v>63.532777701094609</v>
      </c>
      <c r="D5" s="152">
        <f t="shared" si="4"/>
        <v>55.614144893245978</v>
      </c>
      <c r="E5" s="152">
        <f t="shared" si="4"/>
        <v>56.61621778841846</v>
      </c>
      <c r="F5" s="152">
        <f t="shared" si="4"/>
        <v>59.775590873169669</v>
      </c>
      <c r="G5" s="152">
        <f t="shared" si="4"/>
        <v>65.385822080566285</v>
      </c>
      <c r="H5" s="152">
        <f t="shared" si="4"/>
        <v>67.80180408845375</v>
      </c>
      <c r="I5" s="152">
        <f t="shared" si="4"/>
        <v>74.339627257596064</v>
      </c>
      <c r="J5" s="152">
        <f t="shared" si="4"/>
        <v>80.994803967230197</v>
      </c>
      <c r="K5" s="152">
        <f t="shared" si="4"/>
        <v>71.04944960581004</v>
      </c>
      <c r="L5" s="152">
        <f t="shared" ref="L5:L7" si="5">IF(L32=0,0,L32*L142)</f>
        <v>65.183297655671424</v>
      </c>
      <c r="M5" s="152">
        <f t="shared" ref="M5:V5" si="6">IF(M32=0,0,M32*M142)</f>
        <v>78.814234943436517</v>
      </c>
      <c r="N5" s="152">
        <f t="shared" si="6"/>
        <v>91.769488975163938</v>
      </c>
      <c r="O5" s="152">
        <f t="shared" si="6"/>
        <v>93.909113773192132</v>
      </c>
      <c r="P5" s="152">
        <f t="shared" si="6"/>
        <v>104.72565511742334</v>
      </c>
      <c r="Q5" s="152">
        <f t="shared" si="6"/>
        <v>117.11800761498681</v>
      </c>
      <c r="R5" s="152">
        <f t="shared" si="6"/>
        <v>124.77168416419102</v>
      </c>
      <c r="S5" s="152">
        <f t="shared" si="6"/>
        <v>119.02811080246097</v>
      </c>
      <c r="T5" s="152">
        <f t="shared" si="6"/>
        <v>114.58110818545592</v>
      </c>
      <c r="U5" s="152">
        <f t="shared" si="6"/>
        <v>122.75799490411427</v>
      </c>
      <c r="V5" s="152">
        <f t="shared" si="6"/>
        <v>110.68836665230542</v>
      </c>
      <c r="W5" s="152">
        <f t="shared" ref="W5:Y5" si="7">IF(W32=0,0,W32*W142)</f>
        <v>115.93408285043137</v>
      </c>
      <c r="X5" s="152">
        <f t="shared" si="7"/>
        <v>118.28450269616117</v>
      </c>
      <c r="Y5" s="152">
        <f t="shared" si="7"/>
        <v>128.83181898505666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23929</v>
      </c>
      <c r="C6" s="116">
        <f t="shared" si="8"/>
        <v>24056</v>
      </c>
      <c r="D6" s="116">
        <f t="shared" si="8"/>
        <v>24978</v>
      </c>
      <c r="E6" s="116">
        <f t="shared" si="8"/>
        <v>25224</v>
      </c>
      <c r="F6" s="116">
        <f t="shared" si="8"/>
        <v>25332</v>
      </c>
      <c r="G6" s="116">
        <f t="shared" si="8"/>
        <v>25824</v>
      </c>
      <c r="H6" s="116">
        <f t="shared" si="8"/>
        <v>26342</v>
      </c>
      <c r="I6" s="116">
        <f t="shared" si="8"/>
        <v>25994</v>
      </c>
      <c r="J6" s="116">
        <f t="shared" si="8"/>
        <v>26395</v>
      </c>
      <c r="K6" s="116">
        <f t="shared" si="8"/>
        <v>26420</v>
      </c>
      <c r="L6" s="116">
        <f t="shared" ref="L6" si="9">SUM(L7:L12)</f>
        <v>26879</v>
      </c>
      <c r="M6" s="116">
        <f t="shared" ref="M6:V6" si="10">SUM(M7:M12)</f>
        <v>26887</v>
      </c>
      <c r="N6" s="116">
        <f t="shared" si="10"/>
        <v>26935</v>
      </c>
      <c r="O6" s="116">
        <f t="shared" si="10"/>
        <v>27155</v>
      </c>
      <c r="P6" s="116">
        <f t="shared" si="10"/>
        <v>27251</v>
      </c>
      <c r="Q6" s="116">
        <f t="shared" si="10"/>
        <v>27531</v>
      </c>
      <c r="R6" s="116">
        <f t="shared" si="10"/>
        <v>27836</v>
      </c>
      <c r="S6" s="116">
        <f t="shared" si="10"/>
        <v>28120</v>
      </c>
      <c r="T6" s="116">
        <f t="shared" si="10"/>
        <v>28460</v>
      </c>
      <c r="U6" s="116">
        <f t="shared" si="10"/>
        <v>28616</v>
      </c>
      <c r="V6" s="116">
        <f t="shared" si="10"/>
        <v>24827.926746863701</v>
      </c>
      <c r="W6" s="116">
        <f t="shared" ref="W6:Y6" si="11">SUM(W7:W12)</f>
        <v>26664.190065386352</v>
      </c>
      <c r="X6" s="116">
        <f t="shared" si="11"/>
        <v>28389.490979973587</v>
      </c>
      <c r="Y6" s="116">
        <f t="shared" si="11"/>
        <v>30212.375021702159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18453.93960960667</v>
      </c>
      <c r="C7" s="87">
        <f t="shared" si="12"/>
        <v>18264.696833367911</v>
      </c>
      <c r="D7" s="87">
        <f t="shared" si="12"/>
        <v>18371.619645110655</v>
      </c>
      <c r="E7" s="87">
        <f t="shared" si="12"/>
        <v>18144.009553713197</v>
      </c>
      <c r="F7" s="87">
        <f t="shared" si="12"/>
        <v>17988.166062032877</v>
      </c>
      <c r="G7" s="87">
        <f t="shared" si="12"/>
        <v>18220.475006536519</v>
      </c>
      <c r="H7" s="87">
        <f t="shared" si="12"/>
        <v>18375.644456699145</v>
      </c>
      <c r="I7" s="87">
        <f t="shared" si="12"/>
        <v>17490.188350461514</v>
      </c>
      <c r="J7" s="87">
        <f t="shared" si="12"/>
        <v>17420.082934920039</v>
      </c>
      <c r="K7" s="87">
        <f t="shared" si="12"/>
        <v>17206.505483037265</v>
      </c>
      <c r="L7" s="87">
        <f t="shared" si="5"/>
        <v>17493.031193737879</v>
      </c>
      <c r="M7" s="87">
        <f t="shared" ref="M7:V7" si="13">IF(M34=0,0,M34*M144)</f>
        <v>16749.370876754292</v>
      </c>
      <c r="N7" s="87">
        <f t="shared" si="13"/>
        <v>16810.132000353362</v>
      </c>
      <c r="O7" s="87">
        <f t="shared" si="13"/>
        <v>17153.91818530743</v>
      </c>
      <c r="P7" s="87">
        <f t="shared" si="13"/>
        <v>17235.9517453312</v>
      </c>
      <c r="Q7" s="87">
        <f t="shared" si="13"/>
        <v>17558.376065577537</v>
      </c>
      <c r="R7" s="87">
        <f t="shared" si="13"/>
        <v>18008.503429759749</v>
      </c>
      <c r="S7" s="87">
        <f t="shared" si="13"/>
        <v>18202.256989074482</v>
      </c>
      <c r="T7" s="87">
        <f t="shared" si="13"/>
        <v>18393.063280000115</v>
      </c>
      <c r="U7" s="87">
        <f t="shared" si="13"/>
        <v>18450.899273559455</v>
      </c>
      <c r="V7" s="87">
        <f t="shared" si="13"/>
        <v>15838.016648800969</v>
      </c>
      <c r="W7" s="87">
        <f t="shared" ref="W7:Y7" si="14">IF(W34=0,0,W34*W144)</f>
        <v>16834.326049680429</v>
      </c>
      <c r="X7" s="87">
        <f t="shared" si="14"/>
        <v>18098.271967968547</v>
      </c>
      <c r="Y7" s="87">
        <f t="shared" si="14"/>
        <v>19420.675434841123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5475.0603903933297</v>
      </c>
      <c r="C8" s="87">
        <f t="shared" si="15"/>
        <v>5751.222110048624</v>
      </c>
      <c r="D8" s="87">
        <f t="shared" si="15"/>
        <v>6565.6518035398658</v>
      </c>
      <c r="E8" s="87">
        <f t="shared" si="15"/>
        <v>6961.7975280019127</v>
      </c>
      <c r="F8" s="87">
        <f t="shared" si="15"/>
        <v>7204.7009701352035</v>
      </c>
      <c r="G8" s="87">
        <f t="shared" si="15"/>
        <v>7430.4073144858921</v>
      </c>
      <c r="H8" s="87">
        <f t="shared" si="15"/>
        <v>7793.5310010849498</v>
      </c>
      <c r="I8" s="87">
        <f t="shared" si="15"/>
        <v>8203.7144132218673</v>
      </c>
      <c r="J8" s="87">
        <f t="shared" si="15"/>
        <v>8697.3754353105396</v>
      </c>
      <c r="K8" s="87">
        <f t="shared" si="15"/>
        <v>8941.1768518521276</v>
      </c>
      <c r="L8" s="87">
        <f t="shared" ref="L8" si="16">IF(L35=0,0,L35*L145)</f>
        <v>9063.5139385189395</v>
      </c>
      <c r="M8" s="87">
        <f t="shared" ref="M8:V8" si="17">IF(M35=0,0,M35*M145)</f>
        <v>9098.2297679457552</v>
      </c>
      <c r="N8" s="87">
        <f t="shared" si="17"/>
        <v>9063.2493092285258</v>
      </c>
      <c r="O8" s="87">
        <f t="shared" si="17"/>
        <v>8914.6339223431787</v>
      </c>
      <c r="P8" s="87">
        <f t="shared" si="17"/>
        <v>8932.138032411036</v>
      </c>
      <c r="Q8" s="87">
        <f t="shared" si="17"/>
        <v>8860.8774810908471</v>
      </c>
      <c r="R8" s="87">
        <f t="shared" si="17"/>
        <v>8832.5845378027334</v>
      </c>
      <c r="S8" s="87">
        <f t="shared" si="17"/>
        <v>9030.9581624167222</v>
      </c>
      <c r="T8" s="87">
        <f t="shared" si="17"/>
        <v>9227.3534840678949</v>
      </c>
      <c r="U8" s="87">
        <f t="shared" si="17"/>
        <v>9393.7045155182495</v>
      </c>
      <c r="V8" s="87">
        <f t="shared" si="17"/>
        <v>8330.4477293585733</v>
      </c>
      <c r="W8" s="87">
        <f t="shared" ref="W8:Y8" si="18">IF(W35=0,0,W35*W145)</f>
        <v>9126.0101314832427</v>
      </c>
      <c r="X8" s="87">
        <f t="shared" si="18"/>
        <v>9512.6001087527547</v>
      </c>
      <c r="Y8" s="87">
        <f t="shared" si="18"/>
        <v>9886.0091565755392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29.353821880609743</v>
      </c>
      <c r="H9" s="87">
        <f t="shared" si="19"/>
        <v>29.184620827731862</v>
      </c>
      <c r="I9" s="87">
        <f t="shared" si="19"/>
        <v>27.966462426601897</v>
      </c>
      <c r="J9" s="87">
        <f t="shared" si="19"/>
        <v>26.478667892917652</v>
      </c>
      <c r="K9" s="87">
        <f t="shared" si="19"/>
        <v>25.324361548195569</v>
      </c>
      <c r="L9" s="87">
        <f t="shared" ref="L9" si="20">IF(L36=0,0,L36*L146)</f>
        <v>51.938856040306206</v>
      </c>
      <c r="M9" s="87">
        <f t="shared" ref="M9:V9" si="21">IF(M36=0,0,M36*M146)</f>
        <v>788.17006605546919</v>
      </c>
      <c r="N9" s="87">
        <f t="shared" si="21"/>
        <v>846.07762653510258</v>
      </c>
      <c r="O9" s="87">
        <f t="shared" si="21"/>
        <v>892.60577531691581</v>
      </c>
      <c r="P9" s="87">
        <f t="shared" si="21"/>
        <v>872.71514749604762</v>
      </c>
      <c r="Q9" s="87">
        <f t="shared" si="21"/>
        <v>906.24977062551761</v>
      </c>
      <c r="R9" s="87">
        <f t="shared" si="21"/>
        <v>850.42617415019151</v>
      </c>
      <c r="S9" s="87">
        <f t="shared" si="21"/>
        <v>751.00210276674215</v>
      </c>
      <c r="T9" s="87">
        <f t="shared" si="21"/>
        <v>707.95960045925676</v>
      </c>
      <c r="U9" s="87">
        <f t="shared" si="21"/>
        <v>659.1760735119642</v>
      </c>
      <c r="V9" s="87">
        <f t="shared" si="21"/>
        <v>561.53740684707509</v>
      </c>
      <c r="W9" s="87">
        <f t="shared" ref="W9:Y9" si="22">IF(W36=0,0,W36*W146)</f>
        <v>577.59385626321773</v>
      </c>
      <c r="X9" s="87">
        <f t="shared" si="22"/>
        <v>609.19514974563492</v>
      </c>
      <c r="Y9" s="87">
        <f t="shared" si="22"/>
        <v>651.53287352744621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40.081056583464971</v>
      </c>
      <c r="D10" s="87">
        <f t="shared" si="23"/>
        <v>40.728551349477712</v>
      </c>
      <c r="E10" s="87">
        <f t="shared" si="23"/>
        <v>118.1929182848915</v>
      </c>
      <c r="F10" s="87">
        <f t="shared" si="23"/>
        <v>139.13296783191996</v>
      </c>
      <c r="G10" s="87">
        <f t="shared" si="23"/>
        <v>143.76385709697922</v>
      </c>
      <c r="H10" s="87">
        <f t="shared" si="23"/>
        <v>143.63992138817574</v>
      </c>
      <c r="I10" s="87">
        <f t="shared" si="23"/>
        <v>272.13077389001921</v>
      </c>
      <c r="J10" s="87">
        <f t="shared" si="23"/>
        <v>251.06296187650497</v>
      </c>
      <c r="K10" s="87">
        <f t="shared" si="23"/>
        <v>246.99330356241313</v>
      </c>
      <c r="L10" s="87">
        <f t="shared" ref="L10" si="24">IF(L37=0,0,L37*L147)</f>
        <v>270.51601170287398</v>
      </c>
      <c r="M10" s="87">
        <f t="shared" ref="M10:V10" si="25">IF(M37=0,0,M37*M147)</f>
        <v>251.01393872060487</v>
      </c>
      <c r="N10" s="87">
        <f t="shared" si="25"/>
        <v>215.23145482713639</v>
      </c>
      <c r="O10" s="87">
        <f t="shared" si="25"/>
        <v>193.19127927067615</v>
      </c>
      <c r="P10" s="87">
        <f t="shared" si="25"/>
        <v>208.58680747309884</v>
      </c>
      <c r="Q10" s="87">
        <f t="shared" si="25"/>
        <v>203.3193206442557</v>
      </c>
      <c r="R10" s="87">
        <f t="shared" si="25"/>
        <v>139.76044639372506</v>
      </c>
      <c r="S10" s="87">
        <f t="shared" si="25"/>
        <v>126.19639101820744</v>
      </c>
      <c r="T10" s="87">
        <f t="shared" si="25"/>
        <v>114.17328913900744</v>
      </c>
      <c r="U10" s="87">
        <f t="shared" si="25"/>
        <v>90.90506575496417</v>
      </c>
      <c r="V10" s="87">
        <f t="shared" si="25"/>
        <v>61.749887460577206</v>
      </c>
      <c r="W10" s="87">
        <f t="shared" ref="W10:Y10" si="26">IF(W37=0,0,W37*W147)</f>
        <v>65.694617597156608</v>
      </c>
      <c r="X10" s="87">
        <f t="shared" si="26"/>
        <v>72.543413564598453</v>
      </c>
      <c r="Y10" s="87">
        <f t="shared" si="26"/>
        <v>79.676437902949857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8.0976367745067265E-2</v>
      </c>
      <c r="O11" s="87">
        <f t="shared" si="29"/>
        <v>8.3257247288944167E-2</v>
      </c>
      <c r="P11" s="87">
        <f t="shared" si="29"/>
        <v>0.33756631018223554</v>
      </c>
      <c r="Q11" s="87">
        <f t="shared" si="29"/>
        <v>0.63397539053069252</v>
      </c>
      <c r="R11" s="87">
        <f t="shared" si="29"/>
        <v>2.4811726951263533</v>
      </c>
      <c r="S11" s="87">
        <f t="shared" si="29"/>
        <v>5.0509195766480399</v>
      </c>
      <c r="T11" s="87">
        <f t="shared" si="29"/>
        <v>8.3889304767469106</v>
      </c>
      <c r="U11" s="87">
        <f t="shared" si="29"/>
        <v>10.39169538352523</v>
      </c>
      <c r="V11" s="87">
        <f t="shared" si="29"/>
        <v>16.740579235658988</v>
      </c>
      <c r="W11" s="87">
        <f t="shared" ref="W11:Y11" si="30">IF(W38=0,0,W38*W148)</f>
        <v>27.06038889981625</v>
      </c>
      <c r="X11" s="87">
        <f t="shared" si="30"/>
        <v>44.788297141879511</v>
      </c>
      <c r="Y11" s="87">
        <f t="shared" si="30"/>
        <v>80.954480123946595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0.21535052387817996</v>
      </c>
      <c r="N12" s="87">
        <f t="shared" si="33"/>
        <v>0.22863268813032303</v>
      </c>
      <c r="O12" s="87">
        <f t="shared" si="33"/>
        <v>0.5675805145092564</v>
      </c>
      <c r="P12" s="87">
        <f t="shared" si="33"/>
        <v>1.2707009784299355</v>
      </c>
      <c r="Q12" s="87">
        <f t="shared" si="33"/>
        <v>1.5433866713124849</v>
      </c>
      <c r="R12" s="87">
        <f t="shared" si="33"/>
        <v>2.2442391984773939</v>
      </c>
      <c r="S12" s="87">
        <f t="shared" si="33"/>
        <v>4.5354351471998022</v>
      </c>
      <c r="T12" s="87">
        <f t="shared" si="33"/>
        <v>9.0614158569794725</v>
      </c>
      <c r="U12" s="87">
        <f t="shared" si="33"/>
        <v>10.923376271843694</v>
      </c>
      <c r="V12" s="87">
        <f t="shared" si="33"/>
        <v>19.434495160849103</v>
      </c>
      <c r="W12" s="87">
        <f t="shared" ref="W12:Y12" si="34">IF(W39=0,0,W39*W149)</f>
        <v>33.505021462488031</v>
      </c>
      <c r="X12" s="87">
        <f t="shared" si="34"/>
        <v>52.09204280017002</v>
      </c>
      <c r="Y12" s="87">
        <f t="shared" si="34"/>
        <v>93.526638731156908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9317.4634999999998</v>
      </c>
      <c r="C13" s="116">
        <f t="shared" si="35"/>
        <v>9245.6372200000005</v>
      </c>
      <c r="D13" s="116">
        <f t="shared" si="35"/>
        <v>9248.7883700000002</v>
      </c>
      <c r="E13" s="116">
        <f t="shared" si="35"/>
        <v>8773.9943999999996</v>
      </c>
      <c r="F13" s="116">
        <f t="shared" si="35"/>
        <v>8849.7632300000005</v>
      </c>
      <c r="G13" s="116">
        <f t="shared" si="35"/>
        <v>8537.7824600000004</v>
      </c>
      <c r="H13" s="116">
        <f t="shared" si="35"/>
        <v>8683.5740000000005</v>
      </c>
      <c r="I13" s="116">
        <f t="shared" si="35"/>
        <v>8652.0620000000017</v>
      </c>
      <c r="J13" s="116">
        <f t="shared" si="35"/>
        <v>7448.7155999999995</v>
      </c>
      <c r="K13" s="116">
        <f t="shared" si="35"/>
        <v>5374.3368</v>
      </c>
      <c r="L13" s="116">
        <f t="shared" ref="L13" si="36">SUM(L14:L18)</f>
        <v>5270.7794999999996</v>
      </c>
      <c r="M13" s="116">
        <f t="shared" ref="M13:V13" si="37">SUM(M14:M18)</f>
        <v>5477.0729099999999</v>
      </c>
      <c r="N13" s="116">
        <f t="shared" si="37"/>
        <v>5432.0914300000004</v>
      </c>
      <c r="O13" s="116">
        <f t="shared" si="37"/>
        <v>5257.494200000001</v>
      </c>
      <c r="P13" s="116">
        <f t="shared" si="37"/>
        <v>5353.2087200000005</v>
      </c>
      <c r="Q13" s="116">
        <f t="shared" si="37"/>
        <v>5367.6304499999997</v>
      </c>
      <c r="R13" s="116">
        <f t="shared" si="37"/>
        <v>5890.9448899999998</v>
      </c>
      <c r="S13" s="116">
        <f t="shared" si="37"/>
        <v>5925</v>
      </c>
      <c r="T13" s="116">
        <f t="shared" si="37"/>
        <v>6239</v>
      </c>
      <c r="U13" s="116">
        <f t="shared" si="37"/>
        <v>6187</v>
      </c>
      <c r="V13" s="116">
        <f t="shared" si="37"/>
        <v>3742</v>
      </c>
      <c r="W13" s="116">
        <f t="shared" ref="W13:Y13" si="38">SUM(W14:W18)</f>
        <v>3220</v>
      </c>
      <c r="X13" s="116">
        <f t="shared" si="38"/>
        <v>4341</v>
      </c>
      <c r="Y13" s="116">
        <f t="shared" si="38"/>
        <v>4855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:Y14" si="42">IF(W41=0,0,W41*W151)</f>
        <v>0</v>
      </c>
      <c r="X14" s="101">
        <f t="shared" si="42"/>
        <v>0</v>
      </c>
      <c r="Y14" s="101">
        <f t="shared" si="42"/>
        <v>0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9317.4634999999998</v>
      </c>
      <c r="C15" s="101">
        <f t="shared" si="43"/>
        <v>9245.6372200000005</v>
      </c>
      <c r="D15" s="101">
        <f t="shared" si="43"/>
        <v>9248.7883700000002</v>
      </c>
      <c r="E15" s="101">
        <f t="shared" si="43"/>
        <v>8773.9943999999996</v>
      </c>
      <c r="F15" s="101">
        <f t="shared" si="43"/>
        <v>8849.7632300000005</v>
      </c>
      <c r="G15" s="101">
        <f t="shared" si="43"/>
        <v>8537.7824600000004</v>
      </c>
      <c r="H15" s="101">
        <f t="shared" si="43"/>
        <v>8683.5740000000005</v>
      </c>
      <c r="I15" s="101">
        <f t="shared" si="43"/>
        <v>8652.0620000000017</v>
      </c>
      <c r="J15" s="101">
        <f t="shared" si="43"/>
        <v>7448.7155999999995</v>
      </c>
      <c r="K15" s="101">
        <f t="shared" si="43"/>
        <v>5374.3368</v>
      </c>
      <c r="L15" s="101">
        <f t="shared" ref="L15" si="44">IF(L42=0,0,L42*L152)</f>
        <v>5186.2144535634161</v>
      </c>
      <c r="M15" s="101">
        <f t="shared" ref="M15:V15" si="45">IF(M42=0,0,M42*M152)</f>
        <v>5265.4251495560957</v>
      </c>
      <c r="N15" s="101">
        <f t="shared" si="45"/>
        <v>5220.5993971299831</v>
      </c>
      <c r="O15" s="101">
        <f t="shared" si="45"/>
        <v>5049.4665315486918</v>
      </c>
      <c r="P15" s="101">
        <f t="shared" si="45"/>
        <v>5053.0994266962807</v>
      </c>
      <c r="Q15" s="101">
        <f t="shared" si="45"/>
        <v>4997.0871026869936</v>
      </c>
      <c r="R15" s="101">
        <f t="shared" si="45"/>
        <v>5186.8159785136795</v>
      </c>
      <c r="S15" s="101">
        <f t="shared" si="45"/>
        <v>5184.918605479641</v>
      </c>
      <c r="T15" s="101">
        <f t="shared" si="45"/>
        <v>5431.3151939215741</v>
      </c>
      <c r="U15" s="101">
        <f t="shared" si="45"/>
        <v>5461.6032997940274</v>
      </c>
      <c r="V15" s="101">
        <f t="shared" si="45"/>
        <v>3230.5787166586238</v>
      </c>
      <c r="W15" s="101">
        <f t="shared" ref="W15:Y15" si="46">IF(W42=0,0,W42*W152)</f>
        <v>2776.2427049987859</v>
      </c>
      <c r="X15" s="101">
        <f t="shared" si="46"/>
        <v>3792.666078014563</v>
      </c>
      <c r="Y15" s="101">
        <f t="shared" si="46"/>
        <v>4244.093104821307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217.98064966502653</v>
      </c>
      <c r="S17" s="101">
        <f t="shared" si="53"/>
        <v>207.54669041068684</v>
      </c>
      <c r="T17" s="101">
        <f t="shared" si="53"/>
        <v>200.70943944417471</v>
      </c>
      <c r="U17" s="101">
        <f t="shared" si="53"/>
        <v>98.115551492529292</v>
      </c>
      <c r="V17" s="101">
        <f t="shared" si="53"/>
        <v>67.132048480873522</v>
      </c>
      <c r="W17" s="101">
        <f t="shared" ref="W17:Y17" si="54">IF(W44=0,0,W44*W154)</f>
        <v>57.397795560601352</v>
      </c>
      <c r="X17" s="101">
        <f t="shared" si="54"/>
        <v>76.16259709905006</v>
      </c>
      <c r="Y17" s="101">
        <f t="shared" si="54"/>
        <v>83.896682288999429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84.565046436583543</v>
      </c>
      <c r="M18" s="101">
        <f t="shared" ref="M18:V18" si="57">IF(M45=0,0,M45*M155)</f>
        <v>211.64776044390459</v>
      </c>
      <c r="N18" s="101">
        <f t="shared" si="57"/>
        <v>211.49203287001714</v>
      </c>
      <c r="O18" s="101">
        <f t="shared" si="57"/>
        <v>208.02766845130949</v>
      </c>
      <c r="P18" s="101">
        <f t="shared" si="57"/>
        <v>300.10929330371971</v>
      </c>
      <c r="Q18" s="101">
        <f t="shared" si="57"/>
        <v>370.543347313006</v>
      </c>
      <c r="R18" s="101">
        <f t="shared" si="57"/>
        <v>486.14826182129366</v>
      </c>
      <c r="S18" s="101">
        <f t="shared" si="57"/>
        <v>532.53470410967236</v>
      </c>
      <c r="T18" s="101">
        <f t="shared" si="57"/>
        <v>606.97536663425115</v>
      </c>
      <c r="U18" s="101">
        <f t="shared" si="57"/>
        <v>627.28114871344337</v>
      </c>
      <c r="V18" s="101">
        <f t="shared" si="57"/>
        <v>444.28923486050263</v>
      </c>
      <c r="W18" s="101">
        <f t="shared" ref="W18:Y18" si="58">IF(W45=0,0,W45*W155)</f>
        <v>386.35949944061258</v>
      </c>
      <c r="X18" s="101">
        <f t="shared" si="58"/>
        <v>472.17132488638674</v>
      </c>
      <c r="Y18" s="101">
        <f t="shared" si="58"/>
        <v>527.01021288969355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8785.0795419066581</v>
      </c>
      <c r="C19" s="29">
        <f t="shared" si="59"/>
        <v>9303.4105194715576</v>
      </c>
      <c r="D19" s="29">
        <f t="shared" si="59"/>
        <v>9231.3139804285456</v>
      </c>
      <c r="E19" s="29">
        <f t="shared" si="59"/>
        <v>9480.015361091173</v>
      </c>
      <c r="F19" s="29">
        <f t="shared" si="59"/>
        <v>10364.399743887881</v>
      </c>
      <c r="G19" s="29">
        <f t="shared" si="59"/>
        <v>10749.867059844955</v>
      </c>
      <c r="H19" s="29">
        <f t="shared" si="59"/>
        <v>10621.398183576413</v>
      </c>
      <c r="I19" s="29">
        <f t="shared" si="59"/>
        <v>12419.655174002948</v>
      </c>
      <c r="J19" s="29">
        <f t="shared" si="59"/>
        <v>12947.845371035341</v>
      </c>
      <c r="K19" s="29">
        <f t="shared" si="59"/>
        <v>11907.827596507543</v>
      </c>
      <c r="L19" s="29">
        <f t="shared" ref="L19" si="60">L20+L26</f>
        <v>12088.683782183014</v>
      </c>
      <c r="M19" s="29">
        <f t="shared" ref="M19:V19" si="61">M20+M26</f>
        <v>12272.485468420977</v>
      </c>
      <c r="N19" s="29">
        <f t="shared" si="61"/>
        <v>12534.725910197285</v>
      </c>
      <c r="O19" s="29">
        <f t="shared" si="61"/>
        <v>12595.550052927643</v>
      </c>
      <c r="P19" s="29">
        <f t="shared" si="61"/>
        <v>13246.561578822466</v>
      </c>
      <c r="Q19" s="29">
        <f t="shared" si="61"/>
        <v>14163.370823540903</v>
      </c>
      <c r="R19" s="29">
        <f t="shared" si="61"/>
        <v>15212.306750729324</v>
      </c>
      <c r="S19" s="29">
        <f t="shared" si="61"/>
        <v>16648.799535791382</v>
      </c>
      <c r="T19" s="29">
        <f t="shared" si="61"/>
        <v>16804.015465083165</v>
      </c>
      <c r="U19" s="29">
        <f t="shared" si="61"/>
        <v>17472.873654087402</v>
      </c>
      <c r="V19" s="29">
        <f t="shared" si="61"/>
        <v>16768.008379188261</v>
      </c>
      <c r="W19" s="29">
        <f t="shared" ref="W19:Y19" si="62">W20+W26</f>
        <v>16803.911467088838</v>
      </c>
      <c r="X19" s="29">
        <f t="shared" si="62"/>
        <v>17550.857325766261</v>
      </c>
      <c r="Y19" s="29">
        <f t="shared" si="62"/>
        <v>16794.135795645248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187.66972960671094</v>
      </c>
      <c r="C20" s="152">
        <f t="shared" si="63"/>
        <v>191.84008389792399</v>
      </c>
      <c r="D20" s="152">
        <f t="shared" si="63"/>
        <v>194.15556623653663</v>
      </c>
      <c r="E20" s="152">
        <f t="shared" si="63"/>
        <v>194.17121593603156</v>
      </c>
      <c r="F20" s="152">
        <f t="shared" si="63"/>
        <v>204.57550987913464</v>
      </c>
      <c r="G20" s="152">
        <f t="shared" si="63"/>
        <v>221.92939977179989</v>
      </c>
      <c r="H20" s="152">
        <f t="shared" si="63"/>
        <v>222.17812363067722</v>
      </c>
      <c r="I20" s="152">
        <f t="shared" si="63"/>
        <v>256.33950063047837</v>
      </c>
      <c r="J20" s="152">
        <f t="shared" si="63"/>
        <v>275.30472209513323</v>
      </c>
      <c r="K20" s="152">
        <f t="shared" si="63"/>
        <v>300.82298541491434</v>
      </c>
      <c r="L20" s="152">
        <f t="shared" ref="L20" si="64">SUM(L21:L25)</f>
        <v>312.23017960539846</v>
      </c>
      <c r="M20" s="152">
        <f t="shared" ref="M20:V20" si="65">SUM(M21:M25)</f>
        <v>321.08551129269125</v>
      </c>
      <c r="N20" s="152">
        <f t="shared" si="65"/>
        <v>336.18351127487574</v>
      </c>
      <c r="O20" s="152">
        <f t="shared" si="65"/>
        <v>302.88578021994016</v>
      </c>
      <c r="P20" s="152">
        <f t="shared" si="65"/>
        <v>265.56134610164492</v>
      </c>
      <c r="Q20" s="152">
        <f t="shared" si="65"/>
        <v>306.73665399518592</v>
      </c>
      <c r="R20" s="152">
        <f t="shared" si="65"/>
        <v>283.7586896613725</v>
      </c>
      <c r="S20" s="152">
        <f t="shared" si="65"/>
        <v>287.6191290746134</v>
      </c>
      <c r="T20" s="152">
        <f t="shared" si="65"/>
        <v>284.01546508316432</v>
      </c>
      <c r="U20" s="152">
        <f t="shared" si="65"/>
        <v>284.87365408740322</v>
      </c>
      <c r="V20" s="152">
        <f t="shared" si="65"/>
        <v>289.00837918825971</v>
      </c>
      <c r="W20" s="152">
        <f t="shared" ref="W20:Y20" si="66">SUM(W21:W25)</f>
        <v>292.91146708883679</v>
      </c>
      <c r="X20" s="152">
        <f t="shared" si="66"/>
        <v>296.85732576626219</v>
      </c>
      <c r="Y20" s="152">
        <f t="shared" si="66"/>
        <v>301.1357956452477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53.540075659110066</v>
      </c>
      <c r="C21" s="87">
        <f t="shared" si="67"/>
        <v>54.659704810918178</v>
      </c>
      <c r="D21" s="87">
        <f t="shared" si="67"/>
        <v>55.851051236407969</v>
      </c>
      <c r="E21" s="87">
        <f t="shared" si="67"/>
        <v>55.840184517506053</v>
      </c>
      <c r="F21" s="87">
        <f t="shared" si="67"/>
        <v>70.033654170302768</v>
      </c>
      <c r="G21" s="87">
        <f t="shared" si="67"/>
        <v>71.107883451092476</v>
      </c>
      <c r="H21" s="87">
        <f t="shared" si="67"/>
        <v>73.054739315302783</v>
      </c>
      <c r="I21" s="87">
        <f t="shared" si="67"/>
        <v>79.153210162638345</v>
      </c>
      <c r="J21" s="87">
        <f t="shared" si="67"/>
        <v>82.733505697320865</v>
      </c>
      <c r="K21" s="87">
        <f t="shared" si="67"/>
        <v>82.585233865801882</v>
      </c>
      <c r="L21" s="87">
        <f t="shared" ref="L21" si="68">IF(L48=0,0,L48*L158)</f>
        <v>63.805284361347859</v>
      </c>
      <c r="M21" s="87">
        <f t="shared" ref="M21:V21" si="69">IF(M48=0,0,M48*M158)</f>
        <v>65.413650264760776</v>
      </c>
      <c r="N21" s="87">
        <f t="shared" si="69"/>
        <v>66.67647310517323</v>
      </c>
      <c r="O21" s="87">
        <f t="shared" si="69"/>
        <v>67.670567325641514</v>
      </c>
      <c r="P21" s="87">
        <f t="shared" si="69"/>
        <v>63.202769337625149</v>
      </c>
      <c r="Q21" s="87">
        <f t="shared" si="69"/>
        <v>72.87110756540693</v>
      </c>
      <c r="R21" s="87">
        <f t="shared" si="69"/>
        <v>81.408787719255045</v>
      </c>
      <c r="S21" s="87">
        <f t="shared" si="69"/>
        <v>72.951736079976712</v>
      </c>
      <c r="T21" s="87">
        <f t="shared" si="69"/>
        <v>69.606364681449222</v>
      </c>
      <c r="U21" s="87">
        <f t="shared" si="69"/>
        <v>59.464134086529143</v>
      </c>
      <c r="V21" s="87">
        <f t="shared" si="69"/>
        <v>59.507869247515906</v>
      </c>
      <c r="W21" s="87">
        <f t="shared" ref="W21:Y21" si="70">IF(W48=0,0,W48*W158)</f>
        <v>59.550658105659735</v>
      </c>
      <c r="X21" s="87">
        <f t="shared" si="70"/>
        <v>59.593416820951113</v>
      </c>
      <c r="Y21" s="87">
        <f t="shared" si="70"/>
        <v>59.636886378643162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134.12965394760087</v>
      </c>
      <c r="C22" s="87">
        <f t="shared" si="71"/>
        <v>137.1803790870058</v>
      </c>
      <c r="D22" s="87">
        <f t="shared" si="71"/>
        <v>138.30451500012865</v>
      </c>
      <c r="E22" s="87">
        <f t="shared" si="71"/>
        <v>138.3310314185255</v>
      </c>
      <c r="F22" s="87">
        <f t="shared" si="71"/>
        <v>134.54185570883189</v>
      </c>
      <c r="G22" s="87">
        <f t="shared" si="71"/>
        <v>150.82151632070742</v>
      </c>
      <c r="H22" s="87">
        <f t="shared" si="71"/>
        <v>149.12338431537444</v>
      </c>
      <c r="I22" s="87">
        <f t="shared" si="71"/>
        <v>177.18629046784</v>
      </c>
      <c r="J22" s="87">
        <f t="shared" si="71"/>
        <v>192.57121639781235</v>
      </c>
      <c r="K22" s="87">
        <f t="shared" si="71"/>
        <v>218.23775154911246</v>
      </c>
      <c r="L22" s="87">
        <f t="shared" ref="L22" si="72">IF(L49=0,0,L49*L159)</f>
        <v>248.42489524405062</v>
      </c>
      <c r="M22" s="87">
        <f t="shared" ref="M22:V22" si="73">IF(M49=0,0,M49*M159)</f>
        <v>255.67186102793048</v>
      </c>
      <c r="N22" s="87">
        <f t="shared" si="73"/>
        <v>269.49507378544502</v>
      </c>
      <c r="O22" s="87">
        <f t="shared" si="73"/>
        <v>235.197883041268</v>
      </c>
      <c r="P22" s="87">
        <f t="shared" si="73"/>
        <v>199.8297761577744</v>
      </c>
      <c r="Q22" s="87">
        <f t="shared" si="73"/>
        <v>231.28717786822827</v>
      </c>
      <c r="R22" s="87">
        <f t="shared" si="73"/>
        <v>199.29141870612332</v>
      </c>
      <c r="S22" s="87">
        <f t="shared" si="73"/>
        <v>211.45180471785889</v>
      </c>
      <c r="T22" s="87">
        <f t="shared" si="73"/>
        <v>210.84546623135716</v>
      </c>
      <c r="U22" s="87">
        <f t="shared" si="73"/>
        <v>221.59169259026746</v>
      </c>
      <c r="V22" s="87">
        <f t="shared" si="73"/>
        <v>225.33140213967653</v>
      </c>
      <c r="W22" s="87">
        <f t="shared" ref="W22:Y22" si="74">IF(W49=0,0,W49*W159)</f>
        <v>229.13046037570925</v>
      </c>
      <c r="X22" s="87">
        <f t="shared" si="74"/>
        <v>232.99333210049309</v>
      </c>
      <c r="Y22" s="87">
        <f t="shared" si="74"/>
        <v>236.92402937414016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6.5664529609321546E-3</v>
      </c>
      <c r="O23" s="87">
        <f t="shared" si="77"/>
        <v>4.7642561133842583E-3</v>
      </c>
      <c r="P23" s="87">
        <f t="shared" si="77"/>
        <v>2.5156118287879545</v>
      </c>
      <c r="Q23" s="87">
        <f t="shared" si="77"/>
        <v>2.5600748792091248</v>
      </c>
      <c r="R23" s="87">
        <f t="shared" si="77"/>
        <v>2.8213749261325503</v>
      </c>
      <c r="S23" s="87">
        <f t="shared" si="77"/>
        <v>2.9480180552517665</v>
      </c>
      <c r="T23" s="87">
        <f t="shared" si="77"/>
        <v>3.0773037434055928</v>
      </c>
      <c r="U23" s="87">
        <f t="shared" si="77"/>
        <v>3.249959925485792</v>
      </c>
      <c r="V23" s="87">
        <f t="shared" si="77"/>
        <v>3.3495699376565158</v>
      </c>
      <c r="W23" s="87">
        <f t="shared" ref="W23:Y23" si="78">IF(W50=0,0,W50*W160)</f>
        <v>3.3506441430760239</v>
      </c>
      <c r="X23" s="87">
        <f t="shared" si="78"/>
        <v>3.3517154229461408</v>
      </c>
      <c r="Y23" s="87">
        <f t="shared" si="78"/>
        <v>3.3311288046044099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5.3979312965289029E-3</v>
      </c>
      <c r="O24" s="87">
        <f t="shared" si="81"/>
        <v>9.8694319257215234E-3</v>
      </c>
      <c r="P24" s="87">
        <f t="shared" si="81"/>
        <v>7.7945827323405541E-3</v>
      </c>
      <c r="Q24" s="87">
        <f t="shared" si="81"/>
        <v>1.0198736714443728E-2</v>
      </c>
      <c r="R24" s="87">
        <f t="shared" si="81"/>
        <v>0.22092444799161445</v>
      </c>
      <c r="S24" s="87">
        <f t="shared" si="81"/>
        <v>0.23117084542942501</v>
      </c>
      <c r="T24" s="87">
        <f t="shared" si="81"/>
        <v>0.37852220480463189</v>
      </c>
      <c r="U24" s="87">
        <f t="shared" si="81"/>
        <v>0.45336564593186579</v>
      </c>
      <c r="V24" s="87">
        <f t="shared" si="81"/>
        <v>0.68027722941441937</v>
      </c>
      <c r="W24" s="87">
        <f t="shared" ref="W24:Y24" si="82">IF(W51=0,0,W51*W161)</f>
        <v>0.6804953939848587</v>
      </c>
      <c r="X24" s="87">
        <f t="shared" si="82"/>
        <v>0.68071296439405582</v>
      </c>
      <c r="Y24" s="87">
        <f t="shared" si="82"/>
        <v>0.67753332717856984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2.6961649914769327E-3</v>
      </c>
      <c r="P25" s="87">
        <f t="shared" si="85"/>
        <v>5.3941947250621021E-3</v>
      </c>
      <c r="Q25" s="87">
        <f t="shared" si="85"/>
        <v>8.0949456270805221E-3</v>
      </c>
      <c r="R25" s="87">
        <f t="shared" si="85"/>
        <v>1.6183861869992162E-2</v>
      </c>
      <c r="S25" s="87">
        <f t="shared" si="85"/>
        <v>3.6399376096570013E-2</v>
      </c>
      <c r="T25" s="87">
        <f t="shared" si="85"/>
        <v>0.10780822214767377</v>
      </c>
      <c r="U25" s="87">
        <f t="shared" si="85"/>
        <v>0.11450183918900997</v>
      </c>
      <c r="V25" s="87">
        <f t="shared" si="85"/>
        <v>0.13926063399642097</v>
      </c>
      <c r="W25" s="87">
        <f t="shared" ref="W25:Y25" si="86">IF(W52=0,0,W52*W162)</f>
        <v>0.19920907040694719</v>
      </c>
      <c r="X25" s="87">
        <f t="shared" si="86"/>
        <v>0.23814845747779115</v>
      </c>
      <c r="Y25" s="87">
        <f t="shared" si="86"/>
        <v>0.56621776068133267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8597.4098122999476</v>
      </c>
      <c r="C26" s="116">
        <f t="shared" si="87"/>
        <v>9111.5704355736343</v>
      </c>
      <c r="D26" s="116">
        <f t="shared" si="87"/>
        <v>9037.1584141920084</v>
      </c>
      <c r="E26" s="116">
        <f t="shared" si="87"/>
        <v>9285.8441451551407</v>
      </c>
      <c r="F26" s="116">
        <f t="shared" si="87"/>
        <v>10159.824234008747</v>
      </c>
      <c r="G26" s="116">
        <f t="shared" si="87"/>
        <v>10527.937660073156</v>
      </c>
      <c r="H26" s="116">
        <f t="shared" si="87"/>
        <v>10399.220059945736</v>
      </c>
      <c r="I26" s="116">
        <f t="shared" si="87"/>
        <v>12163.31567337247</v>
      </c>
      <c r="J26" s="116">
        <f t="shared" si="87"/>
        <v>12672.540648940207</v>
      </c>
      <c r="K26" s="116">
        <f t="shared" si="87"/>
        <v>11607.004611092629</v>
      </c>
      <c r="L26" s="116">
        <f t="shared" ref="L26" si="88">SUM(L27:L28)</f>
        <v>11776.453602577616</v>
      </c>
      <c r="M26" s="116">
        <f t="shared" ref="M26:V26" si="89">SUM(M27:M28)</f>
        <v>11951.399957128286</v>
      </c>
      <c r="N26" s="116">
        <f t="shared" si="89"/>
        <v>12198.542398922409</v>
      </c>
      <c r="O26" s="116">
        <f t="shared" si="89"/>
        <v>12292.664272707703</v>
      </c>
      <c r="P26" s="116">
        <f t="shared" si="89"/>
        <v>12981.00023272082</v>
      </c>
      <c r="Q26" s="116">
        <f t="shared" si="89"/>
        <v>13856.634169545718</v>
      </c>
      <c r="R26" s="116">
        <f t="shared" si="89"/>
        <v>14928.548061067951</v>
      </c>
      <c r="S26" s="116">
        <f t="shared" si="89"/>
        <v>16361.18040671677</v>
      </c>
      <c r="T26" s="116">
        <f t="shared" si="89"/>
        <v>16520</v>
      </c>
      <c r="U26" s="116">
        <f t="shared" si="89"/>
        <v>17188</v>
      </c>
      <c r="V26" s="116">
        <f t="shared" si="89"/>
        <v>16479</v>
      </c>
      <c r="W26" s="116">
        <f t="shared" ref="W26:Y26" si="90">SUM(W27:W28)</f>
        <v>16511</v>
      </c>
      <c r="X26" s="116">
        <f t="shared" si="90"/>
        <v>17254</v>
      </c>
      <c r="Y26" s="116">
        <f t="shared" si="90"/>
        <v>16493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5056</v>
      </c>
      <c r="C27" s="101">
        <f t="shared" si="91"/>
        <v>5318</v>
      </c>
      <c r="D27" s="101">
        <f t="shared" si="91"/>
        <v>5020</v>
      </c>
      <c r="E27" s="101">
        <f t="shared" si="91"/>
        <v>5204</v>
      </c>
      <c r="F27" s="101">
        <f t="shared" si="91"/>
        <v>5422</v>
      </c>
      <c r="G27" s="101">
        <f t="shared" si="91"/>
        <v>5621</v>
      </c>
      <c r="H27" s="101">
        <f t="shared" si="91"/>
        <v>5203</v>
      </c>
      <c r="I27" s="101">
        <f t="shared" si="91"/>
        <v>5617</v>
      </c>
      <c r="J27" s="101">
        <f t="shared" si="91"/>
        <v>6319</v>
      </c>
      <c r="K27" s="101">
        <f t="shared" si="91"/>
        <v>5519</v>
      </c>
      <c r="L27" s="101">
        <f t="shared" ref="L27:V27" si="92">IF(L54=0,0,L54*L164)</f>
        <v>5198</v>
      </c>
      <c r="M27" s="101">
        <f t="shared" si="92"/>
        <v>4906</v>
      </c>
      <c r="N27" s="101">
        <f t="shared" si="92"/>
        <v>5073</v>
      </c>
      <c r="O27" s="101">
        <f t="shared" si="92"/>
        <v>4566</v>
      </c>
      <c r="P27" s="101">
        <f t="shared" si="92"/>
        <v>5094</v>
      </c>
      <c r="Q27" s="101">
        <f t="shared" si="92"/>
        <v>5245</v>
      </c>
      <c r="R27" s="101">
        <f t="shared" si="92"/>
        <v>5697</v>
      </c>
      <c r="S27" s="101">
        <f t="shared" si="92"/>
        <v>6326</v>
      </c>
      <c r="T27" s="101">
        <f t="shared" si="92"/>
        <v>6476.9999999999991</v>
      </c>
      <c r="U27" s="101">
        <f t="shared" si="92"/>
        <v>6730</v>
      </c>
      <c r="V27" s="101">
        <f t="shared" si="92"/>
        <v>6477</v>
      </c>
      <c r="W27" s="101">
        <f t="shared" ref="W27:Y27" si="93">IF(W54=0,0,W54*W164)</f>
        <v>6294.9999999999991</v>
      </c>
      <c r="X27" s="101">
        <f t="shared" si="93"/>
        <v>6203</v>
      </c>
      <c r="Y27" s="101">
        <f t="shared" si="93"/>
        <v>5939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3541.4098122999476</v>
      </c>
      <c r="C28" s="88">
        <f t="shared" si="94"/>
        <v>3793.5704355736343</v>
      </c>
      <c r="D28" s="88">
        <f t="shared" si="94"/>
        <v>4017.158414192008</v>
      </c>
      <c r="E28" s="88">
        <f t="shared" si="94"/>
        <v>4081.8441451551407</v>
      </c>
      <c r="F28" s="88">
        <f t="shared" si="94"/>
        <v>4737.8242340087472</v>
      </c>
      <c r="G28" s="88">
        <f t="shared" si="94"/>
        <v>4906.9376600731557</v>
      </c>
      <c r="H28" s="88">
        <f t="shared" si="94"/>
        <v>5196.2200599457356</v>
      </c>
      <c r="I28" s="88">
        <f t="shared" si="94"/>
        <v>6546.31567337247</v>
      </c>
      <c r="J28" s="88">
        <f t="shared" si="94"/>
        <v>6353.5406489402067</v>
      </c>
      <c r="K28" s="88">
        <f t="shared" si="94"/>
        <v>6088.0046110926287</v>
      </c>
      <c r="L28" s="88">
        <f t="shared" ref="L28:V28" si="95">IF(L55=0,0,L55*L165)</f>
        <v>6578.453602577616</v>
      </c>
      <c r="M28" s="88">
        <f t="shared" si="95"/>
        <v>7045.3999571282857</v>
      </c>
      <c r="N28" s="88">
        <f t="shared" si="95"/>
        <v>7125.5423989224091</v>
      </c>
      <c r="O28" s="88">
        <f t="shared" si="95"/>
        <v>7726.6642727077033</v>
      </c>
      <c r="P28" s="88">
        <f t="shared" si="95"/>
        <v>7887.0002327208203</v>
      </c>
      <c r="Q28" s="88">
        <f t="shared" si="95"/>
        <v>8611.6341695457177</v>
      </c>
      <c r="R28" s="88">
        <f t="shared" si="95"/>
        <v>9231.5480610679515</v>
      </c>
      <c r="S28" s="88">
        <f t="shared" si="95"/>
        <v>10035.18040671677</v>
      </c>
      <c r="T28" s="88">
        <f t="shared" si="95"/>
        <v>10043</v>
      </c>
      <c r="U28" s="88">
        <f t="shared" si="95"/>
        <v>10458</v>
      </c>
      <c r="V28" s="88">
        <f t="shared" si="95"/>
        <v>10002</v>
      </c>
      <c r="W28" s="88">
        <f t="shared" ref="W28:Y28" si="96">IF(W55=0,0,W55*W165)</f>
        <v>10216</v>
      </c>
      <c r="X28" s="88">
        <f t="shared" si="96"/>
        <v>11051</v>
      </c>
      <c r="Y28" s="88">
        <f t="shared" si="96"/>
        <v>10554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15473.066682572897</v>
      </c>
      <c r="C30" s="62">
        <f t="shared" ref="C30:V30" si="98">C31+C46</f>
        <v>15840.357698565047</v>
      </c>
      <c r="D30" s="62">
        <f t="shared" si="98"/>
        <v>16602.077265193631</v>
      </c>
      <c r="E30" s="62">
        <f t="shared" si="98"/>
        <v>16804.893001262539</v>
      </c>
      <c r="F30" s="62">
        <f t="shared" si="98"/>
        <v>17003.263493912873</v>
      </c>
      <c r="G30" s="62">
        <f t="shared" si="98"/>
        <v>17435.080770358043</v>
      </c>
      <c r="H30" s="62">
        <f t="shared" si="98"/>
        <v>17770.343925524739</v>
      </c>
      <c r="I30" s="62">
        <f t="shared" si="98"/>
        <v>18273.950286028179</v>
      </c>
      <c r="J30" s="62">
        <f t="shared" si="98"/>
        <v>19015.740164804723</v>
      </c>
      <c r="K30" s="62">
        <f t="shared" si="98"/>
        <v>18946.128240229911</v>
      </c>
      <c r="L30" s="62">
        <f t="shared" si="98"/>
        <v>19805.068453497155</v>
      </c>
      <c r="M30" s="62">
        <f t="shared" si="98"/>
        <v>19827.545675406356</v>
      </c>
      <c r="N30" s="62">
        <f t="shared" si="98"/>
        <v>19830.731185389657</v>
      </c>
      <c r="O30" s="62">
        <f t="shared" si="98"/>
        <v>19770.133830765742</v>
      </c>
      <c r="P30" s="62">
        <f t="shared" si="98"/>
        <v>19841.002832462756</v>
      </c>
      <c r="Q30" s="62">
        <f t="shared" si="98"/>
        <v>20322.180878659703</v>
      </c>
      <c r="R30" s="62">
        <f t="shared" si="98"/>
        <v>20514.699101171514</v>
      </c>
      <c r="S30" s="62">
        <f t="shared" si="98"/>
        <v>20683.943235349991</v>
      </c>
      <c r="T30" s="62">
        <f t="shared" si="98"/>
        <v>20715.473317622807</v>
      </c>
      <c r="U30" s="62">
        <f t="shared" si="98"/>
        <v>20980.107376570391</v>
      </c>
      <c r="V30" s="62">
        <f t="shared" si="98"/>
        <v>19732.005098411933</v>
      </c>
      <c r="W30" s="62">
        <f t="shared" ref="W30:Y30" si="99">W31+W46</f>
        <v>20050.976965599257</v>
      </c>
      <c r="X30" s="62">
        <f t="shared" si="99"/>
        <v>20790.213355453496</v>
      </c>
      <c r="Y30" s="62">
        <f t="shared" si="99"/>
        <v>21345.275862509283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13159.99620956404</v>
      </c>
      <c r="C31" s="29">
        <f t="shared" ref="C31:V31" si="101">C32+C33+C40</f>
        <v>13428.971078766266</v>
      </c>
      <c r="D31" s="29">
        <f t="shared" si="101"/>
        <v>13926.442872381458</v>
      </c>
      <c r="E31" s="29">
        <f t="shared" si="101"/>
        <v>14089.903251138359</v>
      </c>
      <c r="F31" s="29">
        <f t="shared" si="101"/>
        <v>14043.789952948402</v>
      </c>
      <c r="G31" s="29">
        <f t="shared" si="101"/>
        <v>14263.04733937472</v>
      </c>
      <c r="H31" s="29">
        <f t="shared" si="101"/>
        <v>14477.790679144249</v>
      </c>
      <c r="I31" s="29">
        <f t="shared" si="101"/>
        <v>14503.372912435838</v>
      </c>
      <c r="J31" s="29">
        <f t="shared" si="101"/>
        <v>14831.3093064888</v>
      </c>
      <c r="K31" s="29">
        <f t="shared" si="101"/>
        <v>14773.678486100882</v>
      </c>
      <c r="L31" s="29">
        <f t="shared" si="101"/>
        <v>15240.290956043527</v>
      </c>
      <c r="M31" s="29">
        <f t="shared" si="101"/>
        <v>15146.103121366161</v>
      </c>
      <c r="N31" s="29">
        <f t="shared" si="101"/>
        <v>15090.931106546148</v>
      </c>
      <c r="O31" s="29">
        <f t="shared" si="101"/>
        <v>15313.128478230437</v>
      </c>
      <c r="P31" s="29">
        <f t="shared" si="101"/>
        <v>15536.318861546564</v>
      </c>
      <c r="Q31" s="29">
        <f t="shared" si="101"/>
        <v>15696.16307856363</v>
      </c>
      <c r="R31" s="29">
        <f t="shared" si="101"/>
        <v>15745.348075980617</v>
      </c>
      <c r="S31" s="29">
        <f t="shared" si="101"/>
        <v>15788.873110474131</v>
      </c>
      <c r="T31" s="29">
        <f t="shared" si="101"/>
        <v>15946.697205917766</v>
      </c>
      <c r="U31" s="29">
        <f t="shared" si="101"/>
        <v>15976.371033834277</v>
      </c>
      <c r="V31" s="29">
        <f t="shared" si="101"/>
        <v>14766.967680295824</v>
      </c>
      <c r="W31" s="29">
        <f t="shared" ref="W31:Y31" si="102">W32+W33+W40</f>
        <v>15112.385946508331</v>
      </c>
      <c r="X31" s="29">
        <f t="shared" si="102"/>
        <v>15637.737657428625</v>
      </c>
      <c r="Y31" s="29">
        <f t="shared" si="102"/>
        <v>16163.25159278611</v>
      </c>
      <c r="DA31" s="173" t="s">
        <v>475</v>
      </c>
    </row>
    <row r="32" spans="1:105" ht="11.45" customHeight="1" x14ac:dyDescent="0.25">
      <c r="A32" s="136" t="s">
        <v>173</v>
      </c>
      <c r="B32" s="152">
        <v>52.081990473209899</v>
      </c>
      <c r="C32" s="152">
        <v>55.010300492689709</v>
      </c>
      <c r="D32" s="152">
        <v>48.162265648508743</v>
      </c>
      <c r="E32" s="152">
        <v>49.009485783565239</v>
      </c>
      <c r="F32" s="152">
        <v>51.737449359509064</v>
      </c>
      <c r="G32" s="152">
        <v>56.644554870790316</v>
      </c>
      <c r="H32" s="152">
        <v>58.721170310504178</v>
      </c>
      <c r="I32" s="152">
        <v>64.280214667367005</v>
      </c>
      <c r="J32" s="152">
        <v>69.997994819147323</v>
      </c>
      <c r="K32" s="152">
        <v>61.373486406628246</v>
      </c>
      <c r="L32" s="152">
        <v>56.4031241980339</v>
      </c>
      <c r="M32" s="152">
        <v>68.257771691519153</v>
      </c>
      <c r="N32" s="152">
        <v>79.97135207866441</v>
      </c>
      <c r="O32" s="152">
        <v>81.878022001180213</v>
      </c>
      <c r="P32" s="152">
        <v>91.110983475544955</v>
      </c>
      <c r="Q32" s="152">
        <v>101.71649118862555</v>
      </c>
      <c r="R32" s="152">
        <v>108.29510040522558</v>
      </c>
      <c r="S32" s="152">
        <v>103.3586853171396</v>
      </c>
      <c r="T32" s="152">
        <v>99.534999711024028</v>
      </c>
      <c r="U32" s="152">
        <v>106.56466395186003</v>
      </c>
      <c r="V32" s="152">
        <v>96.186670207478471</v>
      </c>
      <c r="W32" s="152">
        <v>100.69848827786547</v>
      </c>
      <c r="X32" s="152">
        <v>102.73346817868757</v>
      </c>
      <c r="Y32" s="152">
        <v>111.75495741192873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12807.714219090829</v>
      </c>
      <c r="C33" s="116">
        <f t="shared" ref="C33:V33" si="104">SUM(C34:C39)</f>
        <v>13079.760778273576</v>
      </c>
      <c r="D33" s="116">
        <f t="shared" si="104"/>
        <v>13588.38060673295</v>
      </c>
      <c r="E33" s="116">
        <f t="shared" si="104"/>
        <v>13737.822548693486</v>
      </c>
      <c r="F33" s="116">
        <f t="shared" si="104"/>
        <v>13708.852503588892</v>
      </c>
      <c r="G33" s="116">
        <f t="shared" si="104"/>
        <v>13934.902784503929</v>
      </c>
      <c r="H33" s="116">
        <f t="shared" si="104"/>
        <v>14140.069508833745</v>
      </c>
      <c r="I33" s="116">
        <f t="shared" si="104"/>
        <v>14100.09269776847</v>
      </c>
      <c r="J33" s="116">
        <f t="shared" si="104"/>
        <v>14426.311311669653</v>
      </c>
      <c r="K33" s="116">
        <f t="shared" si="104"/>
        <v>14395.104999694253</v>
      </c>
      <c r="L33" s="116">
        <f t="shared" si="104"/>
        <v>14870.287831845493</v>
      </c>
      <c r="M33" s="116">
        <f t="shared" si="104"/>
        <v>14776.845349674642</v>
      </c>
      <c r="N33" s="116">
        <f t="shared" si="104"/>
        <v>14710.959754467483</v>
      </c>
      <c r="O33" s="116">
        <f t="shared" si="104"/>
        <v>14940.250456229258</v>
      </c>
      <c r="P33" s="116">
        <f t="shared" si="104"/>
        <v>15148.20787807102</v>
      </c>
      <c r="Q33" s="116">
        <f t="shared" si="104"/>
        <v>15296.446587375005</v>
      </c>
      <c r="R33" s="116">
        <f t="shared" si="104"/>
        <v>15340.052975575392</v>
      </c>
      <c r="S33" s="116">
        <f t="shared" si="104"/>
        <v>15375.514425156991</v>
      </c>
      <c r="T33" s="116">
        <f t="shared" si="104"/>
        <v>15527.162206206742</v>
      </c>
      <c r="U33" s="116">
        <f t="shared" si="104"/>
        <v>15546.006369882418</v>
      </c>
      <c r="V33" s="116">
        <f t="shared" si="104"/>
        <v>14391.781010088345</v>
      </c>
      <c r="W33" s="116">
        <f t="shared" ref="W33:Y33" si="105">SUM(W34:W39)</f>
        <v>14732.987458230466</v>
      </c>
      <c r="X33" s="116">
        <f t="shared" si="105"/>
        <v>15238.304189249937</v>
      </c>
      <c r="Y33" s="116">
        <f t="shared" si="105"/>
        <v>15747.99663537418</v>
      </c>
      <c r="DA33" s="176" t="s">
        <v>477</v>
      </c>
    </row>
    <row r="34" spans="1:105" ht="11.45" customHeight="1" x14ac:dyDescent="0.25">
      <c r="A34" s="111" t="s">
        <v>110</v>
      </c>
      <c r="B34" s="87">
        <v>9953.3578064305657</v>
      </c>
      <c r="C34" s="87">
        <v>10010.504634463621</v>
      </c>
      <c r="D34" s="87">
        <v>10082.624399725892</v>
      </c>
      <c r="E34" s="87">
        <v>9972.8024972279545</v>
      </c>
      <c r="F34" s="87">
        <v>9826.8606005958645</v>
      </c>
      <c r="G34" s="87">
        <v>9925.9948968436674</v>
      </c>
      <c r="H34" s="87">
        <v>9960.9449266085048</v>
      </c>
      <c r="I34" s="87">
        <v>9586.1715363833137</v>
      </c>
      <c r="J34" s="87">
        <v>9625.0107928652997</v>
      </c>
      <c r="K34" s="87">
        <v>9480.3885778989061</v>
      </c>
      <c r="L34" s="87">
        <v>9785.6550676475945</v>
      </c>
      <c r="M34" s="87">
        <v>9303.2670376328006</v>
      </c>
      <c r="N34" s="87">
        <v>9278.0505982059149</v>
      </c>
      <c r="O34" s="87">
        <v>9534.5648569469067</v>
      </c>
      <c r="P34" s="87">
        <v>9679.1189979820683</v>
      </c>
      <c r="Q34" s="87">
        <v>9853.1991996550732</v>
      </c>
      <c r="R34" s="87">
        <v>10022.940407495153</v>
      </c>
      <c r="S34" s="87">
        <v>10053.757931330347</v>
      </c>
      <c r="T34" s="87">
        <v>10137.986030512555</v>
      </c>
      <c r="U34" s="87">
        <v>10128.547668712992</v>
      </c>
      <c r="V34" s="87">
        <v>9278.4004369371396</v>
      </c>
      <c r="W34" s="87">
        <v>9401.9543689081256</v>
      </c>
      <c r="X34" s="87">
        <v>9815.4462772670759</v>
      </c>
      <c r="Y34" s="87">
        <v>10222.304716133311</v>
      </c>
      <c r="DA34" s="171" t="s">
        <v>478</v>
      </c>
    </row>
    <row r="35" spans="1:105" ht="11.45" customHeight="1" x14ac:dyDescent="0.25">
      <c r="A35" s="111" t="s">
        <v>111</v>
      </c>
      <c r="B35" s="87">
        <v>2854.3564126602637</v>
      </c>
      <c r="C35" s="87">
        <v>3046.7892096180781</v>
      </c>
      <c r="D35" s="87">
        <v>3482.9140416831151</v>
      </c>
      <c r="E35" s="87">
        <v>3698.6574096880199</v>
      </c>
      <c r="F35" s="87">
        <v>3804.3689895355219</v>
      </c>
      <c r="G35" s="87">
        <v>3912.602603563008</v>
      </c>
      <c r="H35" s="87">
        <v>4083.485262172464</v>
      </c>
      <c r="I35" s="87">
        <v>4346.1029396381673</v>
      </c>
      <c r="J35" s="87">
        <v>4644.9173412265227</v>
      </c>
      <c r="K35" s="87">
        <v>4761.7535233921226</v>
      </c>
      <c r="L35" s="87">
        <v>4900.7235576421836</v>
      </c>
      <c r="M35" s="87">
        <v>4884.6410371667598</v>
      </c>
      <c r="N35" s="87">
        <v>4835.1316680831114</v>
      </c>
      <c r="O35" s="87">
        <v>4789.3857988481432</v>
      </c>
      <c r="P35" s="87">
        <v>4848.3587889142609</v>
      </c>
      <c r="Q35" s="87">
        <v>4806.2727583012957</v>
      </c>
      <c r="R35" s="87">
        <v>4751.6461714525285</v>
      </c>
      <c r="S35" s="87">
        <v>4821.4290310535007</v>
      </c>
      <c r="T35" s="87">
        <v>4916.0189354645499</v>
      </c>
      <c r="U35" s="87">
        <v>4984.3129099399584</v>
      </c>
      <c r="V35" s="87">
        <v>4717.1471696685639</v>
      </c>
      <c r="W35" s="87">
        <v>4926.5411742985725</v>
      </c>
      <c r="X35" s="87">
        <v>4986.6736384700489</v>
      </c>
      <c r="Y35" s="87">
        <v>5029.7252978099114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16.329517425648206</v>
      </c>
      <c r="H36" s="87">
        <v>16.150468308345559</v>
      </c>
      <c r="I36" s="87">
        <v>15.63920431454625</v>
      </c>
      <c r="J36" s="87">
        <v>14.919629269896166</v>
      </c>
      <c r="K36" s="87">
        <v>14.224886002344949</v>
      </c>
      <c r="L36" s="87">
        <v>29.622855039025222</v>
      </c>
      <c r="M36" s="87">
        <v>446.56798365915989</v>
      </c>
      <c r="N36" s="87">
        <v>476.38985465633243</v>
      </c>
      <c r="O36" s="87">
        <v>506.28612914829995</v>
      </c>
      <c r="P36" s="87">
        <v>500.12618368347177</v>
      </c>
      <c r="Q36" s="87">
        <v>519.09248735143103</v>
      </c>
      <c r="R36" s="87">
        <v>483.15326156589634</v>
      </c>
      <c r="S36" s="87">
        <v>423.33459197010149</v>
      </c>
      <c r="T36" s="87">
        <v>398.1932881661437</v>
      </c>
      <c r="U36" s="87">
        <v>369.18123224593103</v>
      </c>
      <c r="V36" s="87">
        <v>335.56839020751028</v>
      </c>
      <c r="W36" s="87">
        <v>329.01314805267344</v>
      </c>
      <c r="X36" s="87">
        <v>337.10386796864134</v>
      </c>
      <c r="Y36" s="87">
        <v>350.11042721154661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22.466934191875701</v>
      </c>
      <c r="D37" s="87">
        <v>22.842165323941568</v>
      </c>
      <c r="E37" s="87">
        <v>66.362641777511399</v>
      </c>
      <c r="F37" s="87">
        <v>77.622913457505717</v>
      </c>
      <c r="G37" s="87">
        <v>79.975766671605754</v>
      </c>
      <c r="H37" s="87">
        <v>79.488851744429923</v>
      </c>
      <c r="I37" s="87">
        <v>152.17901743244249</v>
      </c>
      <c r="J37" s="87">
        <v>141.46354830793518</v>
      </c>
      <c r="K37" s="87">
        <v>138.73801240087928</v>
      </c>
      <c r="L37" s="87">
        <v>154.28635151669087</v>
      </c>
      <c r="M37" s="87">
        <v>142.22157540922839</v>
      </c>
      <c r="N37" s="87">
        <v>121.18755805241292</v>
      </c>
      <c r="O37" s="87">
        <v>109.57812247229947</v>
      </c>
      <c r="P37" s="87">
        <v>119.53467782420088</v>
      </c>
      <c r="Q37" s="87">
        <v>116.45965086091253</v>
      </c>
      <c r="R37" s="87">
        <v>79.402207464405194</v>
      </c>
      <c r="S37" s="87">
        <v>71.136016134944512</v>
      </c>
      <c r="T37" s="87">
        <v>64.216994011400004</v>
      </c>
      <c r="U37" s="87">
        <v>50.912715951614302</v>
      </c>
      <c r="V37" s="87">
        <v>36.901032910678211</v>
      </c>
      <c r="W37" s="87">
        <v>37.421438457799432</v>
      </c>
      <c r="X37" s="87">
        <v>40.14258044977182</v>
      </c>
      <c r="Y37" s="87">
        <v>42.815263582737579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4.4226474362748965E-2</v>
      </c>
      <c r="O38" s="87">
        <v>4.5806817410901868E-2</v>
      </c>
      <c r="P38" s="87">
        <v>0.18764539427081228</v>
      </c>
      <c r="Q38" s="87">
        <v>0.35224186186346113</v>
      </c>
      <c r="R38" s="87">
        <v>1.3673415930733379</v>
      </c>
      <c r="S38" s="87">
        <v>2.7617527315455113</v>
      </c>
      <c r="T38" s="87">
        <v>4.5768195449416913</v>
      </c>
      <c r="U38" s="87">
        <v>5.6454208354123887</v>
      </c>
      <c r="V38" s="87">
        <v>9.7038610109509236</v>
      </c>
      <c r="W38" s="87">
        <v>14.951902506627103</v>
      </c>
      <c r="X38" s="87">
        <v>24.040504863152307</v>
      </c>
      <c r="Y38" s="87">
        <v>42.196976559923257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0.147715806692131</v>
      </c>
      <c r="N39" s="87">
        <v>0.15584899534847649</v>
      </c>
      <c r="O39" s="87">
        <v>0.38974199619790517</v>
      </c>
      <c r="P39" s="87">
        <v>0.88158427274981599</v>
      </c>
      <c r="Q39" s="87">
        <v>1.0702493444316141</v>
      </c>
      <c r="R39" s="87">
        <v>1.543586004337157</v>
      </c>
      <c r="S39" s="87">
        <v>3.0951019365527035</v>
      </c>
      <c r="T39" s="87">
        <v>6.1701385071512087</v>
      </c>
      <c r="U39" s="87">
        <v>7.4064221965096122</v>
      </c>
      <c r="V39" s="87">
        <v>14.060119353501339</v>
      </c>
      <c r="W39" s="87">
        <v>23.105426006666917</v>
      </c>
      <c r="X39" s="87">
        <v>34.897320231246987</v>
      </c>
      <c r="Y39" s="87">
        <v>60.843954076752105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300.2</v>
      </c>
      <c r="C40" s="116">
        <f t="shared" ref="C40:V40" si="107">SUM(C41:C45)</f>
        <v>294.2</v>
      </c>
      <c r="D40" s="116">
        <f t="shared" si="107"/>
        <v>289.89999999999998</v>
      </c>
      <c r="E40" s="116">
        <f t="shared" si="107"/>
        <v>303.07121666130826</v>
      </c>
      <c r="F40" s="116">
        <f t="shared" si="107"/>
        <v>283.2</v>
      </c>
      <c r="G40" s="116">
        <f t="shared" si="107"/>
        <v>271.5</v>
      </c>
      <c r="H40" s="116">
        <f t="shared" si="107"/>
        <v>279</v>
      </c>
      <c r="I40" s="116">
        <f t="shared" si="107"/>
        <v>339</v>
      </c>
      <c r="J40" s="116">
        <f t="shared" si="107"/>
        <v>335</v>
      </c>
      <c r="K40" s="116">
        <f t="shared" si="107"/>
        <v>317.2</v>
      </c>
      <c r="L40" s="116">
        <f t="shared" si="107"/>
        <v>313.60000000000002</v>
      </c>
      <c r="M40" s="116">
        <f t="shared" si="107"/>
        <v>301</v>
      </c>
      <c r="N40" s="116">
        <f t="shared" si="107"/>
        <v>300</v>
      </c>
      <c r="O40" s="116">
        <f t="shared" si="107"/>
        <v>291</v>
      </c>
      <c r="P40" s="116">
        <f t="shared" si="107"/>
        <v>297</v>
      </c>
      <c r="Q40" s="116">
        <f t="shared" si="107"/>
        <v>298</v>
      </c>
      <c r="R40" s="116">
        <f t="shared" si="107"/>
        <v>297</v>
      </c>
      <c r="S40" s="116">
        <f t="shared" si="107"/>
        <v>310</v>
      </c>
      <c r="T40" s="116">
        <f t="shared" si="107"/>
        <v>320</v>
      </c>
      <c r="U40" s="116">
        <f t="shared" si="107"/>
        <v>323.80000000000007</v>
      </c>
      <c r="V40" s="116">
        <f t="shared" si="107"/>
        <v>279</v>
      </c>
      <c r="W40" s="116">
        <f t="shared" ref="W40:Y40" si="108">SUM(W41:W45)</f>
        <v>278.7</v>
      </c>
      <c r="X40" s="116">
        <f t="shared" si="108"/>
        <v>296.7</v>
      </c>
      <c r="Y40" s="116">
        <f t="shared" si="108"/>
        <v>303.5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DA41" s="175" t="s">
        <v>485</v>
      </c>
    </row>
    <row r="42" spans="1:105" ht="11.45" customHeight="1" x14ac:dyDescent="0.25">
      <c r="A42" s="111" t="s">
        <v>111</v>
      </c>
      <c r="B42" s="101">
        <v>300.2</v>
      </c>
      <c r="C42" s="101">
        <v>294.2</v>
      </c>
      <c r="D42" s="101">
        <v>289.89999999999998</v>
      </c>
      <c r="E42" s="101">
        <v>303.07121666130826</v>
      </c>
      <c r="F42" s="101">
        <v>283.2</v>
      </c>
      <c r="G42" s="101">
        <v>271.5</v>
      </c>
      <c r="H42" s="101">
        <v>279</v>
      </c>
      <c r="I42" s="101">
        <v>339</v>
      </c>
      <c r="J42" s="101">
        <v>335</v>
      </c>
      <c r="K42" s="101">
        <v>317.2</v>
      </c>
      <c r="L42" s="101">
        <v>308.56856232317961</v>
      </c>
      <c r="M42" s="101">
        <v>289.3686091201559</v>
      </c>
      <c r="N42" s="101">
        <v>288.31985604833511</v>
      </c>
      <c r="O42" s="101">
        <v>279.48575971432723</v>
      </c>
      <c r="P42" s="101">
        <v>280.34971327043553</v>
      </c>
      <c r="Q42" s="101">
        <v>277.42818185270636</v>
      </c>
      <c r="R42" s="101">
        <v>261.50038311062235</v>
      </c>
      <c r="S42" s="101">
        <v>271.27844180568582</v>
      </c>
      <c r="T42" s="101">
        <v>278.57362751320784</v>
      </c>
      <c r="U42" s="101">
        <v>285.83597033672316</v>
      </c>
      <c r="V42" s="101">
        <v>240.86891019448319</v>
      </c>
      <c r="W42" s="101">
        <v>240.29156580222411</v>
      </c>
      <c r="X42" s="101">
        <v>259.22230484840378</v>
      </c>
      <c r="Y42" s="101">
        <v>265.31045464742874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10.98979096891753</v>
      </c>
      <c r="S44" s="101">
        <v>10.858982958196274</v>
      </c>
      <c r="T44" s="101">
        <v>10.294441516610981</v>
      </c>
      <c r="U44" s="101">
        <v>5.1349305920932578</v>
      </c>
      <c r="V44" s="101">
        <v>5.0053023853991752</v>
      </c>
      <c r="W44" s="101">
        <v>4.967939634391179</v>
      </c>
      <c r="X44" s="101">
        <v>5.2055845563898071</v>
      </c>
      <c r="Y44" s="101">
        <v>5.244622672443116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5.0314376768204028</v>
      </c>
      <c r="M45" s="101">
        <v>11.631390879844117</v>
      </c>
      <c r="N45" s="101">
        <v>11.680143951664881</v>
      </c>
      <c r="O45" s="101">
        <v>11.514240285672795</v>
      </c>
      <c r="P45" s="101">
        <v>16.65028672956446</v>
      </c>
      <c r="Q45" s="101">
        <v>20.571818147293616</v>
      </c>
      <c r="R45" s="101">
        <v>24.509825920460141</v>
      </c>
      <c r="S45" s="101">
        <v>27.86257523611788</v>
      </c>
      <c r="T45" s="101">
        <v>31.131930970181177</v>
      </c>
      <c r="U45" s="101">
        <v>32.829099071183606</v>
      </c>
      <c r="V45" s="101">
        <v>33.125787420117646</v>
      </c>
      <c r="W45" s="101">
        <v>33.440494563384696</v>
      </c>
      <c r="X45" s="101">
        <v>32.272110595206392</v>
      </c>
      <c r="Y45" s="101">
        <v>32.944922680128116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2313.070473008856</v>
      </c>
      <c r="C46" s="29">
        <f t="shared" ref="C46:V46" si="110">C47+C53</f>
        <v>2411.3866197987818</v>
      </c>
      <c r="D46" s="29">
        <f t="shared" si="110"/>
        <v>2675.6343928121728</v>
      </c>
      <c r="E46" s="29">
        <f t="shared" si="110"/>
        <v>2714.9897501241794</v>
      </c>
      <c r="F46" s="29">
        <f t="shared" si="110"/>
        <v>2959.4735409644718</v>
      </c>
      <c r="G46" s="29">
        <f t="shared" si="110"/>
        <v>3172.0334309833224</v>
      </c>
      <c r="H46" s="29">
        <f t="shared" si="110"/>
        <v>3292.5532463804902</v>
      </c>
      <c r="I46" s="29">
        <f t="shared" si="110"/>
        <v>3770.5773735923394</v>
      </c>
      <c r="J46" s="29">
        <f t="shared" si="110"/>
        <v>4184.4308583159236</v>
      </c>
      <c r="K46" s="29">
        <f t="shared" si="110"/>
        <v>4172.4497541290311</v>
      </c>
      <c r="L46" s="29">
        <f t="shared" si="110"/>
        <v>4564.7774974536287</v>
      </c>
      <c r="M46" s="29">
        <f t="shared" si="110"/>
        <v>4681.4425540401935</v>
      </c>
      <c r="N46" s="29">
        <f t="shared" si="110"/>
        <v>4739.8000788435093</v>
      </c>
      <c r="O46" s="29">
        <f t="shared" si="110"/>
        <v>4457.0053525353032</v>
      </c>
      <c r="P46" s="29">
        <f t="shared" si="110"/>
        <v>4304.6839709161904</v>
      </c>
      <c r="Q46" s="29">
        <f t="shared" si="110"/>
        <v>4626.0178000960723</v>
      </c>
      <c r="R46" s="29">
        <f t="shared" si="110"/>
        <v>4769.3510251908974</v>
      </c>
      <c r="S46" s="29">
        <f t="shared" si="110"/>
        <v>4895.0701248758596</v>
      </c>
      <c r="T46" s="29">
        <f t="shared" si="110"/>
        <v>4768.7761117050413</v>
      </c>
      <c r="U46" s="29">
        <f t="shared" si="110"/>
        <v>5003.7363427361133</v>
      </c>
      <c r="V46" s="29">
        <f t="shared" si="110"/>
        <v>4965.0374181161087</v>
      </c>
      <c r="W46" s="29">
        <f t="shared" ref="W46:Y46" si="111">W47+W53</f>
        <v>4938.5910190909235</v>
      </c>
      <c r="X46" s="29">
        <f t="shared" si="111"/>
        <v>5152.4756980248731</v>
      </c>
      <c r="Y46" s="29">
        <f t="shared" si="111"/>
        <v>5182.0242697231752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1685.3731708208782</v>
      </c>
      <c r="C47" s="152">
        <f t="shared" ref="C47:V47" si="113">SUM(C48:C52)</f>
        <v>1731.3420594940417</v>
      </c>
      <c r="D47" s="152">
        <f t="shared" si="113"/>
        <v>1757.764931682661</v>
      </c>
      <c r="E47" s="152">
        <f t="shared" si="113"/>
        <v>1751.6279936595265</v>
      </c>
      <c r="F47" s="152">
        <f t="shared" si="113"/>
        <v>1867.8915684152264</v>
      </c>
      <c r="G47" s="152">
        <f t="shared" si="113"/>
        <v>2007.5229549515388</v>
      </c>
      <c r="H47" s="152">
        <f t="shared" si="113"/>
        <v>2004.7353224871231</v>
      </c>
      <c r="I47" s="152">
        <f t="shared" si="113"/>
        <v>2308.8016650430377</v>
      </c>
      <c r="J47" s="152">
        <f t="shared" si="113"/>
        <v>2476.8490333551699</v>
      </c>
      <c r="K47" s="152">
        <f t="shared" si="113"/>
        <v>2681.0989973950877</v>
      </c>
      <c r="L47" s="152">
        <f t="shared" si="113"/>
        <v>2722.8101719725091</v>
      </c>
      <c r="M47" s="152">
        <f t="shared" si="113"/>
        <v>2810.9427006873716</v>
      </c>
      <c r="N47" s="152">
        <f t="shared" si="113"/>
        <v>2950.9554943124213</v>
      </c>
      <c r="O47" s="152">
        <f t="shared" si="113"/>
        <v>2682.2156898583216</v>
      </c>
      <c r="P47" s="152">
        <f t="shared" si="113"/>
        <v>2372.8340481901641</v>
      </c>
      <c r="Q47" s="152">
        <f t="shared" si="113"/>
        <v>2754.1451042761673</v>
      </c>
      <c r="R47" s="152">
        <f t="shared" si="113"/>
        <v>2590.797271172014</v>
      </c>
      <c r="S47" s="152">
        <f t="shared" si="113"/>
        <v>2610.8873451011609</v>
      </c>
      <c r="T47" s="152">
        <f t="shared" si="113"/>
        <v>2580.8455646512871</v>
      </c>
      <c r="U47" s="152">
        <f t="shared" si="113"/>
        <v>2573.0318913896117</v>
      </c>
      <c r="V47" s="152">
        <f t="shared" si="113"/>
        <v>2617.4918813379086</v>
      </c>
      <c r="W47" s="152">
        <f t="shared" ref="W47:Y47" si="114">SUM(W48:W52)</f>
        <v>2659.2822099383898</v>
      </c>
      <c r="X47" s="152">
        <f t="shared" si="114"/>
        <v>2701.7481358672153</v>
      </c>
      <c r="Y47" s="152">
        <f t="shared" si="114"/>
        <v>2747.3034239958247</v>
      </c>
      <c r="DA47" s="174" t="s">
        <v>491</v>
      </c>
    </row>
    <row r="48" spans="1:105" ht="11.45" customHeight="1" x14ac:dyDescent="0.25">
      <c r="A48" s="111" t="s">
        <v>110</v>
      </c>
      <c r="B48" s="87">
        <v>573.76475670943069</v>
      </c>
      <c r="C48" s="87">
        <v>588.71728404374483</v>
      </c>
      <c r="D48" s="87">
        <v>604.58482111445983</v>
      </c>
      <c r="E48" s="87">
        <v>603.9032003653906</v>
      </c>
      <c r="F48" s="87">
        <v>756.85978574791943</v>
      </c>
      <c r="G48" s="87">
        <v>767.91768876401898</v>
      </c>
      <c r="H48" s="87">
        <v>785.0829204199365</v>
      </c>
      <c r="I48" s="87">
        <v>851.80049919652458</v>
      </c>
      <c r="J48" s="87">
        <v>891.41219679992855</v>
      </c>
      <c r="K48" s="87">
        <v>885.63061938411204</v>
      </c>
      <c r="L48" s="87">
        <v>680.87640740456834</v>
      </c>
      <c r="M48" s="87">
        <v>698.78026726944211</v>
      </c>
      <c r="N48" s="87">
        <v>713.05959590305008</v>
      </c>
      <c r="O48" s="87">
        <v>724.21494949889859</v>
      </c>
      <c r="P48" s="87">
        <v>679.52107400952013</v>
      </c>
      <c r="Q48" s="87">
        <v>787.70858817978672</v>
      </c>
      <c r="R48" s="87">
        <v>880.03159370688195</v>
      </c>
      <c r="S48" s="87">
        <v>788.73066286035305</v>
      </c>
      <c r="T48" s="87">
        <v>752.65268550869496</v>
      </c>
      <c r="U48" s="87">
        <v>643.06338583538127</v>
      </c>
      <c r="V48" s="87">
        <v>643.65464698618894</v>
      </c>
      <c r="W48" s="87">
        <v>644.23322009577873</v>
      </c>
      <c r="X48" s="87">
        <v>644.81148945617781</v>
      </c>
      <c r="Y48" s="87">
        <v>645.39947859576512</v>
      </c>
      <c r="DA48" s="171" t="s">
        <v>492</v>
      </c>
    </row>
    <row r="49" spans="1:105" ht="11.45" customHeight="1" x14ac:dyDescent="0.25">
      <c r="A49" s="111" t="s">
        <v>111</v>
      </c>
      <c r="B49" s="87">
        <v>1111.6084141114475</v>
      </c>
      <c r="C49" s="87">
        <v>1142.624775450297</v>
      </c>
      <c r="D49" s="87">
        <v>1153.1801105682011</v>
      </c>
      <c r="E49" s="87">
        <v>1147.7247932941359</v>
      </c>
      <c r="F49" s="87">
        <v>1111.031782667307</v>
      </c>
      <c r="G49" s="87">
        <v>1239.6052661875199</v>
      </c>
      <c r="H49" s="87">
        <v>1219.6524020671866</v>
      </c>
      <c r="I49" s="87">
        <v>1457.0011658465132</v>
      </c>
      <c r="J49" s="87">
        <v>1585.4368365552411</v>
      </c>
      <c r="K49" s="87">
        <v>1795.4683780109758</v>
      </c>
      <c r="L49" s="87">
        <v>2041.9337645679407</v>
      </c>
      <c r="M49" s="87">
        <v>2112.1624334179296</v>
      </c>
      <c r="N49" s="87">
        <v>2237.7595001242807</v>
      </c>
      <c r="O49" s="87">
        <v>1957.8099164793389</v>
      </c>
      <c r="P49" s="87">
        <v>1664.4058577009826</v>
      </c>
      <c r="Q49" s="87">
        <v>1936.8410393892129</v>
      </c>
      <c r="R49" s="87">
        <v>1675.6566044647986</v>
      </c>
      <c r="S49" s="87">
        <v>1785.299867848508</v>
      </c>
      <c r="T49" s="87">
        <v>1787.5320984552654</v>
      </c>
      <c r="U49" s="87">
        <v>1886.3979401732822</v>
      </c>
      <c r="V49" s="87">
        <v>1926.2764670086224</v>
      </c>
      <c r="W49" s="87">
        <v>1966.957628842383</v>
      </c>
      <c r="X49" s="87">
        <v>2008.4953727746117</v>
      </c>
      <c r="Y49" s="87">
        <v>2050.9395388063231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7.452201819648846E-2</v>
      </c>
      <c r="O50" s="87">
        <v>5.42808881240672E-2</v>
      </c>
      <c r="P50" s="87">
        <v>28.771120054600587</v>
      </c>
      <c r="Q50" s="87">
        <v>29.408174664977647</v>
      </c>
      <c r="R50" s="87">
        <v>32.408022185621846</v>
      </c>
      <c r="S50" s="87">
        <v>33.86454897296391</v>
      </c>
      <c r="T50" s="87">
        <v>35.35053753468538</v>
      </c>
      <c r="U50" s="87">
        <v>37.334865689075201</v>
      </c>
      <c r="V50" s="87">
        <v>38.482400432515576</v>
      </c>
      <c r="W50" s="87">
        <v>38.497827659320627</v>
      </c>
      <c r="X50" s="87">
        <v>38.513214102260626</v>
      </c>
      <c r="Y50" s="87">
        <v>38.279824852129742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6.1876266893554785E-2</v>
      </c>
      <c r="O51" s="87">
        <v>0.11357610785659632</v>
      </c>
      <c r="P51" s="87">
        <v>9.0042800332485753E-2</v>
      </c>
      <c r="Q51" s="87">
        <v>0.11833269686648971</v>
      </c>
      <c r="R51" s="87">
        <v>2.5631763343967777</v>
      </c>
      <c r="S51" s="87">
        <v>2.6822002524785464</v>
      </c>
      <c r="T51" s="87">
        <v>4.3919764117951008</v>
      </c>
      <c r="U51" s="87">
        <v>5.2605139497115978</v>
      </c>
      <c r="V51" s="87">
        <v>7.8940890202825464</v>
      </c>
      <c r="W51" s="87">
        <v>7.8972536851778345</v>
      </c>
      <c r="X51" s="87">
        <v>7.9004099838730468</v>
      </c>
      <c r="Y51" s="87">
        <v>7.8641567206969372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2.296688410340092E-2</v>
      </c>
      <c r="P52" s="87">
        <v>4.5953624728538534E-2</v>
      </c>
      <c r="Q52" s="87">
        <v>6.8969345323400461E-2</v>
      </c>
      <c r="R52" s="87">
        <v>0.13787448031453847</v>
      </c>
      <c r="S52" s="87">
        <v>0.31006516685757485</v>
      </c>
      <c r="T52" s="87">
        <v>0.91826674084644155</v>
      </c>
      <c r="U52" s="87">
        <v>0.9751857421610961</v>
      </c>
      <c r="V52" s="87">
        <v>1.1842778902993303</v>
      </c>
      <c r="W52" s="87">
        <v>1.6962796557293434</v>
      </c>
      <c r="X52" s="87">
        <v>2.0276495502919998</v>
      </c>
      <c r="Y52" s="87">
        <v>4.8204250209095267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627.6973021879777</v>
      </c>
      <c r="C53" s="116">
        <f t="shared" ref="C53:V53" si="116">SUM(C54:C55)</f>
        <v>680.04456030474</v>
      </c>
      <c r="D53" s="116">
        <f t="shared" si="116"/>
        <v>917.86946112951171</v>
      </c>
      <c r="E53" s="116">
        <f t="shared" si="116"/>
        <v>963.3617564646529</v>
      </c>
      <c r="F53" s="116">
        <f t="shared" si="116"/>
        <v>1091.5819725492452</v>
      </c>
      <c r="G53" s="116">
        <f t="shared" si="116"/>
        <v>1164.5104760317834</v>
      </c>
      <c r="H53" s="116">
        <f t="shared" si="116"/>
        <v>1287.8179238933672</v>
      </c>
      <c r="I53" s="116">
        <f t="shared" si="116"/>
        <v>1461.7757085493015</v>
      </c>
      <c r="J53" s="116">
        <f t="shared" si="116"/>
        <v>1707.5818249607541</v>
      </c>
      <c r="K53" s="116">
        <f t="shared" si="116"/>
        <v>1491.3507567339429</v>
      </c>
      <c r="L53" s="116">
        <f t="shared" si="116"/>
        <v>1841.9673254811198</v>
      </c>
      <c r="M53" s="116">
        <f t="shared" si="116"/>
        <v>1870.4998533528219</v>
      </c>
      <c r="N53" s="116">
        <f t="shared" si="116"/>
        <v>1788.8445845310878</v>
      </c>
      <c r="O53" s="116">
        <f t="shared" si="116"/>
        <v>1774.7896626769816</v>
      </c>
      <c r="P53" s="116">
        <f t="shared" si="116"/>
        <v>1931.8499227260263</v>
      </c>
      <c r="Q53" s="116">
        <f t="shared" si="116"/>
        <v>1871.8726958199049</v>
      </c>
      <c r="R53" s="116">
        <f t="shared" si="116"/>
        <v>2178.5537540188834</v>
      </c>
      <c r="S53" s="116">
        <f t="shared" si="116"/>
        <v>2284.1827797746987</v>
      </c>
      <c r="T53" s="116">
        <f t="shared" si="116"/>
        <v>2187.9305470537547</v>
      </c>
      <c r="U53" s="116">
        <f t="shared" si="116"/>
        <v>2430.7044513465016</v>
      </c>
      <c r="V53" s="116">
        <f t="shared" si="116"/>
        <v>2347.5455367782001</v>
      </c>
      <c r="W53" s="116">
        <f t="shared" ref="W53:Y53" si="117">SUM(W54:W55)</f>
        <v>2279.3088091525342</v>
      </c>
      <c r="X53" s="116">
        <f t="shared" si="117"/>
        <v>2450.7275621576578</v>
      </c>
      <c r="Y53" s="116">
        <f t="shared" si="117"/>
        <v>2434.72084572735</v>
      </c>
      <c r="DA53" s="176" t="s">
        <v>497</v>
      </c>
    </row>
    <row r="54" spans="1:105" ht="11.45" customHeight="1" x14ac:dyDescent="0.25">
      <c r="A54" s="128" t="s">
        <v>27</v>
      </c>
      <c r="B54" s="101">
        <v>379.3066871637202</v>
      </c>
      <c r="C54" s="101">
        <v>413.73674096848572</v>
      </c>
      <c r="D54" s="101">
        <v>637.70561106840887</v>
      </c>
      <c r="E54" s="101">
        <v>677</v>
      </c>
      <c r="F54" s="101">
        <v>753</v>
      </c>
      <c r="G54" s="101">
        <v>814</v>
      </c>
      <c r="H54" s="101">
        <v>919</v>
      </c>
      <c r="I54" s="101">
        <v>998</v>
      </c>
      <c r="J54" s="101">
        <v>1251</v>
      </c>
      <c r="K54" s="101">
        <v>1048</v>
      </c>
      <c r="L54" s="101">
        <v>1378</v>
      </c>
      <c r="M54" s="101">
        <v>1372</v>
      </c>
      <c r="N54" s="101">
        <v>1283</v>
      </c>
      <c r="O54" s="101">
        <v>1227</v>
      </c>
      <c r="P54" s="101">
        <v>1374</v>
      </c>
      <c r="Q54" s="101">
        <v>1257</v>
      </c>
      <c r="R54" s="101">
        <v>1516</v>
      </c>
      <c r="S54" s="101">
        <v>1568</v>
      </c>
      <c r="T54" s="101">
        <v>1478</v>
      </c>
      <c r="U54" s="101">
        <v>1687</v>
      </c>
      <c r="V54" s="101">
        <v>1626</v>
      </c>
      <c r="W54" s="101">
        <v>1552</v>
      </c>
      <c r="X54" s="101">
        <v>1661</v>
      </c>
      <c r="Y54" s="101">
        <v>1672</v>
      </c>
      <c r="DA54" s="175" t="s">
        <v>498</v>
      </c>
    </row>
    <row r="55" spans="1:105" ht="11.45" customHeight="1" x14ac:dyDescent="0.25">
      <c r="A55" s="138" t="s">
        <v>116</v>
      </c>
      <c r="B55" s="88">
        <v>248.3906150242575</v>
      </c>
      <c r="C55" s="88">
        <v>266.30781933625428</v>
      </c>
      <c r="D55" s="88">
        <v>280.16385006110283</v>
      </c>
      <c r="E55" s="88">
        <v>286.36175646465296</v>
      </c>
      <c r="F55" s="88">
        <v>338.58197254924528</v>
      </c>
      <c r="G55" s="88">
        <v>350.5104760317833</v>
      </c>
      <c r="H55" s="88">
        <v>368.81792389336715</v>
      </c>
      <c r="I55" s="88">
        <v>463.7757085493015</v>
      </c>
      <c r="J55" s="88">
        <v>456.5818249607542</v>
      </c>
      <c r="K55" s="88">
        <v>443.35075673394289</v>
      </c>
      <c r="L55" s="88">
        <v>463.96732548111976</v>
      </c>
      <c r="M55" s="88">
        <v>498.49985335282196</v>
      </c>
      <c r="N55" s="88">
        <v>505.84458453108783</v>
      </c>
      <c r="O55" s="88">
        <v>547.78966267698172</v>
      </c>
      <c r="P55" s="88">
        <v>557.84992272602642</v>
      </c>
      <c r="Q55" s="88">
        <v>614.87269581990506</v>
      </c>
      <c r="R55" s="88">
        <v>662.55375401888364</v>
      </c>
      <c r="S55" s="88">
        <v>716.18277977469859</v>
      </c>
      <c r="T55" s="88">
        <v>709.93054705375448</v>
      </c>
      <c r="U55" s="88">
        <v>743.70445134650174</v>
      </c>
      <c r="V55" s="88">
        <v>721.54553677820013</v>
      </c>
      <c r="W55" s="88">
        <v>727.30880915253408</v>
      </c>
      <c r="X55" s="88">
        <v>789.72756215765764</v>
      </c>
      <c r="Y55" s="88">
        <v>762.7208457273498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1448999</v>
      </c>
      <c r="C57" s="54">
        <f t="shared" si="118"/>
        <v>1472031</v>
      </c>
      <c r="D57" s="54">
        <f t="shared" si="118"/>
        <v>1515841</v>
      </c>
      <c r="E57" s="54">
        <f t="shared" si="118"/>
        <v>1556915</v>
      </c>
      <c r="F57" s="54">
        <f t="shared" si="118"/>
        <v>1511977</v>
      </c>
      <c r="G57" s="54">
        <f t="shared" si="118"/>
        <v>1530280</v>
      </c>
      <c r="H57" s="54">
        <f t="shared" si="118"/>
        <v>1577340</v>
      </c>
      <c r="I57" s="54">
        <f t="shared" si="118"/>
        <v>1710001</v>
      </c>
      <c r="J57" s="54">
        <f t="shared" si="118"/>
        <v>1857116</v>
      </c>
      <c r="K57" s="54">
        <f t="shared" si="118"/>
        <v>1932602</v>
      </c>
      <c r="L57" s="54">
        <f t="shared" ref="L57" si="119">L58+L73</f>
        <v>2025488</v>
      </c>
      <c r="M57" s="54">
        <f t="shared" ref="M57:V57" si="120">M58+M73</f>
        <v>2116500</v>
      </c>
      <c r="N57" s="54">
        <f t="shared" si="120"/>
        <v>2201765</v>
      </c>
      <c r="O57" s="54">
        <f t="shared" si="120"/>
        <v>2266843</v>
      </c>
      <c r="P57" s="54">
        <f t="shared" si="120"/>
        <v>2346239</v>
      </c>
      <c r="Q57" s="54">
        <f t="shared" si="120"/>
        <v>2450137</v>
      </c>
      <c r="R57" s="54">
        <f t="shared" si="120"/>
        <v>2546387</v>
      </c>
      <c r="S57" s="54">
        <f t="shared" si="120"/>
        <v>2660202</v>
      </c>
      <c r="T57" s="54">
        <f t="shared" si="120"/>
        <v>2756826</v>
      </c>
      <c r="U57" s="54">
        <f t="shared" si="120"/>
        <v>2848072</v>
      </c>
      <c r="V57" s="54">
        <f t="shared" si="120"/>
        <v>2902036</v>
      </c>
      <c r="W57" s="54">
        <f t="shared" ref="W57:Y57" si="121">W58+W73</f>
        <v>2957840</v>
      </c>
      <c r="X57" s="54">
        <f t="shared" si="121"/>
        <v>3030967</v>
      </c>
      <c r="Y57" s="54">
        <f t="shared" si="121"/>
        <v>3140253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1330996</v>
      </c>
      <c r="C58" s="28">
        <f t="shared" si="122"/>
        <v>1350365</v>
      </c>
      <c r="D58" s="28">
        <f t="shared" si="122"/>
        <v>1385634</v>
      </c>
      <c r="E58" s="28">
        <f t="shared" si="122"/>
        <v>1415761</v>
      </c>
      <c r="F58" s="28">
        <f t="shared" si="122"/>
        <v>1370087</v>
      </c>
      <c r="G58" s="28">
        <f t="shared" si="122"/>
        <v>1369462</v>
      </c>
      <c r="H58" s="28">
        <f t="shared" si="122"/>
        <v>1400920</v>
      </c>
      <c r="I58" s="28">
        <f t="shared" si="122"/>
        <v>1508582</v>
      </c>
      <c r="J58" s="28">
        <f t="shared" si="122"/>
        <v>1626010</v>
      </c>
      <c r="K58" s="28">
        <f t="shared" si="122"/>
        <v>1680611</v>
      </c>
      <c r="L58" s="28">
        <f t="shared" ref="L58" si="123">L59+L60+L67</f>
        <v>1766581</v>
      </c>
      <c r="M58" s="28">
        <f t="shared" ref="M58:V58" si="124">M59+M60+M67</f>
        <v>1852442</v>
      </c>
      <c r="N58" s="28">
        <f t="shared" si="124"/>
        <v>1932916</v>
      </c>
      <c r="O58" s="28">
        <f t="shared" si="124"/>
        <v>1994771</v>
      </c>
      <c r="P58" s="28">
        <f t="shared" si="124"/>
        <v>2070959</v>
      </c>
      <c r="Q58" s="28">
        <f t="shared" si="124"/>
        <v>2164468</v>
      </c>
      <c r="R58" s="28">
        <f t="shared" si="124"/>
        <v>2256993</v>
      </c>
      <c r="S58" s="28">
        <f t="shared" si="124"/>
        <v>2365667</v>
      </c>
      <c r="T58" s="28">
        <f t="shared" si="124"/>
        <v>2471421</v>
      </c>
      <c r="U58" s="28">
        <f t="shared" si="124"/>
        <v>2550337</v>
      </c>
      <c r="V58" s="28">
        <f t="shared" si="124"/>
        <v>2602595</v>
      </c>
      <c r="W58" s="28">
        <f t="shared" ref="W58:Y58" si="125">W59+W60+W67</f>
        <v>2663698</v>
      </c>
      <c r="X58" s="28">
        <f t="shared" si="125"/>
        <v>2734579</v>
      </c>
      <c r="Y58" s="28">
        <f t="shared" si="125"/>
        <v>2831874</v>
      </c>
      <c r="DA58" s="173" t="s">
        <v>501</v>
      </c>
    </row>
    <row r="59" spans="1:105" ht="11.45" customHeight="1" x14ac:dyDescent="0.25">
      <c r="A59" s="136" t="s">
        <v>173</v>
      </c>
      <c r="B59" s="137">
        <v>45647</v>
      </c>
      <c r="C59" s="137">
        <v>46676</v>
      </c>
      <c r="D59" s="137">
        <v>47900</v>
      </c>
      <c r="E59" s="137">
        <v>48709</v>
      </c>
      <c r="F59" s="137">
        <v>51977</v>
      </c>
      <c r="G59" s="137">
        <v>56366</v>
      </c>
      <c r="H59" s="137">
        <v>58101</v>
      </c>
      <c r="I59" s="137">
        <v>63897</v>
      </c>
      <c r="J59" s="137">
        <v>70318</v>
      </c>
      <c r="K59" s="137">
        <v>81900</v>
      </c>
      <c r="L59" s="137">
        <v>87900</v>
      </c>
      <c r="M59" s="137">
        <v>93800</v>
      </c>
      <c r="N59" s="137">
        <v>99500</v>
      </c>
      <c r="O59" s="137">
        <v>105900</v>
      </c>
      <c r="P59" s="137">
        <v>112700</v>
      </c>
      <c r="Q59" s="137">
        <v>120624</v>
      </c>
      <c r="R59" s="137">
        <v>126128</v>
      </c>
      <c r="S59" s="137">
        <v>133309</v>
      </c>
      <c r="T59" s="137">
        <v>140450</v>
      </c>
      <c r="U59" s="137">
        <v>147498</v>
      </c>
      <c r="V59" s="137">
        <v>154445</v>
      </c>
      <c r="W59" s="137">
        <v>162145</v>
      </c>
      <c r="X59" s="137">
        <v>170403</v>
      </c>
      <c r="Y59" s="137">
        <v>178524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1274200</v>
      </c>
      <c r="C60" s="110">
        <f t="shared" si="126"/>
        <v>1292800</v>
      </c>
      <c r="D60" s="110">
        <f t="shared" si="126"/>
        <v>1326900</v>
      </c>
      <c r="E60" s="110">
        <f t="shared" si="126"/>
        <v>1356200</v>
      </c>
      <c r="F60" s="110">
        <f t="shared" si="126"/>
        <v>1308908</v>
      </c>
      <c r="G60" s="110">
        <f t="shared" si="126"/>
        <v>1303704</v>
      </c>
      <c r="H60" s="110">
        <f t="shared" si="126"/>
        <v>1333749</v>
      </c>
      <c r="I60" s="110">
        <f t="shared" si="126"/>
        <v>1433926</v>
      </c>
      <c r="J60" s="110">
        <f t="shared" si="126"/>
        <v>1544888</v>
      </c>
      <c r="K60" s="110">
        <f t="shared" si="126"/>
        <v>1589044</v>
      </c>
      <c r="L60" s="110">
        <f t="shared" ref="L60" si="127">SUM(L61:L66)</f>
        <v>1669065</v>
      </c>
      <c r="M60" s="110">
        <f t="shared" ref="M60:V60" si="128">SUM(M61:M66)</f>
        <v>1749300</v>
      </c>
      <c r="N60" s="110">
        <f t="shared" si="128"/>
        <v>1824190</v>
      </c>
      <c r="O60" s="110">
        <f t="shared" si="128"/>
        <v>1879800</v>
      </c>
      <c r="P60" s="110">
        <f t="shared" si="128"/>
        <v>1949100</v>
      </c>
      <c r="Q60" s="110">
        <f t="shared" si="128"/>
        <v>2034574</v>
      </c>
      <c r="R60" s="110">
        <f t="shared" si="128"/>
        <v>2121774</v>
      </c>
      <c r="S60" s="110">
        <f t="shared" si="128"/>
        <v>2223117</v>
      </c>
      <c r="T60" s="110">
        <f t="shared" si="128"/>
        <v>2321608</v>
      </c>
      <c r="U60" s="110">
        <f t="shared" si="128"/>
        <v>2393577</v>
      </c>
      <c r="V60" s="110">
        <f t="shared" si="128"/>
        <v>2439986</v>
      </c>
      <c r="W60" s="110">
        <f t="shared" ref="W60:Y60" si="129">SUM(W61:W66)</f>
        <v>2493183</v>
      </c>
      <c r="X60" s="110">
        <f t="shared" si="129"/>
        <v>2555491</v>
      </c>
      <c r="Y60" s="110">
        <f t="shared" si="129"/>
        <v>2644361</v>
      </c>
      <c r="DA60" s="176" t="s">
        <v>503</v>
      </c>
    </row>
    <row r="61" spans="1:105" ht="11.45" customHeight="1" x14ac:dyDescent="0.25">
      <c r="A61" s="111" t="s">
        <v>110</v>
      </c>
      <c r="B61" s="84">
        <v>1038797</v>
      </c>
      <c r="C61" s="84">
        <v>1038897</v>
      </c>
      <c r="D61" s="84">
        <v>1038624</v>
      </c>
      <c r="E61" s="84">
        <v>1045297</v>
      </c>
      <c r="F61" s="84">
        <v>992546</v>
      </c>
      <c r="G61" s="84">
        <v>983034</v>
      </c>
      <c r="H61" s="84">
        <v>999424</v>
      </c>
      <c r="I61" s="84">
        <v>1062932</v>
      </c>
      <c r="J61" s="84">
        <v>1147072</v>
      </c>
      <c r="K61" s="84">
        <v>1174238</v>
      </c>
      <c r="L61" s="84">
        <v>1235322</v>
      </c>
      <c r="M61" s="84">
        <v>1255991</v>
      </c>
      <c r="N61" s="84">
        <v>1311658</v>
      </c>
      <c r="O61" s="84">
        <v>1356215</v>
      </c>
      <c r="P61" s="84">
        <v>1400965</v>
      </c>
      <c r="Q61" s="84">
        <v>1464701</v>
      </c>
      <c r="R61" s="84">
        <v>1552895</v>
      </c>
      <c r="S61" s="84">
        <v>1636630</v>
      </c>
      <c r="T61" s="84">
        <v>1717338</v>
      </c>
      <c r="U61" s="84">
        <v>1778261</v>
      </c>
      <c r="V61" s="84">
        <v>1808919</v>
      </c>
      <c r="W61" s="84">
        <v>1844708</v>
      </c>
      <c r="X61" s="84">
        <v>1912743</v>
      </c>
      <c r="Y61" s="84">
        <v>1998954</v>
      </c>
      <c r="DA61" s="171" t="s">
        <v>504</v>
      </c>
    </row>
    <row r="62" spans="1:105" ht="11.45" customHeight="1" x14ac:dyDescent="0.25">
      <c r="A62" s="111" t="s">
        <v>111</v>
      </c>
      <c r="B62" s="84">
        <v>235403</v>
      </c>
      <c r="C62" s="84">
        <v>251503</v>
      </c>
      <c r="D62" s="84">
        <v>285876</v>
      </c>
      <c r="E62" s="84">
        <v>303881</v>
      </c>
      <c r="F62" s="84">
        <v>308508</v>
      </c>
      <c r="G62" s="84">
        <v>311553</v>
      </c>
      <c r="H62" s="84">
        <v>325232</v>
      </c>
      <c r="I62" s="84">
        <v>353285</v>
      </c>
      <c r="J62" s="84">
        <v>380283</v>
      </c>
      <c r="K62" s="84">
        <v>397146</v>
      </c>
      <c r="L62" s="84">
        <v>412502</v>
      </c>
      <c r="M62" s="84">
        <v>426643</v>
      </c>
      <c r="N62" s="84">
        <v>442235</v>
      </c>
      <c r="O62" s="84">
        <v>449650</v>
      </c>
      <c r="P62" s="84">
        <v>472541</v>
      </c>
      <c r="Q62" s="84">
        <v>490817</v>
      </c>
      <c r="R62" s="84">
        <v>495729</v>
      </c>
      <c r="S62" s="84">
        <v>518042</v>
      </c>
      <c r="T62" s="84">
        <v>538764</v>
      </c>
      <c r="U62" s="84">
        <v>554943</v>
      </c>
      <c r="V62" s="84">
        <v>571655</v>
      </c>
      <c r="W62" s="84">
        <v>588944</v>
      </c>
      <c r="X62" s="84">
        <v>580355</v>
      </c>
      <c r="Y62" s="84">
        <v>575769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1250</v>
      </c>
      <c r="H63" s="84">
        <v>1251</v>
      </c>
      <c r="I63" s="84">
        <v>1352</v>
      </c>
      <c r="J63" s="84">
        <v>1400</v>
      </c>
      <c r="K63" s="84">
        <v>1401</v>
      </c>
      <c r="L63" s="84">
        <v>3003</v>
      </c>
      <c r="M63" s="84">
        <v>48894</v>
      </c>
      <c r="N63" s="84">
        <v>54615</v>
      </c>
      <c r="O63" s="84">
        <v>59503</v>
      </c>
      <c r="P63" s="84">
        <v>59362</v>
      </c>
      <c r="Q63" s="84">
        <v>62639</v>
      </c>
      <c r="R63" s="84">
        <v>61386</v>
      </c>
      <c r="S63" s="84">
        <v>57089</v>
      </c>
      <c r="T63" s="84">
        <v>54235</v>
      </c>
      <c r="U63" s="84">
        <v>50583</v>
      </c>
      <c r="V63" s="84">
        <v>49554</v>
      </c>
      <c r="W63" s="84">
        <v>47458</v>
      </c>
      <c r="X63" s="84">
        <v>46874</v>
      </c>
      <c r="Y63" s="84">
        <v>47415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2400</v>
      </c>
      <c r="D64" s="84">
        <v>2400</v>
      </c>
      <c r="E64" s="84">
        <v>7022</v>
      </c>
      <c r="F64" s="84">
        <v>7854</v>
      </c>
      <c r="G64" s="84">
        <v>7867</v>
      </c>
      <c r="H64" s="84">
        <v>7842</v>
      </c>
      <c r="I64" s="84">
        <v>16357</v>
      </c>
      <c r="J64" s="84">
        <v>16133</v>
      </c>
      <c r="K64" s="84">
        <v>16259</v>
      </c>
      <c r="L64" s="84">
        <v>18238</v>
      </c>
      <c r="M64" s="84">
        <v>17753</v>
      </c>
      <c r="N64" s="84">
        <v>15657</v>
      </c>
      <c r="O64" s="84">
        <v>14377</v>
      </c>
      <c r="P64" s="84">
        <v>16099</v>
      </c>
      <c r="Q64" s="84">
        <v>16243</v>
      </c>
      <c r="R64" s="84">
        <v>11410</v>
      </c>
      <c r="S64" s="84">
        <v>10613</v>
      </c>
      <c r="T64" s="84">
        <v>9856</v>
      </c>
      <c r="U64" s="84">
        <v>8008</v>
      </c>
      <c r="V64" s="84">
        <v>6352</v>
      </c>
      <c r="W64" s="84">
        <v>6419</v>
      </c>
      <c r="X64" s="84">
        <v>6776</v>
      </c>
      <c r="Y64" s="84">
        <v>7182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5</v>
      </c>
      <c r="O65" s="84">
        <v>5</v>
      </c>
      <c r="P65" s="84">
        <v>20</v>
      </c>
      <c r="Q65" s="84">
        <v>37</v>
      </c>
      <c r="R65" s="84">
        <v>156</v>
      </c>
      <c r="S65" s="84">
        <v>345</v>
      </c>
      <c r="T65" s="84">
        <v>620</v>
      </c>
      <c r="U65" s="84">
        <v>826</v>
      </c>
      <c r="V65" s="84">
        <v>1643</v>
      </c>
      <c r="W65" s="84">
        <v>2655</v>
      </c>
      <c r="X65" s="84">
        <v>4215</v>
      </c>
      <c r="Y65" s="84">
        <v>7145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19</v>
      </c>
      <c r="N66" s="84">
        <v>20</v>
      </c>
      <c r="O66" s="84">
        <v>50</v>
      </c>
      <c r="P66" s="84">
        <v>113</v>
      </c>
      <c r="Q66" s="84">
        <v>137</v>
      </c>
      <c r="R66" s="84">
        <v>198</v>
      </c>
      <c r="S66" s="84">
        <v>398</v>
      </c>
      <c r="T66" s="84">
        <v>795</v>
      </c>
      <c r="U66" s="84">
        <v>956</v>
      </c>
      <c r="V66" s="84">
        <v>1863</v>
      </c>
      <c r="W66" s="84">
        <v>2999</v>
      </c>
      <c r="X66" s="84">
        <v>4528</v>
      </c>
      <c r="Y66" s="84">
        <v>7896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11149</v>
      </c>
      <c r="C67" s="110">
        <f t="shared" si="130"/>
        <v>10889</v>
      </c>
      <c r="D67" s="110">
        <f t="shared" si="130"/>
        <v>10834</v>
      </c>
      <c r="E67" s="110">
        <f t="shared" si="130"/>
        <v>10852</v>
      </c>
      <c r="F67" s="110">
        <f t="shared" si="130"/>
        <v>9202</v>
      </c>
      <c r="G67" s="110">
        <f t="shared" si="130"/>
        <v>9392</v>
      </c>
      <c r="H67" s="110">
        <f t="shared" si="130"/>
        <v>9070</v>
      </c>
      <c r="I67" s="110">
        <f t="shared" si="130"/>
        <v>10759</v>
      </c>
      <c r="J67" s="110">
        <f t="shared" si="130"/>
        <v>10804</v>
      </c>
      <c r="K67" s="110">
        <f t="shared" si="130"/>
        <v>9667</v>
      </c>
      <c r="L67" s="110">
        <f t="shared" ref="L67" si="131">SUM(L68:L72)</f>
        <v>9616</v>
      </c>
      <c r="M67" s="110">
        <f t="shared" ref="M67:V67" si="132">SUM(M68:M72)</f>
        <v>9342</v>
      </c>
      <c r="N67" s="110">
        <f t="shared" si="132"/>
        <v>9226</v>
      </c>
      <c r="O67" s="110">
        <f t="shared" si="132"/>
        <v>9071</v>
      </c>
      <c r="P67" s="110">
        <f t="shared" si="132"/>
        <v>9159</v>
      </c>
      <c r="Q67" s="110">
        <f t="shared" si="132"/>
        <v>9270</v>
      </c>
      <c r="R67" s="110">
        <f t="shared" si="132"/>
        <v>9091</v>
      </c>
      <c r="S67" s="110">
        <f t="shared" si="132"/>
        <v>9241</v>
      </c>
      <c r="T67" s="110">
        <f t="shared" si="132"/>
        <v>9363</v>
      </c>
      <c r="U67" s="110">
        <f t="shared" si="132"/>
        <v>9262</v>
      </c>
      <c r="V67" s="110">
        <f t="shared" si="132"/>
        <v>8164</v>
      </c>
      <c r="W67" s="110">
        <f t="shared" ref="W67:Y67" si="133">SUM(W68:W72)</f>
        <v>8370</v>
      </c>
      <c r="X67" s="110">
        <f t="shared" si="133"/>
        <v>8685</v>
      </c>
      <c r="Y67" s="110">
        <f t="shared" si="133"/>
        <v>8989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X68" s="102">
        <v>0</v>
      </c>
      <c r="Y68" s="102">
        <v>0</v>
      </c>
      <c r="DA68" s="175" t="s">
        <v>511</v>
      </c>
    </row>
    <row r="69" spans="1:105" ht="11.45" customHeight="1" x14ac:dyDescent="0.25">
      <c r="A69" s="111" t="s">
        <v>111</v>
      </c>
      <c r="B69" s="102">
        <v>11149</v>
      </c>
      <c r="C69" s="102">
        <v>10889</v>
      </c>
      <c r="D69" s="102">
        <v>10834</v>
      </c>
      <c r="E69" s="102">
        <v>10852</v>
      </c>
      <c r="F69" s="102">
        <v>9202</v>
      </c>
      <c r="G69" s="102">
        <v>9392</v>
      </c>
      <c r="H69" s="102">
        <v>9070</v>
      </c>
      <c r="I69" s="102">
        <v>10759</v>
      </c>
      <c r="J69" s="102">
        <v>10804</v>
      </c>
      <c r="K69" s="102">
        <v>9667</v>
      </c>
      <c r="L69" s="102">
        <v>9500</v>
      </c>
      <c r="M69" s="102">
        <v>9074</v>
      </c>
      <c r="N69" s="102">
        <v>8957</v>
      </c>
      <c r="O69" s="102">
        <v>8806</v>
      </c>
      <c r="P69" s="102">
        <v>8776</v>
      </c>
      <c r="Q69" s="102">
        <v>8797</v>
      </c>
      <c r="R69" s="102">
        <v>8011</v>
      </c>
      <c r="S69" s="102">
        <v>8093</v>
      </c>
      <c r="T69" s="102">
        <v>8165</v>
      </c>
      <c r="U69" s="102">
        <v>8269</v>
      </c>
      <c r="V69" s="102">
        <v>7156</v>
      </c>
      <c r="W69" s="102">
        <v>7366</v>
      </c>
      <c r="X69" s="102">
        <v>7709</v>
      </c>
      <c r="Y69" s="102">
        <v>7997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516</v>
      </c>
      <c r="S71" s="102">
        <v>506</v>
      </c>
      <c r="T71" s="102">
        <v>480</v>
      </c>
      <c r="U71" s="102">
        <v>235</v>
      </c>
      <c r="V71" s="102">
        <v>230</v>
      </c>
      <c r="W71" s="102">
        <v>230</v>
      </c>
      <c r="X71" s="102">
        <v>230</v>
      </c>
      <c r="Y71" s="102">
        <v>230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116</v>
      </c>
      <c r="M72" s="102">
        <v>268</v>
      </c>
      <c r="N72" s="102">
        <v>269</v>
      </c>
      <c r="O72" s="102">
        <v>265</v>
      </c>
      <c r="P72" s="102">
        <v>383</v>
      </c>
      <c r="Q72" s="102">
        <v>473</v>
      </c>
      <c r="R72" s="102">
        <v>564</v>
      </c>
      <c r="S72" s="102">
        <v>642</v>
      </c>
      <c r="T72" s="102">
        <v>718</v>
      </c>
      <c r="U72" s="102">
        <v>758</v>
      </c>
      <c r="V72" s="102">
        <v>778</v>
      </c>
      <c r="W72" s="102">
        <v>774</v>
      </c>
      <c r="X72" s="102">
        <v>746</v>
      </c>
      <c r="Y72" s="102">
        <v>762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118003</v>
      </c>
      <c r="C73" s="28">
        <f t="shared" si="134"/>
        <v>121666</v>
      </c>
      <c r="D73" s="28">
        <f t="shared" si="134"/>
        <v>130207</v>
      </c>
      <c r="E73" s="28">
        <f t="shared" si="134"/>
        <v>141154</v>
      </c>
      <c r="F73" s="28">
        <f t="shared" si="134"/>
        <v>141890</v>
      </c>
      <c r="G73" s="28">
        <f t="shared" si="134"/>
        <v>160818</v>
      </c>
      <c r="H73" s="28">
        <f t="shared" si="134"/>
        <v>176420</v>
      </c>
      <c r="I73" s="28">
        <f t="shared" si="134"/>
        <v>201419</v>
      </c>
      <c r="J73" s="28">
        <f t="shared" si="134"/>
        <v>231106</v>
      </c>
      <c r="K73" s="28">
        <f t="shared" si="134"/>
        <v>251991</v>
      </c>
      <c r="L73" s="28">
        <f t="shared" ref="L73" si="135">L74+L80</f>
        <v>258907</v>
      </c>
      <c r="M73" s="28">
        <f t="shared" ref="M73:V73" si="136">M74+M80</f>
        <v>264058</v>
      </c>
      <c r="N73" s="28">
        <f t="shared" si="136"/>
        <v>268849</v>
      </c>
      <c r="O73" s="28">
        <f t="shared" si="136"/>
        <v>272072</v>
      </c>
      <c r="P73" s="28">
        <f t="shared" si="136"/>
        <v>275280</v>
      </c>
      <c r="Q73" s="28">
        <f t="shared" si="136"/>
        <v>285669</v>
      </c>
      <c r="R73" s="28">
        <f t="shared" si="136"/>
        <v>289394</v>
      </c>
      <c r="S73" s="28">
        <f t="shared" si="136"/>
        <v>294535</v>
      </c>
      <c r="T73" s="28">
        <f t="shared" si="136"/>
        <v>285405</v>
      </c>
      <c r="U73" s="28">
        <f t="shared" si="136"/>
        <v>297735</v>
      </c>
      <c r="V73" s="28">
        <f t="shared" si="136"/>
        <v>299441</v>
      </c>
      <c r="W73" s="28">
        <f t="shared" ref="W73:Y73" si="137">W74+W80</f>
        <v>294142</v>
      </c>
      <c r="X73" s="28">
        <f t="shared" si="137"/>
        <v>296388</v>
      </c>
      <c r="Y73" s="28">
        <f t="shared" si="137"/>
        <v>308379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107015</v>
      </c>
      <c r="C74" s="137">
        <f t="shared" si="138"/>
        <v>107197</v>
      </c>
      <c r="D74" s="137">
        <f t="shared" si="138"/>
        <v>107525</v>
      </c>
      <c r="E74" s="137">
        <f t="shared" si="138"/>
        <v>109025</v>
      </c>
      <c r="F74" s="137">
        <f t="shared" si="138"/>
        <v>118776</v>
      </c>
      <c r="G74" s="137">
        <f t="shared" si="138"/>
        <v>129411</v>
      </c>
      <c r="H74" s="137">
        <f t="shared" si="138"/>
        <v>132517</v>
      </c>
      <c r="I74" s="137">
        <f t="shared" si="138"/>
        <v>149494</v>
      </c>
      <c r="J74" s="137">
        <f t="shared" si="138"/>
        <v>159281</v>
      </c>
      <c r="K74" s="137">
        <f t="shared" si="138"/>
        <v>173814</v>
      </c>
      <c r="L74" s="137">
        <f t="shared" ref="L74" si="139">SUM(L75:L79)</f>
        <v>176788</v>
      </c>
      <c r="M74" s="137">
        <f t="shared" ref="M74:V74" si="140">SUM(M75:M79)</f>
        <v>178896</v>
      </c>
      <c r="N74" s="137">
        <f t="shared" si="140"/>
        <v>183879</v>
      </c>
      <c r="O74" s="137">
        <f t="shared" si="140"/>
        <v>166323</v>
      </c>
      <c r="P74" s="137">
        <f t="shared" si="140"/>
        <v>147092</v>
      </c>
      <c r="Q74" s="137">
        <f t="shared" si="140"/>
        <v>166067</v>
      </c>
      <c r="R74" s="137">
        <f t="shared" si="140"/>
        <v>155800</v>
      </c>
      <c r="S74" s="137">
        <f t="shared" si="140"/>
        <v>153916</v>
      </c>
      <c r="T74" s="137">
        <f t="shared" si="140"/>
        <v>149914</v>
      </c>
      <c r="U74" s="137">
        <f t="shared" si="140"/>
        <v>146085</v>
      </c>
      <c r="V74" s="137">
        <f t="shared" si="140"/>
        <v>146404</v>
      </c>
      <c r="W74" s="137">
        <f t="shared" ref="W74:Y74" si="141">SUM(W75:W79)</f>
        <v>146448</v>
      </c>
      <c r="X74" s="137">
        <f t="shared" si="141"/>
        <v>146477</v>
      </c>
      <c r="Y74" s="137">
        <f t="shared" si="141"/>
        <v>146696</v>
      </c>
      <c r="DA74" s="174" t="s">
        <v>517</v>
      </c>
    </row>
    <row r="75" spans="1:105" ht="11.45" customHeight="1" x14ac:dyDescent="0.25">
      <c r="A75" s="111" t="s">
        <v>110</v>
      </c>
      <c r="B75" s="84">
        <v>39970</v>
      </c>
      <c r="C75" s="84">
        <v>39993</v>
      </c>
      <c r="D75" s="84">
        <v>40050</v>
      </c>
      <c r="E75" s="84">
        <v>40192</v>
      </c>
      <c r="F75" s="84">
        <v>50553</v>
      </c>
      <c r="G75" s="84">
        <v>51476</v>
      </c>
      <c r="H75" s="84">
        <v>53933</v>
      </c>
      <c r="I75" s="84">
        <v>58112</v>
      </c>
      <c r="J75" s="84">
        <v>60446</v>
      </c>
      <c r="K75" s="84">
        <v>61486</v>
      </c>
      <c r="L75" s="84">
        <v>48449</v>
      </c>
      <c r="M75" s="84">
        <v>49460</v>
      </c>
      <c r="N75" s="84">
        <v>50192</v>
      </c>
      <c r="O75" s="84">
        <v>50793</v>
      </c>
      <c r="P75" s="84">
        <v>46574</v>
      </c>
      <c r="Q75" s="84">
        <v>52552</v>
      </c>
      <c r="R75" s="84">
        <v>58700</v>
      </c>
      <c r="S75" s="84">
        <v>52570</v>
      </c>
      <c r="T75" s="84">
        <v>50135</v>
      </c>
      <c r="U75" s="84">
        <v>42809</v>
      </c>
      <c r="V75" s="84">
        <v>42809</v>
      </c>
      <c r="W75" s="84">
        <v>42809</v>
      </c>
      <c r="X75" s="84">
        <v>42809</v>
      </c>
      <c r="Y75" s="84">
        <v>42809</v>
      </c>
      <c r="DA75" s="171" t="s">
        <v>518</v>
      </c>
    </row>
    <row r="76" spans="1:105" ht="11.45" customHeight="1" x14ac:dyDescent="0.25">
      <c r="A76" s="111" t="s">
        <v>111</v>
      </c>
      <c r="B76" s="84">
        <v>67045</v>
      </c>
      <c r="C76" s="84">
        <v>67204</v>
      </c>
      <c r="D76" s="84">
        <v>67475</v>
      </c>
      <c r="E76" s="84">
        <v>68833</v>
      </c>
      <c r="F76" s="84">
        <v>68223</v>
      </c>
      <c r="G76" s="84">
        <v>77935</v>
      </c>
      <c r="H76" s="84">
        <v>78584</v>
      </c>
      <c r="I76" s="84">
        <v>91382</v>
      </c>
      <c r="J76" s="84">
        <v>98835</v>
      </c>
      <c r="K76" s="84">
        <v>112328</v>
      </c>
      <c r="L76" s="84">
        <v>128339</v>
      </c>
      <c r="M76" s="84">
        <v>129436</v>
      </c>
      <c r="N76" s="84">
        <v>133675</v>
      </c>
      <c r="O76" s="84">
        <v>115514</v>
      </c>
      <c r="P76" s="84">
        <v>97907</v>
      </c>
      <c r="Q76" s="84">
        <v>110900</v>
      </c>
      <c r="R76" s="84">
        <v>94027</v>
      </c>
      <c r="S76" s="84">
        <v>98121</v>
      </c>
      <c r="T76" s="84">
        <v>96240</v>
      </c>
      <c r="U76" s="84">
        <v>99491</v>
      </c>
      <c r="V76" s="84">
        <v>99491</v>
      </c>
      <c r="W76" s="84">
        <v>99491</v>
      </c>
      <c r="X76" s="84">
        <v>99491</v>
      </c>
      <c r="Y76" s="84">
        <v>99491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7</v>
      </c>
      <c r="O77" s="84">
        <v>5</v>
      </c>
      <c r="P77" s="84">
        <v>2600</v>
      </c>
      <c r="Q77" s="84">
        <v>2600</v>
      </c>
      <c r="R77" s="84">
        <v>2866</v>
      </c>
      <c r="S77" s="84">
        <v>2994</v>
      </c>
      <c r="T77" s="84">
        <v>3125</v>
      </c>
      <c r="U77" s="84">
        <v>3300</v>
      </c>
      <c r="V77" s="84">
        <v>3400</v>
      </c>
      <c r="W77" s="84">
        <v>3400</v>
      </c>
      <c r="X77" s="84">
        <v>3400</v>
      </c>
      <c r="Y77" s="84">
        <v>3378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5</v>
      </c>
      <c r="O78" s="84">
        <v>9</v>
      </c>
      <c r="P78" s="84">
        <v>7</v>
      </c>
      <c r="Q78" s="84">
        <v>9</v>
      </c>
      <c r="R78" s="84">
        <v>195</v>
      </c>
      <c r="S78" s="84">
        <v>204</v>
      </c>
      <c r="T78" s="84">
        <v>334</v>
      </c>
      <c r="U78" s="84">
        <v>400</v>
      </c>
      <c r="V78" s="84">
        <v>600</v>
      </c>
      <c r="W78" s="84">
        <v>600</v>
      </c>
      <c r="X78" s="84">
        <v>600</v>
      </c>
      <c r="Y78" s="84">
        <v>597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4</v>
      </c>
      <c r="Q79" s="84">
        <v>6</v>
      </c>
      <c r="R79" s="84">
        <v>12</v>
      </c>
      <c r="S79" s="84">
        <v>27</v>
      </c>
      <c r="T79" s="84">
        <v>80</v>
      </c>
      <c r="U79" s="84">
        <v>85</v>
      </c>
      <c r="V79" s="84">
        <v>104</v>
      </c>
      <c r="W79" s="84">
        <v>148</v>
      </c>
      <c r="X79" s="84">
        <v>177</v>
      </c>
      <c r="Y79" s="84">
        <v>421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10988</v>
      </c>
      <c r="C80" s="110">
        <f t="shared" si="142"/>
        <v>14469</v>
      </c>
      <c r="D80" s="110">
        <f t="shared" si="142"/>
        <v>22682</v>
      </c>
      <c r="E80" s="110">
        <f t="shared" si="142"/>
        <v>32129</v>
      </c>
      <c r="F80" s="110">
        <f t="shared" si="142"/>
        <v>23114</v>
      </c>
      <c r="G80" s="110">
        <f t="shared" si="142"/>
        <v>31407</v>
      </c>
      <c r="H80" s="110">
        <f t="shared" si="142"/>
        <v>43903</v>
      </c>
      <c r="I80" s="110">
        <f t="shared" si="142"/>
        <v>51925</v>
      </c>
      <c r="J80" s="110">
        <f t="shared" si="142"/>
        <v>71825</v>
      </c>
      <c r="K80" s="110">
        <f t="shared" si="142"/>
        <v>78177</v>
      </c>
      <c r="L80" s="110">
        <f t="shared" ref="L80" si="143">SUM(L81:L82)</f>
        <v>82119</v>
      </c>
      <c r="M80" s="110">
        <f t="shared" ref="M80:V80" si="144">SUM(M81:M82)</f>
        <v>85162</v>
      </c>
      <c r="N80" s="110">
        <f t="shared" si="144"/>
        <v>84970</v>
      </c>
      <c r="O80" s="110">
        <f t="shared" si="144"/>
        <v>105749</v>
      </c>
      <c r="P80" s="110">
        <f t="shared" si="144"/>
        <v>128188</v>
      </c>
      <c r="Q80" s="110">
        <f t="shared" si="144"/>
        <v>119602</v>
      </c>
      <c r="R80" s="110">
        <f t="shared" si="144"/>
        <v>133594</v>
      </c>
      <c r="S80" s="110">
        <f t="shared" si="144"/>
        <v>140619</v>
      </c>
      <c r="T80" s="110">
        <f t="shared" si="144"/>
        <v>135491</v>
      </c>
      <c r="U80" s="110">
        <f t="shared" si="144"/>
        <v>151650</v>
      </c>
      <c r="V80" s="110">
        <f t="shared" si="144"/>
        <v>153037</v>
      </c>
      <c r="W80" s="110">
        <f t="shared" ref="W80:Y80" si="145">SUM(W81:W82)</f>
        <v>147694</v>
      </c>
      <c r="X80" s="110">
        <f t="shared" si="145"/>
        <v>149911</v>
      </c>
      <c r="Y80" s="110">
        <f t="shared" si="145"/>
        <v>161683</v>
      </c>
      <c r="DA80" s="176" t="s">
        <v>523</v>
      </c>
    </row>
    <row r="81" spans="1:105" ht="11.45" customHeight="1" x14ac:dyDescent="0.25">
      <c r="A81" s="128" t="s">
        <v>27</v>
      </c>
      <c r="B81" s="102">
        <v>8066</v>
      </c>
      <c r="C81" s="102">
        <v>11336</v>
      </c>
      <c r="D81" s="102">
        <v>19386</v>
      </c>
      <c r="E81" s="102">
        <v>28760</v>
      </c>
      <c r="F81" s="102">
        <v>19131</v>
      </c>
      <c r="G81" s="102">
        <v>27283</v>
      </c>
      <c r="H81" s="102">
        <v>39564</v>
      </c>
      <c r="I81" s="102">
        <v>46469</v>
      </c>
      <c r="J81" s="102">
        <v>66453</v>
      </c>
      <c r="K81" s="102">
        <v>72961</v>
      </c>
      <c r="L81" s="102">
        <v>76661</v>
      </c>
      <c r="M81" s="102">
        <v>79297</v>
      </c>
      <c r="N81" s="102">
        <v>79019</v>
      </c>
      <c r="O81" s="102">
        <v>99304</v>
      </c>
      <c r="P81" s="102">
        <v>121625</v>
      </c>
      <c r="Q81" s="102">
        <v>112368</v>
      </c>
      <c r="R81" s="102">
        <v>125799</v>
      </c>
      <c r="S81" s="102">
        <v>132193</v>
      </c>
      <c r="T81" s="102">
        <v>127139</v>
      </c>
      <c r="U81" s="102">
        <v>142901</v>
      </c>
      <c r="V81" s="102">
        <v>144548</v>
      </c>
      <c r="W81" s="102">
        <v>139137</v>
      </c>
      <c r="X81" s="102">
        <v>140620</v>
      </c>
      <c r="Y81" s="102">
        <v>152710</v>
      </c>
      <c r="DA81" s="175" t="s">
        <v>524</v>
      </c>
    </row>
    <row r="82" spans="1:105" ht="11.45" customHeight="1" x14ac:dyDescent="0.25">
      <c r="A82" s="138" t="s">
        <v>116</v>
      </c>
      <c r="B82" s="86">
        <v>2922</v>
      </c>
      <c r="C82" s="86">
        <v>3133</v>
      </c>
      <c r="D82" s="86">
        <v>3296</v>
      </c>
      <c r="E82" s="86">
        <v>3369</v>
      </c>
      <c r="F82" s="86">
        <v>3983</v>
      </c>
      <c r="G82" s="86">
        <v>4124</v>
      </c>
      <c r="H82" s="86">
        <v>4339</v>
      </c>
      <c r="I82" s="86">
        <v>5456</v>
      </c>
      <c r="J82" s="86">
        <v>5372</v>
      </c>
      <c r="K82" s="86">
        <v>5216</v>
      </c>
      <c r="L82" s="86">
        <v>5458</v>
      </c>
      <c r="M82" s="86">
        <v>5865</v>
      </c>
      <c r="N82" s="86">
        <v>5951</v>
      </c>
      <c r="O82" s="86">
        <v>6445</v>
      </c>
      <c r="P82" s="86">
        <v>6563</v>
      </c>
      <c r="Q82" s="86">
        <v>7234</v>
      </c>
      <c r="R82" s="86">
        <v>7795</v>
      </c>
      <c r="S82" s="86">
        <v>8426</v>
      </c>
      <c r="T82" s="86">
        <v>8352</v>
      </c>
      <c r="U82" s="86">
        <v>8749</v>
      </c>
      <c r="V82" s="86">
        <v>8489</v>
      </c>
      <c r="W82" s="86">
        <v>8557</v>
      </c>
      <c r="X82" s="86">
        <v>9291</v>
      </c>
      <c r="Y82" s="86">
        <v>8973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1448999</v>
      </c>
      <c r="C84" s="54">
        <f t="shared" si="146"/>
        <v>1472031</v>
      </c>
      <c r="D84" s="54">
        <f t="shared" ref="D84:V84" si="147">D85+D100</f>
        <v>1515841</v>
      </c>
      <c r="E84" s="54">
        <f t="shared" si="147"/>
        <v>1556915</v>
      </c>
      <c r="F84" s="54">
        <f t="shared" si="147"/>
        <v>1511977</v>
      </c>
      <c r="G84" s="54">
        <f t="shared" si="147"/>
        <v>1530280</v>
      </c>
      <c r="H84" s="54">
        <f t="shared" si="147"/>
        <v>1577340</v>
      </c>
      <c r="I84" s="54">
        <f t="shared" si="147"/>
        <v>1710001</v>
      </c>
      <c r="J84" s="54">
        <f t="shared" si="147"/>
        <v>1857116</v>
      </c>
      <c r="K84" s="54">
        <f t="shared" si="147"/>
        <v>1932602</v>
      </c>
      <c r="L84" s="54">
        <f t="shared" si="147"/>
        <v>2025488</v>
      </c>
      <c r="M84" s="54">
        <f t="shared" si="147"/>
        <v>2116500</v>
      </c>
      <c r="N84" s="54">
        <f t="shared" si="147"/>
        <v>2201765</v>
      </c>
      <c r="O84" s="54">
        <f t="shared" si="147"/>
        <v>2266843</v>
      </c>
      <c r="P84" s="54">
        <f t="shared" si="147"/>
        <v>2346239</v>
      </c>
      <c r="Q84" s="54">
        <f t="shared" si="147"/>
        <v>2450137</v>
      </c>
      <c r="R84" s="54">
        <f t="shared" si="147"/>
        <v>2546387</v>
      </c>
      <c r="S84" s="54">
        <f t="shared" si="147"/>
        <v>2660202</v>
      </c>
      <c r="T84" s="54">
        <f t="shared" si="147"/>
        <v>2756826</v>
      </c>
      <c r="U84" s="54">
        <f t="shared" si="147"/>
        <v>2848072</v>
      </c>
      <c r="V84" s="54">
        <f t="shared" si="147"/>
        <v>2902036</v>
      </c>
      <c r="W84" s="54">
        <f t="shared" ref="W84:Y84" si="148">W85+W100</f>
        <v>2957840</v>
      </c>
      <c r="X84" s="54">
        <f t="shared" si="148"/>
        <v>3030967</v>
      </c>
      <c r="Y84" s="54">
        <f t="shared" si="148"/>
        <v>3140253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1330996</v>
      </c>
      <c r="C85" s="28">
        <f t="shared" si="149"/>
        <v>1350365</v>
      </c>
      <c r="D85" s="28">
        <f t="shared" ref="D85:V85" si="150">D86+D87+D94</f>
        <v>1385634</v>
      </c>
      <c r="E85" s="28">
        <f t="shared" si="150"/>
        <v>1415761</v>
      </c>
      <c r="F85" s="28">
        <f t="shared" si="150"/>
        <v>1370087</v>
      </c>
      <c r="G85" s="28">
        <f t="shared" si="150"/>
        <v>1369462</v>
      </c>
      <c r="H85" s="28">
        <f t="shared" si="150"/>
        <v>1400920</v>
      </c>
      <c r="I85" s="28">
        <f t="shared" si="150"/>
        <v>1508582</v>
      </c>
      <c r="J85" s="28">
        <f t="shared" si="150"/>
        <v>1626010</v>
      </c>
      <c r="K85" s="28">
        <f t="shared" si="150"/>
        <v>1680611</v>
      </c>
      <c r="L85" s="28">
        <f t="shared" si="150"/>
        <v>1766581</v>
      </c>
      <c r="M85" s="28">
        <f t="shared" si="150"/>
        <v>1852442</v>
      </c>
      <c r="N85" s="28">
        <f t="shared" si="150"/>
        <v>1932916</v>
      </c>
      <c r="O85" s="28">
        <f t="shared" si="150"/>
        <v>1994771</v>
      </c>
      <c r="P85" s="28">
        <f t="shared" si="150"/>
        <v>2070959</v>
      </c>
      <c r="Q85" s="28">
        <f t="shared" si="150"/>
        <v>2164468</v>
      </c>
      <c r="R85" s="28">
        <f t="shared" si="150"/>
        <v>2256993</v>
      </c>
      <c r="S85" s="28">
        <f t="shared" si="150"/>
        <v>2365667</v>
      </c>
      <c r="T85" s="28">
        <f t="shared" si="150"/>
        <v>2471421</v>
      </c>
      <c r="U85" s="28">
        <f t="shared" si="150"/>
        <v>2550337</v>
      </c>
      <c r="V85" s="28">
        <f t="shared" si="150"/>
        <v>2602595</v>
      </c>
      <c r="W85" s="28">
        <f t="shared" ref="W85:Y85" si="151">W86+W87+W94</f>
        <v>2663698</v>
      </c>
      <c r="X85" s="28">
        <f t="shared" si="151"/>
        <v>2734579</v>
      </c>
      <c r="Y85" s="28">
        <f t="shared" si="151"/>
        <v>2831874</v>
      </c>
      <c r="DA85" s="173"/>
    </row>
    <row r="86" spans="1:105" ht="11.45" hidden="1" customHeight="1" x14ac:dyDescent="0.25">
      <c r="A86" s="136" t="s">
        <v>173</v>
      </c>
      <c r="B86" s="137">
        <v>45647</v>
      </c>
      <c r="C86" s="137">
        <v>46676</v>
      </c>
      <c r="D86" s="137">
        <v>47900</v>
      </c>
      <c r="E86" s="137">
        <v>48709</v>
      </c>
      <c r="F86" s="137">
        <v>51977</v>
      </c>
      <c r="G86" s="137">
        <v>56366</v>
      </c>
      <c r="H86" s="137">
        <v>58101</v>
      </c>
      <c r="I86" s="137">
        <v>63897</v>
      </c>
      <c r="J86" s="137">
        <v>70318</v>
      </c>
      <c r="K86" s="137">
        <v>81900</v>
      </c>
      <c r="L86" s="137">
        <v>87900</v>
      </c>
      <c r="M86" s="137">
        <v>93800</v>
      </c>
      <c r="N86" s="137">
        <v>99500</v>
      </c>
      <c r="O86" s="137">
        <v>105900</v>
      </c>
      <c r="P86" s="137">
        <v>112700</v>
      </c>
      <c r="Q86" s="137">
        <v>120624</v>
      </c>
      <c r="R86" s="137">
        <v>126128</v>
      </c>
      <c r="S86" s="137">
        <v>133309</v>
      </c>
      <c r="T86" s="137">
        <v>140450</v>
      </c>
      <c r="U86" s="137">
        <v>147498</v>
      </c>
      <c r="V86" s="137">
        <v>154445</v>
      </c>
      <c r="W86" s="137">
        <v>162145</v>
      </c>
      <c r="X86" s="137">
        <v>170403</v>
      </c>
      <c r="Y86" s="137">
        <v>178524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1274200</v>
      </c>
      <c r="C87" s="110">
        <f t="shared" si="152"/>
        <v>1292800</v>
      </c>
      <c r="D87" s="110">
        <f t="shared" ref="D87:V87" si="153">SUM(D88:D93)</f>
        <v>1326900</v>
      </c>
      <c r="E87" s="110">
        <f t="shared" si="153"/>
        <v>1356200</v>
      </c>
      <c r="F87" s="110">
        <f t="shared" si="153"/>
        <v>1308908</v>
      </c>
      <c r="G87" s="110">
        <f t="shared" si="153"/>
        <v>1303704</v>
      </c>
      <c r="H87" s="110">
        <f t="shared" si="153"/>
        <v>1333749</v>
      </c>
      <c r="I87" s="110">
        <f t="shared" si="153"/>
        <v>1433926</v>
      </c>
      <c r="J87" s="110">
        <f t="shared" si="153"/>
        <v>1544888</v>
      </c>
      <c r="K87" s="110">
        <f t="shared" si="153"/>
        <v>1589044</v>
      </c>
      <c r="L87" s="110">
        <f t="shared" si="153"/>
        <v>1669065</v>
      </c>
      <c r="M87" s="110">
        <f t="shared" si="153"/>
        <v>1749300</v>
      </c>
      <c r="N87" s="110">
        <f t="shared" si="153"/>
        <v>1824190</v>
      </c>
      <c r="O87" s="110">
        <f t="shared" si="153"/>
        <v>1879800</v>
      </c>
      <c r="P87" s="110">
        <f t="shared" si="153"/>
        <v>1949100</v>
      </c>
      <c r="Q87" s="110">
        <f t="shared" si="153"/>
        <v>2034574</v>
      </c>
      <c r="R87" s="110">
        <f t="shared" si="153"/>
        <v>2121774</v>
      </c>
      <c r="S87" s="110">
        <f t="shared" si="153"/>
        <v>2223117</v>
      </c>
      <c r="T87" s="110">
        <f t="shared" si="153"/>
        <v>2321608</v>
      </c>
      <c r="U87" s="110">
        <f t="shared" si="153"/>
        <v>2393577</v>
      </c>
      <c r="V87" s="110">
        <f t="shared" si="153"/>
        <v>2439986</v>
      </c>
      <c r="W87" s="110">
        <f t="shared" ref="W87:Y87" si="154">SUM(W88:W93)</f>
        <v>2493183</v>
      </c>
      <c r="X87" s="110">
        <f t="shared" si="154"/>
        <v>2555491</v>
      </c>
      <c r="Y87" s="110">
        <f t="shared" si="154"/>
        <v>2644361</v>
      </c>
      <c r="DA87" s="176"/>
    </row>
    <row r="88" spans="1:105" ht="11.45" hidden="1" customHeight="1" x14ac:dyDescent="0.25">
      <c r="A88" s="111" t="s">
        <v>110</v>
      </c>
      <c r="B88" s="84">
        <v>1038797</v>
      </c>
      <c r="C88" s="84">
        <v>1038897</v>
      </c>
      <c r="D88" s="84">
        <v>1038624</v>
      </c>
      <c r="E88" s="84">
        <v>1045297</v>
      </c>
      <c r="F88" s="84">
        <v>992546</v>
      </c>
      <c r="G88" s="84">
        <v>983034</v>
      </c>
      <c r="H88" s="84">
        <v>999424</v>
      </c>
      <c r="I88" s="84">
        <v>1062932</v>
      </c>
      <c r="J88" s="84">
        <v>1147072</v>
      </c>
      <c r="K88" s="84">
        <v>1174238</v>
      </c>
      <c r="L88" s="84">
        <v>1235322</v>
      </c>
      <c r="M88" s="84">
        <v>1255991</v>
      </c>
      <c r="N88" s="84">
        <v>1311658</v>
      </c>
      <c r="O88" s="84">
        <v>1356215</v>
      </c>
      <c r="P88" s="84">
        <v>1400965</v>
      </c>
      <c r="Q88" s="84">
        <v>1464701</v>
      </c>
      <c r="R88" s="84">
        <v>1552895</v>
      </c>
      <c r="S88" s="84">
        <v>1636630</v>
      </c>
      <c r="T88" s="84">
        <v>1717338</v>
      </c>
      <c r="U88" s="84">
        <v>1778261</v>
      </c>
      <c r="V88" s="84">
        <v>1808919</v>
      </c>
      <c r="W88" s="84">
        <v>1844708</v>
      </c>
      <c r="X88" s="84">
        <v>1912743</v>
      </c>
      <c r="Y88" s="84">
        <v>1998954</v>
      </c>
      <c r="DA88" s="171"/>
    </row>
    <row r="89" spans="1:105" ht="11.45" hidden="1" customHeight="1" x14ac:dyDescent="0.25">
      <c r="A89" s="111" t="s">
        <v>111</v>
      </c>
      <c r="B89" s="84">
        <v>235403</v>
      </c>
      <c r="C89" s="84">
        <v>251503</v>
      </c>
      <c r="D89" s="84">
        <v>285876</v>
      </c>
      <c r="E89" s="84">
        <v>303881</v>
      </c>
      <c r="F89" s="84">
        <v>308508</v>
      </c>
      <c r="G89" s="84">
        <v>311553</v>
      </c>
      <c r="H89" s="84">
        <v>325232</v>
      </c>
      <c r="I89" s="84">
        <v>353285</v>
      </c>
      <c r="J89" s="84">
        <v>380283</v>
      </c>
      <c r="K89" s="84">
        <v>397146</v>
      </c>
      <c r="L89" s="84">
        <v>412502</v>
      </c>
      <c r="M89" s="84">
        <v>426643</v>
      </c>
      <c r="N89" s="84">
        <v>442235</v>
      </c>
      <c r="O89" s="84">
        <v>449650</v>
      </c>
      <c r="P89" s="84">
        <v>472541</v>
      </c>
      <c r="Q89" s="84">
        <v>490817</v>
      </c>
      <c r="R89" s="84">
        <v>495729</v>
      </c>
      <c r="S89" s="84">
        <v>518042</v>
      </c>
      <c r="T89" s="84">
        <v>538764</v>
      </c>
      <c r="U89" s="84">
        <v>554943</v>
      </c>
      <c r="V89" s="84">
        <v>571655</v>
      </c>
      <c r="W89" s="84">
        <v>588944</v>
      </c>
      <c r="X89" s="84">
        <v>580355</v>
      </c>
      <c r="Y89" s="84">
        <v>575769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1250</v>
      </c>
      <c r="H90" s="84">
        <v>1251</v>
      </c>
      <c r="I90" s="84">
        <v>1352</v>
      </c>
      <c r="J90" s="84">
        <v>1400</v>
      </c>
      <c r="K90" s="84">
        <v>1401</v>
      </c>
      <c r="L90" s="84">
        <v>3003</v>
      </c>
      <c r="M90" s="84">
        <v>48894</v>
      </c>
      <c r="N90" s="84">
        <v>54615</v>
      </c>
      <c r="O90" s="84">
        <v>59503</v>
      </c>
      <c r="P90" s="84">
        <v>59362</v>
      </c>
      <c r="Q90" s="84">
        <v>62639</v>
      </c>
      <c r="R90" s="84">
        <v>61386</v>
      </c>
      <c r="S90" s="84">
        <v>57089</v>
      </c>
      <c r="T90" s="84">
        <v>54235</v>
      </c>
      <c r="U90" s="84">
        <v>50583</v>
      </c>
      <c r="V90" s="84">
        <v>49554</v>
      </c>
      <c r="W90" s="84">
        <v>47458</v>
      </c>
      <c r="X90" s="84">
        <v>46874</v>
      </c>
      <c r="Y90" s="84">
        <v>47415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2400</v>
      </c>
      <c r="D91" s="84">
        <v>2400</v>
      </c>
      <c r="E91" s="84">
        <v>7022</v>
      </c>
      <c r="F91" s="84">
        <v>7854</v>
      </c>
      <c r="G91" s="84">
        <v>7867</v>
      </c>
      <c r="H91" s="84">
        <v>7842</v>
      </c>
      <c r="I91" s="84">
        <v>16357</v>
      </c>
      <c r="J91" s="84">
        <v>16133</v>
      </c>
      <c r="K91" s="84">
        <v>16259</v>
      </c>
      <c r="L91" s="84">
        <v>18238</v>
      </c>
      <c r="M91" s="84">
        <v>17753</v>
      </c>
      <c r="N91" s="84">
        <v>15657</v>
      </c>
      <c r="O91" s="84">
        <v>14377</v>
      </c>
      <c r="P91" s="84">
        <v>16099</v>
      </c>
      <c r="Q91" s="84">
        <v>16243</v>
      </c>
      <c r="R91" s="84">
        <v>11410</v>
      </c>
      <c r="S91" s="84">
        <v>10613</v>
      </c>
      <c r="T91" s="84">
        <v>9856</v>
      </c>
      <c r="U91" s="84">
        <v>8008</v>
      </c>
      <c r="V91" s="84">
        <v>6352</v>
      </c>
      <c r="W91" s="84">
        <v>6419</v>
      </c>
      <c r="X91" s="84">
        <v>6776</v>
      </c>
      <c r="Y91" s="84">
        <v>7182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5</v>
      </c>
      <c r="O92" s="84">
        <v>5</v>
      </c>
      <c r="P92" s="84">
        <v>20</v>
      </c>
      <c r="Q92" s="84">
        <v>37</v>
      </c>
      <c r="R92" s="84">
        <v>156</v>
      </c>
      <c r="S92" s="84">
        <v>345</v>
      </c>
      <c r="T92" s="84">
        <v>620</v>
      </c>
      <c r="U92" s="84">
        <v>826</v>
      </c>
      <c r="V92" s="84">
        <v>1643</v>
      </c>
      <c r="W92" s="84">
        <v>2655</v>
      </c>
      <c r="X92" s="84">
        <v>4215</v>
      </c>
      <c r="Y92" s="84">
        <v>7145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19</v>
      </c>
      <c r="N93" s="84">
        <v>20</v>
      </c>
      <c r="O93" s="84">
        <v>50</v>
      </c>
      <c r="P93" s="84">
        <v>113</v>
      </c>
      <c r="Q93" s="84">
        <v>137</v>
      </c>
      <c r="R93" s="84">
        <v>198</v>
      </c>
      <c r="S93" s="84">
        <v>398</v>
      </c>
      <c r="T93" s="84">
        <v>795</v>
      </c>
      <c r="U93" s="84">
        <v>956</v>
      </c>
      <c r="V93" s="84">
        <v>1863</v>
      </c>
      <c r="W93" s="84">
        <v>2999</v>
      </c>
      <c r="X93" s="84">
        <v>4528</v>
      </c>
      <c r="Y93" s="84">
        <v>7896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11149</v>
      </c>
      <c r="C94" s="110">
        <f t="shared" si="155"/>
        <v>10889</v>
      </c>
      <c r="D94" s="110">
        <f t="shared" ref="D94:V94" si="156">SUM(D95:D99)</f>
        <v>10834</v>
      </c>
      <c r="E94" s="110">
        <f t="shared" si="156"/>
        <v>10852</v>
      </c>
      <c r="F94" s="110">
        <f t="shared" si="156"/>
        <v>9202</v>
      </c>
      <c r="G94" s="110">
        <f t="shared" si="156"/>
        <v>9392</v>
      </c>
      <c r="H94" s="110">
        <f t="shared" si="156"/>
        <v>9070</v>
      </c>
      <c r="I94" s="110">
        <f t="shared" si="156"/>
        <v>10759</v>
      </c>
      <c r="J94" s="110">
        <f t="shared" si="156"/>
        <v>10804</v>
      </c>
      <c r="K94" s="110">
        <f t="shared" si="156"/>
        <v>9667</v>
      </c>
      <c r="L94" s="110">
        <f t="shared" si="156"/>
        <v>9616</v>
      </c>
      <c r="M94" s="110">
        <f t="shared" si="156"/>
        <v>9342</v>
      </c>
      <c r="N94" s="110">
        <f t="shared" si="156"/>
        <v>9226</v>
      </c>
      <c r="O94" s="110">
        <f t="shared" si="156"/>
        <v>9071</v>
      </c>
      <c r="P94" s="110">
        <f t="shared" si="156"/>
        <v>9159</v>
      </c>
      <c r="Q94" s="110">
        <f t="shared" si="156"/>
        <v>9270</v>
      </c>
      <c r="R94" s="110">
        <f t="shared" si="156"/>
        <v>9091</v>
      </c>
      <c r="S94" s="110">
        <f t="shared" si="156"/>
        <v>9241</v>
      </c>
      <c r="T94" s="110">
        <f t="shared" si="156"/>
        <v>9363</v>
      </c>
      <c r="U94" s="110">
        <f t="shared" si="156"/>
        <v>9262</v>
      </c>
      <c r="V94" s="110">
        <f t="shared" si="156"/>
        <v>8164</v>
      </c>
      <c r="W94" s="110">
        <f t="shared" ref="W94:Y94" si="157">SUM(W95:W99)</f>
        <v>8370</v>
      </c>
      <c r="X94" s="110">
        <f t="shared" si="157"/>
        <v>8685</v>
      </c>
      <c r="Y94" s="110">
        <f t="shared" si="157"/>
        <v>8989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X95" s="102">
        <v>0</v>
      </c>
      <c r="Y95" s="102">
        <v>0</v>
      </c>
      <c r="DA95" s="175"/>
    </row>
    <row r="96" spans="1:105" ht="11.45" hidden="1" customHeight="1" x14ac:dyDescent="0.25">
      <c r="A96" s="111" t="s">
        <v>111</v>
      </c>
      <c r="B96" s="102">
        <v>11149</v>
      </c>
      <c r="C96" s="102">
        <v>10889</v>
      </c>
      <c r="D96" s="102">
        <v>10834</v>
      </c>
      <c r="E96" s="102">
        <v>10852</v>
      </c>
      <c r="F96" s="102">
        <v>9202</v>
      </c>
      <c r="G96" s="102">
        <v>9392</v>
      </c>
      <c r="H96" s="102">
        <v>9070</v>
      </c>
      <c r="I96" s="102">
        <v>10759</v>
      </c>
      <c r="J96" s="102">
        <v>10804</v>
      </c>
      <c r="K96" s="102">
        <v>9667</v>
      </c>
      <c r="L96" s="102">
        <v>9500</v>
      </c>
      <c r="M96" s="102">
        <v>9074</v>
      </c>
      <c r="N96" s="102">
        <v>8957</v>
      </c>
      <c r="O96" s="102">
        <v>8806</v>
      </c>
      <c r="P96" s="102">
        <v>8776</v>
      </c>
      <c r="Q96" s="102">
        <v>8797</v>
      </c>
      <c r="R96" s="102">
        <v>8011</v>
      </c>
      <c r="S96" s="102">
        <v>8093</v>
      </c>
      <c r="T96" s="102">
        <v>8165</v>
      </c>
      <c r="U96" s="102">
        <v>8269</v>
      </c>
      <c r="V96" s="102">
        <v>7156</v>
      </c>
      <c r="W96" s="102">
        <v>7366</v>
      </c>
      <c r="X96" s="102">
        <v>7709</v>
      </c>
      <c r="Y96" s="102">
        <v>7997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516</v>
      </c>
      <c r="S98" s="102">
        <v>506</v>
      </c>
      <c r="T98" s="102">
        <v>480</v>
      </c>
      <c r="U98" s="102">
        <v>235</v>
      </c>
      <c r="V98" s="102">
        <v>230</v>
      </c>
      <c r="W98" s="102">
        <v>230</v>
      </c>
      <c r="X98" s="102">
        <v>230</v>
      </c>
      <c r="Y98" s="102">
        <v>230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116</v>
      </c>
      <c r="M99" s="102">
        <v>268</v>
      </c>
      <c r="N99" s="102">
        <v>269</v>
      </c>
      <c r="O99" s="102">
        <v>265</v>
      </c>
      <c r="P99" s="102">
        <v>383</v>
      </c>
      <c r="Q99" s="102">
        <v>473</v>
      </c>
      <c r="R99" s="102">
        <v>564</v>
      </c>
      <c r="S99" s="102">
        <v>642</v>
      </c>
      <c r="T99" s="102">
        <v>718</v>
      </c>
      <c r="U99" s="102">
        <v>758</v>
      </c>
      <c r="V99" s="102">
        <v>778</v>
      </c>
      <c r="W99" s="102">
        <v>774</v>
      </c>
      <c r="X99" s="102">
        <v>746</v>
      </c>
      <c r="Y99" s="102">
        <v>762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118003</v>
      </c>
      <c r="C100" s="28">
        <f t="shared" si="158"/>
        <v>121666</v>
      </c>
      <c r="D100" s="28">
        <f t="shared" ref="D100:V100" si="159">D101+D107</f>
        <v>130207</v>
      </c>
      <c r="E100" s="28">
        <f t="shared" si="159"/>
        <v>141154</v>
      </c>
      <c r="F100" s="28">
        <f t="shared" si="159"/>
        <v>141890</v>
      </c>
      <c r="G100" s="28">
        <f t="shared" si="159"/>
        <v>160818</v>
      </c>
      <c r="H100" s="28">
        <f t="shared" si="159"/>
        <v>176420</v>
      </c>
      <c r="I100" s="28">
        <f t="shared" si="159"/>
        <v>201419</v>
      </c>
      <c r="J100" s="28">
        <f t="shared" si="159"/>
        <v>231106</v>
      </c>
      <c r="K100" s="28">
        <f t="shared" si="159"/>
        <v>251991</v>
      </c>
      <c r="L100" s="28">
        <f t="shared" si="159"/>
        <v>258907</v>
      </c>
      <c r="M100" s="28">
        <f t="shared" si="159"/>
        <v>264058</v>
      </c>
      <c r="N100" s="28">
        <f t="shared" si="159"/>
        <v>268849</v>
      </c>
      <c r="O100" s="28">
        <f t="shared" si="159"/>
        <v>272072</v>
      </c>
      <c r="P100" s="28">
        <f t="shared" si="159"/>
        <v>275280</v>
      </c>
      <c r="Q100" s="28">
        <f t="shared" si="159"/>
        <v>285669</v>
      </c>
      <c r="R100" s="28">
        <f t="shared" si="159"/>
        <v>289394</v>
      </c>
      <c r="S100" s="28">
        <f t="shared" si="159"/>
        <v>294535</v>
      </c>
      <c r="T100" s="28">
        <f t="shared" si="159"/>
        <v>285405</v>
      </c>
      <c r="U100" s="28">
        <f t="shared" si="159"/>
        <v>297735</v>
      </c>
      <c r="V100" s="28">
        <f t="shared" si="159"/>
        <v>299441</v>
      </c>
      <c r="W100" s="28">
        <f t="shared" ref="W100:Y100" si="160">W101+W107</f>
        <v>294142</v>
      </c>
      <c r="X100" s="28">
        <f t="shared" si="160"/>
        <v>296388</v>
      </c>
      <c r="Y100" s="28">
        <f t="shared" si="160"/>
        <v>308379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107015</v>
      </c>
      <c r="C101" s="137">
        <f t="shared" si="161"/>
        <v>107197</v>
      </c>
      <c r="D101" s="137">
        <f t="shared" ref="D101:V101" si="162">SUM(D102:D106)</f>
        <v>107525</v>
      </c>
      <c r="E101" s="137">
        <f t="shared" si="162"/>
        <v>109025</v>
      </c>
      <c r="F101" s="137">
        <f t="shared" si="162"/>
        <v>118776</v>
      </c>
      <c r="G101" s="137">
        <f t="shared" si="162"/>
        <v>129411</v>
      </c>
      <c r="H101" s="137">
        <f t="shared" si="162"/>
        <v>132517</v>
      </c>
      <c r="I101" s="137">
        <f t="shared" si="162"/>
        <v>149494</v>
      </c>
      <c r="J101" s="137">
        <f t="shared" si="162"/>
        <v>159281</v>
      </c>
      <c r="K101" s="137">
        <f t="shared" si="162"/>
        <v>173814</v>
      </c>
      <c r="L101" s="137">
        <f t="shared" si="162"/>
        <v>176788</v>
      </c>
      <c r="M101" s="137">
        <f t="shared" si="162"/>
        <v>178896</v>
      </c>
      <c r="N101" s="137">
        <f t="shared" si="162"/>
        <v>183879</v>
      </c>
      <c r="O101" s="137">
        <f t="shared" si="162"/>
        <v>166323</v>
      </c>
      <c r="P101" s="137">
        <f t="shared" si="162"/>
        <v>147092</v>
      </c>
      <c r="Q101" s="137">
        <f t="shared" si="162"/>
        <v>166067</v>
      </c>
      <c r="R101" s="137">
        <f t="shared" si="162"/>
        <v>155800</v>
      </c>
      <c r="S101" s="137">
        <f t="shared" si="162"/>
        <v>153916</v>
      </c>
      <c r="T101" s="137">
        <f t="shared" si="162"/>
        <v>149914</v>
      </c>
      <c r="U101" s="137">
        <f t="shared" si="162"/>
        <v>146085</v>
      </c>
      <c r="V101" s="137">
        <f t="shared" si="162"/>
        <v>146404</v>
      </c>
      <c r="W101" s="137">
        <f t="shared" ref="W101:Y101" si="163">SUM(W102:W106)</f>
        <v>146448</v>
      </c>
      <c r="X101" s="137">
        <f t="shared" si="163"/>
        <v>146477</v>
      </c>
      <c r="Y101" s="137">
        <f t="shared" si="163"/>
        <v>146696</v>
      </c>
      <c r="DA101" s="174"/>
    </row>
    <row r="102" spans="1:105" ht="11.45" hidden="1" customHeight="1" x14ac:dyDescent="0.25">
      <c r="A102" s="111" t="s">
        <v>110</v>
      </c>
      <c r="B102" s="84">
        <v>39970</v>
      </c>
      <c r="C102" s="84">
        <v>39993</v>
      </c>
      <c r="D102" s="84">
        <v>40050</v>
      </c>
      <c r="E102" s="84">
        <v>40192</v>
      </c>
      <c r="F102" s="84">
        <v>50553</v>
      </c>
      <c r="G102" s="84">
        <v>51476</v>
      </c>
      <c r="H102" s="84">
        <v>53933</v>
      </c>
      <c r="I102" s="84">
        <v>58112</v>
      </c>
      <c r="J102" s="84">
        <v>60446</v>
      </c>
      <c r="K102" s="84">
        <v>61486</v>
      </c>
      <c r="L102" s="84">
        <v>48449</v>
      </c>
      <c r="M102" s="84">
        <v>49460</v>
      </c>
      <c r="N102" s="84">
        <v>50192</v>
      </c>
      <c r="O102" s="84">
        <v>50793</v>
      </c>
      <c r="P102" s="84">
        <v>46574</v>
      </c>
      <c r="Q102" s="84">
        <v>52552</v>
      </c>
      <c r="R102" s="84">
        <v>58700</v>
      </c>
      <c r="S102" s="84">
        <v>52570</v>
      </c>
      <c r="T102" s="84">
        <v>50135</v>
      </c>
      <c r="U102" s="84">
        <v>42809</v>
      </c>
      <c r="V102" s="84">
        <v>42809</v>
      </c>
      <c r="W102" s="84">
        <v>42809</v>
      </c>
      <c r="X102" s="84">
        <v>42809</v>
      </c>
      <c r="Y102" s="84">
        <v>42809</v>
      </c>
      <c r="DA102" s="171"/>
    </row>
    <row r="103" spans="1:105" ht="11.45" hidden="1" customHeight="1" x14ac:dyDescent="0.25">
      <c r="A103" s="111" t="s">
        <v>111</v>
      </c>
      <c r="B103" s="84">
        <v>67045</v>
      </c>
      <c r="C103" s="84">
        <v>67204</v>
      </c>
      <c r="D103" s="84">
        <v>67475</v>
      </c>
      <c r="E103" s="84">
        <v>68833</v>
      </c>
      <c r="F103" s="84">
        <v>68223</v>
      </c>
      <c r="G103" s="84">
        <v>77935</v>
      </c>
      <c r="H103" s="84">
        <v>78584</v>
      </c>
      <c r="I103" s="84">
        <v>91382</v>
      </c>
      <c r="J103" s="84">
        <v>98835</v>
      </c>
      <c r="K103" s="84">
        <v>112328</v>
      </c>
      <c r="L103" s="84">
        <v>128339</v>
      </c>
      <c r="M103" s="84">
        <v>129436</v>
      </c>
      <c r="N103" s="84">
        <v>133675</v>
      </c>
      <c r="O103" s="84">
        <v>115514</v>
      </c>
      <c r="P103" s="84">
        <v>97907</v>
      </c>
      <c r="Q103" s="84">
        <v>110900</v>
      </c>
      <c r="R103" s="84">
        <v>94027</v>
      </c>
      <c r="S103" s="84">
        <v>98121</v>
      </c>
      <c r="T103" s="84">
        <v>96240</v>
      </c>
      <c r="U103" s="84">
        <v>99491</v>
      </c>
      <c r="V103" s="84">
        <v>99491</v>
      </c>
      <c r="W103" s="84">
        <v>99491</v>
      </c>
      <c r="X103" s="84">
        <v>99491</v>
      </c>
      <c r="Y103" s="84">
        <v>99491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7</v>
      </c>
      <c r="O104" s="84">
        <v>5</v>
      </c>
      <c r="P104" s="84">
        <v>2600</v>
      </c>
      <c r="Q104" s="84">
        <v>2600</v>
      </c>
      <c r="R104" s="84">
        <v>2866</v>
      </c>
      <c r="S104" s="84">
        <v>2994</v>
      </c>
      <c r="T104" s="84">
        <v>3125</v>
      </c>
      <c r="U104" s="84">
        <v>3300</v>
      </c>
      <c r="V104" s="84">
        <v>3400</v>
      </c>
      <c r="W104" s="84">
        <v>3400</v>
      </c>
      <c r="X104" s="84">
        <v>3400</v>
      </c>
      <c r="Y104" s="84">
        <v>3378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5</v>
      </c>
      <c r="O105" s="84">
        <v>9</v>
      </c>
      <c r="P105" s="84">
        <v>7</v>
      </c>
      <c r="Q105" s="84">
        <v>9</v>
      </c>
      <c r="R105" s="84">
        <v>195</v>
      </c>
      <c r="S105" s="84">
        <v>204</v>
      </c>
      <c r="T105" s="84">
        <v>334</v>
      </c>
      <c r="U105" s="84">
        <v>400</v>
      </c>
      <c r="V105" s="84">
        <v>600</v>
      </c>
      <c r="W105" s="84">
        <v>600</v>
      </c>
      <c r="X105" s="84">
        <v>600</v>
      </c>
      <c r="Y105" s="84">
        <v>597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2</v>
      </c>
      <c r="P106" s="84">
        <v>4</v>
      </c>
      <c r="Q106" s="84">
        <v>6</v>
      </c>
      <c r="R106" s="84">
        <v>12</v>
      </c>
      <c r="S106" s="84">
        <v>27</v>
      </c>
      <c r="T106" s="84">
        <v>80</v>
      </c>
      <c r="U106" s="84">
        <v>85</v>
      </c>
      <c r="V106" s="84">
        <v>104</v>
      </c>
      <c r="W106" s="84">
        <v>148</v>
      </c>
      <c r="X106" s="84">
        <v>177</v>
      </c>
      <c r="Y106" s="84">
        <v>421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10988</v>
      </c>
      <c r="C107" s="110">
        <f t="shared" si="164"/>
        <v>14469</v>
      </c>
      <c r="D107" s="110">
        <f t="shared" ref="D107:V107" si="165">SUM(D108:D109)</f>
        <v>22682</v>
      </c>
      <c r="E107" s="110">
        <f t="shared" si="165"/>
        <v>32129</v>
      </c>
      <c r="F107" s="110">
        <f t="shared" si="165"/>
        <v>23114</v>
      </c>
      <c r="G107" s="110">
        <f t="shared" si="165"/>
        <v>31407</v>
      </c>
      <c r="H107" s="110">
        <f t="shared" si="165"/>
        <v>43903</v>
      </c>
      <c r="I107" s="110">
        <f t="shared" si="165"/>
        <v>51925</v>
      </c>
      <c r="J107" s="110">
        <f t="shared" si="165"/>
        <v>71825</v>
      </c>
      <c r="K107" s="110">
        <f t="shared" si="165"/>
        <v>78177</v>
      </c>
      <c r="L107" s="110">
        <f t="shared" si="165"/>
        <v>82119</v>
      </c>
      <c r="M107" s="110">
        <f t="shared" si="165"/>
        <v>85162</v>
      </c>
      <c r="N107" s="110">
        <f t="shared" si="165"/>
        <v>84970</v>
      </c>
      <c r="O107" s="110">
        <f t="shared" si="165"/>
        <v>105749</v>
      </c>
      <c r="P107" s="110">
        <f t="shared" si="165"/>
        <v>128188</v>
      </c>
      <c r="Q107" s="110">
        <f t="shared" si="165"/>
        <v>119602</v>
      </c>
      <c r="R107" s="110">
        <f t="shared" si="165"/>
        <v>133594</v>
      </c>
      <c r="S107" s="110">
        <f t="shared" si="165"/>
        <v>140619</v>
      </c>
      <c r="T107" s="110">
        <f t="shared" si="165"/>
        <v>135491</v>
      </c>
      <c r="U107" s="110">
        <f t="shared" si="165"/>
        <v>151650</v>
      </c>
      <c r="V107" s="110">
        <f t="shared" si="165"/>
        <v>153037</v>
      </c>
      <c r="W107" s="110">
        <f t="shared" ref="W107:Y107" si="166">SUM(W108:W109)</f>
        <v>147694</v>
      </c>
      <c r="X107" s="110">
        <f t="shared" si="166"/>
        <v>149911</v>
      </c>
      <c r="Y107" s="110">
        <f t="shared" si="166"/>
        <v>161683</v>
      </c>
      <c r="DA107" s="176"/>
    </row>
    <row r="108" spans="1:105" ht="11.45" hidden="1" customHeight="1" x14ac:dyDescent="0.25">
      <c r="A108" s="128" t="s">
        <v>27</v>
      </c>
      <c r="B108" s="102">
        <v>8066</v>
      </c>
      <c r="C108" s="102">
        <v>11336</v>
      </c>
      <c r="D108" s="102">
        <v>19386</v>
      </c>
      <c r="E108" s="102">
        <v>28760</v>
      </c>
      <c r="F108" s="102">
        <v>19131</v>
      </c>
      <c r="G108" s="102">
        <v>27283</v>
      </c>
      <c r="H108" s="102">
        <v>39564</v>
      </c>
      <c r="I108" s="102">
        <v>46469</v>
      </c>
      <c r="J108" s="102">
        <v>66453</v>
      </c>
      <c r="K108" s="102">
        <v>72961</v>
      </c>
      <c r="L108" s="102">
        <v>76661</v>
      </c>
      <c r="M108" s="102">
        <v>79297</v>
      </c>
      <c r="N108" s="102">
        <v>79019</v>
      </c>
      <c r="O108" s="102">
        <v>99304</v>
      </c>
      <c r="P108" s="102">
        <v>121625</v>
      </c>
      <c r="Q108" s="102">
        <v>112368</v>
      </c>
      <c r="R108" s="102">
        <v>125799</v>
      </c>
      <c r="S108" s="102">
        <v>132193</v>
      </c>
      <c r="T108" s="102">
        <v>127139</v>
      </c>
      <c r="U108" s="102">
        <v>142901</v>
      </c>
      <c r="V108" s="102">
        <v>144548</v>
      </c>
      <c r="W108" s="102">
        <v>139137</v>
      </c>
      <c r="X108" s="102">
        <v>140620</v>
      </c>
      <c r="Y108" s="102">
        <v>152710</v>
      </c>
      <c r="DA108" s="175"/>
    </row>
    <row r="109" spans="1:105" ht="11.45" hidden="1" customHeight="1" x14ac:dyDescent="0.25">
      <c r="A109" s="138" t="s">
        <v>116</v>
      </c>
      <c r="B109" s="86">
        <v>2922</v>
      </c>
      <c r="C109" s="86">
        <v>3133</v>
      </c>
      <c r="D109" s="86">
        <v>3296</v>
      </c>
      <c r="E109" s="86">
        <v>3369</v>
      </c>
      <c r="F109" s="86">
        <v>3983</v>
      </c>
      <c r="G109" s="86">
        <v>4124</v>
      </c>
      <c r="H109" s="86">
        <v>4339</v>
      </c>
      <c r="I109" s="86">
        <v>5456</v>
      </c>
      <c r="J109" s="86">
        <v>5372</v>
      </c>
      <c r="K109" s="86">
        <v>5216</v>
      </c>
      <c r="L109" s="86">
        <v>5458</v>
      </c>
      <c r="M109" s="86">
        <v>5865</v>
      </c>
      <c r="N109" s="86">
        <v>5951</v>
      </c>
      <c r="O109" s="86">
        <v>6445</v>
      </c>
      <c r="P109" s="86">
        <v>6563</v>
      </c>
      <c r="Q109" s="86">
        <v>7234</v>
      </c>
      <c r="R109" s="86">
        <v>7795</v>
      </c>
      <c r="S109" s="86">
        <v>8426</v>
      </c>
      <c r="T109" s="86">
        <v>8352</v>
      </c>
      <c r="U109" s="86">
        <v>8749</v>
      </c>
      <c r="V109" s="86">
        <v>8489</v>
      </c>
      <c r="W109" s="86">
        <v>8557</v>
      </c>
      <c r="X109" s="86">
        <v>9291</v>
      </c>
      <c r="Y109" s="86">
        <v>8973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82511</v>
      </c>
      <c r="C111" s="54">
        <f t="shared" si="167"/>
        <v>103464</v>
      </c>
      <c r="D111" s="54">
        <f t="shared" si="167"/>
        <v>99788</v>
      </c>
      <c r="E111" s="54">
        <f t="shared" si="167"/>
        <v>104331</v>
      </c>
      <c r="F111" s="54">
        <f t="shared" si="167"/>
        <v>40652</v>
      </c>
      <c r="G111" s="54">
        <f t="shared" si="167"/>
        <v>94127</v>
      </c>
      <c r="H111" s="54">
        <f t="shared" si="167"/>
        <v>131555</v>
      </c>
      <c r="I111" s="54">
        <f t="shared" si="167"/>
        <v>223214</v>
      </c>
      <c r="J111" s="54">
        <f t="shared" si="167"/>
        <v>243907</v>
      </c>
      <c r="K111" s="54">
        <f t="shared" si="167"/>
        <v>176054</v>
      </c>
      <c r="L111" s="54">
        <f t="shared" ref="L111" si="168">L112+L127</f>
        <v>209643</v>
      </c>
      <c r="M111" s="54">
        <f t="shared" ref="M111:V111" si="169">M112+M127</f>
        <v>200013</v>
      </c>
      <c r="N111" s="54">
        <f t="shared" si="169"/>
        <v>199026</v>
      </c>
      <c r="O111" s="54">
        <f t="shared" si="169"/>
        <v>197231</v>
      </c>
      <c r="P111" s="54">
        <f t="shared" si="169"/>
        <v>215496</v>
      </c>
      <c r="Q111" s="54">
        <f t="shared" si="169"/>
        <v>228505</v>
      </c>
      <c r="R111" s="54">
        <f t="shared" si="169"/>
        <v>243916</v>
      </c>
      <c r="S111" s="54">
        <f t="shared" si="169"/>
        <v>213409</v>
      </c>
      <c r="T111" s="54">
        <f t="shared" si="169"/>
        <v>204172</v>
      </c>
      <c r="U111" s="54">
        <f t="shared" si="169"/>
        <v>204583</v>
      </c>
      <c r="V111" s="54">
        <f t="shared" si="169"/>
        <v>170069</v>
      </c>
      <c r="W111" s="54">
        <f t="shared" ref="W111:Y111" si="170">W112+W127</f>
        <v>229844</v>
      </c>
      <c r="X111" s="54">
        <f t="shared" si="170"/>
        <v>254110</v>
      </c>
      <c r="Y111" s="54">
        <f t="shared" si="170"/>
        <v>283509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82219</v>
      </c>
      <c r="C112" s="28">
        <f t="shared" si="171"/>
        <v>94501</v>
      </c>
      <c r="D112" s="28">
        <f t="shared" si="171"/>
        <v>85181</v>
      </c>
      <c r="E112" s="28">
        <f t="shared" si="171"/>
        <v>86604</v>
      </c>
      <c r="F112" s="28">
        <f t="shared" si="171"/>
        <v>22565</v>
      </c>
      <c r="G112" s="28">
        <f t="shared" si="171"/>
        <v>67158</v>
      </c>
      <c r="H112" s="28">
        <f t="shared" si="171"/>
        <v>107339</v>
      </c>
      <c r="I112" s="28">
        <f t="shared" si="171"/>
        <v>189087</v>
      </c>
      <c r="J112" s="28">
        <f t="shared" si="171"/>
        <v>204611</v>
      </c>
      <c r="K112" s="28">
        <f t="shared" si="171"/>
        <v>145105</v>
      </c>
      <c r="L112" s="28">
        <f t="shared" ref="L112" si="172">L113+L114+L121</f>
        <v>181711</v>
      </c>
      <c r="M112" s="28">
        <f t="shared" ref="M112:V112" si="173">M113+M114+M121</f>
        <v>185226</v>
      </c>
      <c r="N112" s="28">
        <f t="shared" si="173"/>
        <v>184370</v>
      </c>
      <c r="O112" s="28">
        <f t="shared" si="173"/>
        <v>167748</v>
      </c>
      <c r="P112" s="28">
        <f t="shared" si="173"/>
        <v>183413</v>
      </c>
      <c r="Q112" s="28">
        <f t="shared" si="173"/>
        <v>203462</v>
      </c>
      <c r="R112" s="28">
        <f t="shared" si="173"/>
        <v>210760</v>
      </c>
      <c r="S112" s="28">
        <f t="shared" si="173"/>
        <v>192078</v>
      </c>
      <c r="T112" s="28">
        <f t="shared" si="173"/>
        <v>193575</v>
      </c>
      <c r="U112" s="28">
        <f t="shared" si="173"/>
        <v>176666</v>
      </c>
      <c r="V112" s="28">
        <f t="shared" si="173"/>
        <v>156767</v>
      </c>
      <c r="W112" s="28">
        <f t="shared" ref="W112:Y112" si="174">W113+W114+W121</f>
        <v>218569</v>
      </c>
      <c r="X112" s="28">
        <f t="shared" si="174"/>
        <v>230482</v>
      </c>
      <c r="Y112" s="28">
        <f t="shared" si="174"/>
        <v>255789</v>
      </c>
      <c r="DA112" s="173" t="s">
        <v>527</v>
      </c>
    </row>
    <row r="113" spans="1:105" ht="11.45" customHeight="1" x14ac:dyDescent="0.25">
      <c r="A113" s="136" t="s">
        <v>173</v>
      </c>
      <c r="B113" s="137">
        <v>0</v>
      </c>
      <c r="C113" s="137">
        <v>2280</v>
      </c>
      <c r="D113" s="137">
        <v>2559</v>
      </c>
      <c r="E113" s="137">
        <v>2032</v>
      </c>
      <c r="F113" s="137">
        <v>5319</v>
      </c>
      <c r="G113" s="137">
        <v>6875</v>
      </c>
      <c r="H113" s="137">
        <v>3431</v>
      </c>
      <c r="I113" s="137">
        <v>8868</v>
      </c>
      <c r="J113" s="137">
        <v>9814</v>
      </c>
      <c r="K113" s="137">
        <v>12637</v>
      </c>
      <c r="L113" s="137">
        <v>9615</v>
      </c>
      <c r="M113" s="137">
        <v>9600</v>
      </c>
      <c r="N113" s="137">
        <v>9452</v>
      </c>
      <c r="O113" s="137">
        <v>10498</v>
      </c>
      <c r="P113" s="137">
        <v>11156</v>
      </c>
      <c r="Q113" s="137">
        <v>12787</v>
      </c>
      <c r="R113" s="137">
        <v>9726</v>
      </c>
      <c r="S113" s="137">
        <v>12067</v>
      </c>
      <c r="T113" s="137">
        <v>12158</v>
      </c>
      <c r="U113" s="137">
        <v>12176</v>
      </c>
      <c r="V113" s="137">
        <v>12181</v>
      </c>
      <c r="W113" s="137">
        <v>13323</v>
      </c>
      <c r="X113" s="137">
        <v>14218</v>
      </c>
      <c r="Y113" s="137">
        <v>14200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81947</v>
      </c>
      <c r="C114" s="110">
        <f t="shared" si="175"/>
        <v>91895</v>
      </c>
      <c r="D114" s="110">
        <f t="shared" si="175"/>
        <v>82271</v>
      </c>
      <c r="E114" s="110">
        <f t="shared" si="175"/>
        <v>84240</v>
      </c>
      <c r="F114" s="110">
        <f t="shared" si="175"/>
        <v>16914</v>
      </c>
      <c r="G114" s="110">
        <f t="shared" si="175"/>
        <v>59925</v>
      </c>
      <c r="H114" s="110">
        <f t="shared" si="175"/>
        <v>103388</v>
      </c>
      <c r="I114" s="110">
        <f t="shared" si="175"/>
        <v>178530</v>
      </c>
      <c r="J114" s="110">
        <f t="shared" si="175"/>
        <v>193931</v>
      </c>
      <c r="K114" s="110">
        <f t="shared" si="175"/>
        <v>131458</v>
      </c>
      <c r="L114" s="110">
        <f t="shared" ref="L114" si="176">SUM(L115:L120)</f>
        <v>171278</v>
      </c>
      <c r="M114" s="110">
        <f t="shared" ref="M114:V114" si="177">SUM(M115:M120)</f>
        <v>175019</v>
      </c>
      <c r="N114" s="110">
        <f t="shared" si="177"/>
        <v>174348</v>
      </c>
      <c r="O114" s="110">
        <f t="shared" si="177"/>
        <v>156956</v>
      </c>
      <c r="P114" s="110">
        <f t="shared" si="177"/>
        <v>171804</v>
      </c>
      <c r="Q114" s="110">
        <f t="shared" si="177"/>
        <v>190300</v>
      </c>
      <c r="R114" s="110">
        <f t="shared" si="177"/>
        <v>200427</v>
      </c>
      <c r="S114" s="110">
        <f t="shared" si="177"/>
        <v>179610</v>
      </c>
      <c r="T114" s="110">
        <f t="shared" si="177"/>
        <v>181061</v>
      </c>
      <c r="U114" s="110">
        <f t="shared" si="177"/>
        <v>164182</v>
      </c>
      <c r="V114" s="110">
        <f t="shared" si="177"/>
        <v>144289</v>
      </c>
      <c r="W114" s="110">
        <f t="shared" ref="W114:Y114" si="178">SUM(W115:W120)</f>
        <v>204713</v>
      </c>
      <c r="X114" s="110">
        <f t="shared" si="178"/>
        <v>215858</v>
      </c>
      <c r="Y114" s="110">
        <f t="shared" si="178"/>
        <v>240742</v>
      </c>
      <c r="DA114" s="176" t="s">
        <v>529</v>
      </c>
    </row>
    <row r="115" spans="1:105" ht="11.45" customHeight="1" x14ac:dyDescent="0.25">
      <c r="A115" s="111" t="s">
        <v>110</v>
      </c>
      <c r="B115" s="84">
        <v>53880</v>
      </c>
      <c r="C115" s="84">
        <v>62874</v>
      </c>
      <c r="D115" s="84">
        <v>39300</v>
      </c>
      <c r="E115" s="84">
        <v>51630</v>
      </c>
      <c r="F115" s="84">
        <v>0</v>
      </c>
      <c r="G115" s="84">
        <v>42677</v>
      </c>
      <c r="H115" s="84">
        <v>75362</v>
      </c>
      <c r="I115" s="84">
        <v>126113</v>
      </c>
      <c r="J115" s="84">
        <v>149974</v>
      </c>
      <c r="K115" s="84">
        <v>95947</v>
      </c>
      <c r="L115" s="84">
        <v>132441</v>
      </c>
      <c r="M115" s="84">
        <v>94187</v>
      </c>
      <c r="N115" s="84">
        <v>130956</v>
      </c>
      <c r="O115" s="84">
        <v>121266</v>
      </c>
      <c r="P115" s="84">
        <v>122645</v>
      </c>
      <c r="Q115" s="84">
        <v>142677</v>
      </c>
      <c r="R115" s="84">
        <v>129782</v>
      </c>
      <c r="S115" s="84">
        <v>131362</v>
      </c>
      <c r="T115" s="84">
        <v>134580</v>
      </c>
      <c r="U115" s="84">
        <v>121173</v>
      </c>
      <c r="V115" s="84">
        <v>97309</v>
      </c>
      <c r="W115" s="84">
        <v>147098</v>
      </c>
      <c r="X115" s="84">
        <v>180554</v>
      </c>
      <c r="Y115" s="84">
        <v>199870</v>
      </c>
      <c r="DA115" s="171" t="s">
        <v>530</v>
      </c>
    </row>
    <row r="116" spans="1:105" ht="11.45" customHeight="1" x14ac:dyDescent="0.25">
      <c r="A116" s="111" t="s">
        <v>111</v>
      </c>
      <c r="B116" s="84">
        <v>28067</v>
      </c>
      <c r="C116" s="84">
        <v>26621</v>
      </c>
      <c r="D116" s="84">
        <v>42966</v>
      </c>
      <c r="E116" s="84">
        <v>27971</v>
      </c>
      <c r="F116" s="84">
        <v>16043</v>
      </c>
      <c r="G116" s="84">
        <v>15909</v>
      </c>
      <c r="H116" s="84">
        <v>27932</v>
      </c>
      <c r="I116" s="84">
        <v>43636</v>
      </c>
      <c r="J116" s="84">
        <v>43894</v>
      </c>
      <c r="K116" s="84">
        <v>35070</v>
      </c>
      <c r="L116" s="84">
        <v>34844</v>
      </c>
      <c r="M116" s="84">
        <v>34846</v>
      </c>
      <c r="N116" s="84">
        <v>37441</v>
      </c>
      <c r="O116" s="84">
        <v>30339</v>
      </c>
      <c r="P116" s="84">
        <v>46814</v>
      </c>
      <c r="Q116" s="84">
        <v>43143</v>
      </c>
      <c r="R116" s="84">
        <v>69834</v>
      </c>
      <c r="S116" s="84">
        <v>46954</v>
      </c>
      <c r="T116" s="84">
        <v>44963</v>
      </c>
      <c r="U116" s="84">
        <v>42103</v>
      </c>
      <c r="V116" s="84">
        <v>44194</v>
      </c>
      <c r="W116" s="84">
        <v>54146</v>
      </c>
      <c r="X116" s="84">
        <v>30058</v>
      </c>
      <c r="Y116" s="84">
        <v>32083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1250</v>
      </c>
      <c r="H117" s="84">
        <v>4</v>
      </c>
      <c r="I117" s="84">
        <v>110</v>
      </c>
      <c r="J117" s="84">
        <v>63</v>
      </c>
      <c r="K117" s="84">
        <v>23</v>
      </c>
      <c r="L117" s="84">
        <v>1632</v>
      </c>
      <c r="M117" s="84">
        <v>45931</v>
      </c>
      <c r="N117" s="84">
        <v>5881</v>
      </c>
      <c r="O117" s="84">
        <v>5294</v>
      </c>
      <c r="P117" s="84">
        <v>545</v>
      </c>
      <c r="Q117" s="84">
        <v>4267</v>
      </c>
      <c r="R117" s="84">
        <v>441</v>
      </c>
      <c r="S117" s="84">
        <v>646</v>
      </c>
      <c r="T117" s="84">
        <v>650</v>
      </c>
      <c r="U117" s="84">
        <v>374</v>
      </c>
      <c r="V117" s="84">
        <v>561</v>
      </c>
      <c r="W117" s="84">
        <v>969</v>
      </c>
      <c r="X117" s="84">
        <v>1432</v>
      </c>
      <c r="Y117" s="84">
        <v>1733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2400</v>
      </c>
      <c r="D118" s="84">
        <v>5</v>
      </c>
      <c r="E118" s="84">
        <v>4639</v>
      </c>
      <c r="F118" s="84">
        <v>871</v>
      </c>
      <c r="G118" s="84">
        <v>89</v>
      </c>
      <c r="H118" s="84">
        <v>90</v>
      </c>
      <c r="I118" s="84">
        <v>8671</v>
      </c>
      <c r="J118" s="84">
        <v>0</v>
      </c>
      <c r="K118" s="84">
        <v>418</v>
      </c>
      <c r="L118" s="84">
        <v>2361</v>
      </c>
      <c r="M118" s="84">
        <v>36</v>
      </c>
      <c r="N118" s="84">
        <v>64</v>
      </c>
      <c r="O118" s="84">
        <v>27</v>
      </c>
      <c r="P118" s="84">
        <v>1722</v>
      </c>
      <c r="Q118" s="84">
        <v>144</v>
      </c>
      <c r="R118" s="84">
        <v>188</v>
      </c>
      <c r="S118" s="84">
        <v>119</v>
      </c>
      <c r="T118" s="84">
        <v>189</v>
      </c>
      <c r="U118" s="84">
        <v>152</v>
      </c>
      <c r="V118" s="84">
        <v>407</v>
      </c>
      <c r="W118" s="84">
        <v>343</v>
      </c>
      <c r="X118" s="84">
        <v>633</v>
      </c>
      <c r="Y118" s="84">
        <v>679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5</v>
      </c>
      <c r="O119" s="84">
        <v>0</v>
      </c>
      <c r="P119" s="84">
        <v>15</v>
      </c>
      <c r="Q119" s="84">
        <v>17</v>
      </c>
      <c r="R119" s="84">
        <v>119</v>
      </c>
      <c r="S119" s="84">
        <v>315</v>
      </c>
      <c r="T119" s="84">
        <v>281</v>
      </c>
      <c r="U119" s="84">
        <v>209</v>
      </c>
      <c r="V119" s="84">
        <v>899</v>
      </c>
      <c r="W119" s="84">
        <v>1016</v>
      </c>
      <c r="X119" s="84">
        <v>1644</v>
      </c>
      <c r="Y119" s="84">
        <v>2997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19</v>
      </c>
      <c r="N120" s="84">
        <v>1</v>
      </c>
      <c r="O120" s="84">
        <v>30</v>
      </c>
      <c r="P120" s="84">
        <v>63</v>
      </c>
      <c r="Q120" s="84">
        <v>52</v>
      </c>
      <c r="R120" s="84">
        <v>63</v>
      </c>
      <c r="S120" s="84">
        <v>214</v>
      </c>
      <c r="T120" s="84">
        <v>398</v>
      </c>
      <c r="U120" s="84">
        <v>171</v>
      </c>
      <c r="V120" s="84">
        <v>919</v>
      </c>
      <c r="W120" s="84">
        <v>1141</v>
      </c>
      <c r="X120" s="84">
        <v>1537</v>
      </c>
      <c r="Y120" s="84">
        <v>3380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272</v>
      </c>
      <c r="C121" s="110">
        <f t="shared" si="179"/>
        <v>326</v>
      </c>
      <c r="D121" s="110">
        <f t="shared" si="179"/>
        <v>351</v>
      </c>
      <c r="E121" s="110">
        <f t="shared" si="179"/>
        <v>332</v>
      </c>
      <c r="F121" s="110">
        <f t="shared" si="179"/>
        <v>332</v>
      </c>
      <c r="G121" s="110">
        <f t="shared" si="179"/>
        <v>358</v>
      </c>
      <c r="H121" s="110">
        <f t="shared" si="179"/>
        <v>520</v>
      </c>
      <c r="I121" s="110">
        <f t="shared" si="179"/>
        <v>1689</v>
      </c>
      <c r="J121" s="110">
        <f t="shared" si="179"/>
        <v>866</v>
      </c>
      <c r="K121" s="110">
        <f t="shared" si="179"/>
        <v>1010</v>
      </c>
      <c r="L121" s="110">
        <f t="shared" ref="L121" si="180">SUM(L122:L126)</f>
        <v>818</v>
      </c>
      <c r="M121" s="110">
        <f t="shared" ref="M121:V121" si="181">SUM(M122:M126)</f>
        <v>607</v>
      </c>
      <c r="N121" s="110">
        <f t="shared" si="181"/>
        <v>570</v>
      </c>
      <c r="O121" s="110">
        <f t="shared" si="181"/>
        <v>294</v>
      </c>
      <c r="P121" s="110">
        <f t="shared" si="181"/>
        <v>453</v>
      </c>
      <c r="Q121" s="110">
        <f t="shared" si="181"/>
        <v>375</v>
      </c>
      <c r="R121" s="110">
        <f t="shared" si="181"/>
        <v>607</v>
      </c>
      <c r="S121" s="110">
        <f t="shared" si="181"/>
        <v>401</v>
      </c>
      <c r="T121" s="110">
        <f t="shared" si="181"/>
        <v>356</v>
      </c>
      <c r="U121" s="110">
        <f t="shared" si="181"/>
        <v>308</v>
      </c>
      <c r="V121" s="110">
        <f t="shared" si="181"/>
        <v>297</v>
      </c>
      <c r="W121" s="110">
        <f t="shared" ref="W121:Y121" si="182">SUM(W122:W126)</f>
        <v>533</v>
      </c>
      <c r="X121" s="110">
        <f t="shared" si="182"/>
        <v>406</v>
      </c>
      <c r="Y121" s="110">
        <f t="shared" si="182"/>
        <v>847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272</v>
      </c>
      <c r="C123" s="102">
        <v>326</v>
      </c>
      <c r="D123" s="102">
        <v>351</v>
      </c>
      <c r="E123" s="102">
        <v>332</v>
      </c>
      <c r="F123" s="102">
        <v>332</v>
      </c>
      <c r="G123" s="102">
        <v>358</v>
      </c>
      <c r="H123" s="102">
        <v>520</v>
      </c>
      <c r="I123" s="102">
        <v>1689</v>
      </c>
      <c r="J123" s="102">
        <v>866</v>
      </c>
      <c r="K123" s="102">
        <v>1010</v>
      </c>
      <c r="L123" s="102">
        <v>702</v>
      </c>
      <c r="M123" s="102">
        <v>455</v>
      </c>
      <c r="N123" s="102">
        <v>569</v>
      </c>
      <c r="O123" s="102">
        <v>294</v>
      </c>
      <c r="P123" s="102">
        <v>335</v>
      </c>
      <c r="Q123" s="102">
        <v>285</v>
      </c>
      <c r="R123" s="102">
        <v>0</v>
      </c>
      <c r="S123" s="102">
        <v>323</v>
      </c>
      <c r="T123" s="102">
        <v>280</v>
      </c>
      <c r="U123" s="102">
        <v>268</v>
      </c>
      <c r="V123" s="102">
        <v>277</v>
      </c>
      <c r="W123" s="102">
        <v>529</v>
      </c>
      <c r="X123" s="102">
        <v>401</v>
      </c>
      <c r="Y123" s="102">
        <v>789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516</v>
      </c>
      <c r="S125" s="102">
        <v>0</v>
      </c>
      <c r="T125" s="102">
        <v>0</v>
      </c>
      <c r="U125" s="102">
        <v>0</v>
      </c>
      <c r="V125" s="102">
        <v>0</v>
      </c>
      <c r="W125" s="102">
        <v>3</v>
      </c>
      <c r="X125" s="102">
        <v>4</v>
      </c>
      <c r="Y125" s="102">
        <v>11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116</v>
      </c>
      <c r="M126" s="102">
        <v>152</v>
      </c>
      <c r="N126" s="102">
        <v>1</v>
      </c>
      <c r="O126" s="102">
        <v>0</v>
      </c>
      <c r="P126" s="102">
        <v>118</v>
      </c>
      <c r="Q126" s="102">
        <v>90</v>
      </c>
      <c r="R126" s="102">
        <v>91</v>
      </c>
      <c r="S126" s="102">
        <v>78</v>
      </c>
      <c r="T126" s="102">
        <v>76</v>
      </c>
      <c r="U126" s="102">
        <v>40</v>
      </c>
      <c r="V126" s="102">
        <v>20</v>
      </c>
      <c r="W126" s="102">
        <v>1</v>
      </c>
      <c r="X126" s="102">
        <v>1</v>
      </c>
      <c r="Y126" s="102">
        <v>47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292</v>
      </c>
      <c r="C127" s="28">
        <f t="shared" si="183"/>
        <v>8963</v>
      </c>
      <c r="D127" s="28">
        <f t="shared" si="183"/>
        <v>14607</v>
      </c>
      <c r="E127" s="28">
        <f t="shared" si="183"/>
        <v>17727</v>
      </c>
      <c r="F127" s="28">
        <f t="shared" si="183"/>
        <v>18087</v>
      </c>
      <c r="G127" s="28">
        <f t="shared" si="183"/>
        <v>26969</v>
      </c>
      <c r="H127" s="28">
        <f t="shared" si="183"/>
        <v>24216</v>
      </c>
      <c r="I127" s="28">
        <f t="shared" si="183"/>
        <v>34127</v>
      </c>
      <c r="J127" s="28">
        <f t="shared" si="183"/>
        <v>39296</v>
      </c>
      <c r="K127" s="28">
        <f t="shared" si="183"/>
        <v>30949</v>
      </c>
      <c r="L127" s="28">
        <f t="shared" ref="L127" si="184">L128+L134</f>
        <v>27932</v>
      </c>
      <c r="M127" s="28">
        <f t="shared" ref="M127:V127" si="185">M128+M134</f>
        <v>14787</v>
      </c>
      <c r="N127" s="28">
        <f t="shared" si="185"/>
        <v>14656</v>
      </c>
      <c r="O127" s="28">
        <f t="shared" si="185"/>
        <v>29483</v>
      </c>
      <c r="P127" s="28">
        <f t="shared" si="185"/>
        <v>32083</v>
      </c>
      <c r="Q127" s="28">
        <f t="shared" si="185"/>
        <v>25043</v>
      </c>
      <c r="R127" s="28">
        <f t="shared" si="185"/>
        <v>33156</v>
      </c>
      <c r="S127" s="28">
        <f t="shared" si="185"/>
        <v>21331</v>
      </c>
      <c r="T127" s="28">
        <f t="shared" si="185"/>
        <v>10597</v>
      </c>
      <c r="U127" s="28">
        <f t="shared" si="185"/>
        <v>27917</v>
      </c>
      <c r="V127" s="28">
        <f t="shared" si="185"/>
        <v>13302</v>
      </c>
      <c r="W127" s="28">
        <f t="shared" ref="W127:Y127" si="186">W128+W134</f>
        <v>11275</v>
      </c>
      <c r="X127" s="28">
        <f t="shared" si="186"/>
        <v>23628</v>
      </c>
      <c r="Y127" s="28">
        <f t="shared" si="186"/>
        <v>27720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5355</v>
      </c>
      <c r="D128" s="137">
        <f t="shared" si="187"/>
        <v>6239</v>
      </c>
      <c r="E128" s="137">
        <f t="shared" si="187"/>
        <v>8097</v>
      </c>
      <c r="F128" s="137">
        <f t="shared" si="187"/>
        <v>16975</v>
      </c>
      <c r="G128" s="137">
        <f t="shared" si="187"/>
        <v>18435</v>
      </c>
      <c r="H128" s="137">
        <f t="shared" si="187"/>
        <v>11451</v>
      </c>
      <c r="I128" s="137">
        <f t="shared" si="187"/>
        <v>25809</v>
      </c>
      <c r="J128" s="137">
        <f t="shared" si="187"/>
        <v>19065</v>
      </c>
      <c r="K128" s="137">
        <f t="shared" si="187"/>
        <v>24237</v>
      </c>
      <c r="L128" s="137">
        <f t="shared" ref="L128" si="188">SUM(L129:L133)</f>
        <v>22244</v>
      </c>
      <c r="M128" s="137">
        <f t="shared" ref="M128:V128" si="189">SUM(M129:M133)</f>
        <v>8647</v>
      </c>
      <c r="N128" s="137">
        <f t="shared" si="189"/>
        <v>11849</v>
      </c>
      <c r="O128" s="137">
        <f t="shared" si="189"/>
        <v>8260</v>
      </c>
      <c r="P128" s="137">
        <f t="shared" si="189"/>
        <v>8013</v>
      </c>
      <c r="Q128" s="137">
        <f t="shared" si="189"/>
        <v>22705</v>
      </c>
      <c r="R128" s="137">
        <f t="shared" si="189"/>
        <v>17440</v>
      </c>
      <c r="S128" s="137">
        <f t="shared" si="189"/>
        <v>7375</v>
      </c>
      <c r="T128" s="137">
        <f t="shared" si="189"/>
        <v>8804</v>
      </c>
      <c r="U128" s="137">
        <f t="shared" si="189"/>
        <v>8170</v>
      </c>
      <c r="V128" s="137">
        <f t="shared" si="189"/>
        <v>6136</v>
      </c>
      <c r="W128" s="137">
        <f t="shared" ref="W128:Y128" si="190">SUM(W129:W133)</f>
        <v>9128</v>
      </c>
      <c r="X128" s="137">
        <f t="shared" si="190"/>
        <v>10912</v>
      </c>
      <c r="Y128" s="137">
        <f t="shared" si="190"/>
        <v>12032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1955</v>
      </c>
      <c r="D129" s="84">
        <v>2265</v>
      </c>
      <c r="E129" s="84">
        <v>2605</v>
      </c>
      <c r="F129" s="84">
        <v>13057</v>
      </c>
      <c r="G129" s="84">
        <v>3850</v>
      </c>
      <c r="H129" s="84">
        <v>5618</v>
      </c>
      <c r="I129" s="84">
        <v>7547</v>
      </c>
      <c r="J129" s="84">
        <v>5893</v>
      </c>
      <c r="K129" s="84">
        <v>4772</v>
      </c>
      <c r="L129" s="84">
        <v>0</v>
      </c>
      <c r="M129" s="84">
        <v>1011</v>
      </c>
      <c r="N129" s="84">
        <v>732</v>
      </c>
      <c r="O129" s="84">
        <v>3563</v>
      </c>
      <c r="P129" s="84">
        <v>182</v>
      </c>
      <c r="Q129" s="84">
        <v>9673</v>
      </c>
      <c r="R129" s="84">
        <v>10144</v>
      </c>
      <c r="S129" s="84">
        <v>285</v>
      </c>
      <c r="T129" s="84">
        <v>951</v>
      </c>
      <c r="U129" s="84">
        <v>350</v>
      </c>
      <c r="V129" s="84">
        <v>160</v>
      </c>
      <c r="W129" s="84">
        <v>1695</v>
      </c>
      <c r="X129" s="84">
        <v>4061</v>
      </c>
      <c r="Y129" s="84">
        <v>3927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3400</v>
      </c>
      <c r="D130" s="84">
        <v>3974</v>
      </c>
      <c r="E130" s="84">
        <v>5492</v>
      </c>
      <c r="F130" s="84">
        <v>3918</v>
      </c>
      <c r="G130" s="84">
        <v>14585</v>
      </c>
      <c r="H130" s="84">
        <v>5833</v>
      </c>
      <c r="I130" s="84">
        <v>18262</v>
      </c>
      <c r="J130" s="84">
        <v>13172</v>
      </c>
      <c r="K130" s="84">
        <v>19465</v>
      </c>
      <c r="L130" s="84">
        <v>22244</v>
      </c>
      <c r="M130" s="84">
        <v>7636</v>
      </c>
      <c r="N130" s="84">
        <v>11105</v>
      </c>
      <c r="O130" s="84">
        <v>4684</v>
      </c>
      <c r="P130" s="84">
        <v>5231</v>
      </c>
      <c r="Q130" s="84">
        <v>12993</v>
      </c>
      <c r="R130" s="84">
        <v>6826</v>
      </c>
      <c r="S130" s="84">
        <v>6915</v>
      </c>
      <c r="T130" s="84">
        <v>7522</v>
      </c>
      <c r="U130" s="84">
        <v>7534</v>
      </c>
      <c r="V130" s="84">
        <v>5618</v>
      </c>
      <c r="W130" s="84">
        <v>7349</v>
      </c>
      <c r="X130" s="84">
        <v>6694</v>
      </c>
      <c r="Y130" s="84">
        <v>7821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7</v>
      </c>
      <c r="O131" s="84">
        <v>5</v>
      </c>
      <c r="P131" s="84">
        <v>2595</v>
      </c>
      <c r="Q131" s="84">
        <v>31</v>
      </c>
      <c r="R131" s="84">
        <v>272</v>
      </c>
      <c r="S131" s="84">
        <v>139</v>
      </c>
      <c r="T131" s="84">
        <v>147</v>
      </c>
      <c r="U131" s="84">
        <v>196</v>
      </c>
      <c r="V131" s="84">
        <v>127</v>
      </c>
      <c r="W131" s="84">
        <v>32</v>
      </c>
      <c r="X131" s="84">
        <v>38</v>
      </c>
      <c r="Y131" s="84">
        <v>21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5</v>
      </c>
      <c r="O132" s="84">
        <v>6</v>
      </c>
      <c r="P132" s="84">
        <v>1</v>
      </c>
      <c r="Q132" s="84">
        <v>3</v>
      </c>
      <c r="R132" s="84">
        <v>186</v>
      </c>
      <c r="S132" s="84">
        <v>9</v>
      </c>
      <c r="T132" s="84">
        <v>131</v>
      </c>
      <c r="U132" s="84">
        <v>67</v>
      </c>
      <c r="V132" s="84">
        <v>202</v>
      </c>
      <c r="W132" s="84">
        <v>3</v>
      </c>
      <c r="X132" s="84">
        <v>3</v>
      </c>
      <c r="Y132" s="84">
        <v>2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2</v>
      </c>
      <c r="P133" s="84">
        <v>4</v>
      </c>
      <c r="Q133" s="84">
        <v>5</v>
      </c>
      <c r="R133" s="84">
        <v>12</v>
      </c>
      <c r="S133" s="84">
        <v>27</v>
      </c>
      <c r="T133" s="84">
        <v>53</v>
      </c>
      <c r="U133" s="84">
        <v>23</v>
      </c>
      <c r="V133" s="84">
        <v>29</v>
      </c>
      <c r="W133" s="84">
        <v>49</v>
      </c>
      <c r="X133" s="84">
        <v>116</v>
      </c>
      <c r="Y133" s="84">
        <v>261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292</v>
      </c>
      <c r="C134" s="110">
        <f t="shared" si="191"/>
        <v>3608</v>
      </c>
      <c r="D134" s="110">
        <f t="shared" si="191"/>
        <v>8368</v>
      </c>
      <c r="E134" s="110">
        <f t="shared" si="191"/>
        <v>9630</v>
      </c>
      <c r="F134" s="110">
        <f t="shared" si="191"/>
        <v>1112</v>
      </c>
      <c r="G134" s="110">
        <f t="shared" si="191"/>
        <v>8534</v>
      </c>
      <c r="H134" s="110">
        <f t="shared" si="191"/>
        <v>12765</v>
      </c>
      <c r="I134" s="110">
        <f t="shared" si="191"/>
        <v>8318</v>
      </c>
      <c r="J134" s="110">
        <f t="shared" si="191"/>
        <v>20231</v>
      </c>
      <c r="K134" s="110">
        <f t="shared" si="191"/>
        <v>6712</v>
      </c>
      <c r="L134" s="110">
        <f t="shared" ref="L134" si="192">SUM(L135:L136)</f>
        <v>5688</v>
      </c>
      <c r="M134" s="110">
        <f t="shared" ref="M134:V134" si="193">SUM(M135:M136)</f>
        <v>6140</v>
      </c>
      <c r="N134" s="110">
        <f t="shared" si="193"/>
        <v>2807</v>
      </c>
      <c r="O134" s="110">
        <f t="shared" si="193"/>
        <v>21223</v>
      </c>
      <c r="P134" s="110">
        <f t="shared" si="193"/>
        <v>24070</v>
      </c>
      <c r="Q134" s="110">
        <f t="shared" si="193"/>
        <v>2338</v>
      </c>
      <c r="R134" s="110">
        <f t="shared" si="193"/>
        <v>15716</v>
      </c>
      <c r="S134" s="110">
        <f t="shared" si="193"/>
        <v>13956</v>
      </c>
      <c r="T134" s="110">
        <f t="shared" si="193"/>
        <v>1793</v>
      </c>
      <c r="U134" s="110">
        <f t="shared" si="193"/>
        <v>19747</v>
      </c>
      <c r="V134" s="110">
        <f t="shared" si="193"/>
        <v>7166</v>
      </c>
      <c r="W134" s="110">
        <f t="shared" ref="W134:Y134" si="194">SUM(W135:W136)</f>
        <v>2147</v>
      </c>
      <c r="X134" s="110">
        <f t="shared" si="194"/>
        <v>12716</v>
      </c>
      <c r="Y134" s="110">
        <f t="shared" si="194"/>
        <v>15688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3270</v>
      </c>
      <c r="D135" s="102">
        <v>8050</v>
      </c>
      <c r="E135" s="102">
        <v>9374</v>
      </c>
      <c r="F135" s="102">
        <v>288</v>
      </c>
      <c r="G135" s="102">
        <v>8152</v>
      </c>
      <c r="H135" s="102">
        <v>12281</v>
      </c>
      <c r="I135" s="102">
        <v>6905</v>
      </c>
      <c r="J135" s="102">
        <v>19984</v>
      </c>
      <c r="K135" s="102">
        <v>6508</v>
      </c>
      <c r="L135" s="102">
        <v>5067</v>
      </c>
      <c r="M135" s="102">
        <v>5336</v>
      </c>
      <c r="N135" s="102">
        <v>2309</v>
      </c>
      <c r="O135" s="102">
        <v>20307</v>
      </c>
      <c r="P135" s="102">
        <v>23527</v>
      </c>
      <c r="Q135" s="102">
        <v>1216</v>
      </c>
      <c r="R135" s="102">
        <v>14677</v>
      </c>
      <c r="S135" s="102">
        <v>12815</v>
      </c>
      <c r="T135" s="102">
        <v>1322</v>
      </c>
      <c r="U135" s="102">
        <v>18773</v>
      </c>
      <c r="V135" s="102">
        <v>6818</v>
      </c>
      <c r="W135" s="102">
        <v>1445</v>
      </c>
      <c r="X135" s="102">
        <v>11325</v>
      </c>
      <c r="Y135" s="102">
        <v>15329</v>
      </c>
      <c r="DA135" s="175" t="s">
        <v>550</v>
      </c>
    </row>
    <row r="136" spans="1:105" ht="11.45" customHeight="1" x14ac:dyDescent="0.25">
      <c r="A136" s="138" t="s">
        <v>116</v>
      </c>
      <c r="B136" s="86">
        <v>292</v>
      </c>
      <c r="C136" s="86">
        <v>338</v>
      </c>
      <c r="D136" s="86">
        <v>318</v>
      </c>
      <c r="E136" s="86">
        <v>256</v>
      </c>
      <c r="F136" s="86">
        <v>824</v>
      </c>
      <c r="G136" s="86">
        <v>382</v>
      </c>
      <c r="H136" s="86">
        <v>484</v>
      </c>
      <c r="I136" s="86">
        <v>1413</v>
      </c>
      <c r="J136" s="86">
        <v>247</v>
      </c>
      <c r="K136" s="86">
        <v>204</v>
      </c>
      <c r="L136" s="86">
        <v>621</v>
      </c>
      <c r="M136" s="86">
        <v>804</v>
      </c>
      <c r="N136" s="86">
        <v>498</v>
      </c>
      <c r="O136" s="86">
        <v>916</v>
      </c>
      <c r="P136" s="86">
        <v>543</v>
      </c>
      <c r="Q136" s="86">
        <v>1122</v>
      </c>
      <c r="R136" s="86">
        <v>1039</v>
      </c>
      <c r="S136" s="86">
        <v>1141</v>
      </c>
      <c r="T136" s="86">
        <v>471</v>
      </c>
      <c r="U136" s="86">
        <v>974</v>
      </c>
      <c r="V136" s="86">
        <v>348</v>
      </c>
      <c r="W136" s="86">
        <v>702</v>
      </c>
      <c r="X136" s="86">
        <v>1391</v>
      </c>
      <c r="Y136" s="86">
        <v>359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2.5308985597148932</v>
      </c>
      <c r="C141" s="32">
        <f t="shared" si="195"/>
        <v>2.4845663753388907</v>
      </c>
      <c r="D141" s="32">
        <f t="shared" si="195"/>
        <v>2.4616768854077717</v>
      </c>
      <c r="E141" s="32">
        <f t="shared" si="195"/>
        <v>2.4169513452859985</v>
      </c>
      <c r="F141" s="32">
        <f t="shared" si="195"/>
        <v>2.4381978750461437</v>
      </c>
      <c r="G141" s="32">
        <f t="shared" si="195"/>
        <v>2.4137316144945098</v>
      </c>
      <c r="H141" s="32">
        <f t="shared" si="195"/>
        <v>2.4239455163999337</v>
      </c>
      <c r="I141" s="32">
        <f t="shared" si="195"/>
        <v>2.3939535883743828</v>
      </c>
      <c r="J141" s="32">
        <f t="shared" si="195"/>
        <v>2.2873712430179669</v>
      </c>
      <c r="K141" s="32">
        <f t="shared" si="195"/>
        <v>2.1569026481512275</v>
      </c>
      <c r="L141" s="32">
        <f t="shared" ref="L141" si="196">IF(L4=0,0,L4/L31)</f>
        <v>2.1138023473810943</v>
      </c>
      <c r="M141" s="32">
        <f t="shared" ref="M141:V141" si="197">IF(M4=0,0,M4/M31)</f>
        <v>2.1419956595421041</v>
      </c>
      <c r="N141" s="32">
        <f t="shared" si="197"/>
        <v>2.1508852362923552</v>
      </c>
      <c r="O141" s="32">
        <f t="shared" si="197"/>
        <v>2.1227800289134375</v>
      </c>
      <c r="P141" s="32">
        <f t="shared" si="197"/>
        <v>2.1053207433888499</v>
      </c>
      <c r="Q141" s="32">
        <f t="shared" si="197"/>
        <v>2.1034279710501256</v>
      </c>
      <c r="R141" s="32">
        <f t="shared" si="197"/>
        <v>2.1499503479255995</v>
      </c>
      <c r="S141" s="32">
        <f t="shared" si="197"/>
        <v>2.1638040835313634</v>
      </c>
      <c r="T141" s="32">
        <f t="shared" si="197"/>
        <v>2.1831217247460026</v>
      </c>
      <c r="U141" s="32">
        <f t="shared" si="197"/>
        <v>2.1860883126048707</v>
      </c>
      <c r="V141" s="32">
        <f t="shared" si="197"/>
        <v>1.9422142537621816</v>
      </c>
      <c r="W141" s="32">
        <f t="shared" ref="W141:Y141" si="198">IF(W4=0,0,W4/W31)</f>
        <v>1.9851348592091917</v>
      </c>
      <c r="X141" s="32">
        <f t="shared" si="198"/>
        <v>2.1006091931120938</v>
      </c>
      <c r="Y141" s="32">
        <f t="shared" si="198"/>
        <v>2.1775449474780051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1.1549472685768509</v>
      </c>
      <c r="C142" s="141">
        <v>1.1549251164250129</v>
      </c>
      <c r="D142" s="141">
        <v>1.1547244330057378</v>
      </c>
      <c r="E142" s="141">
        <v>1.1552093820866827</v>
      </c>
      <c r="F142" s="141">
        <v>1.1553640856511076</v>
      </c>
      <c r="G142" s="141">
        <v>1.1543178727366705</v>
      </c>
      <c r="H142" s="141">
        <v>1.1546398637822313</v>
      </c>
      <c r="I142" s="141">
        <v>1.1564931393319677</v>
      </c>
      <c r="J142" s="141">
        <v>1.1571017737935945</v>
      </c>
      <c r="K142" s="141">
        <v>1.157657056258365</v>
      </c>
      <c r="L142" s="141">
        <v>1.1556682113354206</v>
      </c>
      <c r="M142" s="141">
        <v>1.1546558434345868</v>
      </c>
      <c r="N142" s="141">
        <v>1.1475295413899493</v>
      </c>
      <c r="O142" s="141">
        <v>1.1469392088128179</v>
      </c>
      <c r="P142" s="141">
        <v>1.1494295322312342</v>
      </c>
      <c r="Q142" s="141">
        <v>1.1514161199072459</v>
      </c>
      <c r="R142" s="141">
        <v>1.1521452373866619</v>
      </c>
      <c r="S142" s="141">
        <v>1.1516024070666364</v>
      </c>
      <c r="T142" s="141">
        <v>1.1511639977707806</v>
      </c>
      <c r="U142" s="141">
        <v>1.1519577911827272</v>
      </c>
      <c r="V142" s="141">
        <v>1.150766175952928</v>
      </c>
      <c r="W142" s="141">
        <v>1.1512991389754044</v>
      </c>
      <c r="X142" s="141">
        <v>1.1513726227019339</v>
      </c>
      <c r="Y142" s="141">
        <v>1.152806300217919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1.8683271339964853</v>
      </c>
      <c r="C143" s="130">
        <f t="shared" si="199"/>
        <v>1.8391773678276095</v>
      </c>
      <c r="D143" s="130">
        <f t="shared" si="199"/>
        <v>1.8381881346202189</v>
      </c>
      <c r="E143" s="130">
        <f t="shared" si="199"/>
        <v>1.836098836667452</v>
      </c>
      <c r="F143" s="130">
        <f t="shared" si="199"/>
        <v>1.8478570685160001</v>
      </c>
      <c r="G143" s="130">
        <f t="shared" si="199"/>
        <v>1.8531883859797815</v>
      </c>
      <c r="H143" s="130">
        <f t="shared" si="199"/>
        <v>1.8629328507574399</v>
      </c>
      <c r="I143" s="130">
        <f t="shared" si="199"/>
        <v>1.8435339793272352</v>
      </c>
      <c r="J143" s="130">
        <f t="shared" si="199"/>
        <v>1.8296430341586141</v>
      </c>
      <c r="K143" s="130">
        <f t="shared" si="199"/>
        <v>1.8353461124848447</v>
      </c>
      <c r="L143" s="130">
        <f t="shared" ref="L143" si="200">IF(L6=0,0,L6/L33)</f>
        <v>1.8075642048055873</v>
      </c>
      <c r="M143" s="130">
        <f t="shared" ref="M143:V143" si="201">IF(M6=0,0,M6/M33)</f>
        <v>1.819535859228032</v>
      </c>
      <c r="N143" s="130">
        <f t="shared" si="201"/>
        <v>1.830947840899386</v>
      </c>
      <c r="O143" s="130">
        <f t="shared" si="201"/>
        <v>1.8175732782764606</v>
      </c>
      <c r="P143" s="130">
        <f t="shared" si="201"/>
        <v>1.7989586767850823</v>
      </c>
      <c r="Q143" s="130">
        <f t="shared" si="201"/>
        <v>1.7998297737150823</v>
      </c>
      <c r="R143" s="130">
        <f t="shared" si="201"/>
        <v>1.8145960802300225</v>
      </c>
      <c r="S143" s="130">
        <f t="shared" si="201"/>
        <v>1.8288818977003354</v>
      </c>
      <c r="T143" s="130">
        <f t="shared" si="201"/>
        <v>1.8329170277247158</v>
      </c>
      <c r="U143" s="130">
        <f t="shared" si="201"/>
        <v>1.8407299803657831</v>
      </c>
      <c r="V143" s="130">
        <f t="shared" si="201"/>
        <v>1.7251462296056221</v>
      </c>
      <c r="W143" s="130">
        <f t="shared" ref="W143:Y143" si="202">IF(W6=0,0,W6/W33)</f>
        <v>1.8098291430018572</v>
      </c>
      <c r="X143" s="130">
        <f t="shared" si="202"/>
        <v>1.8630347988460112</v>
      </c>
      <c r="Y143" s="130">
        <f t="shared" si="202"/>
        <v>1.9184900607507844</v>
      </c>
      <c r="DA143" s="176" t="s">
        <v>554</v>
      </c>
    </row>
    <row r="144" spans="1:105" ht="11.45" customHeight="1" x14ac:dyDescent="0.25">
      <c r="A144" s="111" t="s">
        <v>110</v>
      </c>
      <c r="B144" s="96">
        <v>1.854041617762815</v>
      </c>
      <c r="C144" s="96">
        <v>1.8245530570444177</v>
      </c>
      <c r="D144" s="96">
        <v>1.8221069154981226</v>
      </c>
      <c r="E144" s="96">
        <v>1.8193491306738017</v>
      </c>
      <c r="F144" s="96">
        <v>1.8305099454592997</v>
      </c>
      <c r="G144" s="96">
        <v>1.8356321150568378</v>
      </c>
      <c r="H144" s="96">
        <v>1.8447692053404086</v>
      </c>
      <c r="I144" s="96">
        <v>1.8245227809745872</v>
      </c>
      <c r="J144" s="96">
        <v>1.8098767170040959</v>
      </c>
      <c r="K144" s="96">
        <v>1.8149578302254212</v>
      </c>
      <c r="L144" s="96">
        <v>1.7876198448453064</v>
      </c>
      <c r="M144" s="96">
        <v>1.8003751595005424</v>
      </c>
      <c r="N144" s="96">
        <v>1.8118172370825307</v>
      </c>
      <c r="O144" s="96">
        <v>1.7991296344068648</v>
      </c>
      <c r="P144" s="96">
        <v>1.7807355967960103</v>
      </c>
      <c r="Q144" s="96">
        <v>1.7819974720689902</v>
      </c>
      <c r="R144" s="96">
        <v>1.7967285744104589</v>
      </c>
      <c r="S144" s="96">
        <v>1.8104928638028088</v>
      </c>
      <c r="T144" s="96">
        <v>1.8142719100856959</v>
      </c>
      <c r="U144" s="96">
        <v>1.8216727488536333</v>
      </c>
      <c r="V144" s="96">
        <v>1.7069770545524334</v>
      </c>
      <c r="W144" s="96">
        <v>1.7905134814683688</v>
      </c>
      <c r="X144" s="96">
        <v>1.8438562503148523</v>
      </c>
      <c r="Y144" s="96">
        <v>1.8998333520806243</v>
      </c>
      <c r="DA144" s="171" t="s">
        <v>555</v>
      </c>
    </row>
    <row r="145" spans="1:105" ht="11.45" customHeight="1" x14ac:dyDescent="0.25">
      <c r="A145" s="111" t="s">
        <v>111</v>
      </c>
      <c r="B145" s="96">
        <v>1.9181418151248206</v>
      </c>
      <c r="C145" s="96">
        <v>1.8876337397720904</v>
      </c>
      <c r="D145" s="96">
        <v>1.8851030272245881</v>
      </c>
      <c r="E145" s="96">
        <v>1.8822498968859993</v>
      </c>
      <c r="F145" s="96">
        <v>1.8937965770283578</v>
      </c>
      <c r="G145" s="96">
        <v>1.8990958365460879</v>
      </c>
      <c r="H145" s="96">
        <v>1.9085488255046856</v>
      </c>
      <c r="I145" s="96">
        <v>1.8876024169608978</v>
      </c>
      <c r="J145" s="96">
        <v>1.8724499913305104</v>
      </c>
      <c r="K145" s="96">
        <v>1.8777067750207104</v>
      </c>
      <c r="L145" s="96">
        <v>1.8494236273305611</v>
      </c>
      <c r="M145" s="96">
        <v>1.8626199343448593</v>
      </c>
      <c r="N145" s="96">
        <v>1.8744576014455574</v>
      </c>
      <c r="O145" s="96">
        <v>1.8613313474323088</v>
      </c>
      <c r="P145" s="96">
        <v>1.842301368626907</v>
      </c>
      <c r="Q145" s="96">
        <v>1.843606870997182</v>
      </c>
      <c r="R145" s="96">
        <v>1.85884727504925</v>
      </c>
      <c r="S145" s="96">
        <v>1.8730874403109119</v>
      </c>
      <c r="T145" s="96">
        <v>1.8769971404099028</v>
      </c>
      <c r="U145" s="96">
        <v>1.8846538500391636</v>
      </c>
      <c r="V145" s="96">
        <v>1.7659927557324626</v>
      </c>
      <c r="W145" s="96">
        <v>1.8524173063026474</v>
      </c>
      <c r="X145" s="96">
        <v>1.9076043066799326</v>
      </c>
      <c r="Y145" s="96">
        <v>1.9655167173603287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1.7975927344003881</v>
      </c>
      <c r="H146" s="96">
        <v>1.8070448652347166</v>
      </c>
      <c r="I146" s="96">
        <v>1.788227959947418</v>
      </c>
      <c r="J146" s="96">
        <v>1.7747537431338554</v>
      </c>
      <c r="K146" s="96">
        <v>1.7802857291102994</v>
      </c>
      <c r="L146" s="96">
        <v>1.7533372786614196</v>
      </c>
      <c r="M146" s="96">
        <v>1.7649497834511909</v>
      </c>
      <c r="N146" s="96">
        <v>1.7760194056724043</v>
      </c>
      <c r="O146" s="96">
        <v>1.7630460799281669</v>
      </c>
      <c r="P146" s="96">
        <v>1.7449899164815297</v>
      </c>
      <c r="Q146" s="96">
        <v>1.7458348805036299</v>
      </c>
      <c r="R146" s="96">
        <v>1.7601581978231218</v>
      </c>
      <c r="S146" s="96">
        <v>1.7740154407693256</v>
      </c>
      <c r="T146" s="96">
        <v>1.7779295168929743</v>
      </c>
      <c r="U146" s="96">
        <v>1.7855080809548096</v>
      </c>
      <c r="V146" s="96">
        <v>1.6733918427174534</v>
      </c>
      <c r="W146" s="96">
        <v>1.7555342687118014</v>
      </c>
      <c r="X146" s="96">
        <v>1.8071437548806308</v>
      </c>
      <c r="Y146" s="96">
        <v>1.8609353589282609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1.7840020467927813</v>
      </c>
      <c r="D147" s="96">
        <v>1.7830424905816122</v>
      </c>
      <c r="E147" s="96">
        <v>1.7810158715674285</v>
      </c>
      <c r="F147" s="96">
        <v>1.79242135646052</v>
      </c>
      <c r="G147" s="96">
        <v>1.7975927344003881</v>
      </c>
      <c r="H147" s="96">
        <v>1.8070448652347166</v>
      </c>
      <c r="I147" s="96">
        <v>1.788227959947418</v>
      </c>
      <c r="J147" s="96">
        <v>1.7747537431338556</v>
      </c>
      <c r="K147" s="96">
        <v>1.7802857291102994</v>
      </c>
      <c r="L147" s="96">
        <v>1.7533372786614196</v>
      </c>
      <c r="M147" s="96">
        <v>1.7649497834511909</v>
      </c>
      <c r="N147" s="96">
        <v>1.7760194056724041</v>
      </c>
      <c r="O147" s="96">
        <v>1.7630460799281669</v>
      </c>
      <c r="P147" s="96">
        <v>1.7449899164815295</v>
      </c>
      <c r="Q147" s="96">
        <v>1.7458348805036299</v>
      </c>
      <c r="R147" s="96">
        <v>1.7601581978231216</v>
      </c>
      <c r="S147" s="96">
        <v>1.7740154407693254</v>
      </c>
      <c r="T147" s="96">
        <v>1.7779295168929743</v>
      </c>
      <c r="U147" s="96">
        <v>1.7855080809548094</v>
      </c>
      <c r="V147" s="96">
        <v>1.6733918427174534</v>
      </c>
      <c r="W147" s="96">
        <v>1.7555342687118014</v>
      </c>
      <c r="X147" s="96">
        <v>1.8071437548806308</v>
      </c>
      <c r="Y147" s="96">
        <v>1.8609353589282609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1.830947840899386</v>
      </c>
      <c r="O148" s="96">
        <v>1.8175732782764606</v>
      </c>
      <c r="P148" s="96">
        <v>1.7989586767850825</v>
      </c>
      <c r="Q148" s="96">
        <v>1.7998297737150823</v>
      </c>
      <c r="R148" s="96">
        <v>1.8145960802300223</v>
      </c>
      <c r="S148" s="96">
        <v>1.8288818977003356</v>
      </c>
      <c r="T148" s="96">
        <v>1.8329170277247158</v>
      </c>
      <c r="U148" s="96">
        <v>1.8407299803657833</v>
      </c>
      <c r="V148" s="96">
        <v>1.7251462296056224</v>
      </c>
      <c r="W148" s="96">
        <v>1.8098291430018572</v>
      </c>
      <c r="X148" s="96">
        <v>1.8630347988460112</v>
      </c>
      <c r="Y148" s="96">
        <v>1.9184900607507844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1.4578705468333062</v>
      </c>
      <c r="N149" s="96">
        <v>1.4670141929314531</v>
      </c>
      <c r="O149" s="96">
        <v>1.4562980639660077</v>
      </c>
      <c r="P149" s="96">
        <v>1.4413834476270728</v>
      </c>
      <c r="Q149" s="96">
        <v>1.4420813984540617</v>
      </c>
      <c r="R149" s="96">
        <v>1.4539126373078963</v>
      </c>
      <c r="S149" s="96">
        <v>1.4653588929130164</v>
      </c>
      <c r="T149" s="96">
        <v>1.4685919686368896</v>
      </c>
      <c r="U149" s="96">
        <v>1.4748519571287064</v>
      </c>
      <c r="V149" s="96">
        <v>1.3822425451893054</v>
      </c>
      <c r="W149" s="96">
        <v>1.4500932141575913</v>
      </c>
      <c r="X149" s="96">
        <v>1.4927232937939721</v>
      </c>
      <c r="Y149" s="96">
        <v>1.537155830029997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31.037519986675552</v>
      </c>
      <c r="C150" s="130">
        <f t="shared" si="203"/>
        <v>31.426367165193749</v>
      </c>
      <c r="D150" s="130">
        <f t="shared" si="203"/>
        <v>31.903374853397725</v>
      </c>
      <c r="E150" s="130">
        <f t="shared" si="203"/>
        <v>28.950272799429904</v>
      </c>
      <c r="F150" s="130">
        <f t="shared" si="203"/>
        <v>31.249163947740115</v>
      </c>
      <c r="G150" s="130">
        <f t="shared" si="203"/>
        <v>31.446712559852671</v>
      </c>
      <c r="H150" s="130">
        <f t="shared" si="203"/>
        <v>31.123921146953407</v>
      </c>
      <c r="I150" s="130">
        <f t="shared" si="203"/>
        <v>25.522306784660771</v>
      </c>
      <c r="J150" s="130">
        <f t="shared" si="203"/>
        <v>22.234971940298507</v>
      </c>
      <c r="K150" s="130">
        <f t="shared" si="203"/>
        <v>16.94305422446406</v>
      </c>
      <c r="L150" s="130">
        <f t="shared" ref="L150" si="204">IF(L13=0,0,L13/L40)</f>
        <v>16.807332589285711</v>
      </c>
      <c r="M150" s="130">
        <f t="shared" ref="M150:V150" si="205">IF(M13=0,0,M13/M40)</f>
        <v>18.196255514950167</v>
      </c>
      <c r="N150" s="130">
        <f t="shared" si="205"/>
        <v>18.106971433333335</v>
      </c>
      <c r="O150" s="130">
        <f t="shared" si="205"/>
        <v>18.066990378006878</v>
      </c>
      <c r="P150" s="130">
        <f t="shared" si="205"/>
        <v>18.024271784511786</v>
      </c>
      <c r="Q150" s="130">
        <f t="shared" si="205"/>
        <v>18.012182718120805</v>
      </c>
      <c r="R150" s="130">
        <f t="shared" si="205"/>
        <v>19.83483127946128</v>
      </c>
      <c r="S150" s="130">
        <f t="shared" si="205"/>
        <v>19.112903225806452</v>
      </c>
      <c r="T150" s="130">
        <f t="shared" si="205"/>
        <v>19.496874999999999</v>
      </c>
      <c r="U150" s="130">
        <f t="shared" si="205"/>
        <v>19.107473749227914</v>
      </c>
      <c r="V150" s="130">
        <f t="shared" si="205"/>
        <v>13.412186379928315</v>
      </c>
      <c r="W150" s="130">
        <f t="shared" ref="W150:Y150" si="206">IF(W13=0,0,W13/W40)</f>
        <v>11.553641908862577</v>
      </c>
      <c r="X150" s="130">
        <f t="shared" si="206"/>
        <v>14.630940343781598</v>
      </c>
      <c r="Y150" s="130">
        <f t="shared" si="206"/>
        <v>15.99670510708402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X151" s="97">
        <v>0</v>
      </c>
      <c r="Y151" s="97">
        <v>0</v>
      </c>
      <c r="DA151" s="175" t="s">
        <v>562</v>
      </c>
    </row>
    <row r="152" spans="1:105" ht="11.45" customHeight="1" x14ac:dyDescent="0.25">
      <c r="A152" s="111" t="s">
        <v>111</v>
      </c>
      <c r="B152" s="97">
        <v>31.037519986675552</v>
      </c>
      <c r="C152" s="97">
        <v>31.426367165193749</v>
      </c>
      <c r="D152" s="97">
        <v>31.903374853397725</v>
      </c>
      <c r="E152" s="97">
        <v>28.950272799429904</v>
      </c>
      <c r="F152" s="97">
        <v>31.249163947740115</v>
      </c>
      <c r="G152" s="97">
        <v>31.446712559852671</v>
      </c>
      <c r="H152" s="97">
        <v>31.123921146953407</v>
      </c>
      <c r="I152" s="97">
        <v>25.522306784660771</v>
      </c>
      <c r="J152" s="97">
        <v>22.234971940298507</v>
      </c>
      <c r="K152" s="97">
        <v>16.94305422446406</v>
      </c>
      <c r="L152" s="97">
        <v>16.807332589285714</v>
      </c>
      <c r="M152" s="97">
        <v>18.196255514950167</v>
      </c>
      <c r="N152" s="97">
        <v>18.106971433333335</v>
      </c>
      <c r="O152" s="97">
        <v>18.066990378006874</v>
      </c>
      <c r="P152" s="97">
        <v>18.024271784511786</v>
      </c>
      <c r="Q152" s="97">
        <v>18.012182718120805</v>
      </c>
      <c r="R152" s="97">
        <v>19.834831279461277</v>
      </c>
      <c r="S152" s="97">
        <v>19.112903225806456</v>
      </c>
      <c r="T152" s="97">
        <v>19.496874999999999</v>
      </c>
      <c r="U152" s="97">
        <v>19.107473749227918</v>
      </c>
      <c r="V152" s="97">
        <v>13.412186379928315</v>
      </c>
      <c r="W152" s="97">
        <v>11.553641908862577</v>
      </c>
      <c r="X152" s="97">
        <v>14.630940343781598</v>
      </c>
      <c r="Y152" s="97">
        <v>15.996705107084022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19.83483127946128</v>
      </c>
      <c r="S154" s="97">
        <v>19.112903225806452</v>
      </c>
      <c r="T154" s="97">
        <v>19.496874999999999</v>
      </c>
      <c r="U154" s="97">
        <v>19.107473749227918</v>
      </c>
      <c r="V154" s="97">
        <v>13.412186379928315</v>
      </c>
      <c r="W154" s="97">
        <v>11.553641908862577</v>
      </c>
      <c r="X154" s="97">
        <v>14.630940343781598</v>
      </c>
      <c r="Y154" s="97">
        <v>15.996705107084018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16.807332589285711</v>
      </c>
      <c r="M155" s="97">
        <v>18.196255514950167</v>
      </c>
      <c r="N155" s="97">
        <v>18.106971433333335</v>
      </c>
      <c r="O155" s="97">
        <v>18.066990378006874</v>
      </c>
      <c r="P155" s="97">
        <v>18.024271784511786</v>
      </c>
      <c r="Q155" s="97">
        <v>18.012182718120805</v>
      </c>
      <c r="R155" s="97">
        <v>19.83483127946128</v>
      </c>
      <c r="S155" s="97">
        <v>19.112903225806452</v>
      </c>
      <c r="T155" s="97">
        <v>19.496874999999999</v>
      </c>
      <c r="U155" s="97">
        <v>19.107473749227918</v>
      </c>
      <c r="V155" s="97">
        <v>13.412186379928315</v>
      </c>
      <c r="W155" s="97">
        <v>11.553641908862577</v>
      </c>
      <c r="X155" s="97">
        <v>14.630940343781598</v>
      </c>
      <c r="Y155" s="97">
        <v>15.996705107084018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3.7980163788433883</v>
      </c>
      <c r="C156" s="32">
        <f t="shared" si="207"/>
        <v>3.8581165057007247</v>
      </c>
      <c r="D156" s="32">
        <f t="shared" si="207"/>
        <v>3.4501402752287675</v>
      </c>
      <c r="E156" s="32">
        <f t="shared" si="207"/>
        <v>3.4917315472950023</v>
      </c>
      <c r="F156" s="32">
        <f t="shared" si="207"/>
        <v>3.5021092773514697</v>
      </c>
      <c r="G156" s="32">
        <f t="shared" si="207"/>
        <v>3.3889513757465424</v>
      </c>
      <c r="H156" s="32">
        <f t="shared" si="207"/>
        <v>3.2258850165149298</v>
      </c>
      <c r="I156" s="32">
        <f t="shared" si="207"/>
        <v>3.2938337934623467</v>
      </c>
      <c r="J156" s="32">
        <f t="shared" si="207"/>
        <v>3.0942906716461702</v>
      </c>
      <c r="K156" s="32">
        <f t="shared" si="207"/>
        <v>2.8539175540037669</v>
      </c>
      <c r="L156" s="32">
        <f t="shared" ref="L156" si="208">IF(L19=0,0,L19/L46)</f>
        <v>2.648252579436007</v>
      </c>
      <c r="M156" s="32">
        <f t="shared" ref="M156:V156" si="209">IF(M19=0,0,M19/M46)</f>
        <v>2.6215179032432081</v>
      </c>
      <c r="N156" s="32">
        <f t="shared" si="209"/>
        <v>2.644568484258877</v>
      </c>
      <c r="O156" s="32">
        <f t="shared" si="209"/>
        <v>2.8260118749381458</v>
      </c>
      <c r="P156" s="32">
        <f t="shared" si="209"/>
        <v>3.0772436881128638</v>
      </c>
      <c r="Q156" s="32">
        <f t="shared" si="209"/>
        <v>3.0616766808045486</v>
      </c>
      <c r="R156" s="32">
        <f t="shared" si="209"/>
        <v>3.1895967963734515</v>
      </c>
      <c r="S156" s="32">
        <f t="shared" si="209"/>
        <v>3.4011360636459935</v>
      </c>
      <c r="T156" s="32">
        <f t="shared" si="209"/>
        <v>3.5237585224094343</v>
      </c>
      <c r="U156" s="32">
        <f t="shared" si="209"/>
        <v>3.4919652949845452</v>
      </c>
      <c r="V156" s="32">
        <f t="shared" si="209"/>
        <v>3.3772169204619149</v>
      </c>
      <c r="W156" s="32">
        <f t="shared" ref="W156:Y156" si="210">IF(W19=0,0,W19/W46)</f>
        <v>3.402571989081622</v>
      </c>
      <c r="X156" s="32">
        <f t="shared" si="210"/>
        <v>3.4062959933016526</v>
      </c>
      <c r="Y156" s="32">
        <f t="shared" si="210"/>
        <v>3.2408446818297891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0.11135203339881368</v>
      </c>
      <c r="C157" s="141">
        <f t="shared" si="211"/>
        <v>0.11080426472974747</v>
      </c>
      <c r="D157" s="141">
        <f t="shared" si="211"/>
        <v>0.11045593340554175</v>
      </c>
      <c r="E157" s="141">
        <f t="shared" si="211"/>
        <v>0.11085185703750158</v>
      </c>
      <c r="F157" s="141">
        <f t="shared" si="211"/>
        <v>0.10952215499998347</v>
      </c>
      <c r="G157" s="141">
        <f t="shared" si="211"/>
        <v>0.11054887279092518</v>
      </c>
      <c r="H157" s="141">
        <f t="shared" si="211"/>
        <v>0.11082666182338607</v>
      </c>
      <c r="I157" s="141">
        <f t="shared" si="211"/>
        <v>0.11102707716805983</v>
      </c>
      <c r="J157" s="141">
        <f t="shared" si="211"/>
        <v>0.11115119185209367</v>
      </c>
      <c r="K157" s="141">
        <f t="shared" si="211"/>
        <v>0.11220137179089212</v>
      </c>
      <c r="L157" s="141">
        <f t="shared" ref="L157" si="212">IF(L20=0,0,L20/L47)</f>
        <v>0.11467203362884708</v>
      </c>
      <c r="M157" s="141">
        <f t="shared" ref="M157:V157" si="213">IF(M20=0,0,M20/M47)</f>
        <v>0.11422698556401555</v>
      </c>
      <c r="N157" s="141">
        <f t="shared" si="213"/>
        <v>0.11392361285110035</v>
      </c>
      <c r="O157" s="141">
        <f t="shared" si="213"/>
        <v>0.11292372249002056</v>
      </c>
      <c r="P157" s="141">
        <f t="shared" si="213"/>
        <v>0.11191736999230814</v>
      </c>
      <c r="Q157" s="141">
        <f t="shared" si="213"/>
        <v>0.11137272815398779</v>
      </c>
      <c r="R157" s="141">
        <f t="shared" si="213"/>
        <v>0.10952562472516691</v>
      </c>
      <c r="S157" s="141">
        <f t="shared" si="213"/>
        <v>0.11016144745359335</v>
      </c>
      <c r="T157" s="141">
        <f t="shared" si="213"/>
        <v>0.11004744684191876</v>
      </c>
      <c r="U157" s="141">
        <f t="shared" si="213"/>
        <v>0.11071516643097344</v>
      </c>
      <c r="V157" s="141">
        <f t="shared" si="213"/>
        <v>0.11041424091849926</v>
      </c>
      <c r="W157" s="141">
        <f t="shared" ref="W157:Y157" si="214">IF(W20=0,0,W20/W47)</f>
        <v>0.11014681555577471</v>
      </c>
      <c r="X157" s="141">
        <f t="shared" si="214"/>
        <v>0.10987601761441616</v>
      </c>
      <c r="Y157" s="141">
        <f t="shared" si="214"/>
        <v>0.10961140768618113</v>
      </c>
      <c r="DA157" s="174" t="s">
        <v>568</v>
      </c>
    </row>
    <row r="158" spans="1:105" ht="11.45" customHeight="1" x14ac:dyDescent="0.25">
      <c r="A158" s="111" t="s">
        <v>110</v>
      </c>
      <c r="B158" s="96">
        <v>9.3313636003307443E-2</v>
      </c>
      <c r="C158" s="96">
        <v>9.2845422229622651E-2</v>
      </c>
      <c r="D158" s="96">
        <v>9.2379182020241729E-2</v>
      </c>
      <c r="E158" s="96">
        <v>9.2465455529495533E-2</v>
      </c>
      <c r="F158" s="96">
        <v>9.2531873788348235E-2</v>
      </c>
      <c r="G158" s="96">
        <v>9.2598314235399673E-2</v>
      </c>
      <c r="H158" s="96">
        <v>9.305353283730361E-2</v>
      </c>
      <c r="I158" s="96">
        <v>9.2924587667301162E-2</v>
      </c>
      <c r="J158" s="96">
        <v>9.2811727273112279E-2</v>
      </c>
      <c r="K158" s="96">
        <v>9.3250201673507588E-2</v>
      </c>
      <c r="L158" s="96">
        <v>9.3710523183740665E-2</v>
      </c>
      <c r="M158" s="96">
        <v>9.3611186990685269E-2</v>
      </c>
      <c r="N158" s="96">
        <v>9.3507574245223088E-2</v>
      </c>
      <c r="O158" s="96">
        <v>9.3439892910888375E-2</v>
      </c>
      <c r="P158" s="96">
        <v>9.3010756774174266E-2</v>
      </c>
      <c r="Q158" s="96">
        <v>9.2510236220472455E-2</v>
      </c>
      <c r="R158" s="96">
        <v>9.2506664875909458E-2</v>
      </c>
      <c r="S158" s="96">
        <v>9.2492582721984296E-2</v>
      </c>
      <c r="T158" s="96">
        <v>9.248138752657796E-2</v>
      </c>
      <c r="U158" s="96">
        <v>9.2470097654963446E-2</v>
      </c>
      <c r="V158" s="96">
        <v>9.2453102803113585E-2</v>
      </c>
      <c r="W158" s="96">
        <v>9.2436490773956492E-2</v>
      </c>
      <c r="X158" s="96">
        <v>9.2419905345066208E-2</v>
      </c>
      <c r="Y158" s="96">
        <v>9.2403059432893814E-2</v>
      </c>
      <c r="DA158" s="171" t="s">
        <v>569</v>
      </c>
    </row>
    <row r="159" spans="1:105" ht="11.45" customHeight="1" x14ac:dyDescent="0.25">
      <c r="A159" s="111" t="s">
        <v>111</v>
      </c>
      <c r="B159" s="96">
        <v>0.12066268322988181</v>
      </c>
      <c r="C159" s="96">
        <v>0.12005724191736031</v>
      </c>
      <c r="D159" s="96">
        <v>0.11993314290859777</v>
      </c>
      <c r="E159" s="96">
        <v>0.12052630754929974</v>
      </c>
      <c r="F159" s="96">
        <v>0.1210963158820091</v>
      </c>
      <c r="G159" s="96">
        <v>0.12166898643837486</v>
      </c>
      <c r="H159" s="96">
        <v>0.12226711812531627</v>
      </c>
      <c r="I159" s="96">
        <v>0.12161025991004977</v>
      </c>
      <c r="J159" s="96">
        <v>0.12146255969189007</v>
      </c>
      <c r="K159" s="96">
        <v>0.12154920366287753</v>
      </c>
      <c r="L159" s="96">
        <v>0.12166158352184143</v>
      </c>
      <c r="M159" s="96">
        <v>0.12104744265061036</v>
      </c>
      <c r="N159" s="96">
        <v>0.12043075843068828</v>
      </c>
      <c r="O159" s="96">
        <v>0.12013315545168764</v>
      </c>
      <c r="P159" s="96">
        <v>0.12006072631455174</v>
      </c>
      <c r="Q159" s="96">
        <v>0.11941464124550211</v>
      </c>
      <c r="R159" s="96">
        <v>0.11893332928423996</v>
      </c>
      <c r="S159" s="96">
        <v>0.11844049760261433</v>
      </c>
      <c r="T159" s="96">
        <v>0.11795338747402849</v>
      </c>
      <c r="U159" s="96">
        <v>0.11746815869079687</v>
      </c>
      <c r="V159" s="96">
        <v>0.11697770595183619</v>
      </c>
      <c r="W159" s="96">
        <v>0.11648977945221921</v>
      </c>
      <c r="X159" s="96">
        <v>0.11600391778778522</v>
      </c>
      <c r="Y159" s="96">
        <v>0.11551975321126894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8.8114266358416626E-2</v>
      </c>
      <c r="O160" s="96">
        <v>8.7770415666280716E-2</v>
      </c>
      <c r="P160" s="96">
        <v>8.7435310965090524E-2</v>
      </c>
      <c r="Q160" s="96">
        <v>8.7053171724320977E-2</v>
      </c>
      <c r="R160" s="96">
        <v>8.7057917634488738E-2</v>
      </c>
      <c r="S160" s="96">
        <v>8.7053220688258548E-2</v>
      </c>
      <c r="T160" s="96">
        <v>8.7051115994663211E-2</v>
      </c>
      <c r="U160" s="96">
        <v>8.704892505979428E-2</v>
      </c>
      <c r="V160" s="96">
        <v>8.704160603313893E-2</v>
      </c>
      <c r="W160" s="96">
        <v>8.7034628881580714E-2</v>
      </c>
      <c r="X160" s="96">
        <v>8.7027673516072601E-2</v>
      </c>
      <c r="Y160" s="96">
        <v>8.7020481871903824E-2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8.7237507489178662E-2</v>
      </c>
      <c r="O161" s="96">
        <v>8.6897078196964489E-2</v>
      </c>
      <c r="P161" s="96">
        <v>8.6565307870910532E-2</v>
      </c>
      <c r="Q161" s="96">
        <v>8.6186971010646152E-2</v>
      </c>
      <c r="R161" s="96">
        <v>8.619166969782717E-2</v>
      </c>
      <c r="S161" s="96">
        <v>8.6187019487380362E-2</v>
      </c>
      <c r="T161" s="96">
        <v>8.6184935736009854E-2</v>
      </c>
      <c r="U161" s="96">
        <v>8.6182766601487881E-2</v>
      </c>
      <c r="V161" s="96">
        <v>8.6175520400968417E-2</v>
      </c>
      <c r="W161" s="96">
        <v>8.6168612673803824E-2</v>
      </c>
      <c r="X161" s="96">
        <v>8.6161726515912709E-2</v>
      </c>
      <c r="Y161" s="96">
        <v>8.6154606430392383E-2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0.1173935906733507</v>
      </c>
      <c r="P162" s="96">
        <v>0.11738344378549427</v>
      </c>
      <c r="Q162" s="96">
        <v>0.11737019670294022</v>
      </c>
      <c r="R162" s="96">
        <v>0.1173811268994181</v>
      </c>
      <c r="S162" s="96">
        <v>0.1173926644694329</v>
      </c>
      <c r="T162" s="96">
        <v>0.11740403670538924</v>
      </c>
      <c r="U162" s="96">
        <v>0.11741541558561344</v>
      </c>
      <c r="V162" s="96">
        <v>0.11759117951718441</v>
      </c>
      <c r="W162" s="96">
        <v>0.11743881366147374</v>
      </c>
      <c r="X162" s="96">
        <v>0.11745050195853401</v>
      </c>
      <c r="Y162" s="96">
        <v>0.11746220680235737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13.696744883770847</v>
      </c>
      <c r="C163" s="130">
        <f t="shared" si="215"/>
        <v>13.398490286416788</v>
      </c>
      <c r="D163" s="130">
        <f t="shared" si="215"/>
        <v>9.8457992088232924</v>
      </c>
      <c r="E163" s="130">
        <f t="shared" si="215"/>
        <v>9.6390001812323884</v>
      </c>
      <c r="F163" s="130">
        <f t="shared" si="215"/>
        <v>9.3074313148300014</v>
      </c>
      <c r="G163" s="130">
        <f t="shared" si="215"/>
        <v>9.0406551737932261</v>
      </c>
      <c r="H163" s="130">
        <f t="shared" si="215"/>
        <v>8.0750701376375655</v>
      </c>
      <c r="I163" s="130">
        <f t="shared" si="215"/>
        <v>8.320917909795897</v>
      </c>
      <c r="J163" s="130">
        <f t="shared" si="215"/>
        <v>7.4213372757299423</v>
      </c>
      <c r="K163" s="130">
        <f t="shared" si="215"/>
        <v>7.7828804247982282</v>
      </c>
      <c r="L163" s="130">
        <f t="shared" ref="L163" si="216">IF(L26=0,0,L26/L53)</f>
        <v>6.3934106971748914</v>
      </c>
      <c r="M163" s="130">
        <f t="shared" ref="M163:V163" si="217">IF(M26=0,0,M26/M53)</f>
        <v>6.3894150730382124</v>
      </c>
      <c r="N163" s="130">
        <f t="shared" si="217"/>
        <v>6.8192298561923588</v>
      </c>
      <c r="O163" s="130">
        <f t="shared" si="217"/>
        <v>6.9262654224423521</v>
      </c>
      <c r="P163" s="130">
        <f t="shared" si="217"/>
        <v>6.7194661862777512</v>
      </c>
      <c r="Q163" s="130">
        <f t="shared" si="217"/>
        <v>7.4025515733463534</v>
      </c>
      <c r="R163" s="130">
        <f t="shared" si="217"/>
        <v>6.8525038840692076</v>
      </c>
      <c r="S163" s="130">
        <f t="shared" si="217"/>
        <v>7.1628157569468067</v>
      </c>
      <c r="T163" s="130">
        <f t="shared" si="217"/>
        <v>7.5505138964514513</v>
      </c>
      <c r="U163" s="130">
        <f t="shared" si="217"/>
        <v>7.0712011040579679</v>
      </c>
      <c r="V163" s="130">
        <f t="shared" si="217"/>
        <v>7.0196721391892485</v>
      </c>
      <c r="W163" s="130">
        <f t="shared" ref="W163:Y163" si="218">IF(W26=0,0,W26/W53)</f>
        <v>7.2438626717451795</v>
      </c>
      <c r="X163" s="130">
        <f t="shared" si="218"/>
        <v>7.0403582456180143</v>
      </c>
      <c r="Y163" s="130">
        <f t="shared" si="218"/>
        <v>6.7740825519867229</v>
      </c>
      <c r="DA163" s="176" t="s">
        <v>574</v>
      </c>
    </row>
    <row r="164" spans="1:105" ht="11.45" customHeight="1" x14ac:dyDescent="0.25">
      <c r="A164" s="128" t="s">
        <v>27</v>
      </c>
      <c r="B164" s="97">
        <v>13.32958308171793</v>
      </c>
      <c r="C164" s="97">
        <v>12.853584111363876</v>
      </c>
      <c r="D164" s="97">
        <v>7.8719708794619452</v>
      </c>
      <c r="E164" s="97">
        <v>7.6868537666174301</v>
      </c>
      <c r="F164" s="97">
        <v>7.2005312084993358</v>
      </c>
      <c r="G164" s="97">
        <v>6.9054054054054053</v>
      </c>
      <c r="H164" s="97">
        <v>5.6615886833514688</v>
      </c>
      <c r="I164" s="97">
        <v>5.6282565130260522</v>
      </c>
      <c r="J164" s="97">
        <v>5.0511590727418065</v>
      </c>
      <c r="K164" s="97">
        <v>5.2662213740458013</v>
      </c>
      <c r="L164" s="97">
        <v>3.7721335268505078</v>
      </c>
      <c r="M164" s="97">
        <v>3.5758017492711369</v>
      </c>
      <c r="N164" s="97">
        <v>3.9540140296180826</v>
      </c>
      <c r="O164" s="97">
        <v>3.7212713936430317</v>
      </c>
      <c r="P164" s="97">
        <v>3.7074235807860263</v>
      </c>
      <c r="Q164" s="97">
        <v>4.1726332537788382</v>
      </c>
      <c r="R164" s="97">
        <v>3.7579155672823217</v>
      </c>
      <c r="S164" s="97">
        <v>4.0344387755102042</v>
      </c>
      <c r="T164" s="97">
        <v>4.3822733423545328</v>
      </c>
      <c r="U164" s="97">
        <v>3.989330171902786</v>
      </c>
      <c r="V164" s="97">
        <v>3.9833948339483394</v>
      </c>
      <c r="W164" s="97">
        <v>4.0560567010309274</v>
      </c>
      <c r="X164" s="97">
        <v>3.7344972907886813</v>
      </c>
      <c r="Y164" s="97">
        <v>3.5520334928229667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14.105166269382359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13.993433342768183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10678.452285041534</v>
      </c>
      <c r="C167" s="54">
        <f t="shared" si="219"/>
        <v>10760.885945041271</v>
      </c>
      <c r="D167" s="54">
        <f t="shared" si="219"/>
        <v>10952.387001798759</v>
      </c>
      <c r="E167" s="54">
        <f t="shared" si="219"/>
        <v>10793.712567007537</v>
      </c>
      <c r="F167" s="54">
        <f t="shared" si="219"/>
        <v>11245.715704612485</v>
      </c>
      <c r="G167" s="54">
        <f t="shared" si="219"/>
        <v>11393.392562379462</v>
      </c>
      <c r="H167" s="54">
        <f t="shared" si="219"/>
        <v>11266.019961152788</v>
      </c>
      <c r="I167" s="54">
        <f t="shared" si="219"/>
        <v>10686.514385680581</v>
      </c>
      <c r="J167" s="54">
        <f t="shared" si="219"/>
        <v>10239.392781498153</v>
      </c>
      <c r="K167" s="54">
        <f t="shared" si="219"/>
        <v>9803.4299044655399</v>
      </c>
      <c r="L167" s="54">
        <f t="shared" si="219"/>
        <v>9777.9243587210367</v>
      </c>
      <c r="M167" s="54">
        <f>IF(M30=0,0,M30*1000000/M57)</f>
        <v>9368.0820578343282</v>
      </c>
      <c r="N167" s="54">
        <f t="shared" ref="N167:V167" si="220">IF(N30=0,0,N30*1000000/N57)</f>
        <v>9006.7428564763522</v>
      </c>
      <c r="O167" s="54">
        <f t="shared" si="220"/>
        <v>8721.4393898323542</v>
      </c>
      <c r="P167" s="54">
        <f t="shared" si="220"/>
        <v>8456.5139495433996</v>
      </c>
      <c r="Q167" s="54">
        <f t="shared" si="220"/>
        <v>8294.3039016429302</v>
      </c>
      <c r="R167" s="54">
        <f t="shared" si="220"/>
        <v>8056.3948453913381</v>
      </c>
      <c r="S167" s="54">
        <f t="shared" si="220"/>
        <v>7775.3280522870036</v>
      </c>
      <c r="T167" s="54">
        <f t="shared" si="220"/>
        <v>7514.2476593092224</v>
      </c>
      <c r="U167" s="54">
        <f t="shared" si="220"/>
        <v>7366.4245063223098</v>
      </c>
      <c r="V167" s="54">
        <f t="shared" si="220"/>
        <v>6799.3660652079898</v>
      </c>
      <c r="W167" s="54">
        <f t="shared" ref="W167:Y191" si="221">IF(W30=0,0,W30*1000000/W57)</f>
        <v>6778.9254880586032</v>
      </c>
      <c r="X167" s="54">
        <f t="shared" si="221"/>
        <v>6859.2674732035994</v>
      </c>
      <c r="Y167" s="54">
        <f t="shared" si="221"/>
        <v>6797.3108735217456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9887.3296460425427</v>
      </c>
      <c r="C168" s="28">
        <f t="shared" si="219"/>
        <v>9944.6972327972562</v>
      </c>
      <c r="D168" s="28">
        <f t="shared" si="219"/>
        <v>10050.592632961849</v>
      </c>
      <c r="E168" s="28">
        <f t="shared" si="219"/>
        <v>9952.1764274749476</v>
      </c>
      <c r="F168" s="28">
        <f t="shared" si="219"/>
        <v>10250.290640629684</v>
      </c>
      <c r="G168" s="28">
        <f t="shared" si="219"/>
        <v>10415.073466350084</v>
      </c>
      <c r="H168" s="28">
        <f t="shared" si="219"/>
        <v>10334.487821677361</v>
      </c>
      <c r="I168" s="28">
        <f t="shared" si="219"/>
        <v>9613.910886140653</v>
      </c>
      <c r="J168" s="28">
        <f t="shared" si="219"/>
        <v>9121.2903404584231</v>
      </c>
      <c r="K168" s="28">
        <f t="shared" si="219"/>
        <v>8790.6591627098005</v>
      </c>
      <c r="L168" s="28">
        <f t="shared" si="219"/>
        <v>8626.9981144615085</v>
      </c>
      <c r="M168" s="28">
        <f t="shared" ref="M168:M192" si="222">IF(M31=0,0,M31*1000000/M58)</f>
        <v>8176.2900654196792</v>
      </c>
      <c r="N168" s="28">
        <f t="shared" si="219"/>
        <v>7807.3393290480026</v>
      </c>
      <c r="O168" s="28">
        <f t="shared" si="219"/>
        <v>7676.6348008019158</v>
      </c>
      <c r="P168" s="28">
        <f t="shared" si="219"/>
        <v>7501.9924882851683</v>
      </c>
      <c r="Q168" s="28">
        <f t="shared" si="219"/>
        <v>7251.7418037890275</v>
      </c>
      <c r="R168" s="28">
        <f t="shared" si="219"/>
        <v>6976.2502923051234</v>
      </c>
      <c r="S168" s="28">
        <f t="shared" si="219"/>
        <v>6674.1739688950856</v>
      </c>
      <c r="T168" s="28">
        <f t="shared" si="219"/>
        <v>6452.4406023570109</v>
      </c>
      <c r="U168" s="28">
        <f t="shared" si="219"/>
        <v>6264.4156571599269</v>
      </c>
      <c r="V168" s="28">
        <f t="shared" si="219"/>
        <v>5673.9399254574082</v>
      </c>
      <c r="W168" s="28">
        <f t="shared" si="221"/>
        <v>5673.4607100761168</v>
      </c>
      <c r="X168" s="28">
        <f t="shared" si="221"/>
        <v>5718.5174234968617</v>
      </c>
      <c r="Y168" s="28">
        <f t="shared" si="221"/>
        <v>5707.6167911376388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1140.9729111049992</v>
      </c>
      <c r="C169" s="137">
        <f t="shared" si="219"/>
        <v>1178.5564421263541</v>
      </c>
      <c r="D169" s="137">
        <f t="shared" si="219"/>
        <v>1005.4752744991387</v>
      </c>
      <c r="E169" s="137">
        <f t="shared" si="219"/>
        <v>1006.168999231461</v>
      </c>
      <c r="F169" s="137">
        <f t="shared" si="219"/>
        <v>995.39121841408826</v>
      </c>
      <c r="G169" s="137">
        <f t="shared" si="219"/>
        <v>1004.941895305509</v>
      </c>
      <c r="H169" s="137">
        <f t="shared" si="219"/>
        <v>1010.6740040705698</v>
      </c>
      <c r="I169" s="137">
        <f t="shared" si="219"/>
        <v>1005.9973812129991</v>
      </c>
      <c r="J169" s="137">
        <f t="shared" si="219"/>
        <v>995.4491711815939</v>
      </c>
      <c r="K169" s="137">
        <f t="shared" si="219"/>
        <v>749.37101839594925</v>
      </c>
      <c r="L169" s="137">
        <f t="shared" si="219"/>
        <v>641.67376789572131</v>
      </c>
      <c r="M169" s="137">
        <f t="shared" si="222"/>
        <v>727.6947941526563</v>
      </c>
      <c r="N169" s="137">
        <f t="shared" si="219"/>
        <v>803.73218169511972</v>
      </c>
      <c r="O169" s="137">
        <f t="shared" si="219"/>
        <v>773.16356941624383</v>
      </c>
      <c r="P169" s="137">
        <f t="shared" si="219"/>
        <v>808.43818523109985</v>
      </c>
      <c r="Q169" s="137">
        <f t="shared" si="219"/>
        <v>843.25251350167093</v>
      </c>
      <c r="R169" s="137">
        <f t="shared" si="219"/>
        <v>858.61268239586445</v>
      </c>
      <c r="S169" s="137">
        <f t="shared" si="219"/>
        <v>775.33163790246419</v>
      </c>
      <c r="T169" s="137">
        <f t="shared" si="219"/>
        <v>708.6863631970383</v>
      </c>
      <c r="U169" s="137">
        <f t="shared" si="219"/>
        <v>722.48209434609305</v>
      </c>
      <c r="V169" s="137">
        <f t="shared" si="219"/>
        <v>622.78914958385496</v>
      </c>
      <c r="W169" s="137">
        <f t="shared" si="221"/>
        <v>621.03973775241582</v>
      </c>
      <c r="X169" s="137">
        <f t="shared" si="221"/>
        <v>602.88532583750032</v>
      </c>
      <c r="Y169" s="137">
        <f t="shared" si="221"/>
        <v>625.994025519979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10051.572923474203</v>
      </c>
      <c r="C170" s="110">
        <f t="shared" si="219"/>
        <v>10117.389215867557</v>
      </c>
      <c r="D170" s="110">
        <f t="shared" si="219"/>
        <v>10240.696817192667</v>
      </c>
      <c r="E170" s="110">
        <f t="shared" si="219"/>
        <v>10129.643525065245</v>
      </c>
      <c r="F170" s="110">
        <f t="shared" si="219"/>
        <v>10473.503488089989</v>
      </c>
      <c r="G170" s="110">
        <f t="shared" si="219"/>
        <v>10688.701411136215</v>
      </c>
      <c r="H170" s="110">
        <f t="shared" si="219"/>
        <v>10601.74703698653</v>
      </c>
      <c r="I170" s="110">
        <f t="shared" si="219"/>
        <v>9833.2080579949525</v>
      </c>
      <c r="J170" s="110">
        <f t="shared" si="219"/>
        <v>9338.095261060771</v>
      </c>
      <c r="K170" s="110">
        <f t="shared" si="219"/>
        <v>9058.971935134743</v>
      </c>
      <c r="L170" s="110">
        <f t="shared" si="219"/>
        <v>8909.3521413758554</v>
      </c>
      <c r="M170" s="110">
        <f t="shared" si="222"/>
        <v>8447.290544603351</v>
      </c>
      <c r="N170" s="110">
        <f t="shared" si="219"/>
        <v>8064.379124141391</v>
      </c>
      <c r="O170" s="110">
        <f t="shared" si="219"/>
        <v>7947.7872413178302</v>
      </c>
      <c r="P170" s="110">
        <f t="shared" si="219"/>
        <v>7771.8987625422096</v>
      </c>
      <c r="Q170" s="110">
        <f t="shared" si="219"/>
        <v>7518.2552157724449</v>
      </c>
      <c r="R170" s="110">
        <f t="shared" si="219"/>
        <v>7229.8241827713</v>
      </c>
      <c r="S170" s="110">
        <f t="shared" si="219"/>
        <v>6916.1966847255408</v>
      </c>
      <c r="T170" s="110">
        <f t="shared" si="219"/>
        <v>6688.1067803896012</v>
      </c>
      <c r="U170" s="110">
        <f t="shared" si="219"/>
        <v>6494.8845889989825</v>
      </c>
      <c r="V170" s="110">
        <f t="shared" si="219"/>
        <v>5898.3047485060752</v>
      </c>
      <c r="W170" s="110">
        <f t="shared" si="221"/>
        <v>5909.3084856709138</v>
      </c>
      <c r="X170" s="110">
        <f t="shared" si="221"/>
        <v>5962.9653124389552</v>
      </c>
      <c r="Y170" s="110">
        <f t="shared" si="221"/>
        <v>5955.3126957227778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9581.6197066708555</v>
      </c>
      <c r="C171" s="84">
        <f t="shared" si="219"/>
        <v>9635.7046314154541</v>
      </c>
      <c r="D171" s="84">
        <f t="shared" si="219"/>
        <v>9707.6751545563075</v>
      </c>
      <c r="E171" s="84">
        <f t="shared" si="219"/>
        <v>9540.6401216381128</v>
      </c>
      <c r="F171" s="84">
        <f t="shared" si="219"/>
        <v>9900.6601211388333</v>
      </c>
      <c r="G171" s="84">
        <f t="shared" si="219"/>
        <v>10097.305786822906</v>
      </c>
      <c r="H171" s="84">
        <f t="shared" si="219"/>
        <v>9966.6857375933596</v>
      </c>
      <c r="I171" s="84">
        <f t="shared" si="219"/>
        <v>9018.6122314346685</v>
      </c>
      <c r="J171" s="84">
        <f t="shared" si="219"/>
        <v>8390.9386619717843</v>
      </c>
      <c r="K171" s="84">
        <f t="shared" si="219"/>
        <v>8073.651659969194</v>
      </c>
      <c r="L171" s="84">
        <f t="shared" si="219"/>
        <v>7921.5419685293346</v>
      </c>
      <c r="M171" s="84">
        <f t="shared" si="222"/>
        <v>7407.1128197835824</v>
      </c>
      <c r="N171" s="84">
        <f t="shared" si="219"/>
        <v>7073.5287690891337</v>
      </c>
      <c r="O171" s="84">
        <f t="shared" si="219"/>
        <v>7030.2753301997891</v>
      </c>
      <c r="P171" s="84">
        <f t="shared" si="219"/>
        <v>6908.8942250392183</v>
      </c>
      <c r="Q171" s="84">
        <f t="shared" si="219"/>
        <v>6727.1062146165486</v>
      </c>
      <c r="R171" s="84">
        <f t="shared" si="219"/>
        <v>6454.3580908529893</v>
      </c>
      <c r="S171" s="84">
        <f t="shared" si="219"/>
        <v>6142.9632423518733</v>
      </c>
      <c r="T171" s="84">
        <f t="shared" si="219"/>
        <v>5903.3143332952241</v>
      </c>
      <c r="U171" s="84">
        <f t="shared" si="219"/>
        <v>5695.7598849173391</v>
      </c>
      <c r="V171" s="84">
        <f t="shared" si="219"/>
        <v>5129.2514683836807</v>
      </c>
      <c r="W171" s="84">
        <f t="shared" si="221"/>
        <v>5096.7168619142567</v>
      </c>
      <c r="X171" s="84">
        <f t="shared" si="221"/>
        <v>5131.6074753728426</v>
      </c>
      <c r="Y171" s="84">
        <f t="shared" si="221"/>
        <v>5113.8268895298797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12125.403723233194</v>
      </c>
      <c r="C172" s="84">
        <f t="shared" si="219"/>
        <v>12114.325513485239</v>
      </c>
      <c r="D172" s="84">
        <f t="shared" si="219"/>
        <v>12183.303396168671</v>
      </c>
      <c r="E172" s="84">
        <f t="shared" si="219"/>
        <v>12171.400678844744</v>
      </c>
      <c r="F172" s="84">
        <f t="shared" si="219"/>
        <v>12331.508387255832</v>
      </c>
      <c r="G172" s="84">
        <f t="shared" si="219"/>
        <v>12558.385262099893</v>
      </c>
      <c r="H172" s="84">
        <f t="shared" si="219"/>
        <v>12555.607265498056</v>
      </c>
      <c r="I172" s="84">
        <f t="shared" si="219"/>
        <v>12301.974155818014</v>
      </c>
      <c r="J172" s="84">
        <f t="shared" si="219"/>
        <v>12214.37019595018</v>
      </c>
      <c r="K172" s="84">
        <f t="shared" si="219"/>
        <v>11989.931973108434</v>
      </c>
      <c r="L172" s="84">
        <f t="shared" si="219"/>
        <v>11880.484355572054</v>
      </c>
      <c r="M172" s="84">
        <f t="shared" si="222"/>
        <v>11449.012493271328</v>
      </c>
      <c r="N172" s="84">
        <f t="shared" si="219"/>
        <v>10933.39891253092</v>
      </c>
      <c r="O172" s="84">
        <f t="shared" si="219"/>
        <v>10651.363947177013</v>
      </c>
      <c r="P172" s="84">
        <f t="shared" si="219"/>
        <v>10260.186500037586</v>
      </c>
      <c r="Q172" s="84">
        <f t="shared" si="219"/>
        <v>9792.3925990772441</v>
      </c>
      <c r="R172" s="84">
        <f t="shared" si="219"/>
        <v>9585.1688552667456</v>
      </c>
      <c r="S172" s="84">
        <f t="shared" si="219"/>
        <v>9307.02342870559</v>
      </c>
      <c r="T172" s="84">
        <f t="shared" si="219"/>
        <v>9124.6240199132644</v>
      </c>
      <c r="U172" s="84">
        <f t="shared" si="219"/>
        <v>8981.6664232902458</v>
      </c>
      <c r="V172" s="84">
        <f t="shared" si="219"/>
        <v>8251.7377958183934</v>
      </c>
      <c r="W172" s="84">
        <f t="shared" si="221"/>
        <v>8365.0417939542167</v>
      </c>
      <c r="X172" s="84">
        <f t="shared" si="221"/>
        <v>8592.4539953477597</v>
      </c>
      <c r="Y172" s="84">
        <f t="shared" si="221"/>
        <v>8735.6653411522875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13063.613940518564</v>
      </c>
      <c r="H173" s="84">
        <f t="shared" si="219"/>
        <v>12910.046609388935</v>
      </c>
      <c r="I173" s="84">
        <f t="shared" si="219"/>
        <v>11567.458812534209</v>
      </c>
      <c r="J173" s="84">
        <f t="shared" si="219"/>
        <v>10656.878049925834</v>
      </c>
      <c r="K173" s="84">
        <f t="shared" si="219"/>
        <v>10153.38044421481</v>
      </c>
      <c r="L173" s="84">
        <f t="shared" si="219"/>
        <v>9864.4205924159905</v>
      </c>
      <c r="M173" s="84">
        <f t="shared" si="222"/>
        <v>9133.3902658641127</v>
      </c>
      <c r="N173" s="84">
        <f t="shared" si="219"/>
        <v>8722.6925690072767</v>
      </c>
      <c r="O173" s="84">
        <f t="shared" si="219"/>
        <v>8508.5815698082442</v>
      </c>
      <c r="P173" s="84">
        <f t="shared" si="219"/>
        <v>8425.0224669564996</v>
      </c>
      <c r="Q173" s="84">
        <f t="shared" si="219"/>
        <v>8287.0493997578342</v>
      </c>
      <c r="R173" s="84">
        <f t="shared" si="219"/>
        <v>7870.7402594385749</v>
      </c>
      <c r="S173" s="84">
        <f t="shared" si="219"/>
        <v>7415.3443214997897</v>
      </c>
      <c r="T173" s="84">
        <f t="shared" si="219"/>
        <v>7341.9984911246192</v>
      </c>
      <c r="U173" s="84">
        <f t="shared" si="219"/>
        <v>7298.5238567489278</v>
      </c>
      <c r="V173" s="84">
        <f t="shared" si="219"/>
        <v>6771.7720104837208</v>
      </c>
      <c r="W173" s="84">
        <f t="shared" si="221"/>
        <v>6932.722576861087</v>
      </c>
      <c r="X173" s="84">
        <f t="shared" si="221"/>
        <v>7191.7026063199501</v>
      </c>
      <c r="Y173" s="84">
        <f t="shared" si="221"/>
        <v>7383.959236772047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9361.2225799482076</v>
      </c>
      <c r="D174" s="84">
        <f t="shared" si="219"/>
        <v>9517.5688849756534</v>
      </c>
      <c r="E174" s="84">
        <f t="shared" si="219"/>
        <v>9450.6752744960704</v>
      </c>
      <c r="F174" s="84">
        <f t="shared" si="219"/>
        <v>9883.2331878667828</v>
      </c>
      <c r="G174" s="84">
        <f t="shared" si="219"/>
        <v>10165.980255701761</v>
      </c>
      <c r="H174" s="84">
        <f t="shared" si="219"/>
        <v>10136.298360677112</v>
      </c>
      <c r="I174" s="84">
        <f t="shared" si="219"/>
        <v>9303.6019705595463</v>
      </c>
      <c r="J174" s="84">
        <f t="shared" si="219"/>
        <v>8768.582923692753</v>
      </c>
      <c r="K174" s="84">
        <f t="shared" si="219"/>
        <v>8532.9978720019244</v>
      </c>
      <c r="L174" s="84">
        <f t="shared" si="219"/>
        <v>8459.6091411717771</v>
      </c>
      <c r="M174" s="84">
        <f t="shared" si="222"/>
        <v>8011.1291279912348</v>
      </c>
      <c r="N174" s="84">
        <f t="shared" si="219"/>
        <v>7740.1518842953901</v>
      </c>
      <c r="O174" s="84">
        <f t="shared" si="219"/>
        <v>7621.7654915698322</v>
      </c>
      <c r="P174" s="84">
        <f t="shared" si="219"/>
        <v>7424.9753291633569</v>
      </c>
      <c r="Q174" s="84">
        <f t="shared" si="219"/>
        <v>7169.8362901503742</v>
      </c>
      <c r="R174" s="84">
        <f t="shared" si="219"/>
        <v>6959.001530622716</v>
      </c>
      <c r="S174" s="84">
        <f t="shared" si="219"/>
        <v>6702.724595773534</v>
      </c>
      <c r="T174" s="84">
        <f t="shared" si="219"/>
        <v>6515.5229313514619</v>
      </c>
      <c r="U174" s="84">
        <f t="shared" si="219"/>
        <v>6357.7317621895982</v>
      </c>
      <c r="V174" s="84">
        <f t="shared" si="219"/>
        <v>5809.3565665425394</v>
      </c>
      <c r="W174" s="84">
        <f t="shared" si="221"/>
        <v>5829.7925623616502</v>
      </c>
      <c r="X174" s="84">
        <f t="shared" si="221"/>
        <v>5924.2297003795484</v>
      </c>
      <c r="Y174" s="84">
        <f t="shared" si="221"/>
        <v>5961.4680566329125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8845.2948725497936</v>
      </c>
      <c r="O175" s="84">
        <f t="shared" si="219"/>
        <v>9161.3634821803735</v>
      </c>
      <c r="P175" s="84">
        <f t="shared" si="219"/>
        <v>9382.2697135406142</v>
      </c>
      <c r="Q175" s="84">
        <f t="shared" si="219"/>
        <v>9520.0503206340854</v>
      </c>
      <c r="R175" s="84">
        <f t="shared" si="219"/>
        <v>8765.0102120085758</v>
      </c>
      <c r="S175" s="84">
        <f t="shared" si="219"/>
        <v>8005.0803812913364</v>
      </c>
      <c r="T175" s="84">
        <f t="shared" si="219"/>
        <v>7381.9670079704701</v>
      </c>
      <c r="U175" s="84">
        <f t="shared" si="219"/>
        <v>6834.6499218067656</v>
      </c>
      <c r="V175" s="84">
        <f t="shared" si="219"/>
        <v>5906.1844254113958</v>
      </c>
      <c r="W175" s="84">
        <f t="shared" si="221"/>
        <v>5631.6016974113381</v>
      </c>
      <c r="X175" s="84">
        <f t="shared" si="221"/>
        <v>5703.5598726339995</v>
      </c>
      <c r="Y175" s="84">
        <f t="shared" si="221"/>
        <v>5905.8049768961864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7774.516141691106</v>
      </c>
      <c r="N176" s="84">
        <f t="shared" si="219"/>
        <v>7792.4497674238246</v>
      </c>
      <c r="O176" s="84">
        <f t="shared" si="219"/>
        <v>7794.8399239581031</v>
      </c>
      <c r="P176" s="84">
        <f t="shared" si="219"/>
        <v>7801.6307322992561</v>
      </c>
      <c r="Q176" s="84">
        <f t="shared" si="219"/>
        <v>7812.0390104497374</v>
      </c>
      <c r="R176" s="84">
        <f t="shared" si="219"/>
        <v>7795.8889107937221</v>
      </c>
      <c r="S176" s="84">
        <f t="shared" si="219"/>
        <v>7776.6380315394554</v>
      </c>
      <c r="T176" s="84">
        <f t="shared" si="219"/>
        <v>7761.1805121398856</v>
      </c>
      <c r="U176" s="84">
        <f t="shared" si="219"/>
        <v>7747.3035528343216</v>
      </c>
      <c r="V176" s="84">
        <f t="shared" si="219"/>
        <v>7547.0313223302946</v>
      </c>
      <c r="W176" s="84">
        <f t="shared" si="221"/>
        <v>7704.3767944871352</v>
      </c>
      <c r="X176" s="84">
        <f t="shared" si="221"/>
        <v>7707.0053514238043</v>
      </c>
      <c r="Y176" s="84">
        <f t="shared" si="221"/>
        <v>7705.667942851077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26926.181720333661</v>
      </c>
      <c r="C177" s="110">
        <f t="shared" si="219"/>
        <v>27018.091652125997</v>
      </c>
      <c r="D177" s="110">
        <f t="shared" si="219"/>
        <v>26758.353332102641</v>
      </c>
      <c r="E177" s="110">
        <f t="shared" si="219"/>
        <v>27927.683068679344</v>
      </c>
      <c r="F177" s="110">
        <f t="shared" si="219"/>
        <v>30775.918278635079</v>
      </c>
      <c r="G177" s="110">
        <f t="shared" si="219"/>
        <v>28907.580919931857</v>
      </c>
      <c r="H177" s="110">
        <f t="shared" si="219"/>
        <v>30760.749724366044</v>
      </c>
      <c r="I177" s="110">
        <f t="shared" si="219"/>
        <v>31508.50450785389</v>
      </c>
      <c r="J177" s="110">
        <f t="shared" si="219"/>
        <v>31007.034431691965</v>
      </c>
      <c r="K177" s="110">
        <f t="shared" si="219"/>
        <v>32812.661632357507</v>
      </c>
      <c r="L177" s="110">
        <f t="shared" si="219"/>
        <v>32612.312811980035</v>
      </c>
      <c r="M177" s="110">
        <f t="shared" si="222"/>
        <v>32220.081353029331</v>
      </c>
      <c r="N177" s="110">
        <f t="shared" si="219"/>
        <v>32516.80034684587</v>
      </c>
      <c r="O177" s="110">
        <f t="shared" si="219"/>
        <v>32080.255760114651</v>
      </c>
      <c r="P177" s="110">
        <f t="shared" si="219"/>
        <v>32427.120864723223</v>
      </c>
      <c r="Q177" s="110">
        <f t="shared" si="219"/>
        <v>32146.709816612729</v>
      </c>
      <c r="R177" s="110">
        <f t="shared" si="219"/>
        <v>32669.673303266969</v>
      </c>
      <c r="S177" s="110">
        <f t="shared" si="219"/>
        <v>33546.153013743104</v>
      </c>
      <c r="T177" s="110">
        <f t="shared" si="219"/>
        <v>34177.079995727865</v>
      </c>
      <c r="U177" s="110">
        <f t="shared" si="219"/>
        <v>34960.051824659909</v>
      </c>
      <c r="V177" s="110">
        <f t="shared" si="219"/>
        <v>34174.42430181284</v>
      </c>
      <c r="W177" s="110">
        <f t="shared" si="221"/>
        <v>33297.491039426524</v>
      </c>
      <c r="X177" s="110">
        <f t="shared" si="221"/>
        <v>34162.348877374781</v>
      </c>
      <c r="Y177" s="110">
        <f t="shared" si="221"/>
        <v>33763.488708421406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X178" s="102">
        <f t="shared" si="221"/>
        <v>0</v>
      </c>
      <c r="Y178" s="102">
        <f t="shared" si="221"/>
        <v>0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26926.181720333661</v>
      </c>
      <c r="C179" s="102">
        <f t="shared" si="219"/>
        <v>27018.091652125997</v>
      </c>
      <c r="D179" s="102">
        <f t="shared" si="219"/>
        <v>26758.353332102641</v>
      </c>
      <c r="E179" s="102">
        <f t="shared" si="219"/>
        <v>27927.683068679344</v>
      </c>
      <c r="F179" s="102">
        <f t="shared" si="219"/>
        <v>30775.918278635079</v>
      </c>
      <c r="G179" s="102">
        <f t="shared" si="219"/>
        <v>28907.580919931857</v>
      </c>
      <c r="H179" s="102">
        <f t="shared" si="219"/>
        <v>30760.749724366044</v>
      </c>
      <c r="I179" s="102">
        <f t="shared" si="219"/>
        <v>31508.50450785389</v>
      </c>
      <c r="J179" s="102">
        <f t="shared" si="219"/>
        <v>31007.034431691965</v>
      </c>
      <c r="K179" s="102">
        <f t="shared" si="219"/>
        <v>32812.661632357507</v>
      </c>
      <c r="L179" s="102">
        <f t="shared" si="219"/>
        <v>32480.901297176799</v>
      </c>
      <c r="M179" s="102">
        <f t="shared" si="222"/>
        <v>31889.862146810214</v>
      </c>
      <c r="N179" s="102">
        <f t="shared" si="219"/>
        <v>32189.333041010956</v>
      </c>
      <c r="O179" s="102">
        <f t="shared" si="219"/>
        <v>31738.10580448867</v>
      </c>
      <c r="P179" s="102">
        <f t="shared" si="219"/>
        <v>31945.044812036864</v>
      </c>
      <c r="Q179" s="102">
        <f t="shared" si="219"/>
        <v>31536.680897204318</v>
      </c>
      <c r="R179" s="102">
        <f t="shared" si="219"/>
        <v>32642.664225517707</v>
      </c>
      <c r="S179" s="102">
        <f t="shared" si="219"/>
        <v>33520.133671776326</v>
      </c>
      <c r="T179" s="102">
        <f t="shared" si="219"/>
        <v>34118.019291268567</v>
      </c>
      <c r="U179" s="102">
        <f t="shared" si="219"/>
        <v>34567.175031651124</v>
      </c>
      <c r="V179" s="102">
        <f t="shared" si="219"/>
        <v>33659.713554287759</v>
      </c>
      <c r="W179" s="102">
        <f t="shared" si="221"/>
        <v>32621.716780101018</v>
      </c>
      <c r="X179" s="102">
        <f t="shared" si="221"/>
        <v>33625.931359242932</v>
      </c>
      <c r="Y179" s="102">
        <f t="shared" si="221"/>
        <v>33176.247923900053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21298.044513406065</v>
      </c>
      <c r="S181" s="102">
        <f t="shared" si="223"/>
        <v>21460.440628846391</v>
      </c>
      <c r="T181" s="102">
        <f t="shared" si="223"/>
        <v>21446.753159606207</v>
      </c>
      <c r="U181" s="102">
        <f t="shared" si="223"/>
        <v>21850.768476992587</v>
      </c>
      <c r="V181" s="102">
        <f t="shared" si="223"/>
        <v>21762.184284344239</v>
      </c>
      <c r="W181" s="102">
        <f t="shared" si="221"/>
        <v>21599.737540831215</v>
      </c>
      <c r="X181" s="102">
        <f t="shared" si="221"/>
        <v>22632.976332129594</v>
      </c>
      <c r="Y181" s="102">
        <f t="shared" si="221"/>
        <v>22802.70727149181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43374.462731210369</v>
      </c>
      <c r="M182" s="102">
        <f t="shared" si="222"/>
        <v>43400.712238224318</v>
      </c>
      <c r="N182" s="102">
        <f t="shared" si="223"/>
        <v>43420.609485743058</v>
      </c>
      <c r="O182" s="102">
        <f t="shared" si="223"/>
        <v>43449.963342161493</v>
      </c>
      <c r="P182" s="102">
        <f t="shared" si="223"/>
        <v>43473.333497557338</v>
      </c>
      <c r="Q182" s="102">
        <f t="shared" si="223"/>
        <v>43492.215956223292</v>
      </c>
      <c r="R182" s="102">
        <f t="shared" si="223"/>
        <v>43457.138156844223</v>
      </c>
      <c r="S182" s="102">
        <f t="shared" si="223"/>
        <v>43399.64990049514</v>
      </c>
      <c r="T182" s="102">
        <f t="shared" si="223"/>
        <v>43359.235334514175</v>
      </c>
      <c r="U182" s="102">
        <f t="shared" si="223"/>
        <v>43310.157085994208</v>
      </c>
      <c r="V182" s="102">
        <f t="shared" si="223"/>
        <v>42578.132930742475</v>
      </c>
      <c r="W182" s="102">
        <f t="shared" si="221"/>
        <v>43204.773337706327</v>
      </c>
      <c r="X182" s="102">
        <f t="shared" si="221"/>
        <v>43260.201870249854</v>
      </c>
      <c r="Y182" s="102">
        <f t="shared" si="221"/>
        <v>43234.806666834796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19601.79379345318</v>
      </c>
      <c r="C183" s="28">
        <f t="shared" si="223"/>
        <v>19819.724654371657</v>
      </c>
      <c r="D183" s="28">
        <f t="shared" si="223"/>
        <v>20549.082559402897</v>
      </c>
      <c r="E183" s="28">
        <f t="shared" si="223"/>
        <v>19234.238846395987</v>
      </c>
      <c r="F183" s="28">
        <f t="shared" si="223"/>
        <v>20857.520198495116</v>
      </c>
      <c r="G183" s="28">
        <f t="shared" si="223"/>
        <v>19724.36811167483</v>
      </c>
      <c r="H183" s="28">
        <f t="shared" si="223"/>
        <v>18663.151833014908</v>
      </c>
      <c r="I183" s="28">
        <f t="shared" si="223"/>
        <v>18720.067985603837</v>
      </c>
      <c r="J183" s="28">
        <f t="shared" si="223"/>
        <v>18106.110868241947</v>
      </c>
      <c r="K183" s="28">
        <f t="shared" si="223"/>
        <v>16557.931648864567</v>
      </c>
      <c r="L183" s="28">
        <f t="shared" si="223"/>
        <v>17630.954348293511</v>
      </c>
      <c r="M183" s="28">
        <f t="shared" si="222"/>
        <v>17728.841974263963</v>
      </c>
      <c r="N183" s="28">
        <f t="shared" si="223"/>
        <v>17629.971020325571</v>
      </c>
      <c r="O183" s="28">
        <f t="shared" si="223"/>
        <v>16381.712754474194</v>
      </c>
      <c r="P183" s="28">
        <f t="shared" si="223"/>
        <v>15637.474465693804</v>
      </c>
      <c r="Q183" s="28">
        <f t="shared" si="223"/>
        <v>16193.628990531251</v>
      </c>
      <c r="R183" s="28">
        <f t="shared" si="223"/>
        <v>16480.476530926338</v>
      </c>
      <c r="S183" s="28">
        <f t="shared" si="223"/>
        <v>16619.655133942855</v>
      </c>
      <c r="T183" s="28">
        <f t="shared" si="223"/>
        <v>16708.803670941437</v>
      </c>
      <c r="U183" s="28">
        <f t="shared" si="223"/>
        <v>16806.006491464268</v>
      </c>
      <c r="V183" s="28">
        <f t="shared" si="223"/>
        <v>16581.020695616528</v>
      </c>
      <c r="W183" s="28">
        <f t="shared" si="221"/>
        <v>16789.819267873758</v>
      </c>
      <c r="X183" s="28">
        <f t="shared" si="221"/>
        <v>17384.225063176891</v>
      </c>
      <c r="Y183" s="28">
        <f t="shared" si="221"/>
        <v>16804.07637914117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15748.943333372688</v>
      </c>
      <c r="C184" s="137">
        <f t="shared" si="223"/>
        <v>16151.030900995753</v>
      </c>
      <c r="D184" s="137">
        <f t="shared" si="223"/>
        <v>16347.499945897802</v>
      </c>
      <c r="E184" s="137">
        <f t="shared" si="223"/>
        <v>16066.296662779423</v>
      </c>
      <c r="F184" s="137">
        <f t="shared" si="223"/>
        <v>15726.170004169415</v>
      </c>
      <c r="G184" s="137">
        <f t="shared" si="223"/>
        <v>15512.769045533523</v>
      </c>
      <c r="H184" s="137">
        <f t="shared" si="223"/>
        <v>15128.136937050514</v>
      </c>
      <c r="I184" s="137">
        <f t="shared" si="223"/>
        <v>15444.10922875191</v>
      </c>
      <c r="J184" s="137">
        <f t="shared" si="223"/>
        <v>15550.185102775407</v>
      </c>
      <c r="K184" s="137">
        <f t="shared" si="223"/>
        <v>15425.103831653882</v>
      </c>
      <c r="L184" s="137">
        <f t="shared" si="223"/>
        <v>15401.555376906288</v>
      </c>
      <c r="M184" s="137">
        <f t="shared" si="222"/>
        <v>15712.719684550642</v>
      </c>
      <c r="N184" s="137">
        <f t="shared" si="223"/>
        <v>16048.355137413306</v>
      </c>
      <c r="O184" s="137">
        <f t="shared" si="223"/>
        <v>16126.547079227297</v>
      </c>
      <c r="P184" s="137">
        <f t="shared" si="223"/>
        <v>16131.632231461697</v>
      </c>
      <c r="Q184" s="137">
        <f t="shared" si="223"/>
        <v>16584.541807078873</v>
      </c>
      <c r="R184" s="137">
        <f t="shared" si="223"/>
        <v>16628.994038331286</v>
      </c>
      <c r="S184" s="137">
        <f t="shared" si="223"/>
        <v>16963.066510961569</v>
      </c>
      <c r="T184" s="137">
        <f t="shared" si="223"/>
        <v>17215.50732187312</v>
      </c>
      <c r="U184" s="137">
        <f t="shared" si="223"/>
        <v>17613.25181496808</v>
      </c>
      <c r="V184" s="137">
        <f t="shared" si="223"/>
        <v>17878.554420220134</v>
      </c>
      <c r="W184" s="137">
        <f t="shared" si="221"/>
        <v>18158.5423490822</v>
      </c>
      <c r="X184" s="137">
        <f t="shared" si="221"/>
        <v>18444.862578201461</v>
      </c>
      <c r="Y184" s="137">
        <f t="shared" si="221"/>
        <v>18727.86868078083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14354.885081546927</v>
      </c>
      <c r="C185" s="84">
        <f t="shared" si="223"/>
        <v>14720.508190026874</v>
      </c>
      <c r="D185" s="84">
        <f t="shared" si="223"/>
        <v>15095.750839312357</v>
      </c>
      <c r="E185" s="84">
        <f t="shared" si="223"/>
        <v>15025.4578116389</v>
      </c>
      <c r="F185" s="84">
        <f t="shared" si="223"/>
        <v>14971.609711548661</v>
      </c>
      <c r="G185" s="84">
        <f t="shared" si="223"/>
        <v>14917.975148885287</v>
      </c>
      <c r="H185" s="84">
        <f t="shared" si="223"/>
        <v>14556.633608735588</v>
      </c>
      <c r="I185" s="84">
        <f t="shared" si="223"/>
        <v>14657.910572627419</v>
      </c>
      <c r="J185" s="84">
        <f t="shared" si="223"/>
        <v>14747.24873109765</v>
      </c>
      <c r="K185" s="84">
        <f t="shared" si="223"/>
        <v>14403.776784700778</v>
      </c>
      <c r="L185" s="84">
        <f t="shared" si="223"/>
        <v>14053.466684649184</v>
      </c>
      <c r="M185" s="84">
        <f t="shared" si="222"/>
        <v>14128.189795176751</v>
      </c>
      <c r="N185" s="84">
        <f t="shared" si="223"/>
        <v>14206.638426503228</v>
      </c>
      <c r="O185" s="84">
        <f t="shared" si="223"/>
        <v>14258.164500992236</v>
      </c>
      <c r="P185" s="84">
        <f t="shared" si="223"/>
        <v>14590.13771652682</v>
      </c>
      <c r="Q185" s="84">
        <f t="shared" si="223"/>
        <v>14989.126735039326</v>
      </c>
      <c r="R185" s="84">
        <f t="shared" si="223"/>
        <v>14992.020335722011</v>
      </c>
      <c r="S185" s="84">
        <f t="shared" si="223"/>
        <v>15003.436615186474</v>
      </c>
      <c r="T185" s="84">
        <f t="shared" si="223"/>
        <v>15012.519906426549</v>
      </c>
      <c r="U185" s="84">
        <f t="shared" si="223"/>
        <v>15021.686697549143</v>
      </c>
      <c r="V185" s="84">
        <f t="shared" si="223"/>
        <v>15035.498306108269</v>
      </c>
      <c r="W185" s="84">
        <f t="shared" si="221"/>
        <v>15049.01352743065</v>
      </c>
      <c r="X185" s="84">
        <f t="shared" si="221"/>
        <v>15062.521653301357</v>
      </c>
      <c r="Y185" s="84">
        <f t="shared" si="221"/>
        <v>15076.25682907251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16580.034515794578</v>
      </c>
      <c r="C186" s="84">
        <f t="shared" si="223"/>
        <v>17002.332829151492</v>
      </c>
      <c r="D186" s="84">
        <f t="shared" si="223"/>
        <v>17090.479593452405</v>
      </c>
      <c r="E186" s="84">
        <f t="shared" si="223"/>
        <v>16674.048687317649</v>
      </c>
      <c r="F186" s="84">
        <f t="shared" si="223"/>
        <v>16285.296493371838</v>
      </c>
      <c r="G186" s="84">
        <f t="shared" si="223"/>
        <v>15905.629899114901</v>
      </c>
      <c r="H186" s="84">
        <f t="shared" si="223"/>
        <v>15520.365495103159</v>
      </c>
      <c r="I186" s="84">
        <f t="shared" si="223"/>
        <v>15944.071763000517</v>
      </c>
      <c r="J186" s="84">
        <f t="shared" si="223"/>
        <v>16041.24891541702</v>
      </c>
      <c r="K186" s="84">
        <f t="shared" si="223"/>
        <v>15984.156915559573</v>
      </c>
      <c r="L186" s="84">
        <f t="shared" si="223"/>
        <v>15910.469651220134</v>
      </c>
      <c r="M186" s="84">
        <f t="shared" si="222"/>
        <v>16318.199213649446</v>
      </c>
      <c r="N186" s="84">
        <f t="shared" si="223"/>
        <v>16740.299234144612</v>
      </c>
      <c r="O186" s="84">
        <f t="shared" si="223"/>
        <v>16948.680822059134</v>
      </c>
      <c r="P186" s="84">
        <f t="shared" si="223"/>
        <v>16999.865767524105</v>
      </c>
      <c r="Q186" s="84">
        <f t="shared" si="223"/>
        <v>17464.752384032578</v>
      </c>
      <c r="R186" s="84">
        <f t="shared" si="223"/>
        <v>17821.015287787537</v>
      </c>
      <c r="S186" s="84">
        <f t="shared" si="223"/>
        <v>18194.880482756067</v>
      </c>
      <c r="T186" s="84">
        <f t="shared" si="223"/>
        <v>18573.69179608547</v>
      </c>
      <c r="U186" s="84">
        <f t="shared" si="223"/>
        <v>18960.488287114233</v>
      </c>
      <c r="V186" s="84">
        <f t="shared" si="223"/>
        <v>19361.313757109914</v>
      </c>
      <c r="W186" s="84">
        <f t="shared" si="221"/>
        <v>19770.206640222561</v>
      </c>
      <c r="X186" s="84">
        <f t="shared" si="221"/>
        <v>20187.709167408226</v>
      </c>
      <c r="Y186" s="84">
        <f t="shared" si="221"/>
        <v>20614.322288511754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10646.00259949835</v>
      </c>
      <c r="O187" s="84">
        <f t="shared" si="223"/>
        <v>10856.177624813439</v>
      </c>
      <c r="P187" s="84">
        <f t="shared" si="223"/>
        <v>11065.815405615609</v>
      </c>
      <c r="Q187" s="84">
        <f t="shared" si="223"/>
        <v>11310.836409606787</v>
      </c>
      <c r="R187" s="84">
        <f t="shared" si="223"/>
        <v>11307.753728409576</v>
      </c>
      <c r="S187" s="84">
        <f t="shared" si="223"/>
        <v>11310.804600188345</v>
      </c>
      <c r="T187" s="84">
        <f t="shared" si="223"/>
        <v>11312.172011099321</v>
      </c>
      <c r="U187" s="84">
        <f t="shared" si="223"/>
        <v>11313.595663356122</v>
      </c>
      <c r="V187" s="84">
        <f t="shared" si="223"/>
        <v>11318.353068386934</v>
      </c>
      <c r="W187" s="84">
        <f t="shared" si="221"/>
        <v>11322.89048803548</v>
      </c>
      <c r="X187" s="84">
        <f t="shared" si="221"/>
        <v>11327.415912429597</v>
      </c>
      <c r="Y187" s="84">
        <f t="shared" si="221"/>
        <v>11332.097351133731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12375.253378710957</v>
      </c>
      <c r="O188" s="84">
        <f t="shared" si="223"/>
        <v>12619.567539621812</v>
      </c>
      <c r="P188" s="84">
        <f t="shared" si="223"/>
        <v>12863.257190355109</v>
      </c>
      <c r="Q188" s="84">
        <f t="shared" si="223"/>
        <v>13148.077429609968</v>
      </c>
      <c r="R188" s="84">
        <f t="shared" si="223"/>
        <v>13144.494022547578</v>
      </c>
      <c r="S188" s="84">
        <f t="shared" si="223"/>
        <v>13148.040453326208</v>
      </c>
      <c r="T188" s="84">
        <f t="shared" si="223"/>
        <v>13149.629975434435</v>
      </c>
      <c r="U188" s="84">
        <f t="shared" si="223"/>
        <v>13151.284874278994</v>
      </c>
      <c r="V188" s="84">
        <f t="shared" si="223"/>
        <v>13156.815033804243</v>
      </c>
      <c r="W188" s="84">
        <f t="shared" si="221"/>
        <v>13162.08947529639</v>
      </c>
      <c r="X188" s="84">
        <f t="shared" si="221"/>
        <v>13167.349973121745</v>
      </c>
      <c r="Y188" s="84">
        <f t="shared" si="221"/>
        <v>13172.791826963045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11483.44205170046</v>
      </c>
      <c r="P189" s="84">
        <f t="shared" si="223"/>
        <v>11488.406182134633</v>
      </c>
      <c r="Q189" s="84">
        <f t="shared" si="223"/>
        <v>11494.890887233409</v>
      </c>
      <c r="R189" s="84">
        <f t="shared" si="223"/>
        <v>11489.540026211538</v>
      </c>
      <c r="S189" s="84">
        <f t="shared" si="223"/>
        <v>11483.895068799067</v>
      </c>
      <c r="T189" s="84">
        <f t="shared" si="223"/>
        <v>11478.334260580519</v>
      </c>
      <c r="U189" s="84">
        <f t="shared" si="223"/>
        <v>11472.773437189366</v>
      </c>
      <c r="V189" s="84">
        <f t="shared" si="223"/>
        <v>11387.287406724328</v>
      </c>
      <c r="W189" s="84">
        <f t="shared" si="221"/>
        <v>11461.349025198266</v>
      </c>
      <c r="X189" s="84">
        <f t="shared" si="221"/>
        <v>11455.647176790959</v>
      </c>
      <c r="Y189" s="84">
        <f t="shared" si="221"/>
        <v>11449.940667243531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57125.710064431893</v>
      </c>
      <c r="C190" s="110">
        <f t="shared" si="223"/>
        <v>47000.107837773168</v>
      </c>
      <c r="D190" s="110">
        <f t="shared" si="223"/>
        <v>40466.866287342906</v>
      </c>
      <c r="E190" s="110">
        <f t="shared" si="223"/>
        <v>29984.181159222288</v>
      </c>
      <c r="F190" s="110">
        <f t="shared" si="223"/>
        <v>47226.009022637583</v>
      </c>
      <c r="G190" s="110">
        <f t="shared" si="223"/>
        <v>37078.055084273677</v>
      </c>
      <c r="H190" s="110">
        <f t="shared" si="223"/>
        <v>29333.255674859738</v>
      </c>
      <c r="I190" s="110">
        <f t="shared" si="223"/>
        <v>28151.674695220056</v>
      </c>
      <c r="J190" s="110">
        <f t="shared" si="223"/>
        <v>23774.198746407994</v>
      </c>
      <c r="K190" s="110">
        <f t="shared" si="223"/>
        <v>19076.59230635536</v>
      </c>
      <c r="L190" s="110">
        <f t="shared" si="223"/>
        <v>22430.464636455872</v>
      </c>
      <c r="M190" s="110">
        <f t="shared" si="222"/>
        <v>21964.019789962917</v>
      </c>
      <c r="N190" s="110">
        <f t="shared" si="223"/>
        <v>21052.660757103542</v>
      </c>
      <c r="O190" s="110">
        <f t="shared" si="223"/>
        <v>16783.039675807635</v>
      </c>
      <c r="P190" s="110">
        <f t="shared" si="223"/>
        <v>15070.442808422211</v>
      </c>
      <c r="Q190" s="110">
        <f t="shared" si="223"/>
        <v>15650.847776959457</v>
      </c>
      <c r="R190" s="110">
        <f t="shared" si="223"/>
        <v>16307.272437526261</v>
      </c>
      <c r="S190" s="110">
        <f t="shared" si="223"/>
        <v>16243.770612610662</v>
      </c>
      <c r="T190" s="110">
        <f t="shared" si="223"/>
        <v>16148.161479756993</v>
      </c>
      <c r="U190" s="110">
        <f t="shared" si="223"/>
        <v>16028.384117022762</v>
      </c>
      <c r="V190" s="110">
        <f t="shared" si="223"/>
        <v>15339.725274137629</v>
      </c>
      <c r="W190" s="110">
        <f t="shared" si="221"/>
        <v>15432.643229599944</v>
      </c>
      <c r="X190" s="110">
        <f t="shared" si="221"/>
        <v>16347.883491922925</v>
      </c>
      <c r="Y190" s="110">
        <f t="shared" si="221"/>
        <v>15058.60755754996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47025.376539018122</v>
      </c>
      <c r="C191" s="102">
        <f t="shared" si="223"/>
        <v>36497.595357135295</v>
      </c>
      <c r="D191" s="102">
        <f t="shared" si="223"/>
        <v>32895.16202766991</v>
      </c>
      <c r="E191" s="102">
        <f t="shared" si="223"/>
        <v>23539.638386648123</v>
      </c>
      <c r="F191" s="102">
        <f t="shared" si="223"/>
        <v>39360.200721342328</v>
      </c>
      <c r="G191" s="102">
        <f t="shared" si="223"/>
        <v>29835.428655206539</v>
      </c>
      <c r="H191" s="102">
        <f t="shared" si="223"/>
        <v>23228.187240926094</v>
      </c>
      <c r="I191" s="102">
        <f t="shared" si="223"/>
        <v>21476.68338031806</v>
      </c>
      <c r="J191" s="102">
        <f t="shared" si="223"/>
        <v>18825.335199313802</v>
      </c>
      <c r="K191" s="102">
        <f t="shared" si="223"/>
        <v>14363.838214936746</v>
      </c>
      <c r="L191" s="102">
        <f t="shared" si="223"/>
        <v>17975.241648295745</v>
      </c>
      <c r="M191" s="102">
        <f t="shared" si="222"/>
        <v>17302.041691362851</v>
      </c>
      <c r="N191" s="102">
        <f t="shared" si="223"/>
        <v>16236.601323732268</v>
      </c>
      <c r="O191" s="102">
        <f t="shared" si="223"/>
        <v>12355.99774430033</v>
      </c>
      <c r="P191" s="102">
        <f t="shared" si="223"/>
        <v>11297.019527235354</v>
      </c>
      <c r="Q191" s="102">
        <f t="shared" si="223"/>
        <v>11186.458778299871</v>
      </c>
      <c r="R191" s="102">
        <f t="shared" si="223"/>
        <v>12050.970198491244</v>
      </c>
      <c r="S191" s="102">
        <f t="shared" si="223"/>
        <v>11861.445008434637</v>
      </c>
      <c r="T191" s="102">
        <f t="shared" si="223"/>
        <v>11625.071771840268</v>
      </c>
      <c r="U191" s="102">
        <f t="shared" si="223"/>
        <v>11805.37574964486</v>
      </c>
      <c r="V191" s="102">
        <f t="shared" si="223"/>
        <v>11248.858510667736</v>
      </c>
      <c r="W191" s="102">
        <f t="shared" si="221"/>
        <v>11154.473648274721</v>
      </c>
      <c r="X191" s="102">
        <f t="shared" si="221"/>
        <v>11811.975536907979</v>
      </c>
      <c r="Y191" s="102">
        <f t="shared" si="221"/>
        <v>10948.857311243533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85007.055107548775</v>
      </c>
      <c r="C192" s="86">
        <f t="shared" si="223"/>
        <v>85000.899883898586</v>
      </c>
      <c r="D192" s="86">
        <f t="shared" si="223"/>
        <v>85001.168101062751</v>
      </c>
      <c r="E192" s="86">
        <f t="shared" si="223"/>
        <v>84999.037240918056</v>
      </c>
      <c r="F192" s="86">
        <f t="shared" si="223"/>
        <v>85006.771917962673</v>
      </c>
      <c r="G192" s="86">
        <f t="shared" si="223"/>
        <v>84992.84093884172</v>
      </c>
      <c r="H192" s="86">
        <f t="shared" si="223"/>
        <v>85000.673863417192</v>
      </c>
      <c r="I192" s="86">
        <f t="shared" si="223"/>
        <v>85002.87913293649</v>
      </c>
      <c r="J192" s="86">
        <f t="shared" si="223"/>
        <v>84992.893700810542</v>
      </c>
      <c r="K192" s="86">
        <f t="shared" si="223"/>
        <v>84998.227901446095</v>
      </c>
      <c r="L192" s="86">
        <f t="shared" si="223"/>
        <v>85006.838673711944</v>
      </c>
      <c r="M192" s="86">
        <f t="shared" si="222"/>
        <v>84995.712421623524</v>
      </c>
      <c r="N192" s="86">
        <f t="shared" si="223"/>
        <v>85001.610574876118</v>
      </c>
      <c r="O192" s="86">
        <f t="shared" si="223"/>
        <v>84994.517094954484</v>
      </c>
      <c r="P192" s="86">
        <f t="shared" si="223"/>
        <v>84999.226379098953</v>
      </c>
      <c r="Q192" s="86">
        <f t="shared" si="223"/>
        <v>84997.607937504159</v>
      </c>
      <c r="R192" s="86">
        <f t="shared" si="223"/>
        <v>84997.274409093472</v>
      </c>
      <c r="S192" s="86">
        <f t="shared" si="223"/>
        <v>84996.769496166467</v>
      </c>
      <c r="T192" s="86">
        <f t="shared" si="223"/>
        <v>85001.262817738796</v>
      </c>
      <c r="U192" s="86">
        <f t="shared" si="223"/>
        <v>85004.509240656276</v>
      </c>
      <c r="V192" s="86">
        <f t="shared" ref="V192:W192" si="224">IF(V55=0,0,V55*1000000/V82)</f>
        <v>84997.707242101562</v>
      </c>
      <c r="W192" s="86">
        <f t="shared" si="224"/>
        <v>84995.770614997557</v>
      </c>
      <c r="X192" s="86">
        <f t="shared" ref="X192:Y192" si="225">IF(X55=0,0,X55*1000000/X82)</f>
        <v>84999.199457287439</v>
      </c>
      <c r="Y192" s="86">
        <f t="shared" si="225"/>
        <v>85001.76593417472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25023.828360595435</v>
      </c>
      <c r="C195" s="28">
        <f t="shared" si="226"/>
        <v>24708.260357533774</v>
      </c>
      <c r="D195" s="28">
        <f t="shared" si="226"/>
        <v>24741.311569211819</v>
      </c>
      <c r="E195" s="28">
        <f t="shared" si="226"/>
        <v>24053.926204909178</v>
      </c>
      <c r="F195" s="28">
        <f t="shared" si="226"/>
        <v>24992.236858588672</v>
      </c>
      <c r="G195" s="28">
        <f t="shared" si="226"/>
        <v>25139.192093012123</v>
      </c>
      <c r="H195" s="28">
        <f t="shared" si="226"/>
        <v>25050.235419644559</v>
      </c>
      <c r="I195" s="28">
        <f t="shared" si="226"/>
        <v>23015.256464187958</v>
      </c>
      <c r="J195" s="28">
        <f t="shared" si="226"/>
        <v>20863.777223982157</v>
      </c>
      <c r="K195" s="28">
        <f t="shared" si="226"/>
        <v>18960.596027043623</v>
      </c>
      <c r="L195" s="28">
        <f t="shared" si="226"/>
        <v>18235.768865201015</v>
      </c>
      <c r="M195" s="28">
        <f>IF(M4=0,0,M4*1000000/M58)</f>
        <v>17513.57783128618</v>
      </c>
      <c r="N195" s="28">
        <f t="shared" ref="N195:V195" si="227">IF(N4=0,0,N4*1000000/N58)</f>
        <v>16792.690897574012</v>
      </c>
      <c r="O195" s="28">
        <f t="shared" si="227"/>
        <v>16295.807044404191</v>
      </c>
      <c r="P195" s="28">
        <f t="shared" si="227"/>
        <v>15794.100402334099</v>
      </c>
      <c r="Q195" s="28">
        <f t="shared" si="227"/>
        <v>15253.516548923331</v>
      </c>
      <c r="R195" s="28">
        <f t="shared" si="227"/>
        <v>14998.591743157465</v>
      </c>
      <c r="S195" s="28">
        <f t="shared" si="227"/>
        <v>14441.604888093912</v>
      </c>
      <c r="T195" s="28">
        <f t="shared" si="227"/>
        <v>14086.463256638774</v>
      </c>
      <c r="U195" s="28">
        <f t="shared" si="227"/>
        <v>13694.565853416279</v>
      </c>
      <c r="V195" s="28">
        <f t="shared" si="227"/>
        <v>11020.006998213708</v>
      </c>
      <c r="W195" s="28">
        <f t="shared" ref="W195:Y195" si="228">IF(W4=0,0,W4*1000000/W58)</f>
        <v>11262.584627925833</v>
      </c>
      <c r="X195" s="28">
        <f t="shared" si="228"/>
        <v>12012.370270769194</v>
      </c>
      <c r="Y195" s="28">
        <f t="shared" si="228"/>
        <v>12428.59210568239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1317.7635472008969</v>
      </c>
      <c r="C196" s="137">
        <f t="shared" si="229"/>
        <v>1361.1444361362287</v>
      </c>
      <c r="D196" s="137">
        <f t="shared" si="229"/>
        <v>1161.0468662473065</v>
      </c>
      <c r="E196" s="137">
        <f t="shared" si="229"/>
        <v>1162.3358678769521</v>
      </c>
      <c r="F196" s="137">
        <f t="shared" si="229"/>
        <v>1150.0392649281348</v>
      </c>
      <c r="G196" s="137">
        <f t="shared" si="229"/>
        <v>1160.0223908130129</v>
      </c>
      <c r="H196" s="137">
        <f t="shared" si="229"/>
        <v>1166.9644943882852</v>
      </c>
      <c r="I196" s="137">
        <f t="shared" si="229"/>
        <v>1163.4290695587595</v>
      </c>
      <c r="J196" s="137">
        <f t="shared" si="229"/>
        <v>1151.8360016955858</v>
      </c>
      <c r="K196" s="137">
        <f t="shared" si="229"/>
        <v>867.51464720158788</v>
      </c>
      <c r="L196" s="137">
        <f t="shared" si="229"/>
        <v>741.56197560490818</v>
      </c>
      <c r="M196" s="137">
        <f>IF(M5=0,0,M5*1000000/M59)</f>
        <v>840.23704630529335</v>
      </c>
      <c r="N196" s="137">
        <f t="shared" ref="N196:V196" si="230">IF(N5=0,0,N5*1000000/N59)</f>
        <v>922.30642186094406</v>
      </c>
      <c r="O196" s="137">
        <f t="shared" si="230"/>
        <v>886.7716125891609</v>
      </c>
      <c r="P196" s="137">
        <f t="shared" si="230"/>
        <v>929.24272508805097</v>
      </c>
      <c r="Q196" s="137">
        <f t="shared" si="230"/>
        <v>970.93453719812646</v>
      </c>
      <c r="R196" s="137">
        <f t="shared" si="230"/>
        <v>989.24651278218164</v>
      </c>
      <c r="S196" s="137">
        <f t="shared" si="230"/>
        <v>892.87378048339554</v>
      </c>
      <c r="T196" s="137">
        <f t="shared" si="230"/>
        <v>815.81422702353802</v>
      </c>
      <c r="U196" s="137">
        <f t="shared" si="230"/>
        <v>832.26887757199609</v>
      </c>
      <c r="V196" s="137">
        <f t="shared" si="230"/>
        <v>716.68468809158878</v>
      </c>
      <c r="W196" s="137">
        <f t="shared" ref="W196:Y196" si="231">IF(W5=0,0,W5*1000000/W59)</f>
        <v>715.00251534386734</v>
      </c>
      <c r="X196" s="137">
        <f t="shared" si="231"/>
        <v>694.14565879803274</v>
      </c>
      <c r="Y196" s="137">
        <f t="shared" si="231"/>
        <v>721.64985651820848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18779.62643227123</v>
      </c>
      <c r="C197" s="110">
        <f t="shared" si="232"/>
        <v>18607.673267326732</v>
      </c>
      <c r="D197" s="110">
        <f t="shared" si="232"/>
        <v>18824.327379606602</v>
      </c>
      <c r="E197" s="110">
        <f t="shared" si="232"/>
        <v>18599.026692228286</v>
      </c>
      <c r="F197" s="110">
        <f t="shared" si="232"/>
        <v>19353.537452594072</v>
      </c>
      <c r="G197" s="110">
        <f t="shared" si="232"/>
        <v>19808.177316323337</v>
      </c>
      <c r="H197" s="110">
        <f t="shared" si="232"/>
        <v>19750.342830622554</v>
      </c>
      <c r="I197" s="110">
        <f t="shared" si="232"/>
        <v>18127.853180708069</v>
      </c>
      <c r="J197" s="110">
        <f t="shared" si="232"/>
        <v>17085.380946709407</v>
      </c>
      <c r="K197" s="110">
        <f t="shared" si="232"/>
        <v>16626.348924258862</v>
      </c>
      <c r="L197" s="110">
        <f t="shared" si="232"/>
        <v>16104.226018759005</v>
      </c>
      <c r="M197" s="110">
        <f>IF(M6=0,0,M6*1000000/M60)</f>
        <v>15370.148059223689</v>
      </c>
      <c r="N197" s="110">
        <f t="shared" ref="N197:V197" si="233">IF(N6=0,0,N6*1000000/N60)</f>
        <v>14765.457545540761</v>
      </c>
      <c r="O197" s="110">
        <f t="shared" si="233"/>
        <v>14445.685711245877</v>
      </c>
      <c r="P197" s="110">
        <f t="shared" si="233"/>
        <v>13981.324713970551</v>
      </c>
      <c r="Q197" s="110">
        <f t="shared" si="233"/>
        <v>13531.579583735956</v>
      </c>
      <c r="R197" s="110">
        <f t="shared" si="233"/>
        <v>13119.210622809027</v>
      </c>
      <c r="S197" s="110">
        <f t="shared" si="233"/>
        <v>12648.906917629616</v>
      </c>
      <c r="T197" s="110">
        <f t="shared" si="233"/>
        <v>12258.744801017227</v>
      </c>
      <c r="U197" s="110">
        <f t="shared" si="233"/>
        <v>11955.328781986123</v>
      </c>
      <c r="V197" s="110">
        <f t="shared" si="233"/>
        <v>10175.438197950194</v>
      </c>
      <c r="W197" s="110">
        <f t="shared" ref="W197:Y209" si="234">IF(W6=0,0,W6*1000000/W60)</f>
        <v>10694.838712355391</v>
      </c>
      <c r="X197" s="110">
        <f t="shared" si="234"/>
        <v>11109.21188138545</v>
      </c>
      <c r="Y197" s="110">
        <f t="shared" si="234"/>
        <v>11425.20821540711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17764.721701744103</v>
      </c>
      <c r="C198" s="84">
        <f t="shared" si="232"/>
        <v>17580.854342026123</v>
      </c>
      <c r="D198" s="84">
        <f t="shared" si="232"/>
        <v>17688.42203252636</v>
      </c>
      <c r="E198" s="84">
        <f t="shared" si="232"/>
        <v>17357.755311373894</v>
      </c>
      <c r="F198" s="84">
        <f t="shared" si="232"/>
        <v>18123.256818356909</v>
      </c>
      <c r="G198" s="84">
        <f t="shared" si="232"/>
        <v>18534.938777841377</v>
      </c>
      <c r="H198" s="84">
        <f t="shared" si="232"/>
        <v>18386.234928017686</v>
      </c>
      <c r="I198" s="84">
        <f t="shared" si="232"/>
        <v>16454.663469028605</v>
      </c>
      <c r="J198" s="84">
        <f t="shared" si="232"/>
        <v>15186.564518112236</v>
      </c>
      <c r="K198" s="84">
        <f t="shared" si="232"/>
        <v>14653.337298773558</v>
      </c>
      <c r="L198" s="84">
        <f t="shared" si="232"/>
        <v>14160.705624717993</v>
      </c>
      <c r="M198" s="84">
        <f t="shared" ref="M198:M219" si="235">IF(M7=0,0,M7*1000000/M61)</f>
        <v>13335.581924356378</v>
      </c>
      <c r="N198" s="84">
        <f t="shared" si="232"/>
        <v>12815.941350834868</v>
      </c>
      <c r="O198" s="84">
        <f t="shared" si="232"/>
        <v>12648.376684601948</v>
      </c>
      <c r="P198" s="84">
        <f t="shared" si="232"/>
        <v>12302.913881025721</v>
      </c>
      <c r="Q198" s="84">
        <f t="shared" si="232"/>
        <v>11987.686268786283</v>
      </c>
      <c r="R198" s="84">
        <f t="shared" si="232"/>
        <v>11596.729611312903</v>
      </c>
      <c r="S198" s="84">
        <f t="shared" si="232"/>
        <v>11121.791112881032</v>
      </c>
      <c r="T198" s="84">
        <f t="shared" si="232"/>
        <v>10710.217371303794</v>
      </c>
      <c r="U198" s="84">
        <f t="shared" si="232"/>
        <v>10375.810566367623</v>
      </c>
      <c r="V198" s="84">
        <f t="shared" si="232"/>
        <v>8755.5145635603185</v>
      </c>
      <c r="W198" s="84">
        <f t="shared" si="234"/>
        <v>9125.7402524846366</v>
      </c>
      <c r="X198" s="84">
        <f t="shared" si="234"/>
        <v>9461.946517628634</v>
      </c>
      <c r="Y198" s="84">
        <f t="shared" si="234"/>
        <v>9715.4188814955833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23258.243906803778</v>
      </c>
      <c r="C199" s="84">
        <f t="shared" si="232"/>
        <v>22867.40957383659</v>
      </c>
      <c r="D199" s="84">
        <f t="shared" si="232"/>
        <v>22966.782113713169</v>
      </c>
      <c r="E199" s="84">
        <f t="shared" si="232"/>
        <v>22909.617672713703</v>
      </c>
      <c r="F199" s="84">
        <f t="shared" si="232"/>
        <v>23353.368373381578</v>
      </c>
      <c r="G199" s="84">
        <f t="shared" si="232"/>
        <v>23849.577164995659</v>
      </c>
      <c r="H199" s="84">
        <f t="shared" si="232"/>
        <v>23962.989500064414</v>
      </c>
      <c r="I199" s="84">
        <f t="shared" si="232"/>
        <v>23221.236149912584</v>
      </c>
      <c r="J199" s="84">
        <f t="shared" si="232"/>
        <v>22870.797367514559</v>
      </c>
      <c r="K199" s="84">
        <f t="shared" si="232"/>
        <v>22513.576497943141</v>
      </c>
      <c r="L199" s="84">
        <f t="shared" si="232"/>
        <v>21972.048471326056</v>
      </c>
      <c r="M199" s="84">
        <f t="shared" si="235"/>
        <v>21325.158898530517</v>
      </c>
      <c r="N199" s="84">
        <f t="shared" si="232"/>
        <v>20494.192701230171</v>
      </c>
      <c r="O199" s="84">
        <f t="shared" si="232"/>
        <v>19825.717607790899</v>
      </c>
      <c r="P199" s="84">
        <f t="shared" si="232"/>
        <v>18902.355631386559</v>
      </c>
      <c r="Q199" s="84">
        <f t="shared" si="232"/>
        <v>18053.322279160762</v>
      </c>
      <c r="R199" s="84">
        <f t="shared" si="232"/>
        <v>17817.365007499528</v>
      </c>
      <c r="S199" s="84">
        <f t="shared" si="232"/>
        <v>17432.868690987838</v>
      </c>
      <c r="T199" s="84">
        <f t="shared" si="232"/>
        <v>17126.893192692707</v>
      </c>
      <c r="U199" s="84">
        <f t="shared" si="232"/>
        <v>16927.332204421444</v>
      </c>
      <c r="V199" s="84">
        <f t="shared" si="232"/>
        <v>14572.509169619041</v>
      </c>
      <c r="W199" s="84">
        <f t="shared" si="234"/>
        <v>15495.548187065735</v>
      </c>
      <c r="X199" s="84">
        <f t="shared" si="234"/>
        <v>16391.002246474578</v>
      </c>
      <c r="Y199" s="84">
        <f t="shared" si="234"/>
        <v>17170.096265300039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0</v>
      </c>
      <c r="D200" s="84">
        <f t="shared" si="232"/>
        <v>0</v>
      </c>
      <c r="E200" s="84">
        <f t="shared" si="232"/>
        <v>0</v>
      </c>
      <c r="F200" s="84">
        <f t="shared" si="232"/>
        <v>0</v>
      </c>
      <c r="G200" s="84">
        <f t="shared" si="232"/>
        <v>23483.057504487795</v>
      </c>
      <c r="H200" s="84">
        <f t="shared" si="232"/>
        <v>23329.033435437141</v>
      </c>
      <c r="I200" s="84">
        <f t="shared" si="232"/>
        <v>20685.253274113831</v>
      </c>
      <c r="J200" s="84">
        <f t="shared" si="232"/>
        <v>18913.334209226894</v>
      </c>
      <c r="K200" s="84">
        <f t="shared" si="232"/>
        <v>18075.918307063217</v>
      </c>
      <c r="L200" s="84">
        <f t="shared" si="232"/>
        <v>17295.656357078322</v>
      </c>
      <c r="M200" s="84">
        <f t="shared" si="235"/>
        <v>16119.975171912078</v>
      </c>
      <c r="N200" s="84">
        <f t="shared" si="232"/>
        <v>15491.671272271402</v>
      </c>
      <c r="O200" s="84">
        <f t="shared" si="232"/>
        <v>15001.021382399473</v>
      </c>
      <c r="P200" s="84">
        <f t="shared" si="232"/>
        <v>14701.579250969435</v>
      </c>
      <c r="Q200" s="84">
        <f t="shared" si="232"/>
        <v>14467.819898553898</v>
      </c>
      <c r="R200" s="84">
        <f t="shared" si="232"/>
        <v>13853.747990587293</v>
      </c>
      <c r="S200" s="84">
        <f t="shared" si="232"/>
        <v>13154.935324961763</v>
      </c>
      <c r="T200" s="84">
        <f t="shared" si="232"/>
        <v>13053.55583035414</v>
      </c>
      <c r="U200" s="84">
        <f t="shared" si="232"/>
        <v>13031.573325266674</v>
      </c>
      <c r="V200" s="84">
        <f t="shared" si="232"/>
        <v>11331.828043085829</v>
      </c>
      <c r="W200" s="84">
        <f t="shared" si="234"/>
        <v>12170.632059151621</v>
      </c>
      <c r="X200" s="84">
        <f t="shared" si="234"/>
        <v>12996.440451969853</v>
      </c>
      <c r="Y200" s="84">
        <f t="shared" si="234"/>
        <v>13741.070832594038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16700.440243110406</v>
      </c>
      <c r="D201" s="84">
        <f t="shared" si="232"/>
        <v>16970.229728949045</v>
      </c>
      <c r="E201" s="84">
        <f t="shared" si="232"/>
        <v>16831.802660907364</v>
      </c>
      <c r="F201" s="84">
        <f t="shared" si="232"/>
        <v>17714.918236811813</v>
      </c>
      <c r="G201" s="84">
        <f t="shared" si="232"/>
        <v>18274.292245707289</v>
      </c>
      <c r="H201" s="84">
        <f t="shared" si="232"/>
        <v>18316.745905148651</v>
      </c>
      <c r="I201" s="84">
        <f t="shared" si="232"/>
        <v>16636.961171976476</v>
      </c>
      <c r="J201" s="84">
        <f t="shared" si="232"/>
        <v>15562.075365803319</v>
      </c>
      <c r="K201" s="84">
        <f t="shared" si="232"/>
        <v>15191.174338053577</v>
      </c>
      <c r="L201" s="84">
        <f t="shared" si="232"/>
        <v>14832.548070121395</v>
      </c>
      <c r="M201" s="84">
        <f t="shared" si="235"/>
        <v>14139.240619647657</v>
      </c>
      <c r="N201" s="84">
        <f t="shared" si="232"/>
        <v>13746.659949360439</v>
      </c>
      <c r="O201" s="84">
        <f t="shared" si="232"/>
        <v>13437.523772043969</v>
      </c>
      <c r="P201" s="84">
        <f t="shared" si="232"/>
        <v>12956.507079514184</v>
      </c>
      <c r="Q201" s="84">
        <f t="shared" si="232"/>
        <v>12517.350282845269</v>
      </c>
      <c r="R201" s="84">
        <f t="shared" si="232"/>
        <v>12248.943592789226</v>
      </c>
      <c r="S201" s="84">
        <f t="shared" si="232"/>
        <v>11890.736928126584</v>
      </c>
      <c r="T201" s="84">
        <f t="shared" si="232"/>
        <v>11584.140537642799</v>
      </c>
      <c r="U201" s="84">
        <f t="shared" si="232"/>
        <v>11351.781437932588</v>
      </c>
      <c r="V201" s="84">
        <f t="shared" si="232"/>
        <v>9721.329889889359</v>
      </c>
      <c r="W201" s="84">
        <f t="shared" si="234"/>
        <v>10234.400622707059</v>
      </c>
      <c r="X201" s="84">
        <f t="shared" si="234"/>
        <v>10705.934705519252</v>
      </c>
      <c r="Y201" s="84">
        <f t="shared" si="234"/>
        <v>11093.906697709532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16195.273549013455</v>
      </c>
      <c r="O202" s="84">
        <f t="shared" si="232"/>
        <v>16651.449457788833</v>
      </c>
      <c r="P202" s="84">
        <f t="shared" si="232"/>
        <v>16878.315509111777</v>
      </c>
      <c r="Q202" s="84">
        <f t="shared" si="232"/>
        <v>17134.470014343042</v>
      </c>
      <c r="R202" s="84">
        <f t="shared" si="232"/>
        <v>15904.953173886881</v>
      </c>
      <c r="S202" s="84">
        <f t="shared" si="232"/>
        <v>14640.346598979826</v>
      </c>
      <c r="T202" s="84">
        <f t="shared" si="232"/>
        <v>13530.533027011146</v>
      </c>
      <c r="U202" s="84">
        <f t="shared" si="232"/>
        <v>12580.745016374371</v>
      </c>
      <c r="V202" s="84">
        <f t="shared" si="232"/>
        <v>10189.031792853919</v>
      </c>
      <c r="W202" s="84">
        <f t="shared" si="234"/>
        <v>10192.236873753765</v>
      </c>
      <c r="X202" s="84">
        <f t="shared" si="234"/>
        <v>10625.930520018865</v>
      </c>
      <c r="Y202" s="84">
        <f t="shared" si="234"/>
        <v>11330.22814890785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11334.238098851576</v>
      </c>
      <c r="N203" s="84">
        <f t="shared" si="232"/>
        <v>11431.63440651615</v>
      </c>
      <c r="O203" s="84">
        <f t="shared" si="232"/>
        <v>11351.610290185126</v>
      </c>
      <c r="P203" s="84">
        <f t="shared" si="232"/>
        <v>11245.141402034827</v>
      </c>
      <c r="Q203" s="84">
        <f t="shared" si="232"/>
        <v>11265.596140967044</v>
      </c>
      <c r="R203" s="84">
        <f t="shared" si="232"/>
        <v>11334.541406451484</v>
      </c>
      <c r="S203" s="84">
        <f t="shared" si="232"/>
        <v>11395.565696481915</v>
      </c>
      <c r="T203" s="84">
        <f t="shared" si="232"/>
        <v>11398.007367269776</v>
      </c>
      <c r="U203" s="84">
        <f t="shared" si="232"/>
        <v>11426.12580736788</v>
      </c>
      <c r="V203" s="84">
        <f t="shared" si="232"/>
        <v>10431.827783601235</v>
      </c>
      <c r="W203" s="84">
        <f t="shared" si="234"/>
        <v>11172.06450899901</v>
      </c>
      <c r="X203" s="84">
        <f t="shared" si="234"/>
        <v>11504.426413465109</v>
      </c>
      <c r="Y203" s="84">
        <f t="shared" si="234"/>
        <v>11844.812402628786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835721.90330971393</v>
      </c>
      <c r="C204" s="110">
        <f t="shared" si="232"/>
        <v>849080.46836256771</v>
      </c>
      <c r="D204" s="110">
        <f t="shared" si="232"/>
        <v>853681.77681373456</v>
      </c>
      <c r="E204" s="110">
        <f t="shared" si="232"/>
        <v>808514.04349428671</v>
      </c>
      <c r="F204" s="110">
        <f t="shared" si="232"/>
        <v>961721.71593131928</v>
      </c>
      <c r="G204" s="110">
        <f t="shared" si="232"/>
        <v>909048.38798977854</v>
      </c>
      <c r="H204" s="110">
        <f t="shared" si="232"/>
        <v>957395.14884233742</v>
      </c>
      <c r="I204" s="110">
        <f t="shared" si="232"/>
        <v>804169.71837531391</v>
      </c>
      <c r="J204" s="110">
        <f t="shared" si="232"/>
        <v>689440.54054054059</v>
      </c>
      <c r="K204" s="110">
        <f t="shared" si="232"/>
        <v>555946.7052860246</v>
      </c>
      <c r="L204" s="110">
        <f t="shared" si="232"/>
        <v>548125.98793677206</v>
      </c>
      <c r="M204" s="110">
        <f t="shared" si="235"/>
        <v>586284.83301220299</v>
      </c>
      <c r="N204" s="110">
        <f t="shared" si="232"/>
        <v>588780.77498374158</v>
      </c>
      <c r="O204" s="110">
        <f t="shared" si="232"/>
        <v>579593.67214199109</v>
      </c>
      <c r="P204" s="110">
        <f t="shared" si="232"/>
        <v>584475.23965498433</v>
      </c>
      <c r="Q204" s="110">
        <f t="shared" si="232"/>
        <v>579032.41100323619</v>
      </c>
      <c r="R204" s="110">
        <f t="shared" si="232"/>
        <v>647997.45792542072</v>
      </c>
      <c r="S204" s="110">
        <f t="shared" si="232"/>
        <v>641164.37614976731</v>
      </c>
      <c r="T204" s="110">
        <f t="shared" si="232"/>
        <v>666346.25654170674</v>
      </c>
      <c r="U204" s="110">
        <f t="shared" si="232"/>
        <v>667998.2725113366</v>
      </c>
      <c r="V204" s="110">
        <f t="shared" si="232"/>
        <v>458353.74816266535</v>
      </c>
      <c r="W204" s="110">
        <f t="shared" si="234"/>
        <v>384707.28793309437</v>
      </c>
      <c r="X204" s="110">
        <f t="shared" si="234"/>
        <v>499827.28842832468</v>
      </c>
      <c r="Y204" s="110">
        <f t="shared" si="234"/>
        <v>540104.57225497835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0</v>
      </c>
      <c r="M205" s="102">
        <f t="shared" si="235"/>
        <v>0</v>
      </c>
      <c r="N205" s="102">
        <f t="shared" si="232"/>
        <v>0</v>
      </c>
      <c r="O205" s="102">
        <f t="shared" si="232"/>
        <v>0</v>
      </c>
      <c r="P205" s="102">
        <f t="shared" si="232"/>
        <v>0</v>
      </c>
      <c r="Q205" s="102">
        <f t="shared" si="232"/>
        <v>0</v>
      </c>
      <c r="R205" s="102">
        <f t="shared" si="232"/>
        <v>0</v>
      </c>
      <c r="S205" s="102">
        <f t="shared" si="232"/>
        <v>0</v>
      </c>
      <c r="T205" s="102">
        <f t="shared" si="232"/>
        <v>0</v>
      </c>
      <c r="U205" s="102">
        <f t="shared" si="232"/>
        <v>0</v>
      </c>
      <c r="V205" s="102">
        <f t="shared" si="232"/>
        <v>0</v>
      </c>
      <c r="W205" s="102">
        <f t="shared" si="234"/>
        <v>0</v>
      </c>
      <c r="X205" s="102">
        <f t="shared" si="234"/>
        <v>0</v>
      </c>
      <c r="Y205" s="102">
        <f t="shared" si="234"/>
        <v>0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835721.90330971393</v>
      </c>
      <c r="C206" s="102">
        <f t="shared" si="232"/>
        <v>849080.46836256771</v>
      </c>
      <c r="D206" s="102">
        <f t="shared" si="232"/>
        <v>853681.77681373456</v>
      </c>
      <c r="E206" s="102">
        <f t="shared" si="232"/>
        <v>808514.04349428671</v>
      </c>
      <c r="F206" s="102">
        <f t="shared" si="232"/>
        <v>961721.71593131928</v>
      </c>
      <c r="G206" s="102">
        <f t="shared" si="232"/>
        <v>909048.38798977854</v>
      </c>
      <c r="H206" s="102">
        <f t="shared" si="232"/>
        <v>957395.14884233742</v>
      </c>
      <c r="I206" s="102">
        <f t="shared" si="232"/>
        <v>804169.71837531391</v>
      </c>
      <c r="J206" s="102">
        <f t="shared" si="232"/>
        <v>689440.54054054059</v>
      </c>
      <c r="K206" s="102">
        <f t="shared" si="232"/>
        <v>555946.7052860246</v>
      </c>
      <c r="L206" s="102">
        <f t="shared" si="232"/>
        <v>545917.31090141227</v>
      </c>
      <c r="M206" s="102">
        <f t="shared" si="235"/>
        <v>580276.07995989593</v>
      </c>
      <c r="N206" s="102">
        <f t="shared" si="232"/>
        <v>582851.3338316381</v>
      </c>
      <c r="O206" s="102">
        <f t="shared" si="232"/>
        <v>573412.05218586093</v>
      </c>
      <c r="P206" s="102">
        <f t="shared" si="232"/>
        <v>575786.16986056068</v>
      </c>
      <c r="Q206" s="102">
        <f t="shared" si="232"/>
        <v>568044.45864351408</v>
      </c>
      <c r="R206" s="102">
        <f t="shared" si="232"/>
        <v>647461.73742525023</v>
      </c>
      <c r="S206" s="102">
        <f t="shared" si="232"/>
        <v>640667.07098475727</v>
      </c>
      <c r="T206" s="102">
        <f t="shared" si="232"/>
        <v>665194.75736945181</v>
      </c>
      <c r="U206" s="102">
        <f t="shared" si="232"/>
        <v>660491.38950224058</v>
      </c>
      <c r="V206" s="102">
        <f t="shared" si="232"/>
        <v>451450.3516851067</v>
      </c>
      <c r="W206" s="102">
        <f t="shared" si="234"/>
        <v>376899.63412962068</v>
      </c>
      <c r="X206" s="102">
        <f t="shared" si="234"/>
        <v>491978.99572117825</v>
      </c>
      <c r="Y206" s="102">
        <f t="shared" si="234"/>
        <v>530710.65459813771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0</v>
      </c>
      <c r="R208" s="102">
        <f t="shared" si="232"/>
        <v>422443.11950586538</v>
      </c>
      <c r="S208" s="102">
        <f t="shared" si="232"/>
        <v>410171.324922306</v>
      </c>
      <c r="T208" s="102">
        <f t="shared" si="232"/>
        <v>418144.66550869733</v>
      </c>
      <c r="U208" s="102">
        <f t="shared" si="232"/>
        <v>417512.9850745927</v>
      </c>
      <c r="V208" s="102">
        <f t="shared" si="232"/>
        <v>291878.47165597184</v>
      </c>
      <c r="W208" s="102">
        <f t="shared" si="234"/>
        <v>249555.63287217979</v>
      </c>
      <c r="X208" s="102">
        <f t="shared" si="234"/>
        <v>331141.72651760897</v>
      </c>
      <c r="Y208" s="102">
        <f t="shared" si="234"/>
        <v>364768.18386521487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729009.02100503061</v>
      </c>
      <c r="M209" s="102">
        <f t="shared" si="235"/>
        <v>789730.44941755442</v>
      </c>
      <c r="N209" s="102">
        <f t="shared" si="232"/>
        <v>786215.73557627189</v>
      </c>
      <c r="O209" s="102">
        <f t="shared" si="232"/>
        <v>785010.06962758303</v>
      </c>
      <c r="P209" s="102">
        <f t="shared" si="232"/>
        <v>783575.17833869369</v>
      </c>
      <c r="Q209" s="102">
        <f t="shared" si="232"/>
        <v>783389.74061946291</v>
      </c>
      <c r="R209" s="102">
        <f t="shared" si="232"/>
        <v>861965.00322924403</v>
      </c>
      <c r="S209" s="102">
        <f t="shared" si="232"/>
        <v>829493.30858204421</v>
      </c>
      <c r="T209" s="102">
        <f t="shared" si="232"/>
        <v>845369.59141260607</v>
      </c>
      <c r="U209" s="102">
        <f t="shared" si="232"/>
        <v>827547.68959557172</v>
      </c>
      <c r="V209" s="102">
        <f t="shared" si="232"/>
        <v>571065.85457648162</v>
      </c>
      <c r="W209" s="102">
        <f t="shared" si="234"/>
        <v>499172.47989743226</v>
      </c>
      <c r="X209" s="102">
        <f t="shared" si="234"/>
        <v>632937.43282357475</v>
      </c>
      <c r="Y209" s="102">
        <f t="shared" si="234"/>
        <v>691614.45261114638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74447.933882245867</v>
      </c>
      <c r="C210" s="28">
        <f t="shared" si="232"/>
        <v>76466.806827474866</v>
      </c>
      <c r="D210" s="28">
        <f t="shared" si="232"/>
        <v>70897.217357196962</v>
      </c>
      <c r="E210" s="28">
        <f t="shared" si="232"/>
        <v>67160.798568167913</v>
      </c>
      <c r="F210" s="28">
        <f t="shared" ref="B210:V219" si="236">IF(F19=0,0,F19*1000000/F73)</f>
        <v>73045.314989695413</v>
      </c>
      <c r="G210" s="28">
        <f t="shared" si="236"/>
        <v>66844.924447791636</v>
      </c>
      <c r="H210" s="28">
        <f t="shared" si="236"/>
        <v>60205.181859065946</v>
      </c>
      <c r="I210" s="28">
        <f t="shared" si="236"/>
        <v>61660.792546894525</v>
      </c>
      <c r="J210" s="28">
        <f t="shared" si="236"/>
        <v>56025.569959392407</v>
      </c>
      <c r="K210" s="28">
        <f t="shared" si="236"/>
        <v>47254.971790689124</v>
      </c>
      <c r="L210" s="28">
        <f t="shared" si="236"/>
        <v>46691.220330786782</v>
      </c>
      <c r="M210" s="28">
        <f t="shared" si="235"/>
        <v>46476.476639302644</v>
      </c>
      <c r="N210" s="28">
        <f t="shared" si="236"/>
        <v>46623.665738750322</v>
      </c>
      <c r="O210" s="28">
        <f t="shared" si="236"/>
        <v>46294.914775969752</v>
      </c>
      <c r="P210" s="28">
        <f t="shared" si="236"/>
        <v>48120.31959758234</v>
      </c>
      <c r="Q210" s="28">
        <f t="shared" si="236"/>
        <v>49579.656257910043</v>
      </c>
      <c r="R210" s="28">
        <f t="shared" si="236"/>
        <v>52566.075145750518</v>
      </c>
      <c r="S210" s="28">
        <f t="shared" si="236"/>
        <v>56525.708441412331</v>
      </c>
      <c r="T210" s="28">
        <f t="shared" si="236"/>
        <v>58877.789334745939</v>
      </c>
      <c r="U210" s="28">
        <f t="shared" si="236"/>
        <v>58685.991415478202</v>
      </c>
      <c r="V210" s="28">
        <f t="shared" si="236"/>
        <v>55997.703651765325</v>
      </c>
      <c r="W210" s="28">
        <f t="shared" ref="W210:Y210" si="237">IF(W19=0,0,W19*1000000/W73)</f>
        <v>57128.568742610158</v>
      </c>
      <c r="X210" s="28">
        <f t="shared" si="237"/>
        <v>59215.816179353627</v>
      </c>
      <c r="Y210" s="28">
        <f t="shared" si="237"/>
        <v>54459.40156640124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1753.6768640537396</v>
      </c>
      <c r="C211" s="137">
        <f t="shared" si="236"/>
        <v>1789.6031036122652</v>
      </c>
      <c r="D211" s="137">
        <f t="shared" si="236"/>
        <v>1805.6783653711846</v>
      </c>
      <c r="E211" s="137">
        <f t="shared" si="236"/>
        <v>1780.9788207845131</v>
      </c>
      <c r="F211" s="137">
        <f t="shared" si="236"/>
        <v>1722.3640287527332</v>
      </c>
      <c r="G211" s="137">
        <f t="shared" si="236"/>
        <v>1714.9191318496873</v>
      </c>
      <c r="H211" s="137">
        <f t="shared" si="236"/>
        <v>1676.600916340373</v>
      </c>
      <c r="I211" s="137">
        <f t="shared" si="236"/>
        <v>1714.7143071325831</v>
      </c>
      <c r="J211" s="137">
        <f t="shared" si="236"/>
        <v>1728.4216076941584</v>
      </c>
      <c r="K211" s="137">
        <f t="shared" si="236"/>
        <v>1730.717809928512</v>
      </c>
      <c r="L211" s="137">
        <f t="shared" si="236"/>
        <v>1766.1276761171487</v>
      </c>
      <c r="M211" s="137">
        <f t="shared" si="235"/>
        <v>1794.8166045785888</v>
      </c>
      <c r="N211" s="137">
        <f t="shared" si="236"/>
        <v>1828.2865975716409</v>
      </c>
      <c r="O211" s="137">
        <f t="shared" si="236"/>
        <v>1821.0697270969149</v>
      </c>
      <c r="P211" s="137">
        <f t="shared" si="236"/>
        <v>1805.4098530283422</v>
      </c>
      <c r="Q211" s="137">
        <f t="shared" si="236"/>
        <v>1847.0656662382407</v>
      </c>
      <c r="R211" s="137">
        <f t="shared" si="236"/>
        <v>1821.30096059931</v>
      </c>
      <c r="S211" s="137">
        <f t="shared" si="236"/>
        <v>1868.675960099102</v>
      </c>
      <c r="T211" s="137">
        <f t="shared" si="236"/>
        <v>1894.5226268604956</v>
      </c>
      <c r="U211" s="137">
        <f t="shared" si="236"/>
        <v>1950.0541060848359</v>
      </c>
      <c r="V211" s="137">
        <f t="shared" si="236"/>
        <v>1974.0470150286858</v>
      </c>
      <c r="W211" s="137">
        <f t="shared" ref="W211:Y211" si="238">IF(W20=0,0,W20*1000000/W74)</f>
        <v>2000.105614886081</v>
      </c>
      <c r="X211" s="137">
        <f t="shared" si="238"/>
        <v>2026.6480455379492</v>
      </c>
      <c r="Y211" s="137">
        <f t="shared" si="238"/>
        <v>2052.7880490623311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1339.5065213687783</v>
      </c>
      <c r="C212" s="84">
        <f t="shared" si="236"/>
        <v>1366.7317983376636</v>
      </c>
      <c r="D212" s="84">
        <f t="shared" si="236"/>
        <v>1394.5331145170528</v>
      </c>
      <c r="E212" s="84">
        <f t="shared" si="236"/>
        <v>1389.3358010924078</v>
      </c>
      <c r="F212" s="84">
        <f t="shared" si="236"/>
        <v>1385.3511002374294</v>
      </c>
      <c r="G212" s="84">
        <f t="shared" si="236"/>
        <v>1381.3793505923632</v>
      </c>
      <c r="H212" s="84">
        <f t="shared" si="236"/>
        <v>1354.5461835110746</v>
      </c>
      <c r="I212" s="84">
        <f t="shared" si="236"/>
        <v>1362.0802960255774</v>
      </c>
      <c r="J212" s="84">
        <f t="shared" si="236"/>
        <v>1368.7176272593863</v>
      </c>
      <c r="K212" s="84">
        <f t="shared" si="236"/>
        <v>1343.1550900335342</v>
      </c>
      <c r="L212" s="84">
        <f t="shared" si="236"/>
        <v>1316.9577155637446</v>
      </c>
      <c r="M212" s="84">
        <f t="shared" si="235"/>
        <v>1322.5566167561824</v>
      </c>
      <c r="N212" s="84">
        <f t="shared" si="236"/>
        <v>1328.4282974412899</v>
      </c>
      <c r="O212" s="84">
        <f t="shared" si="236"/>
        <v>1332.2813640785446</v>
      </c>
      <c r="P212" s="84">
        <f t="shared" si="236"/>
        <v>1357.0397504535824</v>
      </c>
      <c r="Q212" s="84">
        <f t="shared" si="236"/>
        <v>1386.6476549970873</v>
      </c>
      <c r="R212" s="84">
        <f t="shared" si="236"/>
        <v>1386.8618010094556</v>
      </c>
      <c r="S212" s="84">
        <f t="shared" si="236"/>
        <v>1387.7066022441832</v>
      </c>
      <c r="T212" s="84">
        <f t="shared" si="236"/>
        <v>1388.3786712166993</v>
      </c>
      <c r="U212" s="84">
        <f t="shared" si="236"/>
        <v>1389.0568358646346</v>
      </c>
      <c r="V212" s="84">
        <f t="shared" si="236"/>
        <v>1390.0784705906681</v>
      </c>
      <c r="W212" s="84">
        <f t="shared" ref="W212:Y212" si="239">IF(W21=0,0,W21*1000000/W75)</f>
        <v>1391.07800008549</v>
      </c>
      <c r="X212" s="84">
        <f t="shared" si="239"/>
        <v>1392.0768254561217</v>
      </c>
      <c r="Y212" s="84">
        <f t="shared" si="239"/>
        <v>1393.0922558023585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2000.5914527198281</v>
      </c>
      <c r="C213" s="84">
        <f t="shared" si="236"/>
        <v>2041.2531856289179</v>
      </c>
      <c r="D213" s="84">
        <f t="shared" si="236"/>
        <v>2049.7149314580015</v>
      </c>
      <c r="E213" s="84">
        <f t="shared" si="236"/>
        <v>2009.6615201796446</v>
      </c>
      <c r="F213" s="84">
        <f t="shared" si="236"/>
        <v>1972.0894083935311</v>
      </c>
      <c r="G213" s="84">
        <f t="shared" si="236"/>
        <v>1935.2218684892207</v>
      </c>
      <c r="H213" s="84">
        <f t="shared" si="236"/>
        <v>1897.6303613378604</v>
      </c>
      <c r="I213" s="84">
        <f t="shared" si="236"/>
        <v>1938.9627111229781</v>
      </c>
      <c r="J213" s="84">
        <f t="shared" si="236"/>
        <v>1948.4111539213065</v>
      </c>
      <c r="K213" s="84">
        <f t="shared" si="236"/>
        <v>1942.8615443087429</v>
      </c>
      <c r="L213" s="84">
        <f t="shared" si="236"/>
        <v>1935.6929323436416</v>
      </c>
      <c r="M213" s="84">
        <f t="shared" si="235"/>
        <v>1975.2762834754665</v>
      </c>
      <c r="N213" s="84">
        <f t="shared" si="236"/>
        <v>2016.0469331247057</v>
      </c>
      <c r="O213" s="84">
        <f t="shared" si="236"/>
        <v>2036.0985078974668</v>
      </c>
      <c r="P213" s="84">
        <f t="shared" si="236"/>
        <v>2041.0162312988286</v>
      </c>
      <c r="Q213" s="84">
        <f t="shared" si="236"/>
        <v>2085.5471403807778</v>
      </c>
      <c r="R213" s="84">
        <f t="shared" si="236"/>
        <v>2119.5126794019093</v>
      </c>
      <c r="S213" s="84">
        <f t="shared" si="236"/>
        <v>2155.0106981977242</v>
      </c>
      <c r="T213" s="84">
        <f t="shared" si="236"/>
        <v>2190.8298652468534</v>
      </c>
      <c r="U213" s="84">
        <f t="shared" si="236"/>
        <v>2227.2536469657302</v>
      </c>
      <c r="V213" s="84">
        <f t="shared" si="236"/>
        <v>2264.8420675204443</v>
      </c>
      <c r="W213" s="84">
        <f t="shared" ref="W213:Y213" si="240">IF(W22=0,0,W22*1000000/W76)</f>
        <v>2303.0270112443259</v>
      </c>
      <c r="X213" s="84">
        <f t="shared" si="240"/>
        <v>2341.8533545797418</v>
      </c>
      <c r="Y213" s="84">
        <f t="shared" si="240"/>
        <v>2381.3614233864387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938.0647087045935</v>
      </c>
      <c r="O214" s="84">
        <f t="shared" si="236"/>
        <v>952.85122267685165</v>
      </c>
      <c r="P214" s="84">
        <f t="shared" si="236"/>
        <v>967.54301107229026</v>
      </c>
      <c r="Q214" s="84">
        <f t="shared" si="236"/>
        <v>984.64418431120191</v>
      </c>
      <c r="R214" s="84">
        <f t="shared" si="236"/>
        <v>984.42949271896384</v>
      </c>
      <c r="S214" s="84">
        <f t="shared" si="236"/>
        <v>984.64196902196613</v>
      </c>
      <c r="T214" s="84">
        <f t="shared" si="236"/>
        <v>984.73719788978963</v>
      </c>
      <c r="U214" s="84">
        <f t="shared" si="236"/>
        <v>984.83634105630063</v>
      </c>
      <c r="V214" s="84">
        <f t="shared" si="236"/>
        <v>985.16762872250467</v>
      </c>
      <c r="W214" s="84">
        <f t="shared" ref="W214:Y214" si="241">IF(W23=0,0,W23*1000000/W77)</f>
        <v>985.48357149294827</v>
      </c>
      <c r="X214" s="84">
        <f t="shared" si="241"/>
        <v>985.79865380768842</v>
      </c>
      <c r="Y214" s="84">
        <f t="shared" si="241"/>
        <v>986.12457211498213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1079.5862593057805</v>
      </c>
      <c r="O215" s="84">
        <f t="shared" si="236"/>
        <v>1096.6035473023915</v>
      </c>
      <c r="P215" s="84">
        <f t="shared" si="236"/>
        <v>1113.5118189057935</v>
      </c>
      <c r="Q215" s="84">
        <f t="shared" si="236"/>
        <v>1133.1929682715254</v>
      </c>
      <c r="R215" s="84">
        <f t="shared" si="236"/>
        <v>1132.9458871364843</v>
      </c>
      <c r="S215" s="84">
        <f t="shared" si="236"/>
        <v>1133.1904187716912</v>
      </c>
      <c r="T215" s="84">
        <f t="shared" si="236"/>
        <v>1133.3000143851255</v>
      </c>
      <c r="U215" s="84">
        <f t="shared" si="236"/>
        <v>1133.4141148296644</v>
      </c>
      <c r="V215" s="84">
        <f t="shared" si="236"/>
        <v>1133.7953823573657</v>
      </c>
      <c r="W215" s="84">
        <f t="shared" ref="W215:Y215" si="242">IF(W24=0,0,W24*1000000/W78)</f>
        <v>1134.1589899747644</v>
      </c>
      <c r="X215" s="84">
        <f t="shared" si="242"/>
        <v>1134.5216073234262</v>
      </c>
      <c r="Y215" s="84">
        <f t="shared" si="242"/>
        <v>1134.8966954414905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0</v>
      </c>
      <c r="O216" s="84">
        <f t="shared" si="236"/>
        <v>1348.0824957384664</v>
      </c>
      <c r="P216" s="84">
        <f t="shared" si="236"/>
        <v>1348.5486812655256</v>
      </c>
      <c r="Q216" s="84">
        <f t="shared" si="236"/>
        <v>1349.1576045134204</v>
      </c>
      <c r="R216" s="84">
        <f t="shared" si="236"/>
        <v>1348.6551558326803</v>
      </c>
      <c r="S216" s="84">
        <f t="shared" si="236"/>
        <v>1348.1250406137042</v>
      </c>
      <c r="T216" s="84">
        <f t="shared" si="236"/>
        <v>1347.6027768459221</v>
      </c>
      <c r="U216" s="84">
        <f t="shared" si="236"/>
        <v>1347.0804610471762</v>
      </c>
      <c r="V216" s="84">
        <f t="shared" si="236"/>
        <v>1339.0445576578941</v>
      </c>
      <c r="W216" s="84">
        <f t="shared" ref="W216:Y216" si="243">IF(W25=0,0,W25*1000000/W79)</f>
        <v>1346.007232479373</v>
      </c>
      <c r="X216" s="84">
        <f t="shared" si="243"/>
        <v>1345.4715111739613</v>
      </c>
      <c r="Y216" s="84">
        <f t="shared" si="243"/>
        <v>1344.9352985304813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782436.27705678449</v>
      </c>
      <c r="C217" s="110">
        <f t="shared" si="236"/>
        <v>629730.48832494544</v>
      </c>
      <c r="D217" s="110">
        <f t="shared" si="236"/>
        <v>398428.64007547876</v>
      </c>
      <c r="E217" s="110">
        <f t="shared" si="236"/>
        <v>289017.52762784838</v>
      </c>
      <c r="F217" s="110">
        <f t="shared" si="236"/>
        <v>439552.83525174123</v>
      </c>
      <c r="G217" s="110">
        <f t="shared" si="236"/>
        <v>335209.91053182911</v>
      </c>
      <c r="H217" s="110">
        <f t="shared" si="236"/>
        <v>236868.09693974754</v>
      </c>
      <c r="I217" s="110">
        <f t="shared" si="236"/>
        <v>234247.77416220453</v>
      </c>
      <c r="J217" s="110">
        <f t="shared" si="236"/>
        <v>176436.34735732971</v>
      </c>
      <c r="K217" s="110">
        <f t="shared" si="236"/>
        <v>148470.83683298962</v>
      </c>
      <c r="L217" s="110">
        <f t="shared" si="236"/>
        <v>143407.17254932009</v>
      </c>
      <c r="M217" s="110">
        <f t="shared" si="235"/>
        <v>140337.23911049866</v>
      </c>
      <c r="N217" s="110">
        <f t="shared" si="236"/>
        <v>143562.93278712968</v>
      </c>
      <c r="O217" s="110">
        <f t="shared" si="236"/>
        <v>116243.78739002452</v>
      </c>
      <c r="P217" s="110">
        <f t="shared" si="236"/>
        <v>101265.33086342574</v>
      </c>
      <c r="Q217" s="110">
        <f t="shared" si="236"/>
        <v>115856.2078355355</v>
      </c>
      <c r="R217" s="110">
        <f t="shared" si="236"/>
        <v>111745.64771672344</v>
      </c>
      <c r="S217" s="110">
        <f t="shared" si="236"/>
        <v>116351.13609623714</v>
      </c>
      <c r="T217" s="110">
        <f t="shared" si="236"/>
        <v>121926.9176550472</v>
      </c>
      <c r="U217" s="110">
        <f t="shared" si="236"/>
        <v>113339.92746455655</v>
      </c>
      <c r="V217" s="110">
        <f t="shared" si="236"/>
        <v>107679.84212968106</v>
      </c>
      <c r="W217" s="110">
        <f t="shared" ref="W217:Y217" si="244">IF(W26=0,0,W26*1000000/W80)</f>
        <v>111791.94821726001</v>
      </c>
      <c r="X217" s="110">
        <f t="shared" si="244"/>
        <v>115094.95634076219</v>
      </c>
      <c r="Y217" s="110">
        <f t="shared" si="244"/>
        <v>102008.25071281458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626828.66352591128</v>
      </c>
      <c r="C218" s="163">
        <f t="shared" si="236"/>
        <v>469124.91178546223</v>
      </c>
      <c r="D218" s="163">
        <f t="shared" si="236"/>
        <v>258949.75755699989</v>
      </c>
      <c r="E218" s="163">
        <f t="shared" si="236"/>
        <v>180945.75799721834</v>
      </c>
      <c r="F218" s="163">
        <f t="shared" si="236"/>
        <v>283414.35366682347</v>
      </c>
      <c r="G218" s="163">
        <f t="shared" si="236"/>
        <v>206025.73030825055</v>
      </c>
      <c r="H218" s="163">
        <f t="shared" si="236"/>
        <v>131508.44201799616</v>
      </c>
      <c r="I218" s="163">
        <f t="shared" si="236"/>
        <v>120876.2831134735</v>
      </c>
      <c r="J218" s="163">
        <f t="shared" si="236"/>
        <v>95089.762689419586</v>
      </c>
      <c r="K218" s="163">
        <f t="shared" si="236"/>
        <v>75643.151820835788</v>
      </c>
      <c r="L218" s="163">
        <f t="shared" si="236"/>
        <v>67805.01167477596</v>
      </c>
      <c r="M218" s="163">
        <f t="shared" si="235"/>
        <v>61868.670945937425</v>
      </c>
      <c r="N218" s="163">
        <f t="shared" si="236"/>
        <v>64199.749427352916</v>
      </c>
      <c r="O218" s="163">
        <f t="shared" si="236"/>
        <v>45980.02094578265</v>
      </c>
      <c r="P218" s="163">
        <f t="shared" si="236"/>
        <v>41882.83658787256</v>
      </c>
      <c r="Q218" s="163">
        <f t="shared" si="236"/>
        <v>46676.989890360244</v>
      </c>
      <c r="R218" s="163">
        <f t="shared" si="236"/>
        <v>45286.52850976558</v>
      </c>
      <c r="S218" s="163">
        <f t="shared" si="236"/>
        <v>47854.273675610661</v>
      </c>
      <c r="T218" s="163">
        <f t="shared" si="236"/>
        <v>50944.242128693782</v>
      </c>
      <c r="U218" s="163">
        <f t="shared" si="236"/>
        <v>47095.541668707709</v>
      </c>
      <c r="V218" s="163">
        <f t="shared" si="236"/>
        <v>44808.644879209671</v>
      </c>
      <c r="W218" s="163">
        <f t="shared" ref="W218:Y218" si="245">IF(W27=0,0,W27*1000000/W81)</f>
        <v>45243.177587557577</v>
      </c>
      <c r="X218" s="163">
        <f t="shared" si="245"/>
        <v>44111.790641445026</v>
      </c>
      <c r="Y218" s="163">
        <f t="shared" si="245"/>
        <v>38890.707877676643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1211981.4552703449</v>
      </c>
      <c r="C219" s="86">
        <f t="shared" si="236"/>
        <v>1210842.7818619963</v>
      </c>
      <c r="D219" s="86">
        <f t="shared" si="236"/>
        <v>1218798.0625582549</v>
      </c>
      <c r="E219" s="86">
        <f t="shared" si="236"/>
        <v>1211589.2386925321</v>
      </c>
      <c r="F219" s="86">
        <f t="shared" si="236"/>
        <v>1189511.4823019702</v>
      </c>
      <c r="G219" s="86">
        <f t="shared" si="236"/>
        <v>1189849.0931312209</v>
      </c>
      <c r="H219" s="86">
        <f t="shared" si="236"/>
        <v>1197561.6639653689</v>
      </c>
      <c r="I219" s="86">
        <f t="shared" si="236"/>
        <v>1199837.9166738398</v>
      </c>
      <c r="J219" s="86">
        <f t="shared" si="236"/>
        <v>1182714.1937714457</v>
      </c>
      <c r="K219" s="86">
        <f t="shared" si="236"/>
        <v>1167178.7981389242</v>
      </c>
      <c r="L219" s="86">
        <f t="shared" si="236"/>
        <v>1205286.4790358401</v>
      </c>
      <c r="M219" s="86">
        <f t="shared" si="235"/>
        <v>1201261.7147703811</v>
      </c>
      <c r="N219" s="86">
        <f t="shared" si="236"/>
        <v>1197368.9126066894</v>
      </c>
      <c r="O219" s="86">
        <f t="shared" si="236"/>
        <v>1198861.7956101946</v>
      </c>
      <c r="P219" s="86">
        <f t="shared" si="236"/>
        <v>1201737.0459730034</v>
      </c>
      <c r="Q219" s="86">
        <f t="shared" si="236"/>
        <v>1190438.7848418187</v>
      </c>
      <c r="R219" s="86">
        <f t="shared" si="236"/>
        <v>1184290.9635751059</v>
      </c>
      <c r="S219" s="86">
        <f t="shared" si="236"/>
        <v>1190977.9737380454</v>
      </c>
      <c r="T219" s="86">
        <f t="shared" si="236"/>
        <v>1202466.4750957855</v>
      </c>
      <c r="U219" s="86">
        <f t="shared" si="236"/>
        <v>1195336.6098982741</v>
      </c>
      <c r="V219" s="86">
        <f t="shared" si="236"/>
        <v>1178230.6514312639</v>
      </c>
      <c r="W219" s="86">
        <f t="shared" ref="W219:Y219" si="246">IF(W28=0,0,W28*1000000/W82)</f>
        <v>1193876.3585368705</v>
      </c>
      <c r="X219" s="86">
        <f t="shared" si="246"/>
        <v>1189430.6317942094</v>
      </c>
      <c r="Y219" s="86">
        <f t="shared" si="246"/>
        <v>1176195.2524239386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1.8060061588849655E-3</v>
      </c>
      <c r="C223" s="154">
        <f t="shared" si="251"/>
        <v>1.9041646634940599E-3</v>
      </c>
      <c r="D223" s="154">
        <f t="shared" si="251"/>
        <v>1.6222359231995371E-3</v>
      </c>
      <c r="E223" s="154">
        <f t="shared" si="251"/>
        <v>1.6625125573699847E-3</v>
      </c>
      <c r="F223" s="154">
        <f t="shared" si="251"/>
        <v>1.7457039879507775E-3</v>
      </c>
      <c r="G223" s="154">
        <f t="shared" si="251"/>
        <v>1.8992506599678656E-3</v>
      </c>
      <c r="H223" s="154">
        <f t="shared" si="251"/>
        <v>1.9320399515556064E-3</v>
      </c>
      <c r="I223" s="154">
        <f t="shared" si="251"/>
        <v>2.141093529264794E-3</v>
      </c>
      <c r="J223" s="154">
        <f t="shared" si="251"/>
        <v>2.3874869675455947E-3</v>
      </c>
      <c r="K223" s="154">
        <f t="shared" si="251"/>
        <v>2.2296748280177824E-3</v>
      </c>
      <c r="L223" s="154">
        <f t="shared" ref="L223" si="252">IF(L5=0,0,L5/L$4)</f>
        <v>2.0233857808587908E-3</v>
      </c>
      <c r="M223" s="154">
        <f t="shared" ref="M223:V223" si="253">IF(M5=0,0,M5/M$4)</f>
        <v>2.4293224764899059E-3</v>
      </c>
      <c r="N223" s="154">
        <f t="shared" si="253"/>
        <v>2.8272553742487092E-3</v>
      </c>
      <c r="O223" s="154">
        <f t="shared" si="253"/>
        <v>2.8889419991107467E-3</v>
      </c>
      <c r="P223" s="154">
        <f t="shared" si="253"/>
        <v>3.2017446339398631E-3</v>
      </c>
      <c r="Q223" s="154">
        <f t="shared" si="253"/>
        <v>3.5473376520705189E-3</v>
      </c>
      <c r="R223" s="154">
        <f t="shared" si="253"/>
        <v>3.6858303445508997E-3</v>
      </c>
      <c r="S223" s="154">
        <f t="shared" si="253"/>
        <v>3.4840186413739949E-3</v>
      </c>
      <c r="T223" s="154">
        <f t="shared" si="253"/>
        <v>3.2912761209307286E-3</v>
      </c>
      <c r="U223" s="154">
        <f t="shared" si="253"/>
        <v>3.5148269343796474E-3</v>
      </c>
      <c r="V223" s="154">
        <f t="shared" si="253"/>
        <v>3.8593442370119355E-3</v>
      </c>
      <c r="W223" s="154">
        <f t="shared" ref="W223:Y223" si="254">IF(W5=0,0,W5/W$4)</f>
        <v>3.8644534361783711E-3</v>
      </c>
      <c r="X223" s="154">
        <f t="shared" si="254"/>
        <v>3.6008801228698869E-3</v>
      </c>
      <c r="Y223" s="154">
        <f t="shared" si="254"/>
        <v>3.6603893018416298E-3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0.71844586052360249</v>
      </c>
      <c r="C224" s="156">
        <f t="shared" si="255"/>
        <v>0.72099138118155826</v>
      </c>
      <c r="D224" s="156">
        <f t="shared" si="255"/>
        <v>0.72859537744324798</v>
      </c>
      <c r="E224" s="156">
        <f t="shared" si="255"/>
        <v>0.74069265636601489</v>
      </c>
      <c r="F224" s="156">
        <f t="shared" si="255"/>
        <v>0.73980320021593071</v>
      </c>
      <c r="G224" s="156">
        <f t="shared" si="255"/>
        <v>0.75010525955576379</v>
      </c>
      <c r="H224" s="156">
        <f t="shared" si="255"/>
        <v>0.7506259912712957</v>
      </c>
      <c r="I224" s="156">
        <f t="shared" si="255"/>
        <v>0.74866645492928718</v>
      </c>
      <c r="J224" s="156">
        <f t="shared" si="255"/>
        <v>0.77804643534741313</v>
      </c>
      <c r="K224" s="156">
        <f t="shared" si="255"/>
        <v>0.829112812035248</v>
      </c>
      <c r="L224" s="156">
        <f t="shared" ref="L224" si="256">IF(L6=0,0,L6/L$4)</f>
        <v>0.83436383797270819</v>
      </c>
      <c r="M224" s="156">
        <f t="shared" ref="M224:V224" si="257">IF(M6=0,0,M6/M$4)</f>
        <v>0.82874868318218164</v>
      </c>
      <c r="N224" s="156">
        <f t="shared" si="257"/>
        <v>0.82981963129377823</v>
      </c>
      <c r="O224" s="156">
        <f t="shared" si="257"/>
        <v>0.83537387196861101</v>
      </c>
      <c r="P224" s="156">
        <f t="shared" si="257"/>
        <v>0.83313628281117524</v>
      </c>
      <c r="Q224" s="156">
        <f t="shared" si="257"/>
        <v>0.83387478055643027</v>
      </c>
      <c r="R224" s="156">
        <f t="shared" si="257"/>
        <v>0.82229212628007697</v>
      </c>
      <c r="S224" s="156">
        <f t="shared" si="257"/>
        <v>0.8230879540550613</v>
      </c>
      <c r="T224" s="156">
        <f t="shared" si="257"/>
        <v>0.81749705413984008</v>
      </c>
      <c r="U224" s="156">
        <f t="shared" si="257"/>
        <v>0.81933797984213419</v>
      </c>
      <c r="V224" s="156">
        <f t="shared" si="257"/>
        <v>0.86566925599734812</v>
      </c>
      <c r="W224" s="156">
        <f t="shared" ref="W224:Y224" si="258">IF(W6=0,0,W6/W$4)</f>
        <v>0.88880265740345288</v>
      </c>
      <c r="X224" s="156">
        <f t="shared" si="258"/>
        <v>0.8642480750903857</v>
      </c>
      <c r="Y224" s="156">
        <f t="shared" si="258"/>
        <v>0.85839860978360638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0.55406228939255531</v>
      </c>
      <c r="C225" s="103">
        <f t="shared" si="259"/>
        <v>0.54741806604391263</v>
      </c>
      <c r="D225" s="103">
        <f t="shared" si="259"/>
        <v>0.53589066977232713</v>
      </c>
      <c r="E225" s="103">
        <f t="shared" si="259"/>
        <v>0.53279157284610601</v>
      </c>
      <c r="F225" s="103">
        <f t="shared" si="259"/>
        <v>0.52533170767043724</v>
      </c>
      <c r="G225" s="103">
        <f t="shared" si="259"/>
        <v>0.52924698474316068</v>
      </c>
      <c r="H225" s="103">
        <f t="shared" si="259"/>
        <v>0.52362145378326186</v>
      </c>
      <c r="I225" s="103">
        <f t="shared" si="259"/>
        <v>0.50374383736191197</v>
      </c>
      <c r="J225" s="103">
        <f t="shared" si="259"/>
        <v>0.51349245807807686</v>
      </c>
      <c r="K225" s="103">
        <f t="shared" si="259"/>
        <v>0.53997479736339671</v>
      </c>
      <c r="L225" s="103">
        <f t="shared" ref="L225" si="260">IF(L7=0,0,L7/L$4)</f>
        <v>0.54300951094101124</v>
      </c>
      <c r="M225" s="103">
        <f t="shared" ref="M225:V225" si="261">IF(M7=0,0,M7/M$4)</f>
        <v>0.51627251304496979</v>
      </c>
      <c r="N225" s="103">
        <f t="shared" si="261"/>
        <v>0.51789038568899093</v>
      </c>
      <c r="O225" s="103">
        <f t="shared" si="261"/>
        <v>0.52770889537444432</v>
      </c>
      <c r="P225" s="103">
        <f t="shared" si="261"/>
        <v>0.52694935113639951</v>
      </c>
      <c r="Q225" s="103">
        <f t="shared" si="261"/>
        <v>0.53181820451893314</v>
      </c>
      <c r="R225" s="103">
        <f t="shared" si="261"/>
        <v>0.53198198650593487</v>
      </c>
      <c r="S225" s="103">
        <f t="shared" si="261"/>
        <v>0.53279013031016198</v>
      </c>
      <c r="T225" s="103">
        <f t="shared" si="261"/>
        <v>0.52833011412536046</v>
      </c>
      <c r="U225" s="103">
        <f t="shared" si="261"/>
        <v>0.52828915771138185</v>
      </c>
      <c r="V225" s="103">
        <f t="shared" si="261"/>
        <v>0.55222025699641131</v>
      </c>
      <c r="W225" s="103">
        <f t="shared" ref="W225:Y225" si="262">IF(W7=0,0,W7/W$4)</f>
        <v>0.56114187949685013</v>
      </c>
      <c r="X225" s="103">
        <f t="shared" si="262"/>
        <v>0.55095727929087568</v>
      </c>
      <c r="Y225" s="103">
        <f t="shared" si="262"/>
        <v>0.55178319421599153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0.16438357113104712</v>
      </c>
      <c r="C226" s="103">
        <f t="shared" si="263"/>
        <v>0.17237203078674232</v>
      </c>
      <c r="D226" s="103">
        <f t="shared" si="263"/>
        <v>0.19151667683405679</v>
      </c>
      <c r="E226" s="103">
        <f t="shared" si="263"/>
        <v>0.2044303958173998</v>
      </c>
      <c r="F226" s="103">
        <f t="shared" si="263"/>
        <v>0.21040821231268134</v>
      </c>
      <c r="G226" s="103">
        <f t="shared" si="263"/>
        <v>0.21582975554668082</v>
      </c>
      <c r="H226" s="103">
        <f t="shared" si="263"/>
        <v>0.2220798319487117</v>
      </c>
      <c r="I226" s="103">
        <f t="shared" si="263"/>
        <v>0.23627936396857402</v>
      </c>
      <c r="J226" s="103">
        <f t="shared" si="263"/>
        <v>0.2563728719197394</v>
      </c>
      <c r="K226" s="103">
        <f t="shared" si="263"/>
        <v>0.28059213787068826</v>
      </c>
      <c r="L226" s="103">
        <f t="shared" ref="L226" si="264">IF(L8=0,0,L8/L$4)</f>
        <v>0.28134485193875514</v>
      </c>
      <c r="M226" s="103">
        <f t="shared" ref="M226:V226" si="265">IF(M8=0,0,M8/M$4)</f>
        <v>0.28043835085632352</v>
      </c>
      <c r="N226" s="103">
        <f t="shared" si="265"/>
        <v>0.27922265454269929</v>
      </c>
      <c r="O226" s="103">
        <f t="shared" si="265"/>
        <v>0.27424239576102183</v>
      </c>
      <c r="P226" s="103">
        <f t="shared" si="265"/>
        <v>0.27307945682284152</v>
      </c>
      <c r="Q226" s="103">
        <f t="shared" si="265"/>
        <v>0.26838335930703733</v>
      </c>
      <c r="R226" s="103">
        <f t="shared" si="265"/>
        <v>0.26091984193628182</v>
      </c>
      <c r="S226" s="103">
        <f t="shared" si="265"/>
        <v>0.26434114072049913</v>
      </c>
      <c r="T226" s="103">
        <f t="shared" si="265"/>
        <v>0.26505039672285641</v>
      </c>
      <c r="U226" s="103">
        <f t="shared" si="265"/>
        <v>0.26896207998946942</v>
      </c>
      <c r="V226" s="103">
        <f t="shared" si="265"/>
        <v>0.2904556857092222</v>
      </c>
      <c r="W226" s="103">
        <f t="shared" ref="W226:Y226" si="266">IF(W8=0,0,W8/W$4)</f>
        <v>0.30419907885679903</v>
      </c>
      <c r="X226" s="103">
        <f t="shared" si="266"/>
        <v>0.28958766252250046</v>
      </c>
      <c r="Y226" s="103">
        <f t="shared" si="266"/>
        <v>0.28088280084623213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0</v>
      </c>
      <c r="D227" s="103">
        <f t="shared" si="267"/>
        <v>0</v>
      </c>
      <c r="E227" s="103">
        <f t="shared" si="267"/>
        <v>0</v>
      </c>
      <c r="F227" s="103">
        <f t="shared" si="267"/>
        <v>0</v>
      </c>
      <c r="G227" s="103">
        <f t="shared" si="267"/>
        <v>8.5263538494069198E-4</v>
      </c>
      <c r="H227" s="103">
        <f t="shared" si="267"/>
        <v>8.3162762655429091E-4</v>
      </c>
      <c r="I227" s="103">
        <f t="shared" si="267"/>
        <v>8.0547635153639891E-4</v>
      </c>
      <c r="J227" s="103">
        <f t="shared" si="267"/>
        <v>7.8051271706128353E-4</v>
      </c>
      <c r="K227" s="103">
        <f t="shared" si="267"/>
        <v>7.947294707124048E-4</v>
      </c>
      <c r="L227" s="103">
        <f t="shared" ref="L227" si="268">IF(L9=0,0,L9/L$4)</f>
        <v>1.6122587620708308E-3</v>
      </c>
      <c r="M227" s="103">
        <f t="shared" ref="M227:V227" si="269">IF(M9=0,0,M9/M$4)</f>
        <v>2.4294079085323137E-2</v>
      </c>
      <c r="N227" s="103">
        <f t="shared" si="269"/>
        <v>2.6066152741684567E-2</v>
      </c>
      <c r="O227" s="103">
        <f t="shared" si="269"/>
        <v>2.7459382900682599E-2</v>
      </c>
      <c r="P227" s="103">
        <f t="shared" si="269"/>
        <v>2.6681246704262727E-2</v>
      </c>
      <c r="Q227" s="103">
        <f t="shared" si="269"/>
        <v>2.7449014878125344E-2</v>
      </c>
      <c r="R227" s="103">
        <f t="shared" si="269"/>
        <v>2.5122098972057482E-2</v>
      </c>
      <c r="S227" s="103">
        <f t="shared" si="269"/>
        <v>2.1982246950829541E-2</v>
      </c>
      <c r="T227" s="103">
        <f t="shared" si="269"/>
        <v>2.0335730422539024E-2</v>
      </c>
      <c r="U227" s="103">
        <f t="shared" si="269"/>
        <v>1.8873636861600603E-2</v>
      </c>
      <c r="V227" s="103">
        <f t="shared" si="269"/>
        <v>1.9578987571380411E-2</v>
      </c>
      <c r="W227" s="103">
        <f t="shared" ref="W227:Y227" si="270">IF(W9=0,0,W9/W$4)</f>
        <v>1.9253048867704937E-2</v>
      </c>
      <c r="X227" s="103">
        <f t="shared" si="270"/>
        <v>1.8545444717323851E-2</v>
      </c>
      <c r="Y227" s="103">
        <f t="shared" si="270"/>
        <v>1.8511451432154526E-2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1.2012843509032506E-3</v>
      </c>
      <c r="D228" s="103">
        <f t="shared" si="271"/>
        <v>1.1880308368640172E-3</v>
      </c>
      <c r="E228" s="103">
        <f t="shared" si="271"/>
        <v>3.4706877025090237E-3</v>
      </c>
      <c r="F228" s="103">
        <f t="shared" si="271"/>
        <v>4.0632802328120369E-3</v>
      </c>
      <c r="G228" s="103">
        <f t="shared" si="271"/>
        <v>4.1758838809815412E-3</v>
      </c>
      <c r="H228" s="103">
        <f t="shared" si="271"/>
        <v>4.0930779127678384E-3</v>
      </c>
      <c r="I228" s="103">
        <f t="shared" si="271"/>
        <v>7.8377772472649123E-3</v>
      </c>
      <c r="J228" s="103">
        <f t="shared" si="271"/>
        <v>7.4005926325356386E-3</v>
      </c>
      <c r="K228" s="103">
        <f t="shared" si="271"/>
        <v>7.7511473304507196E-3</v>
      </c>
      <c r="L228" s="103">
        <f t="shared" ref="L228" si="272">IF(L10=0,0,L10/L$4)</f>
        <v>8.397216330870939E-3</v>
      </c>
      <c r="M228" s="103">
        <f t="shared" ref="M228:V228" si="273">IF(M10=0,0,M10/M$4)</f>
        <v>7.7371023608090944E-3</v>
      </c>
      <c r="N228" s="103">
        <f t="shared" si="273"/>
        <v>6.6308998139030188E-3</v>
      </c>
      <c r="O228" s="103">
        <f t="shared" si="273"/>
        <v>5.9431760999784202E-3</v>
      </c>
      <c r="P228" s="103">
        <f t="shared" si="273"/>
        <v>6.3770590958712649E-3</v>
      </c>
      <c r="Q228" s="103">
        <f t="shared" si="273"/>
        <v>6.1582526564640302E-3</v>
      </c>
      <c r="R228" s="103">
        <f t="shared" si="273"/>
        <v>4.1286073658194028E-3</v>
      </c>
      <c r="S228" s="103">
        <f t="shared" si="273"/>
        <v>3.6938381682897889E-3</v>
      </c>
      <c r="T228" s="103">
        <f t="shared" si="273"/>
        <v>3.2795617544833021E-3</v>
      </c>
      <c r="U228" s="103">
        <f t="shared" si="273"/>
        <v>2.6028086711311405E-3</v>
      </c>
      <c r="V228" s="103">
        <f t="shared" si="273"/>
        <v>2.1530182395382794E-3</v>
      </c>
      <c r="W228" s="103">
        <f t="shared" ref="W228:Y228" si="274">IF(W10=0,0,W10/W$4)</f>
        <v>2.1898115245305651E-3</v>
      </c>
      <c r="X228" s="103">
        <f t="shared" si="274"/>
        <v>2.208405412337841E-3</v>
      </c>
      <c r="Y228" s="103">
        <f t="shared" si="274"/>
        <v>2.2637791130049557E-3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2.4947384305075594E-6</v>
      </c>
      <c r="O229" s="103">
        <f t="shared" si="277"/>
        <v>2.5612568233184841E-6</v>
      </c>
      <c r="P229" s="103">
        <f t="shared" si="277"/>
        <v>1.0320309011321122E-5</v>
      </c>
      <c r="Q229" s="103">
        <f t="shared" si="277"/>
        <v>1.9202211676181703E-5</v>
      </c>
      <c r="R229" s="103">
        <f t="shared" si="277"/>
        <v>7.3295328752102251E-5</v>
      </c>
      <c r="S229" s="103">
        <f t="shared" si="277"/>
        <v>1.4784320983072161E-4</v>
      </c>
      <c r="T229" s="103">
        <f t="shared" si="277"/>
        <v>2.4096718032763612E-4</v>
      </c>
      <c r="U229" s="103">
        <f t="shared" si="277"/>
        <v>2.9753671731452309E-4</v>
      </c>
      <c r="V229" s="103">
        <f t="shared" si="277"/>
        <v>5.8368968620097113E-4</v>
      </c>
      <c r="W229" s="103">
        <f t="shared" ref="W229:Y229" si="278">IF(W11=0,0,W11/W$4)</f>
        <v>9.0200923056535701E-4</v>
      </c>
      <c r="X229" s="103">
        <f t="shared" si="278"/>
        <v>1.3634693069611917E-3</v>
      </c>
      <c r="Y229" s="103">
        <f t="shared" si="278"/>
        <v>2.3000910436280961E-3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6.6378347560767137E-6</v>
      </c>
      <c r="N230" s="103">
        <f t="shared" si="281"/>
        <v>7.0437680700207928E-6</v>
      </c>
      <c r="O230" s="103">
        <f t="shared" si="281"/>
        <v>1.746057566045052E-5</v>
      </c>
      <c r="P230" s="103">
        <f t="shared" si="281"/>
        <v>3.8848742788655085E-5</v>
      </c>
      <c r="Q230" s="103">
        <f t="shared" si="281"/>
        <v>4.6746984194341567E-5</v>
      </c>
      <c r="R230" s="103">
        <f t="shared" si="281"/>
        <v>6.6296171231393597E-5</v>
      </c>
      <c r="S230" s="103">
        <f t="shared" si="281"/>
        <v>1.3275469545014583E-4</v>
      </c>
      <c r="T230" s="103">
        <f t="shared" si="281"/>
        <v>2.6028393427325207E-4</v>
      </c>
      <c r="U230" s="103">
        <f t="shared" si="281"/>
        <v>3.1275989123664787E-4</v>
      </c>
      <c r="V230" s="103">
        <f t="shared" si="281"/>
        <v>6.7761779459501255E-4</v>
      </c>
      <c r="W230" s="103">
        <f t="shared" ref="W230:Y230" si="282">IF(W12=0,0,W12/W$4)</f>
        <v>1.1168294270027959E-3</v>
      </c>
      <c r="X230" s="103">
        <f t="shared" si="282"/>
        <v>1.5858138403866096E-3</v>
      </c>
      <c r="Y230" s="103">
        <f t="shared" si="282"/>
        <v>2.6572931325951595E-3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0.27974813331751253</v>
      </c>
      <c r="C231" s="156">
        <f t="shared" si="283"/>
        <v>0.27710445415494772</v>
      </c>
      <c r="D231" s="156">
        <f t="shared" si="283"/>
        <v>0.26978238663355242</v>
      </c>
      <c r="E231" s="156">
        <f t="shared" si="283"/>
        <v>0.25764483107661507</v>
      </c>
      <c r="F231" s="156">
        <f t="shared" si="283"/>
        <v>0.25845109579611841</v>
      </c>
      <c r="G231" s="156">
        <f t="shared" si="283"/>
        <v>0.24799548978426841</v>
      </c>
      <c r="H231" s="156">
        <f t="shared" si="283"/>
        <v>0.24744196877714866</v>
      </c>
      <c r="I231" s="156">
        <f t="shared" si="283"/>
        <v>0.24919245154144801</v>
      </c>
      <c r="J231" s="156">
        <f t="shared" si="283"/>
        <v>0.21956607768504138</v>
      </c>
      <c r="K231" s="156">
        <f t="shared" si="283"/>
        <v>0.16865751313673416</v>
      </c>
      <c r="L231" s="156">
        <f t="shared" ref="L231" si="284">IF(L13=0,0,L13/L$4)</f>
        <v>0.16361277624643297</v>
      </c>
      <c r="M231" s="156">
        <f t="shared" ref="M231:V231" si="285">IF(M13=0,0,M13/M$4)</f>
        <v>0.16882199434132852</v>
      </c>
      <c r="N231" s="156">
        <f t="shared" si="285"/>
        <v>0.167353113331973</v>
      </c>
      <c r="O231" s="156">
        <f t="shared" si="285"/>
        <v>0.16173718603227824</v>
      </c>
      <c r="P231" s="156">
        <f t="shared" si="285"/>
        <v>0.16366197255488493</v>
      </c>
      <c r="Q231" s="156">
        <f t="shared" si="285"/>
        <v>0.16257788179149915</v>
      </c>
      <c r="R231" s="156">
        <f t="shared" si="285"/>
        <v>0.17402204337537197</v>
      </c>
      <c r="S231" s="156">
        <f t="shared" si="285"/>
        <v>0.17342802730356466</v>
      </c>
      <c r="T231" s="156">
        <f t="shared" si="285"/>
        <v>0.17921166973922917</v>
      </c>
      <c r="U231" s="156">
        <f t="shared" si="285"/>
        <v>0.17714719322348629</v>
      </c>
      <c r="V231" s="156">
        <f t="shared" si="285"/>
        <v>0.13047139976563987</v>
      </c>
      <c r="W231" s="156">
        <f t="shared" ref="W231:Y231" si="286">IF(W13=0,0,W13/W$4)</f>
        <v>0.10733288916036873</v>
      </c>
      <c r="X231" s="156">
        <f t="shared" si="286"/>
        <v>0.13215104478674436</v>
      </c>
      <c r="Y231" s="156">
        <f t="shared" si="286"/>
        <v>0.13794100091455211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0</v>
      </c>
      <c r="M232" s="103">
        <f t="shared" ref="M232:V232" si="289">IF(M14=0,0,M14/M$4)</f>
        <v>0</v>
      </c>
      <c r="N232" s="103">
        <f t="shared" si="289"/>
        <v>0</v>
      </c>
      <c r="O232" s="103">
        <f t="shared" si="289"/>
        <v>0</v>
      </c>
      <c r="P232" s="103">
        <f t="shared" si="289"/>
        <v>0</v>
      </c>
      <c r="Q232" s="103">
        <f t="shared" si="289"/>
        <v>0</v>
      </c>
      <c r="R232" s="103">
        <f t="shared" si="289"/>
        <v>0</v>
      </c>
      <c r="S232" s="103">
        <f t="shared" si="289"/>
        <v>0</v>
      </c>
      <c r="T232" s="103">
        <f t="shared" si="289"/>
        <v>0</v>
      </c>
      <c r="U232" s="103">
        <f t="shared" si="289"/>
        <v>0</v>
      </c>
      <c r="V232" s="103">
        <f t="shared" si="289"/>
        <v>0</v>
      </c>
      <c r="W232" s="103">
        <f t="shared" ref="W232:Y232" si="290">IF(W14=0,0,W14/W$4)</f>
        <v>0</v>
      </c>
      <c r="X232" s="103">
        <f t="shared" si="290"/>
        <v>0</v>
      </c>
      <c r="Y232" s="103">
        <f t="shared" si="290"/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0.27974813331751253</v>
      </c>
      <c r="C233" s="103">
        <f t="shared" si="291"/>
        <v>0.27710445415494772</v>
      </c>
      <c r="D233" s="103">
        <f t="shared" si="291"/>
        <v>0.26978238663355242</v>
      </c>
      <c r="E233" s="103">
        <f t="shared" si="291"/>
        <v>0.25764483107661507</v>
      </c>
      <c r="F233" s="103">
        <f t="shared" si="291"/>
        <v>0.25845109579611841</v>
      </c>
      <c r="G233" s="103">
        <f t="shared" si="291"/>
        <v>0.24799548978426841</v>
      </c>
      <c r="H233" s="103">
        <f t="shared" si="291"/>
        <v>0.24744196877714866</v>
      </c>
      <c r="I233" s="103">
        <f t="shared" si="291"/>
        <v>0.24919245154144801</v>
      </c>
      <c r="J233" s="103">
        <f t="shared" si="291"/>
        <v>0.21956607768504138</v>
      </c>
      <c r="K233" s="103">
        <f t="shared" si="291"/>
        <v>0.16865751313673416</v>
      </c>
      <c r="L233" s="103">
        <f t="shared" ref="L233" si="292">IF(L15=0,0,L15/L$4)</f>
        <v>0.16098775237265908</v>
      </c>
      <c r="M233" s="103">
        <f t="shared" ref="M233:V233" si="293">IF(M15=0,0,M15/M$4)</f>
        <v>0.16229829133369122</v>
      </c>
      <c r="N233" s="103">
        <f t="shared" si="293"/>
        <v>0.16083741848371721</v>
      </c>
      <c r="O233" s="103">
        <f t="shared" si="293"/>
        <v>0.15533759557487548</v>
      </c>
      <c r="P233" s="103">
        <f t="shared" si="293"/>
        <v>0.15448682518193901</v>
      </c>
      <c r="Q233" s="103">
        <f t="shared" si="293"/>
        <v>0.15135465152644237</v>
      </c>
      <c r="R233" s="103">
        <f t="shared" si="293"/>
        <v>0.15322165324024614</v>
      </c>
      <c r="S233" s="103">
        <f t="shared" si="293"/>
        <v>0.15176543552369343</v>
      </c>
      <c r="T233" s="103">
        <f t="shared" si="293"/>
        <v>0.15601139041236264</v>
      </c>
      <c r="U233" s="103">
        <f t="shared" si="293"/>
        <v>0.15637751657647372</v>
      </c>
      <c r="V233" s="103">
        <f t="shared" si="293"/>
        <v>0.11263979882830977</v>
      </c>
      <c r="W233" s="103">
        <f t="shared" ref="W233:Y233" si="294">IF(W15=0,0,W15/W$4)</f>
        <v>9.2541040539725755E-2</v>
      </c>
      <c r="X233" s="103">
        <f t="shared" si="294"/>
        <v>0.1154583701305848</v>
      </c>
      <c r="Y233" s="103">
        <f t="shared" si="294"/>
        <v>0.12058382097911435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0</v>
      </c>
      <c r="R235" s="103">
        <f t="shared" si="301"/>
        <v>6.4392790595260534E-3</v>
      </c>
      <c r="S235" s="103">
        <f t="shared" si="301"/>
        <v>6.0750064289129243E-3</v>
      </c>
      <c r="T235" s="103">
        <f t="shared" si="301"/>
        <v>5.7652626663271768E-3</v>
      </c>
      <c r="U235" s="103">
        <f t="shared" si="301"/>
        <v>2.8092604749435923E-3</v>
      </c>
      <c r="V235" s="103">
        <f t="shared" si="301"/>
        <v>2.340676732879307E-3</v>
      </c>
      <c r="W235" s="103">
        <f t="shared" ref="W235:Y235" si="302">IF(W17=0,0,W17/W$4)</f>
        <v>1.9132519344582388E-3</v>
      </c>
      <c r="X235" s="103">
        <f t="shared" si="302"/>
        <v>2.3185825340500646E-3</v>
      </c>
      <c r="Y235" s="103">
        <f t="shared" si="302"/>
        <v>2.383685340546809E-3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2.6250238737738807E-3</v>
      </c>
      <c r="M236" s="103">
        <f t="shared" ref="M236:V236" si="305">IF(M18=0,0,M18/M$4)</f>
        <v>6.523703007637288E-3</v>
      </c>
      <c r="N236" s="103">
        <f t="shared" si="305"/>
        <v>6.5156948482557736E-3</v>
      </c>
      <c r="O236" s="103">
        <f t="shared" si="305"/>
        <v>6.3995904574027946E-3</v>
      </c>
      <c r="P236" s="103">
        <f t="shared" si="305"/>
        <v>9.1751473729459378E-3</v>
      </c>
      <c r="Q236" s="103">
        <f t="shared" si="305"/>
        <v>1.1223230265056772E-2</v>
      </c>
      <c r="R236" s="103">
        <f t="shared" si="305"/>
        <v>1.4361111075599769E-2</v>
      </c>
      <c r="S236" s="103">
        <f t="shared" si="305"/>
        <v>1.5587585350958309E-2</v>
      </c>
      <c r="T236" s="103">
        <f t="shared" si="305"/>
        <v>1.7435016660539343E-2</v>
      </c>
      <c r="U236" s="103">
        <f t="shared" si="305"/>
        <v>1.7960416172068984E-2</v>
      </c>
      <c r="V236" s="103">
        <f t="shared" si="305"/>
        <v>1.5490924204450803E-2</v>
      </c>
      <c r="W236" s="103">
        <f t="shared" ref="W236:Y236" si="306">IF(W18=0,0,W18/W$4)</f>
        <v>1.2878596686184724E-2</v>
      </c>
      <c r="X236" s="103">
        <f t="shared" si="306"/>
        <v>1.4374092122109494E-2</v>
      </c>
      <c r="Y236" s="103">
        <f t="shared" si="306"/>
        <v>1.4973494594890941E-2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2.1362325601206825E-2</v>
      </c>
      <c r="C238" s="154">
        <f t="shared" si="311"/>
        <v>2.062040404391622E-2</v>
      </c>
      <c r="D238" s="154">
        <f t="shared" si="311"/>
        <v>2.1032278465250874E-2</v>
      </c>
      <c r="E238" s="154">
        <f t="shared" si="311"/>
        <v>2.0482162585196695E-2</v>
      </c>
      <c r="F238" s="154">
        <f t="shared" si="311"/>
        <v>1.973828826891566E-2</v>
      </c>
      <c r="G238" s="154">
        <f t="shared" si="311"/>
        <v>2.0644850632692453E-2</v>
      </c>
      <c r="H238" s="154">
        <f t="shared" si="311"/>
        <v>2.0917973301690672E-2</v>
      </c>
      <c r="I238" s="154">
        <f t="shared" si="311"/>
        <v>2.0639824297783479E-2</v>
      </c>
      <c r="J238" s="154">
        <f t="shared" si="311"/>
        <v>2.1262589581969901E-2</v>
      </c>
      <c r="K238" s="154">
        <f t="shared" si="311"/>
        <v>2.5262625191444909E-2</v>
      </c>
      <c r="L238" s="154">
        <f t="shared" ref="L238" si="312">IF(L20=0,0,L20/L$19)</f>
        <v>2.582830233888498E-2</v>
      </c>
      <c r="M238" s="154">
        <f t="shared" ref="M238:V238" si="313">IF(M20=0,0,M20/M$19)</f>
        <v>2.6163038621548541E-2</v>
      </c>
      <c r="N238" s="154">
        <f t="shared" si="313"/>
        <v>2.6820172509825907E-2</v>
      </c>
      <c r="O238" s="154">
        <f t="shared" si="313"/>
        <v>2.4047046690869923E-2</v>
      </c>
      <c r="P238" s="154">
        <f t="shared" si="313"/>
        <v>2.0047568157324915E-2</v>
      </c>
      <c r="Q238" s="154">
        <f t="shared" si="313"/>
        <v>2.1657037566605239E-2</v>
      </c>
      <c r="R238" s="154">
        <f t="shared" si="313"/>
        <v>1.8653232169918495E-2</v>
      </c>
      <c r="S238" s="154">
        <f t="shared" si="313"/>
        <v>1.7275667741466487E-2</v>
      </c>
      <c r="T238" s="154">
        <f t="shared" si="313"/>
        <v>1.6901642686137499E-2</v>
      </c>
      <c r="U238" s="154">
        <f t="shared" si="313"/>
        <v>1.6303766611439049E-2</v>
      </c>
      <c r="V238" s="154">
        <f t="shared" si="313"/>
        <v>1.7235701023799857E-2</v>
      </c>
      <c r="W238" s="154">
        <f t="shared" ref="W238:Y238" si="314">IF(W20=0,0,W20/W$19)</f>
        <v>1.7431147959956594E-2</v>
      </c>
      <c r="X238" s="154">
        <f t="shared" si="314"/>
        <v>1.6914121074327722E-2</v>
      </c>
      <c r="Y238" s="154">
        <f t="shared" si="314"/>
        <v>1.793100873480687E-2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6.0944326575203744E-3</v>
      </c>
      <c r="C239" s="103">
        <f t="shared" si="315"/>
        <v>5.8752330337910209E-3</v>
      </c>
      <c r="D239" s="103">
        <f t="shared" si="315"/>
        <v>6.0501735023658241E-3</v>
      </c>
      <c r="E239" s="103">
        <f t="shared" si="315"/>
        <v>5.8903052780579787E-3</v>
      </c>
      <c r="F239" s="103">
        <f t="shared" si="315"/>
        <v>6.7571355699207938E-3</v>
      </c>
      <c r="G239" s="103">
        <f t="shared" si="315"/>
        <v>6.6147686343684016E-3</v>
      </c>
      <c r="H239" s="103">
        <f t="shared" si="315"/>
        <v>6.8780717992726597E-3</v>
      </c>
      <c r="I239" s="103">
        <f t="shared" si="315"/>
        <v>6.3732212411439009E-3</v>
      </c>
      <c r="J239" s="103">
        <f t="shared" si="315"/>
        <v>6.389750829307695E-3</v>
      </c>
      <c r="K239" s="103">
        <f t="shared" si="315"/>
        <v>6.9353736604335272E-3</v>
      </c>
      <c r="L239" s="103">
        <f t="shared" ref="L239" si="316">IF(L21=0,0,L21/L$19)</f>
        <v>5.2781002060280288E-3</v>
      </c>
      <c r="M239" s="103">
        <f t="shared" ref="M239:V239" si="317">IF(M21=0,0,M21/M$19)</f>
        <v>5.3301061494902824E-3</v>
      </c>
      <c r="N239" s="103">
        <f t="shared" si="317"/>
        <v>5.3193403336350897E-3</v>
      </c>
      <c r="O239" s="103">
        <f t="shared" si="317"/>
        <v>5.3725773817962421E-3</v>
      </c>
      <c r="P239" s="103">
        <f t="shared" si="317"/>
        <v>4.77125848557324E-3</v>
      </c>
      <c r="Q239" s="103">
        <f t="shared" si="317"/>
        <v>5.1450398689193424E-3</v>
      </c>
      <c r="R239" s="103">
        <f t="shared" si="317"/>
        <v>5.3515084236223451E-3</v>
      </c>
      <c r="S239" s="103">
        <f t="shared" si="317"/>
        <v>4.3818015781345665E-3</v>
      </c>
      <c r="T239" s="103">
        <f t="shared" si="317"/>
        <v>4.1422459308064399E-3</v>
      </c>
      <c r="U239" s="103">
        <f t="shared" si="317"/>
        <v>3.4032257809303618E-3</v>
      </c>
      <c r="V239" s="103">
        <f t="shared" si="317"/>
        <v>3.5488931005887704E-3</v>
      </c>
      <c r="W239" s="103">
        <f t="shared" ref="W239:Y239" si="318">IF(W21=0,0,W21/W$19)</f>
        <v>3.5438569301136933E-3</v>
      </c>
      <c r="X239" s="103">
        <f t="shared" si="318"/>
        <v>3.3954704157649631E-3</v>
      </c>
      <c r="Y239" s="103">
        <f t="shared" si="318"/>
        <v>3.5510541956024389E-3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1.5267892943686452E-2</v>
      </c>
      <c r="C240" s="103">
        <f t="shared" si="319"/>
        <v>1.4745171010125195E-2</v>
      </c>
      <c r="D240" s="103">
        <f t="shared" si="319"/>
        <v>1.4982104962885049E-2</v>
      </c>
      <c r="E240" s="103">
        <f t="shared" si="319"/>
        <v>1.4591857307138715E-2</v>
      </c>
      <c r="F240" s="103">
        <f t="shared" si="319"/>
        <v>1.2981152698994868E-2</v>
      </c>
      <c r="G240" s="103">
        <f t="shared" si="319"/>
        <v>1.4030081998324052E-2</v>
      </c>
      <c r="H240" s="103">
        <f t="shared" si="319"/>
        <v>1.4039901502418012E-2</v>
      </c>
      <c r="I240" s="103">
        <f t="shared" si="319"/>
        <v>1.4266603056639578E-2</v>
      </c>
      <c r="J240" s="103">
        <f t="shared" si="319"/>
        <v>1.4872838752662204E-2</v>
      </c>
      <c r="K240" s="103">
        <f t="shared" si="319"/>
        <v>1.8327251531011383E-2</v>
      </c>
      <c r="L240" s="103">
        <f t="shared" ref="L240" si="320">IF(L22=0,0,L22/L$19)</f>
        <v>2.0550202132856951E-2</v>
      </c>
      <c r="M240" s="103">
        <f t="shared" ref="M240:V240" si="321">IF(M22=0,0,M22/M$19)</f>
        <v>2.0832932472058259E-2</v>
      </c>
      <c r="N240" s="103">
        <f t="shared" si="321"/>
        <v>2.1499877677118143E-2</v>
      </c>
      <c r="O240" s="103">
        <f t="shared" si="321"/>
        <v>1.8673093437995576E-2</v>
      </c>
      <c r="P240" s="103">
        <f t="shared" si="321"/>
        <v>1.5085407255966419E-2</v>
      </c>
      <c r="Q240" s="103">
        <f t="shared" si="321"/>
        <v>1.6329952858665991E-2</v>
      </c>
      <c r="R240" s="103">
        <f t="shared" si="321"/>
        <v>1.3100670527602179E-2</v>
      </c>
      <c r="S240" s="103">
        <f t="shared" si="321"/>
        <v>1.2700723812745923E-2</v>
      </c>
      <c r="T240" s="103">
        <f t="shared" si="321"/>
        <v>1.2547326361932367E-2</v>
      </c>
      <c r="U240" s="103">
        <f t="shared" si="321"/>
        <v>1.2682040571982895E-2</v>
      </c>
      <c r="V240" s="103">
        <f t="shared" si="321"/>
        <v>1.3438173278786542E-2</v>
      </c>
      <c r="W240" s="103">
        <f t="shared" ref="W240:Y240" si="322">IF(W22=0,0,W22/W$19)</f>
        <v>1.3635543178412408E-2</v>
      </c>
      <c r="X240" s="103">
        <f t="shared" si="322"/>
        <v>1.3275324833188497E-2</v>
      </c>
      <c r="Y240" s="103">
        <f t="shared" si="322"/>
        <v>1.4107545172736725E-2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5.2386091311260304E-7</v>
      </c>
      <c r="O241" s="103">
        <f t="shared" si="325"/>
        <v>3.7824915095922148E-7</v>
      </c>
      <c r="P241" s="103">
        <f t="shared" si="325"/>
        <v>1.8990677798302858E-4</v>
      </c>
      <c r="Q241" s="103">
        <f t="shared" si="325"/>
        <v>1.8075321977406895E-4</v>
      </c>
      <c r="R241" s="103">
        <f t="shared" si="325"/>
        <v>1.8546660755426096E-4</v>
      </c>
      <c r="S241" s="103">
        <f t="shared" si="325"/>
        <v>1.7707090826063189E-4</v>
      </c>
      <c r="T241" s="103">
        <f t="shared" si="325"/>
        <v>1.8312907113183038E-4</v>
      </c>
      <c r="U241" s="103">
        <f t="shared" si="325"/>
        <v>1.8600031052851652E-4</v>
      </c>
      <c r="V241" s="103">
        <f t="shared" si="325"/>
        <v>1.9975955771908246E-4</v>
      </c>
      <c r="W241" s="103">
        <f t="shared" ref="W241:Y241" si="326">IF(W23=0,0,W23/W$19)</f>
        <v>1.9939667913856845E-4</v>
      </c>
      <c r="X241" s="103">
        <f t="shared" si="326"/>
        <v>1.9097160672746833E-4</v>
      </c>
      <c r="Y241" s="103">
        <f t="shared" si="326"/>
        <v>1.9835071272129273E-4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4.3063815955780597E-7</v>
      </c>
      <c r="O242" s="103">
        <f t="shared" si="329"/>
        <v>7.835649800325731E-7</v>
      </c>
      <c r="P242" s="103">
        <f t="shared" si="329"/>
        <v>5.8842309273690349E-7</v>
      </c>
      <c r="Q242" s="103">
        <f t="shared" si="329"/>
        <v>7.2007835151025162E-7</v>
      </c>
      <c r="R242" s="103">
        <f t="shared" si="329"/>
        <v>1.4522744749478751E-5</v>
      </c>
      <c r="S242" s="103">
        <f t="shared" si="329"/>
        <v>1.3885135978270193E-5</v>
      </c>
      <c r="T242" s="103">
        <f t="shared" si="329"/>
        <v>2.2525699621686141E-5</v>
      </c>
      <c r="U242" s="103">
        <f t="shared" si="329"/>
        <v>2.594682791778848E-5</v>
      </c>
      <c r="V242" s="103">
        <f t="shared" si="329"/>
        <v>4.0569948083920959E-5</v>
      </c>
      <c r="W242" s="103">
        <f t="shared" ref="W242:Y242" si="330">IF(W24=0,0,W24/W$19)</f>
        <v>4.0496249656970485E-5</v>
      </c>
      <c r="X242" s="103">
        <f t="shared" si="330"/>
        <v>3.878516882447144E-5</v>
      </c>
      <c r="Y242" s="103">
        <f t="shared" si="330"/>
        <v>4.034344698786201E-5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0</v>
      </c>
      <c r="O243" s="103">
        <f t="shared" si="333"/>
        <v>2.1405694710809794E-7</v>
      </c>
      <c r="P243" s="103">
        <f t="shared" si="333"/>
        <v>4.0721470949003893E-7</v>
      </c>
      <c r="Q243" s="103">
        <f t="shared" si="333"/>
        <v>5.7154089432057609E-7</v>
      </c>
      <c r="R243" s="103">
        <f t="shared" si="333"/>
        <v>1.0638663902314657E-6</v>
      </c>
      <c r="S243" s="103">
        <f t="shared" si="333"/>
        <v>2.1863063470924185E-6</v>
      </c>
      <c r="T243" s="103">
        <f t="shared" si="333"/>
        <v>6.4156226451759109E-6</v>
      </c>
      <c r="U243" s="103">
        <f t="shared" si="333"/>
        <v>6.5531200794910306E-6</v>
      </c>
      <c r="V243" s="103">
        <f t="shared" si="333"/>
        <v>8.3051386215470492E-6</v>
      </c>
      <c r="W243" s="103">
        <f t="shared" ref="W243:Y243" si="334">IF(W25=0,0,W25/W$19)</f>
        <v>1.1854922634953562E-5</v>
      </c>
      <c r="X243" s="103">
        <f t="shared" si="334"/>
        <v>1.356904982232221E-5</v>
      </c>
      <c r="Y243" s="103">
        <f t="shared" si="334"/>
        <v>3.3715206758549258E-5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0.97863767439879323</v>
      </c>
      <c r="C244" s="156">
        <f t="shared" si="335"/>
        <v>0.97937959595608381</v>
      </c>
      <c r="D244" s="156">
        <f t="shared" si="335"/>
        <v>0.97896772153474909</v>
      </c>
      <c r="E244" s="156">
        <f t="shared" si="335"/>
        <v>0.97951783741480325</v>
      </c>
      <c r="F244" s="156">
        <f t="shared" si="335"/>
        <v>0.98026171173108434</v>
      </c>
      <c r="G244" s="156">
        <f t="shared" si="335"/>
        <v>0.97935514936730761</v>
      </c>
      <c r="H244" s="156">
        <f t="shared" si="335"/>
        <v>0.97908202669830924</v>
      </c>
      <c r="I244" s="156">
        <f t="shared" si="335"/>
        <v>0.97936017570221656</v>
      </c>
      <c r="J244" s="156">
        <f t="shared" si="335"/>
        <v>0.97873741041803008</v>
      </c>
      <c r="K244" s="156">
        <f t="shared" si="335"/>
        <v>0.97473737480855516</v>
      </c>
      <c r="L244" s="156">
        <f t="shared" ref="L244" si="336">IF(L26=0,0,L26/L$19)</f>
        <v>0.97417169766111511</v>
      </c>
      <c r="M244" s="156">
        <f t="shared" ref="M244:V244" si="337">IF(M26=0,0,M26/M$19)</f>
        <v>0.97383696137845144</v>
      </c>
      <c r="N244" s="156">
        <f t="shared" si="337"/>
        <v>0.97317982749017407</v>
      </c>
      <c r="O244" s="156">
        <f t="shared" si="337"/>
        <v>0.97595295330913012</v>
      </c>
      <c r="P244" s="156">
        <f t="shared" si="337"/>
        <v>0.979952431842675</v>
      </c>
      <c r="Q244" s="156">
        <f t="shared" si="337"/>
        <v>0.9783429624333948</v>
      </c>
      <c r="R244" s="156">
        <f t="shared" si="337"/>
        <v>0.98134676783008157</v>
      </c>
      <c r="S244" s="156">
        <f t="shared" si="337"/>
        <v>0.98272433225853362</v>
      </c>
      <c r="T244" s="156">
        <f t="shared" si="337"/>
        <v>0.98309835731386253</v>
      </c>
      <c r="U244" s="156">
        <f t="shared" si="337"/>
        <v>0.98369623338856105</v>
      </c>
      <c r="V244" s="156">
        <f t="shared" si="337"/>
        <v>0.9827642989762001</v>
      </c>
      <c r="W244" s="156">
        <f t="shared" ref="W244:Y244" si="338">IF(W26=0,0,W26/W$19)</f>
        <v>0.98256885204004341</v>
      </c>
      <c r="X244" s="156">
        <f t="shared" si="338"/>
        <v>0.98308587892567234</v>
      </c>
      <c r="Y244" s="156">
        <f t="shared" si="338"/>
        <v>0.98206899126519309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0.57552125463199599</v>
      </c>
      <c r="C245" s="103">
        <f t="shared" si="339"/>
        <v>0.57161833167199283</v>
      </c>
      <c r="D245" s="103">
        <f t="shared" si="339"/>
        <v>0.54380124114974115</v>
      </c>
      <c r="E245" s="103">
        <f t="shared" si="339"/>
        <v>0.5489442581874685</v>
      </c>
      <c r="F245" s="103">
        <f t="shared" si="339"/>
        <v>0.52313690459473783</v>
      </c>
      <c r="G245" s="103">
        <f t="shared" si="339"/>
        <v>0.52289018726535497</v>
      </c>
      <c r="H245" s="103">
        <f t="shared" si="339"/>
        <v>0.4898601775466116</v>
      </c>
      <c r="I245" s="103">
        <f t="shared" si="339"/>
        <v>0.45226698497697493</v>
      </c>
      <c r="J245" s="103">
        <f t="shared" si="339"/>
        <v>0.48803486749507868</v>
      </c>
      <c r="K245" s="103">
        <f t="shared" si="339"/>
        <v>0.4634766463715575</v>
      </c>
      <c r="L245" s="103">
        <f t="shared" ref="L245" si="340">IF(L27=0,0,L27/L$19)</f>
        <v>0.42998891307431719</v>
      </c>
      <c r="M245" s="103">
        <f t="shared" ref="M245:V245" si="341">IF(M27=0,0,M27/M$19)</f>
        <v>0.39975602437044272</v>
      </c>
      <c r="N245" s="103">
        <f t="shared" si="341"/>
        <v>0.40471567039794615</v>
      </c>
      <c r="O245" s="103">
        <f t="shared" si="341"/>
        <v>0.36250897982329111</v>
      </c>
      <c r="P245" s="103">
        <f t="shared" si="341"/>
        <v>0.38455262293453391</v>
      </c>
      <c r="Q245" s="103">
        <f t="shared" si="341"/>
        <v>0.37032144856945343</v>
      </c>
      <c r="R245" s="103">
        <f t="shared" si="341"/>
        <v>0.37449941638383466</v>
      </c>
      <c r="S245" s="103">
        <f t="shared" si="341"/>
        <v>0.37996733556677426</v>
      </c>
      <c r="T245" s="103">
        <f t="shared" si="341"/>
        <v>0.38544358718655486</v>
      </c>
      <c r="U245" s="103">
        <f t="shared" si="341"/>
        <v>0.38516846932191157</v>
      </c>
      <c r="V245" s="103">
        <f t="shared" si="341"/>
        <v>0.3862712764408549</v>
      </c>
      <c r="W245" s="103">
        <f t="shared" ref="W245:Y245" si="342">IF(W27=0,0,W27/W$19)</f>
        <v>0.37461516101944597</v>
      </c>
      <c r="X245" s="103">
        <f t="shared" si="342"/>
        <v>0.35343002822394493</v>
      </c>
      <c r="Y245" s="103">
        <f t="shared" si="342"/>
        <v>0.35363534463857282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0.4031164197667973</v>
      </c>
      <c r="C246" s="105">
        <f t="shared" si="343"/>
        <v>0.40776126428409104</v>
      </c>
      <c r="D246" s="105">
        <f t="shared" si="343"/>
        <v>0.43516648038500788</v>
      </c>
      <c r="E246" s="105">
        <f t="shared" si="343"/>
        <v>0.43057357922733475</v>
      </c>
      <c r="F246" s="105">
        <f t="shared" si="343"/>
        <v>0.45712480713634651</v>
      </c>
      <c r="G246" s="105">
        <f t="shared" si="343"/>
        <v>0.45646496210195259</v>
      </c>
      <c r="H246" s="105">
        <f t="shared" si="343"/>
        <v>0.48922184915169764</v>
      </c>
      <c r="I246" s="105">
        <f t="shared" si="343"/>
        <v>0.52709319072524163</v>
      </c>
      <c r="J246" s="105">
        <f t="shared" si="343"/>
        <v>0.4907025429229514</v>
      </c>
      <c r="K246" s="105">
        <f t="shared" si="343"/>
        <v>0.51126072843699766</v>
      </c>
      <c r="L246" s="105">
        <f t="shared" ref="L246" si="344">IF(L28=0,0,L28/L$19)</f>
        <v>0.54418278458679792</v>
      </c>
      <c r="M246" s="105">
        <f t="shared" ref="M246:V246" si="345">IF(M28=0,0,M28/M$19)</f>
        <v>0.57408093700800877</v>
      </c>
      <c r="N246" s="105">
        <f t="shared" si="345"/>
        <v>0.56846415709222797</v>
      </c>
      <c r="O246" s="105">
        <f t="shared" si="345"/>
        <v>0.61344397348583901</v>
      </c>
      <c r="P246" s="105">
        <f t="shared" si="345"/>
        <v>0.59539980890814115</v>
      </c>
      <c r="Q246" s="105">
        <f t="shared" si="345"/>
        <v>0.60802151386394132</v>
      </c>
      <c r="R246" s="105">
        <f t="shared" si="345"/>
        <v>0.60684735144624691</v>
      </c>
      <c r="S246" s="105">
        <f t="shared" si="345"/>
        <v>0.60275699669175931</v>
      </c>
      <c r="T246" s="105">
        <f t="shared" si="345"/>
        <v>0.59765477012730761</v>
      </c>
      <c r="U246" s="105">
        <f t="shared" si="345"/>
        <v>0.59852776406664954</v>
      </c>
      <c r="V246" s="105">
        <f t="shared" si="345"/>
        <v>0.5964930225353452</v>
      </c>
      <c r="W246" s="105">
        <f t="shared" ref="W246:Y246" si="346">IF(W28=0,0,W28/W$19)</f>
        <v>0.60795369102059738</v>
      </c>
      <c r="X246" s="105">
        <f t="shared" si="346"/>
        <v>0.62965585070172747</v>
      </c>
      <c r="Y246" s="105">
        <f t="shared" si="346"/>
        <v>0.62843364662662027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3.9575992001699258E-3</v>
      </c>
      <c r="C250" s="154">
        <f t="shared" si="351"/>
        <v>4.0963898254030321E-3</v>
      </c>
      <c r="D250" s="154">
        <f t="shared" si="351"/>
        <v>3.4583321879001015E-3</v>
      </c>
      <c r="E250" s="154">
        <f t="shared" si="351"/>
        <v>3.4783408310206558E-3</v>
      </c>
      <c r="F250" s="154">
        <f t="shared" si="351"/>
        <v>3.6840090554506708E-3</v>
      </c>
      <c r="G250" s="154">
        <f t="shared" si="351"/>
        <v>3.9714202388164803E-3</v>
      </c>
      <c r="H250" s="154">
        <f t="shared" si="351"/>
        <v>4.0559482874064495E-3</v>
      </c>
      <c r="I250" s="154">
        <f t="shared" si="351"/>
        <v>4.4320872844861E-3</v>
      </c>
      <c r="J250" s="154">
        <f t="shared" si="351"/>
        <v>4.7196099395299318E-3</v>
      </c>
      <c r="K250" s="154">
        <f t="shared" si="351"/>
        <v>4.1542454348365973E-3</v>
      </c>
      <c r="L250" s="154">
        <f t="shared" ref="L250" si="352">IF(L32=0,0,L32/L$31)</f>
        <v>3.7009217449137529E-3</v>
      </c>
      <c r="M250" s="154">
        <f t="shared" ref="M250:V250" si="353">IF(M32=0,0,M32/M$31)</f>
        <v>4.5066226701724965E-3</v>
      </c>
      <c r="N250" s="154">
        <f t="shared" si="353"/>
        <v>5.2992987320692499E-3</v>
      </c>
      <c r="O250" s="154">
        <f t="shared" si="353"/>
        <v>5.3469166746416483E-3</v>
      </c>
      <c r="P250" s="154">
        <f t="shared" si="353"/>
        <v>5.8643868143727906E-3</v>
      </c>
      <c r="Q250" s="154">
        <f t="shared" si="353"/>
        <v>6.4803411304728701E-3</v>
      </c>
      <c r="R250" s="154">
        <f t="shared" si="353"/>
        <v>6.8779108523125479E-3</v>
      </c>
      <c r="S250" s="154">
        <f t="shared" si="353"/>
        <v>6.5462990673205686E-3</v>
      </c>
      <c r="T250" s="154">
        <f t="shared" si="353"/>
        <v>6.2417313394579864E-3</v>
      </c>
      <c r="U250" s="154">
        <f t="shared" si="353"/>
        <v>6.6701420320159433E-3</v>
      </c>
      <c r="V250" s="154">
        <f t="shared" si="353"/>
        <v>6.5136372131310563E-3</v>
      </c>
      <c r="W250" s="154">
        <f t="shared" ref="W250:Y250" si="354">IF(W32=0,0,W32/W$31)</f>
        <v>6.6633084037356479E-3</v>
      </c>
      <c r="X250" s="154">
        <f t="shared" si="354"/>
        <v>6.5695863704354051E-3</v>
      </c>
      <c r="Y250" s="154">
        <f t="shared" si="354"/>
        <v>6.9141383322775573E-3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0.97323084407750893</v>
      </c>
      <c r="C251" s="156">
        <f t="shared" si="355"/>
        <v>0.97399575154012674</v>
      </c>
      <c r="D251" s="156">
        <f t="shared" si="355"/>
        <v>0.97572515331111975</v>
      </c>
      <c r="E251" s="156">
        <f t="shared" si="355"/>
        <v>0.97501184385943684</v>
      </c>
      <c r="F251" s="156">
        <f t="shared" si="355"/>
        <v>0.97615049424110822</v>
      </c>
      <c r="G251" s="156">
        <f t="shared" si="355"/>
        <v>0.97699337686660326</v>
      </c>
      <c r="H251" s="156">
        <f t="shared" si="355"/>
        <v>0.97667315560812717</v>
      </c>
      <c r="I251" s="156">
        <f t="shared" si="355"/>
        <v>0.97219403947604655</v>
      </c>
      <c r="J251" s="156">
        <f t="shared" si="355"/>
        <v>0.9726930383252167</v>
      </c>
      <c r="K251" s="156">
        <f t="shared" si="355"/>
        <v>0.97437513705453982</v>
      </c>
      <c r="L251" s="156">
        <f t="shared" ref="L251" si="356">IF(L33=0,0,L33/L$31)</f>
        <v>0.97572204328216516</v>
      </c>
      <c r="M251" s="156">
        <f t="shared" ref="M251:V251" si="357">IF(M33=0,0,M33/M$31)</f>
        <v>0.97562027877846569</v>
      </c>
      <c r="N251" s="156">
        <f t="shared" si="357"/>
        <v>0.97482121219718243</v>
      </c>
      <c r="O251" s="156">
        <f t="shared" si="357"/>
        <v>0.97564978165426663</v>
      </c>
      <c r="P251" s="156">
        <f t="shared" si="357"/>
        <v>0.97501911572913547</v>
      </c>
      <c r="Q251" s="156">
        <f t="shared" si="357"/>
        <v>0.97453412727760702</v>
      </c>
      <c r="R251" s="156">
        <f t="shared" si="357"/>
        <v>0.97425937499447857</v>
      </c>
      <c r="S251" s="156">
        <f t="shared" si="357"/>
        <v>0.97381962079086426</v>
      </c>
      <c r="T251" s="156">
        <f t="shared" si="357"/>
        <v>0.97369141745819721</v>
      </c>
      <c r="U251" s="156">
        <f t="shared" si="357"/>
        <v>0.97306242681517308</v>
      </c>
      <c r="V251" s="156">
        <f t="shared" si="357"/>
        <v>0.9745928427331696</v>
      </c>
      <c r="W251" s="156">
        <f t="shared" ref="W251:Y251" si="358">IF(W33=0,0,W33/W$31)</f>
        <v>0.97489486507155243</v>
      </c>
      <c r="X251" s="156">
        <f t="shared" si="358"/>
        <v>0.97445708088158522</v>
      </c>
      <c r="Y251" s="156">
        <f t="shared" si="358"/>
        <v>0.974308699272041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0.75633439766471611</v>
      </c>
      <c r="C252" s="103">
        <f t="shared" si="359"/>
        <v>0.74544092587198396</v>
      </c>
      <c r="D252" s="103">
        <f t="shared" si="359"/>
        <v>0.72399136607392245</v>
      </c>
      <c r="E252" s="103">
        <f t="shared" si="359"/>
        <v>0.70779779814472654</v>
      </c>
      <c r="F252" s="103">
        <f t="shared" si="359"/>
        <v>0.6997299613223551</v>
      </c>
      <c r="G252" s="103">
        <f t="shared" si="359"/>
        <v>0.69592385558742842</v>
      </c>
      <c r="H252" s="103">
        <f t="shared" si="359"/>
        <v>0.68801553685657202</v>
      </c>
      <c r="I252" s="103">
        <f t="shared" si="359"/>
        <v>0.66096152903602878</v>
      </c>
      <c r="J252" s="103">
        <f t="shared" si="359"/>
        <v>0.64896568428077295</v>
      </c>
      <c r="K252" s="103">
        <f t="shared" si="359"/>
        <v>0.64170806118585033</v>
      </c>
      <c r="L252" s="103">
        <f t="shared" ref="L252" si="360">IF(L34=0,0,L34/L$31)</f>
        <v>0.64209109234670481</v>
      </c>
      <c r="M252" s="103">
        <f t="shared" ref="M252:V252" si="361">IF(M34=0,0,M34/M$31)</f>
        <v>0.61423502554323406</v>
      </c>
      <c r="N252" s="103">
        <f t="shared" si="361"/>
        <v>0.61480968488294796</v>
      </c>
      <c r="O252" s="103">
        <f t="shared" si="361"/>
        <v>0.62263990473935515</v>
      </c>
      <c r="P252" s="103">
        <f t="shared" si="361"/>
        <v>0.62299950742762755</v>
      </c>
      <c r="Q252" s="103">
        <f t="shared" si="361"/>
        <v>0.62774572042460897</v>
      </c>
      <c r="R252" s="103">
        <f t="shared" si="361"/>
        <v>0.6365651847852799</v>
      </c>
      <c r="S252" s="103">
        <f t="shared" si="361"/>
        <v>0.63676222241983915</v>
      </c>
      <c r="T252" s="103">
        <f t="shared" si="361"/>
        <v>0.63574205364295633</v>
      </c>
      <c r="U252" s="103">
        <f t="shared" si="361"/>
        <v>0.6339704834885882</v>
      </c>
      <c r="V252" s="103">
        <f t="shared" si="361"/>
        <v>0.62832130724560964</v>
      </c>
      <c r="W252" s="103">
        <f t="shared" ref="W252:Y252" si="362">IF(W34=0,0,W34/W$31)</f>
        <v>0.62213567084556998</v>
      </c>
      <c r="X252" s="103">
        <f t="shared" si="362"/>
        <v>0.62767687323391697</v>
      </c>
      <c r="Y252" s="103">
        <f t="shared" si="362"/>
        <v>0.63244110613830151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0.21689644641279282</v>
      </c>
      <c r="C253" s="103">
        <f t="shared" si="363"/>
        <v>0.22688180589171317</v>
      </c>
      <c r="D253" s="103">
        <f t="shared" si="363"/>
        <v>0.25009358625168637</v>
      </c>
      <c r="E253" s="103">
        <f t="shared" si="363"/>
        <v>0.26250410267289775</v>
      </c>
      <c r="F253" s="103">
        <f t="shared" si="363"/>
        <v>0.27089332739107364</v>
      </c>
      <c r="G253" s="103">
        <f t="shared" si="363"/>
        <v>0.27431743795463931</v>
      </c>
      <c r="H253" s="103">
        <f t="shared" si="363"/>
        <v>0.28205168541736575</v>
      </c>
      <c r="I253" s="103">
        <f t="shared" si="363"/>
        <v>0.29966153155392045</v>
      </c>
      <c r="J253" s="103">
        <f t="shared" si="363"/>
        <v>0.31318322915660179</v>
      </c>
      <c r="K253" s="103">
        <f t="shared" si="363"/>
        <v>0.32231333096032877</v>
      </c>
      <c r="L253" s="103">
        <f t="shared" ref="L253" si="364">IF(L35=0,0,L35/L$31)</f>
        <v>0.32156364808106269</v>
      </c>
      <c r="M253" s="103">
        <f t="shared" ref="M253:V253" si="365">IF(M35=0,0,M35/M$31)</f>
        <v>0.32250150405196576</v>
      </c>
      <c r="N253" s="103">
        <f t="shared" si="365"/>
        <v>0.32039982383762439</v>
      </c>
      <c r="O253" s="103">
        <f t="shared" si="365"/>
        <v>0.31276337853867453</v>
      </c>
      <c r="P253" s="103">
        <f t="shared" si="365"/>
        <v>0.31206612274895279</v>
      </c>
      <c r="Q253" s="103">
        <f t="shared" si="365"/>
        <v>0.30620685668494735</v>
      </c>
      <c r="R253" s="103">
        <f t="shared" si="365"/>
        <v>0.30178095450942244</v>
      </c>
      <c r="S253" s="103">
        <f t="shared" si="365"/>
        <v>0.30536878707670584</v>
      </c>
      <c r="T253" s="103">
        <f t="shared" si="365"/>
        <v>0.30827818901836501</v>
      </c>
      <c r="U253" s="103">
        <f t="shared" si="365"/>
        <v>0.31198029260739696</v>
      </c>
      <c r="V253" s="103">
        <f t="shared" si="365"/>
        <v>0.3194391205963597</v>
      </c>
      <c r="W253" s="103">
        <f t="shared" ref="W253:Y253" si="366">IF(W35=0,0,W35/W$31)</f>
        <v>0.32599360496327412</v>
      </c>
      <c r="X253" s="103">
        <f t="shared" si="366"/>
        <v>0.3188871528421604</v>
      </c>
      <c r="Y253" s="103">
        <f t="shared" si="366"/>
        <v>0.31118276350129637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0</v>
      </c>
      <c r="D254" s="103">
        <f t="shared" si="367"/>
        <v>0</v>
      </c>
      <c r="E254" s="103">
        <f t="shared" si="367"/>
        <v>0</v>
      </c>
      <c r="F254" s="103">
        <f t="shared" si="367"/>
        <v>0</v>
      </c>
      <c r="G254" s="103">
        <f t="shared" si="367"/>
        <v>1.144882789568311E-3</v>
      </c>
      <c r="H254" s="103">
        <f t="shared" si="367"/>
        <v>1.1155340387405143E-3</v>
      </c>
      <c r="I254" s="103">
        <f t="shared" si="367"/>
        <v>1.0783149829331424E-3</v>
      </c>
      <c r="J254" s="103">
        <f t="shared" si="367"/>
        <v>1.0059549673991847E-3</v>
      </c>
      <c r="K254" s="103">
        <f t="shared" si="367"/>
        <v>9.6285336219600025E-4</v>
      </c>
      <c r="L254" s="103">
        <f t="shared" ref="L254" si="368">IF(L36=0,0,L36/L$31)</f>
        <v>1.9437197835962768E-3</v>
      </c>
      <c r="M254" s="103">
        <f t="shared" ref="M254:V254" si="369">IF(M36=0,0,M36/M$31)</f>
        <v>2.9484018435685915E-2</v>
      </c>
      <c r="N254" s="103">
        <f t="shared" si="369"/>
        <v>3.1567956363519806E-2</v>
      </c>
      <c r="O254" s="103">
        <f t="shared" si="369"/>
        <v>3.3062226955651169E-2</v>
      </c>
      <c r="P254" s="103">
        <f t="shared" si="369"/>
        <v>3.219077750272735E-2</v>
      </c>
      <c r="Q254" s="103">
        <f t="shared" si="369"/>
        <v>3.3071298046103995E-2</v>
      </c>
      <c r="R254" s="103">
        <f t="shared" si="369"/>
        <v>3.06854608252797E-2</v>
      </c>
      <c r="S254" s="103">
        <f t="shared" si="369"/>
        <v>2.6812210663043894E-2</v>
      </c>
      <c r="T254" s="103">
        <f t="shared" si="369"/>
        <v>2.4970267073132581E-2</v>
      </c>
      <c r="U254" s="103">
        <f t="shared" si="369"/>
        <v>2.3107953080464278E-2</v>
      </c>
      <c r="V254" s="103">
        <f t="shared" si="369"/>
        <v>2.2724258457968528E-2</v>
      </c>
      <c r="W254" s="103">
        <f t="shared" ref="W254:Y254" si="370">IF(W36=0,0,W36/W$31)</f>
        <v>2.1771092216493509E-2</v>
      </c>
      <c r="X254" s="103">
        <f t="shared" si="370"/>
        <v>2.1557074006066469E-2</v>
      </c>
      <c r="Y254" s="103">
        <f t="shared" si="370"/>
        <v>2.16608907682787E-2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1.6730197764294955E-3</v>
      </c>
      <c r="D255" s="103">
        <f t="shared" si="371"/>
        <v>1.6402009855109182E-3</v>
      </c>
      <c r="E255" s="103">
        <f t="shared" si="371"/>
        <v>4.7099430418125685E-3</v>
      </c>
      <c r="F255" s="103">
        <f t="shared" si="371"/>
        <v>5.5272055276794629E-3</v>
      </c>
      <c r="G255" s="103">
        <f t="shared" si="371"/>
        <v>5.6072005349672932E-3</v>
      </c>
      <c r="H255" s="103">
        <f t="shared" si="371"/>
        <v>5.490399295448878E-3</v>
      </c>
      <c r="I255" s="103">
        <f t="shared" si="371"/>
        <v>1.0492663903164031E-2</v>
      </c>
      <c r="J255" s="103">
        <f t="shared" si="371"/>
        <v>9.5381699204428235E-3</v>
      </c>
      <c r="K255" s="103">
        <f t="shared" si="371"/>
        <v>9.3908915461646467E-3</v>
      </c>
      <c r="L255" s="103">
        <f t="shared" ref="L255" si="372">IF(L37=0,0,L37/L$31)</f>
        <v>1.0123583070801462E-2</v>
      </c>
      <c r="M255" s="103">
        <f t="shared" ref="M255:V255" si="373">IF(M37=0,0,M37/M$31)</f>
        <v>9.3899780207227432E-3</v>
      </c>
      <c r="N255" s="103">
        <f t="shared" si="373"/>
        <v>8.0304891193787344E-3</v>
      </c>
      <c r="O255" s="103">
        <f t="shared" si="373"/>
        <v>7.1558285838245741E-3</v>
      </c>
      <c r="P255" s="103">
        <f t="shared" si="373"/>
        <v>7.6938867494575737E-3</v>
      </c>
      <c r="Q255" s="103">
        <f t="shared" si="373"/>
        <v>7.4196254382679272E-3</v>
      </c>
      <c r="R255" s="103">
        <f t="shared" si="373"/>
        <v>5.0428994698143593E-3</v>
      </c>
      <c r="S255" s="103">
        <f t="shared" si="373"/>
        <v>4.5054523927837388E-3</v>
      </c>
      <c r="T255" s="103">
        <f t="shared" si="373"/>
        <v>4.0269776984019796E-3</v>
      </c>
      <c r="U255" s="103">
        <f t="shared" si="373"/>
        <v>3.1867509739097123E-3</v>
      </c>
      <c r="V255" s="103">
        <f t="shared" si="373"/>
        <v>2.4988903415774917E-3</v>
      </c>
      <c r="W255" s="103">
        <f t="shared" ref="W255:Y255" si="374">IF(W37=0,0,W37/W$31)</f>
        <v>2.4762098182415423E-3</v>
      </c>
      <c r="X255" s="103">
        <f t="shared" si="374"/>
        <v>2.5670324780453328E-3</v>
      </c>
      <c r="Y255" s="103">
        <f t="shared" si="374"/>
        <v>2.6489263832189954E-3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2.9306657124399962E-6</v>
      </c>
      <c r="O256" s="103">
        <f t="shared" si="377"/>
        <v>2.9913428517250472E-6</v>
      </c>
      <c r="P256" s="103">
        <f t="shared" si="377"/>
        <v>1.2077854216499589E-5</v>
      </c>
      <c r="Q256" s="103">
        <f t="shared" si="377"/>
        <v>2.2441271800018474E-5</v>
      </c>
      <c r="R256" s="103">
        <f t="shared" si="377"/>
        <v>8.6840988619311946E-5</v>
      </c>
      <c r="S256" s="103">
        <f t="shared" si="377"/>
        <v>1.7491765955819866E-4</v>
      </c>
      <c r="T256" s="103">
        <f t="shared" si="377"/>
        <v>2.8700736496352667E-4</v>
      </c>
      <c r="U256" s="103">
        <f t="shared" si="377"/>
        <v>3.5336064888933077E-4</v>
      </c>
      <c r="V256" s="103">
        <f t="shared" si="377"/>
        <v>6.5713294841832602E-4</v>
      </c>
      <c r="W256" s="103">
        <f t="shared" ref="W256:Y256" si="378">IF(W38=0,0,W38/W$31)</f>
        <v>9.8938066825124274E-4</v>
      </c>
      <c r="X256" s="103">
        <f t="shared" si="378"/>
        <v>1.5373390569531644E-3</v>
      </c>
      <c r="Y256" s="103">
        <f t="shared" si="378"/>
        <v>2.6106737445549862E-3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9.7527268570984872E-6</v>
      </c>
      <c r="N257" s="103">
        <f t="shared" si="381"/>
        <v>1.0327327999057147E-5</v>
      </c>
      <c r="O257" s="103">
        <f t="shared" si="381"/>
        <v>2.5451493909423737E-5</v>
      </c>
      <c r="P257" s="103">
        <f t="shared" si="381"/>
        <v>5.67434461538889E-5</v>
      </c>
      <c r="Q257" s="103">
        <f t="shared" si="381"/>
        <v>6.8185411878987282E-5</v>
      </c>
      <c r="R257" s="103">
        <f t="shared" si="381"/>
        <v>9.8034416062982004E-5</v>
      </c>
      <c r="S257" s="103">
        <f t="shared" si="381"/>
        <v>1.960305789334296E-4</v>
      </c>
      <c r="T257" s="103">
        <f t="shared" si="381"/>
        <v>3.8692266037769192E-4</v>
      </c>
      <c r="U257" s="103">
        <f t="shared" si="381"/>
        <v>4.6358601592467493E-4</v>
      </c>
      <c r="V257" s="103">
        <f t="shared" si="381"/>
        <v>9.5213314323578681E-4</v>
      </c>
      <c r="W257" s="103">
        <f t="shared" ref="W257:Y257" si="382">IF(W39=0,0,W39/W$31)</f>
        <v>1.5289065597219843E-3</v>
      </c>
      <c r="X257" s="103">
        <f t="shared" si="382"/>
        <v>2.231609264443006E-3</v>
      </c>
      <c r="Y257" s="103">
        <f t="shared" si="382"/>
        <v>3.7643387363906181E-3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2.281155672232104E-2</v>
      </c>
      <c r="C258" s="156">
        <f t="shared" si="383"/>
        <v>2.1907858634470187E-2</v>
      </c>
      <c r="D258" s="156">
        <f t="shared" si="383"/>
        <v>2.081651450098013E-2</v>
      </c>
      <c r="E258" s="156">
        <f t="shared" si="383"/>
        <v>2.150981530954248E-2</v>
      </c>
      <c r="F258" s="156">
        <f t="shared" si="383"/>
        <v>2.0165496703441081E-2</v>
      </c>
      <c r="G258" s="156">
        <f t="shared" si="383"/>
        <v>1.9035202894580196E-2</v>
      </c>
      <c r="H258" s="156">
        <f t="shared" si="383"/>
        <v>1.9270896104466341E-2</v>
      </c>
      <c r="I258" s="156">
        <f t="shared" si="383"/>
        <v>2.3373873239467373E-2</v>
      </c>
      <c r="J258" s="156">
        <f t="shared" si="383"/>
        <v>2.2587351735253419E-2</v>
      </c>
      <c r="K258" s="156">
        <f t="shared" si="383"/>
        <v>2.1470617510623548E-2</v>
      </c>
      <c r="L258" s="156">
        <f t="shared" ref="L258" si="384">IF(L40=0,0,L40/L$31)</f>
        <v>2.0577034972921047E-2</v>
      </c>
      <c r="M258" s="156">
        <f t="shared" ref="M258:V258" si="385">IF(M40=0,0,M40/M$31)</f>
        <v>1.9873098551361913E-2</v>
      </c>
      <c r="N258" s="156">
        <f t="shared" si="385"/>
        <v>1.9879489070748321E-2</v>
      </c>
      <c r="O258" s="156">
        <f t="shared" si="385"/>
        <v>1.9003301671091807E-2</v>
      </c>
      <c r="P258" s="156">
        <f t="shared" si="385"/>
        <v>1.9116497456491771E-2</v>
      </c>
      <c r="Q258" s="156">
        <f t="shared" si="385"/>
        <v>1.8985531591920124E-2</v>
      </c>
      <c r="R258" s="156">
        <f t="shared" si="385"/>
        <v>1.8862714153208893E-2</v>
      </c>
      <c r="S258" s="156">
        <f t="shared" si="385"/>
        <v>1.9634080141815193E-2</v>
      </c>
      <c r="T258" s="156">
        <f t="shared" si="385"/>
        <v>2.0066851202344839E-2</v>
      </c>
      <c r="U258" s="156">
        <f t="shared" si="385"/>
        <v>2.0267431152810999E-2</v>
      </c>
      <c r="V258" s="156">
        <f t="shared" si="385"/>
        <v>1.8893520053699396E-2</v>
      </c>
      <c r="W258" s="156">
        <f t="shared" ref="W258:Y258" si="386">IF(W40=0,0,W40/W$31)</f>
        <v>1.8441826524711852E-2</v>
      </c>
      <c r="X258" s="156">
        <f t="shared" si="386"/>
        <v>1.8973332747979323E-2</v>
      </c>
      <c r="Y258" s="156">
        <f t="shared" si="386"/>
        <v>1.8777162395681349E-2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0</v>
      </c>
      <c r="M259" s="103">
        <f t="shared" ref="M259:V259" si="389">IF(M41=0,0,M41/M$31)</f>
        <v>0</v>
      </c>
      <c r="N259" s="103">
        <f t="shared" si="389"/>
        <v>0</v>
      </c>
      <c r="O259" s="103">
        <f t="shared" si="389"/>
        <v>0</v>
      </c>
      <c r="P259" s="103">
        <f t="shared" si="389"/>
        <v>0</v>
      </c>
      <c r="Q259" s="103">
        <f t="shared" si="389"/>
        <v>0</v>
      </c>
      <c r="R259" s="103">
        <f t="shared" si="389"/>
        <v>0</v>
      </c>
      <c r="S259" s="103">
        <f t="shared" si="389"/>
        <v>0</v>
      </c>
      <c r="T259" s="103">
        <f t="shared" si="389"/>
        <v>0</v>
      </c>
      <c r="U259" s="103">
        <f t="shared" si="389"/>
        <v>0</v>
      </c>
      <c r="V259" s="103">
        <f t="shared" si="389"/>
        <v>0</v>
      </c>
      <c r="W259" s="103">
        <f t="shared" ref="W259:Y259" si="390">IF(W41=0,0,W41/W$31)</f>
        <v>0</v>
      </c>
      <c r="X259" s="103">
        <f t="shared" si="390"/>
        <v>0</v>
      </c>
      <c r="Y259" s="103">
        <f t="shared" si="390"/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2.281155672232104E-2</v>
      </c>
      <c r="C260" s="103">
        <f t="shared" si="391"/>
        <v>2.1907858634470187E-2</v>
      </c>
      <c r="D260" s="103">
        <f t="shared" si="391"/>
        <v>2.081651450098013E-2</v>
      </c>
      <c r="E260" s="103">
        <f t="shared" si="391"/>
        <v>2.150981530954248E-2</v>
      </c>
      <c r="F260" s="103">
        <f t="shared" si="391"/>
        <v>2.0165496703441081E-2</v>
      </c>
      <c r="G260" s="103">
        <f t="shared" si="391"/>
        <v>1.9035202894580196E-2</v>
      </c>
      <c r="H260" s="103">
        <f t="shared" si="391"/>
        <v>1.9270896104466341E-2</v>
      </c>
      <c r="I260" s="103">
        <f t="shared" si="391"/>
        <v>2.3373873239467373E-2</v>
      </c>
      <c r="J260" s="103">
        <f t="shared" si="391"/>
        <v>2.2587351735253419E-2</v>
      </c>
      <c r="K260" s="103">
        <f t="shared" si="391"/>
        <v>2.1470617510623548E-2</v>
      </c>
      <c r="L260" s="103">
        <f t="shared" ref="L260" si="392">IF(L42=0,0,L42/L$31)</f>
        <v>2.0246894446645517E-2</v>
      </c>
      <c r="M260" s="103">
        <f t="shared" ref="M260:V260" si="393">IF(M42=0,0,M42/M$31)</f>
        <v>1.9105152447559406E-2</v>
      </c>
      <c r="N260" s="103">
        <f t="shared" si="393"/>
        <v>1.910550475730869E-2</v>
      </c>
      <c r="O260" s="103">
        <f t="shared" si="393"/>
        <v>1.8251382146479856E-2</v>
      </c>
      <c r="P260" s="103">
        <f t="shared" si="393"/>
        <v>1.8044796567887132E-2</v>
      </c>
      <c r="Q260" s="103">
        <f t="shared" si="393"/>
        <v>1.7674904399508449E-2</v>
      </c>
      <c r="R260" s="103">
        <f t="shared" si="393"/>
        <v>1.6608104301583448E-2</v>
      </c>
      <c r="S260" s="103">
        <f t="shared" si="393"/>
        <v>1.7181621506966401E-2</v>
      </c>
      <c r="T260" s="103">
        <f t="shared" si="393"/>
        <v>1.7469048538140557E-2</v>
      </c>
      <c r="U260" s="103">
        <f t="shared" si="393"/>
        <v>1.7891170011724713E-2</v>
      </c>
      <c r="V260" s="103">
        <f t="shared" si="393"/>
        <v>1.6311331846136871E-2</v>
      </c>
      <c r="W260" s="103">
        <f t="shared" ref="W260:Y260" si="394">IF(W42=0,0,W42/W$31)</f>
        <v>1.590030632176534E-2</v>
      </c>
      <c r="X260" s="103">
        <f t="shared" si="394"/>
        <v>1.6576714006022578E-2</v>
      </c>
      <c r="Y260" s="103">
        <f t="shared" si="394"/>
        <v>1.6414423367996114E-2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0</v>
      </c>
      <c r="R262" s="103">
        <f t="shared" si="401"/>
        <v>6.9797065875490903E-4</v>
      </c>
      <c r="S262" s="103">
        <f t="shared" si="401"/>
        <v>6.8776174728977753E-4</v>
      </c>
      <c r="T262" s="103">
        <f t="shared" si="401"/>
        <v>6.4555320664085524E-4</v>
      </c>
      <c r="U262" s="103">
        <f t="shared" si="401"/>
        <v>3.2140782041294961E-4</v>
      </c>
      <c r="V262" s="103">
        <f t="shared" si="401"/>
        <v>3.3895262004791661E-4</v>
      </c>
      <c r="W262" s="103">
        <f t="shared" ref="W262:Y262" si="402">IF(W44=0,0,W44/W$31)</f>
        <v>3.2873297783524418E-4</v>
      </c>
      <c r="X262" s="103">
        <f t="shared" si="402"/>
        <v>3.3288603955553133E-4</v>
      </c>
      <c r="Y262" s="103">
        <f t="shared" si="402"/>
        <v>3.2447819316157067E-4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3.3014052627552948E-4</v>
      </c>
      <c r="M263" s="103">
        <f t="shared" ref="M263:V263" si="405">IF(M45=0,0,M45/M$31)</f>
        <v>7.6794610380250591E-4</v>
      </c>
      <c r="N263" s="103">
        <f t="shared" si="405"/>
        <v>7.7398431343963039E-4</v>
      </c>
      <c r="O263" s="103">
        <f t="shared" si="405"/>
        <v>7.5191952461195336E-4</v>
      </c>
      <c r="P263" s="103">
        <f t="shared" si="405"/>
        <v>1.0717008886046385E-3</v>
      </c>
      <c r="Q263" s="103">
        <f t="shared" si="405"/>
        <v>1.3106271924116732E-3</v>
      </c>
      <c r="R263" s="103">
        <f t="shared" si="405"/>
        <v>1.5566391928705378E-3</v>
      </c>
      <c r="S263" s="103">
        <f t="shared" si="405"/>
        <v>1.7646968875590122E-3</v>
      </c>
      <c r="T263" s="103">
        <f t="shared" si="405"/>
        <v>1.9522494575634271E-3</v>
      </c>
      <c r="U263" s="103">
        <f t="shared" si="405"/>
        <v>2.0548533206733327E-3</v>
      </c>
      <c r="V263" s="103">
        <f t="shared" si="405"/>
        <v>2.2432355875146091E-3</v>
      </c>
      <c r="W263" s="103">
        <f t="shared" ref="W263:Y263" si="406">IF(W45=0,0,W45/W$31)</f>
        <v>2.2127872251112681E-3</v>
      </c>
      <c r="X263" s="103">
        <f t="shared" si="406"/>
        <v>2.0637327024012131E-3</v>
      </c>
      <c r="Y263" s="103">
        <f t="shared" si="406"/>
        <v>2.0382608345236616E-3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0.72863027326120966</v>
      </c>
      <c r="C265" s="154">
        <f t="shared" si="411"/>
        <v>0.7179860936768877</v>
      </c>
      <c r="D265" s="154">
        <f t="shared" si="411"/>
        <v>0.65695258530265666</v>
      </c>
      <c r="E265" s="154">
        <f t="shared" si="411"/>
        <v>0.64516928418584629</v>
      </c>
      <c r="F265" s="154">
        <f t="shared" si="411"/>
        <v>0.63115670492073184</v>
      </c>
      <c r="G265" s="154">
        <f t="shared" si="411"/>
        <v>0.63288202934519888</v>
      </c>
      <c r="H265" s="154">
        <f t="shared" si="411"/>
        <v>0.60886952236563896</v>
      </c>
      <c r="I265" s="154">
        <f t="shared" si="411"/>
        <v>0.61232045819109526</v>
      </c>
      <c r="J265" s="154">
        <f t="shared" si="411"/>
        <v>0.59192017199490987</v>
      </c>
      <c r="K265" s="154">
        <f t="shared" si="411"/>
        <v>0.64257190748477877</v>
      </c>
      <c r="L265" s="154">
        <f t="shared" ref="L265" si="412">IF(L47=0,0,L47/L$46)</f>
        <v>0.59648256097726016</v>
      </c>
      <c r="M265" s="154">
        <f t="shared" ref="M265:V265" si="413">IF(M47=0,0,M47/M$46)</f>
        <v>0.60044370260646751</v>
      </c>
      <c r="N265" s="154">
        <f t="shared" si="413"/>
        <v>0.62259070957111795</v>
      </c>
      <c r="O265" s="154">
        <f t="shared" si="413"/>
        <v>0.60179772688237454</v>
      </c>
      <c r="P265" s="154">
        <f t="shared" si="413"/>
        <v>0.55122142861631263</v>
      </c>
      <c r="Q265" s="154">
        <f t="shared" si="413"/>
        <v>0.59535981556728335</v>
      </c>
      <c r="R265" s="154">
        <f t="shared" si="413"/>
        <v>0.54321798867138638</v>
      </c>
      <c r="S265" s="154">
        <f t="shared" si="413"/>
        <v>0.53337077477871142</v>
      </c>
      <c r="T265" s="154">
        <f t="shared" si="413"/>
        <v>0.54119663079098179</v>
      </c>
      <c r="U265" s="154">
        <f t="shared" si="413"/>
        <v>0.51422211626415182</v>
      </c>
      <c r="V265" s="154">
        <f t="shared" si="413"/>
        <v>0.5271847240843287</v>
      </c>
      <c r="W265" s="154">
        <f t="shared" ref="W265:Y265" si="414">IF(W47=0,0,W47/W$46)</f>
        <v>0.53846981854915776</v>
      </c>
      <c r="X265" s="154">
        <f t="shared" si="414"/>
        <v>0.52435921956951514</v>
      </c>
      <c r="Y265" s="154">
        <f t="shared" si="414"/>
        <v>0.53016027733551818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0.24805329686435107</v>
      </c>
      <c r="C266" s="103">
        <f t="shared" si="415"/>
        <v>0.24414056178717222</v>
      </c>
      <c r="D266" s="103">
        <f t="shared" si="415"/>
        <v>0.22595942956130971</v>
      </c>
      <c r="E266" s="103">
        <f t="shared" si="415"/>
        <v>0.22243295774423053</v>
      </c>
      <c r="F266" s="103">
        <f t="shared" si="415"/>
        <v>0.255741359154461</v>
      </c>
      <c r="G266" s="103">
        <f t="shared" si="415"/>
        <v>0.24209003639850241</v>
      </c>
      <c r="H266" s="103">
        <f t="shared" si="415"/>
        <v>0.23844198154820415</v>
      </c>
      <c r="I266" s="103">
        <f t="shared" si="415"/>
        <v>0.22590717940499105</v>
      </c>
      <c r="J266" s="103">
        <f t="shared" si="415"/>
        <v>0.2130306909070756</v>
      </c>
      <c r="K266" s="103">
        <f t="shared" si="415"/>
        <v>0.21225674880990414</v>
      </c>
      <c r="L266" s="103">
        <f t="shared" ref="L266" si="416">IF(L48=0,0,L48/L$46)</f>
        <v>0.14915872849977505</v>
      </c>
      <c r="M266" s="103">
        <f t="shared" ref="M266:V266" si="417">IF(M48=0,0,M48/M$46)</f>
        <v>0.14926601345697996</v>
      </c>
      <c r="N266" s="103">
        <f t="shared" si="417"/>
        <v>0.15044085911679075</v>
      </c>
      <c r="O266" s="103">
        <f t="shared" si="417"/>
        <v>0.16248913613867197</v>
      </c>
      <c r="P266" s="103">
        <f t="shared" si="417"/>
        <v>0.15785620468321948</v>
      </c>
      <c r="Q266" s="103">
        <f t="shared" si="417"/>
        <v>0.17027789823105041</v>
      </c>
      <c r="R266" s="103">
        <f t="shared" si="417"/>
        <v>0.18451810090276546</v>
      </c>
      <c r="S266" s="103">
        <f t="shared" si="417"/>
        <v>0.16112755134031007</v>
      </c>
      <c r="T266" s="103">
        <f t="shared" si="417"/>
        <v>0.15782931886051355</v>
      </c>
      <c r="U266" s="103">
        <f t="shared" si="417"/>
        <v>0.12851664072366875</v>
      </c>
      <c r="V266" s="103">
        <f t="shared" si="417"/>
        <v>0.12963742118793775</v>
      </c>
      <c r="W266" s="103">
        <f t="shared" ref="W266:Y266" si="418">IF(W48=0,0,W48/W$46)</f>
        <v>0.13044878946351113</v>
      </c>
      <c r="X266" s="103">
        <f t="shared" si="418"/>
        <v>0.12514595453664284</v>
      </c>
      <c r="Y266" s="103">
        <f t="shared" si="418"/>
        <v>0.12454582321557565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0.48057697639685859</v>
      </c>
      <c r="C267" s="103">
        <f t="shared" si="419"/>
        <v>0.47384553188971551</v>
      </c>
      <c r="D267" s="103">
        <f t="shared" si="419"/>
        <v>0.430993155741347</v>
      </c>
      <c r="E267" s="103">
        <f t="shared" si="419"/>
        <v>0.42273632644161574</v>
      </c>
      <c r="F267" s="103">
        <f t="shared" si="419"/>
        <v>0.37541534576627078</v>
      </c>
      <c r="G267" s="103">
        <f t="shared" si="419"/>
        <v>0.39079199294669642</v>
      </c>
      <c r="H267" s="103">
        <f t="shared" si="419"/>
        <v>0.37042754081743484</v>
      </c>
      <c r="I267" s="103">
        <f t="shared" si="419"/>
        <v>0.38641327878610421</v>
      </c>
      <c r="J267" s="103">
        <f t="shared" si="419"/>
        <v>0.37888948108783427</v>
      </c>
      <c r="K267" s="103">
        <f t="shared" si="419"/>
        <v>0.43031515867487469</v>
      </c>
      <c r="L267" s="103">
        <f t="shared" ref="L267" si="420">IF(L49=0,0,L49/L$46)</f>
        <v>0.44732383247748508</v>
      </c>
      <c r="M267" s="103">
        <f t="shared" ref="M267:V267" si="421">IF(M49=0,0,M49/M$46)</f>
        <v>0.45117768914948758</v>
      </c>
      <c r="N267" s="103">
        <f t="shared" si="421"/>
        <v>0.47212107323106428</v>
      </c>
      <c r="O267" s="103">
        <f t="shared" si="421"/>
        <v>0.43926577637284347</v>
      </c>
      <c r="P267" s="103">
        <f t="shared" si="421"/>
        <v>0.38664995361941462</v>
      </c>
      <c r="Q267" s="103">
        <f t="shared" si="421"/>
        <v>0.41868430323570932</v>
      </c>
      <c r="R267" s="103">
        <f t="shared" si="421"/>
        <v>0.35133849356322627</v>
      </c>
      <c r="S267" s="103">
        <f t="shared" si="421"/>
        <v>0.36471384930237005</v>
      </c>
      <c r="T267" s="103">
        <f t="shared" si="421"/>
        <v>0.37484085152744701</v>
      </c>
      <c r="U267" s="103">
        <f t="shared" si="421"/>
        <v>0.37699786938449548</v>
      </c>
      <c r="V267" s="103">
        <f t="shared" si="421"/>
        <v>0.38796816716428939</v>
      </c>
      <c r="W267" s="103">
        <f t="shared" ref="W267:Y267" si="422">IF(W49=0,0,W49/W$46)</f>
        <v>0.39828315834188127</v>
      </c>
      <c r="X267" s="103">
        <f t="shared" si="422"/>
        <v>0.3898117119784843</v>
      </c>
      <c r="Y267" s="103">
        <f t="shared" si="422"/>
        <v>0.39577960890481989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1.5722607906844776E-5</v>
      </c>
      <c r="O268" s="103">
        <f t="shared" si="425"/>
        <v>1.2178780106959104E-5</v>
      </c>
      <c r="P268" s="103">
        <f t="shared" si="425"/>
        <v>6.6836776518293551E-3</v>
      </c>
      <c r="Q268" s="103">
        <f t="shared" si="425"/>
        <v>6.3571252718411294E-3</v>
      </c>
      <c r="R268" s="103">
        <f t="shared" si="425"/>
        <v>6.7950591211358123E-3</v>
      </c>
      <c r="S268" s="103">
        <f t="shared" si="425"/>
        <v>6.9180927155405615E-3</v>
      </c>
      <c r="T268" s="103">
        <f t="shared" si="425"/>
        <v>7.4129161668791471E-3</v>
      </c>
      <c r="U268" s="103">
        <f t="shared" si="425"/>
        <v>7.4613974701672574E-3</v>
      </c>
      <c r="V268" s="103">
        <f t="shared" si="425"/>
        <v>7.7506768211058133E-3</v>
      </c>
      <c r="W268" s="103">
        <f t="shared" ref="W268:Y268" si="426">IF(W50=0,0,W50/W$46)</f>
        <v>7.7953058899797615E-3</v>
      </c>
      <c r="X268" s="103">
        <f t="shared" si="426"/>
        <v>7.4747007767594345E-3</v>
      </c>
      <c r="Y268" s="103">
        <f t="shared" si="426"/>
        <v>7.3870408279995683E-3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1.3054615355981918E-5</v>
      </c>
      <c r="O269" s="103">
        <f t="shared" si="429"/>
        <v>2.5482605218768738E-5</v>
      </c>
      <c r="P269" s="103">
        <f t="shared" si="429"/>
        <v>2.0917400891875794E-5</v>
      </c>
      <c r="Q269" s="103">
        <f t="shared" si="429"/>
        <v>2.5579818751244798E-5</v>
      </c>
      <c r="R269" s="103">
        <f t="shared" si="429"/>
        <v>5.3742664795661255E-4</v>
      </c>
      <c r="S269" s="103">
        <f t="shared" si="429"/>
        <v>5.4793908647969938E-4</v>
      </c>
      <c r="T269" s="103">
        <f t="shared" si="429"/>
        <v>9.2098607880016024E-4</v>
      </c>
      <c r="U269" s="103">
        <f t="shared" si="429"/>
        <v>1.0513171736852695E-3</v>
      </c>
      <c r="V269" s="103">
        <f t="shared" si="429"/>
        <v>1.5899354537549108E-3</v>
      </c>
      <c r="W269" s="103">
        <f t="shared" ref="W269:Y269" si="430">IF(W51=0,0,W51/W$46)</f>
        <v>1.5990904398946423E-3</v>
      </c>
      <c r="X269" s="103">
        <f t="shared" si="430"/>
        <v>1.5333230949350339E-3</v>
      </c>
      <c r="Y269" s="103">
        <f t="shared" si="430"/>
        <v>1.5175839230712523E-3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0</v>
      </c>
      <c r="O270" s="103">
        <f t="shared" si="433"/>
        <v>5.1529855332878476E-6</v>
      </c>
      <c r="P270" s="103">
        <f t="shared" si="433"/>
        <v>1.0675260957370108E-5</v>
      </c>
      <c r="Q270" s="103">
        <f t="shared" si="433"/>
        <v>1.4909009931169767E-5</v>
      </c>
      <c r="R270" s="103">
        <f t="shared" si="433"/>
        <v>2.890843630219479E-5</v>
      </c>
      <c r="S270" s="103">
        <f t="shared" si="433"/>
        <v>6.3342334011085938E-5</v>
      </c>
      <c r="T270" s="103">
        <f t="shared" si="433"/>
        <v>1.9255815734199396E-4</v>
      </c>
      <c r="U270" s="103">
        <f t="shared" si="433"/>
        <v>1.9489151213508002E-4</v>
      </c>
      <c r="V270" s="103">
        <f t="shared" si="433"/>
        <v>2.385234572408686E-4</v>
      </c>
      <c r="W270" s="103">
        <f t="shared" ref="W270:Y270" si="434">IF(W52=0,0,W52/W$46)</f>
        <v>3.4347441389094574E-4</v>
      </c>
      <c r="X270" s="103">
        <f t="shared" si="434"/>
        <v>3.9352918269352924E-4</v>
      </c>
      <c r="Y270" s="103">
        <f t="shared" si="434"/>
        <v>9.3022046405178934E-4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0.27136972673879034</v>
      </c>
      <c r="C271" s="156">
        <f t="shared" si="435"/>
        <v>0.2820139063231123</v>
      </c>
      <c r="D271" s="156">
        <f t="shared" si="435"/>
        <v>0.34304741469734329</v>
      </c>
      <c r="E271" s="156">
        <f t="shared" si="435"/>
        <v>0.35483071581415371</v>
      </c>
      <c r="F271" s="156">
        <f t="shared" si="435"/>
        <v>0.36884329507926811</v>
      </c>
      <c r="G271" s="156">
        <f t="shared" si="435"/>
        <v>0.36711797065480106</v>
      </c>
      <c r="H271" s="156">
        <f t="shared" si="435"/>
        <v>0.39113047763436104</v>
      </c>
      <c r="I271" s="156">
        <f t="shared" si="435"/>
        <v>0.38767954180890474</v>
      </c>
      <c r="J271" s="156">
        <f t="shared" si="435"/>
        <v>0.40807982800509024</v>
      </c>
      <c r="K271" s="156">
        <f t="shared" si="435"/>
        <v>0.35742809251522112</v>
      </c>
      <c r="L271" s="156">
        <f t="shared" ref="L271" si="436">IF(L53=0,0,L53/L$46)</f>
        <v>0.4035174390227399</v>
      </c>
      <c r="M271" s="156">
        <f t="shared" ref="M271:V271" si="437">IF(M53=0,0,M53/M$46)</f>
        <v>0.39955629739353249</v>
      </c>
      <c r="N271" s="156">
        <f t="shared" si="437"/>
        <v>0.37740929042888199</v>
      </c>
      <c r="O271" s="156">
        <f t="shared" si="437"/>
        <v>0.39820227311762552</v>
      </c>
      <c r="P271" s="156">
        <f t="shared" si="437"/>
        <v>0.44877857138368737</v>
      </c>
      <c r="Q271" s="156">
        <f t="shared" si="437"/>
        <v>0.40464018443271665</v>
      </c>
      <c r="R271" s="156">
        <f t="shared" si="437"/>
        <v>0.45678201132861362</v>
      </c>
      <c r="S271" s="156">
        <f t="shared" si="437"/>
        <v>0.46662922522128858</v>
      </c>
      <c r="T271" s="156">
        <f t="shared" si="437"/>
        <v>0.45880336920901826</v>
      </c>
      <c r="U271" s="156">
        <f t="shared" si="437"/>
        <v>0.48577788373584813</v>
      </c>
      <c r="V271" s="156">
        <f t="shared" si="437"/>
        <v>0.4728152759156713</v>
      </c>
      <c r="W271" s="156">
        <f t="shared" ref="W271:Y271" si="438">IF(W53=0,0,W53/W$46)</f>
        <v>0.46153018145084229</v>
      </c>
      <c r="X271" s="156">
        <f t="shared" si="438"/>
        <v>0.47564078043048486</v>
      </c>
      <c r="Y271" s="156">
        <f t="shared" si="438"/>
        <v>0.46983972266448171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0.16398405997129684</v>
      </c>
      <c r="C272" s="104">
        <f t="shared" si="439"/>
        <v>0.17157627796865274</v>
      </c>
      <c r="D272" s="104">
        <f t="shared" si="439"/>
        <v>0.23833809760464356</v>
      </c>
      <c r="E272" s="104">
        <f t="shared" si="439"/>
        <v>0.24935637417011797</v>
      </c>
      <c r="F272" s="104">
        <f t="shared" si="439"/>
        <v>0.25443714551832164</v>
      </c>
      <c r="G272" s="104">
        <f t="shared" si="439"/>
        <v>0.25661772415420669</v>
      </c>
      <c r="H272" s="104">
        <f t="shared" si="439"/>
        <v>0.27911469647765252</v>
      </c>
      <c r="I272" s="104">
        <f t="shared" si="439"/>
        <v>0.26468094965763195</v>
      </c>
      <c r="J272" s="104">
        <f t="shared" si="439"/>
        <v>0.29896538916728105</v>
      </c>
      <c r="K272" s="104">
        <f t="shared" si="439"/>
        <v>0.25117138893354091</v>
      </c>
      <c r="L272" s="104">
        <f t="shared" ref="L272" si="440">IF(L54=0,0,L54/L$46)</f>
        <v>0.30187670719299903</v>
      </c>
      <c r="M272" s="104">
        <f t="shared" ref="M272:V272" si="441">IF(M54=0,0,M54/M$46)</f>
        <v>0.29307205720508783</v>
      </c>
      <c r="N272" s="104">
        <f t="shared" si="441"/>
        <v>0.27068652235497798</v>
      </c>
      <c r="O272" s="104">
        <f t="shared" si="441"/>
        <v>0.27529695455762437</v>
      </c>
      <c r="P272" s="104">
        <f t="shared" si="441"/>
        <v>0.31918719452651567</v>
      </c>
      <c r="Q272" s="104">
        <f t="shared" si="441"/>
        <v>0.27172398687568711</v>
      </c>
      <c r="R272" s="104">
        <f t="shared" si="441"/>
        <v>0.31786295284049065</v>
      </c>
      <c r="S272" s="104">
        <f t="shared" si="441"/>
        <v>0.32032227526868473</v>
      </c>
      <c r="T272" s="104">
        <f t="shared" si="441"/>
        <v>0.30993277213669645</v>
      </c>
      <c r="U272" s="104">
        <f t="shared" si="441"/>
        <v>0.33714805985911012</v>
      </c>
      <c r="V272" s="104">
        <f t="shared" si="441"/>
        <v>0.3274899790416797</v>
      </c>
      <c r="W272" s="104">
        <f t="shared" ref="W272:Y272" si="442">IF(W54=0,0,W54/W$46)</f>
        <v>0.31425967325508281</v>
      </c>
      <c r="X272" s="104">
        <f t="shared" si="442"/>
        <v>0.32236930309767792</v>
      </c>
      <c r="Y272" s="104">
        <f t="shared" si="442"/>
        <v>0.32265383428806649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0.10738566676749346</v>
      </c>
      <c r="C273" s="105">
        <f t="shared" si="443"/>
        <v>0.11043762835445954</v>
      </c>
      <c r="D273" s="105">
        <f t="shared" si="443"/>
        <v>0.10470931709269971</v>
      </c>
      <c r="E273" s="105">
        <f t="shared" si="443"/>
        <v>0.10547434164403575</v>
      </c>
      <c r="F273" s="105">
        <f t="shared" si="443"/>
        <v>0.1144061495609465</v>
      </c>
      <c r="G273" s="105">
        <f t="shared" si="443"/>
        <v>0.1105002465005944</v>
      </c>
      <c r="H273" s="105">
        <f t="shared" si="443"/>
        <v>0.11201578115670852</v>
      </c>
      <c r="I273" s="105">
        <f t="shared" si="443"/>
        <v>0.12299859215127279</v>
      </c>
      <c r="J273" s="105">
        <f t="shared" si="443"/>
        <v>0.10911443883780918</v>
      </c>
      <c r="K273" s="105">
        <f t="shared" si="443"/>
        <v>0.1062567035816802</v>
      </c>
      <c r="L273" s="105">
        <f t="shared" ref="L273" si="444">IF(L55=0,0,L55/L$46)</f>
        <v>0.10164073182974083</v>
      </c>
      <c r="M273" s="105">
        <f t="shared" ref="M273:V273" si="445">IF(M55=0,0,M55/M$46)</f>
        <v>0.1064842401884447</v>
      </c>
      <c r="N273" s="105">
        <f t="shared" si="445"/>
        <v>0.10672276807390402</v>
      </c>
      <c r="O273" s="105">
        <f t="shared" si="445"/>
        <v>0.12290531856000116</v>
      </c>
      <c r="P273" s="105">
        <f t="shared" si="445"/>
        <v>0.1295913768571717</v>
      </c>
      <c r="Q273" s="105">
        <f t="shared" si="445"/>
        <v>0.1329161975570296</v>
      </c>
      <c r="R273" s="105">
        <f t="shared" si="445"/>
        <v>0.138919058488123</v>
      </c>
      <c r="S273" s="105">
        <f t="shared" si="445"/>
        <v>0.14630694995260382</v>
      </c>
      <c r="T273" s="105">
        <f t="shared" si="445"/>
        <v>0.14887059707232175</v>
      </c>
      <c r="U273" s="105">
        <f t="shared" si="445"/>
        <v>0.14862982387673801</v>
      </c>
      <c r="V273" s="105">
        <f t="shared" si="445"/>
        <v>0.14532529687399157</v>
      </c>
      <c r="W273" s="105">
        <f t="shared" ref="W273:Y273" si="446">IF(W55=0,0,W55/W$46)</f>
        <v>0.14727050819575949</v>
      </c>
      <c r="X273" s="105">
        <f t="shared" si="446"/>
        <v>0.15327147733280688</v>
      </c>
      <c r="Y273" s="105">
        <f t="shared" si="446"/>
        <v>0.14718588837641522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1324.150578675838</v>
      </c>
      <c r="C4" s="145">
        <f t="shared" si="0"/>
        <v>1357.2951521926054</v>
      </c>
      <c r="D4" s="145">
        <f t="shared" si="0"/>
        <v>1673.6791772227</v>
      </c>
      <c r="E4" s="145">
        <f t="shared" si="0"/>
        <v>1506.6519750644884</v>
      </c>
      <c r="F4" s="145">
        <f t="shared" si="0"/>
        <v>1492.0246775580395</v>
      </c>
      <c r="G4" s="145">
        <f t="shared" si="0"/>
        <v>1682.3166792777299</v>
      </c>
      <c r="H4" s="145">
        <f t="shared" si="0"/>
        <v>1739.6046474634563</v>
      </c>
      <c r="I4" s="145">
        <f t="shared" si="0"/>
        <v>1924.4416053310404</v>
      </c>
      <c r="J4" s="145">
        <f t="shared" si="0"/>
        <v>2063.7231762682709</v>
      </c>
      <c r="K4" s="145">
        <f t="shared" si="0"/>
        <v>1851.5338194325016</v>
      </c>
      <c r="L4" s="145">
        <f t="shared" ref="L4" si="1">L5+L9+L10+L15</f>
        <v>2147.8560382439887</v>
      </c>
      <c r="M4" s="145">
        <f t="shared" ref="M4:V4" si="2">M5+M9+M10+M15</f>
        <v>2111.5767606266554</v>
      </c>
      <c r="N4" s="145">
        <f t="shared" si="2"/>
        <v>2046.987169084528</v>
      </c>
      <c r="O4" s="145">
        <f t="shared" si="2"/>
        <v>2045.9210118455237</v>
      </c>
      <c r="P4" s="145">
        <f t="shared" si="2"/>
        <v>2032.5527830439432</v>
      </c>
      <c r="Q4" s="145">
        <f t="shared" si="2"/>
        <v>2022.8604282636313</v>
      </c>
      <c r="R4" s="145">
        <f t="shared" si="2"/>
        <v>2232.4346464583691</v>
      </c>
      <c r="S4" s="145">
        <f t="shared" si="2"/>
        <v>2568.6807667756261</v>
      </c>
      <c r="T4" s="145">
        <f t="shared" si="2"/>
        <v>2559.7910759465585</v>
      </c>
      <c r="U4" s="145">
        <f t="shared" si="2"/>
        <v>2557.5034246109944</v>
      </c>
      <c r="V4" s="145">
        <f t="shared" si="2"/>
        <v>2362.3420739670764</v>
      </c>
      <c r="W4" s="145">
        <f t="shared" ref="W4:Y4" si="3">W5+W9+W10+W15</f>
        <v>2505.8744920464787</v>
      </c>
      <c r="X4" s="145">
        <f t="shared" si="3"/>
        <v>2582.187867257167</v>
      </c>
      <c r="Y4" s="145">
        <f t="shared" si="3"/>
        <v>2553.1975259153787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1324.150578675838</v>
      </c>
      <c r="C5" s="97">
        <f t="shared" si="4"/>
        <v>1321.5132089423903</v>
      </c>
      <c r="D5" s="97">
        <f t="shared" si="4"/>
        <v>1669.3369588220121</v>
      </c>
      <c r="E5" s="97">
        <f t="shared" si="4"/>
        <v>1500.7119062768702</v>
      </c>
      <c r="F5" s="97">
        <f t="shared" si="4"/>
        <v>1485.1315563198623</v>
      </c>
      <c r="G5" s="97">
        <f t="shared" si="4"/>
        <v>1663.2615631986241</v>
      </c>
      <c r="H5" s="97">
        <f t="shared" si="4"/>
        <v>1690.6097205503008</v>
      </c>
      <c r="I5" s="97">
        <f t="shared" si="4"/>
        <v>1845.2299114359414</v>
      </c>
      <c r="J5" s="97">
        <f t="shared" si="4"/>
        <v>1981.4758847807389</v>
      </c>
      <c r="K5" s="97">
        <f t="shared" si="4"/>
        <v>1758.8902252794492</v>
      </c>
      <c r="L5" s="97">
        <f t="shared" ref="L5" si="5">SUM(L6:L8)</f>
        <v>2038.8554600171969</v>
      </c>
      <c r="M5" s="97">
        <f t="shared" ref="M5:V5" si="6">SUM(M6:M8)</f>
        <v>1999.6812553740324</v>
      </c>
      <c r="N5" s="97">
        <f t="shared" si="6"/>
        <v>1943.5412459157355</v>
      </c>
      <c r="O5" s="97">
        <f t="shared" si="6"/>
        <v>1936.1782785898542</v>
      </c>
      <c r="P5" s="97">
        <f t="shared" si="6"/>
        <v>1885.2801435941533</v>
      </c>
      <c r="Q5" s="97">
        <f t="shared" si="6"/>
        <v>1865.2171762682719</v>
      </c>
      <c r="R5" s="97">
        <f t="shared" si="6"/>
        <v>2073.278269131556</v>
      </c>
      <c r="S5" s="97">
        <f t="shared" si="6"/>
        <v>2403.7935674978507</v>
      </c>
      <c r="T5" s="97">
        <f t="shared" si="6"/>
        <v>2394.2662656921748</v>
      </c>
      <c r="U5" s="97">
        <f t="shared" si="6"/>
        <v>2384.0605795356832</v>
      </c>
      <c r="V5" s="97">
        <f t="shared" si="6"/>
        <v>2189.3816921754087</v>
      </c>
      <c r="W5" s="97">
        <f t="shared" ref="W5:Y5" si="7">SUM(W6:W8)</f>
        <v>2326.5386139294924</v>
      </c>
      <c r="X5" s="97">
        <f t="shared" si="7"/>
        <v>2392.1783877901971</v>
      </c>
      <c r="Y5" s="97">
        <f t="shared" si="7"/>
        <v>2369.1535769561483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1.098710232158211</v>
      </c>
      <c r="H6" s="97">
        <v>1.098710232158211</v>
      </c>
      <c r="I6" s="97">
        <v>1.098710232158211</v>
      </c>
      <c r="J6" s="97">
        <v>1.098710232158211</v>
      </c>
      <c r="K6" s="97">
        <v>1.098710232158211</v>
      </c>
      <c r="L6" s="97">
        <v>2.1974204643164228</v>
      </c>
      <c r="M6" s="97">
        <v>31.862080825451411</v>
      </c>
      <c r="N6" s="97">
        <v>34.059415305245047</v>
      </c>
      <c r="O6" s="97">
        <v>36.256835769561476</v>
      </c>
      <c r="P6" s="97">
        <v>32.960705073086842</v>
      </c>
      <c r="Q6" s="97">
        <v>37.355460017196897</v>
      </c>
      <c r="R6" s="97">
        <v>36.256835769561476</v>
      </c>
      <c r="S6" s="97">
        <v>34.059415305245047</v>
      </c>
      <c r="T6" s="97">
        <v>35.158125537403272</v>
      </c>
      <c r="U6" s="97">
        <v>35.158125537403272</v>
      </c>
      <c r="V6" s="97">
        <v>34.059415305245047</v>
      </c>
      <c r="W6" s="97">
        <v>37.355460017196897</v>
      </c>
      <c r="X6" s="97">
        <v>37.355460017196897</v>
      </c>
      <c r="Y6" s="97">
        <v>38.454170249355109</v>
      </c>
      <c r="DA6" s="175" t="s">
        <v>630</v>
      </c>
    </row>
    <row r="7" spans="1:105" ht="11.45" customHeight="1" x14ac:dyDescent="0.25">
      <c r="A7" s="128" t="s">
        <v>53</v>
      </c>
      <c r="B7" s="97">
        <v>605.00859845227853</v>
      </c>
      <c r="C7" s="97">
        <v>635.47532244196043</v>
      </c>
      <c r="D7" s="97">
        <v>748.18478073946676</v>
      </c>
      <c r="E7" s="97">
        <v>693.59415305245057</v>
      </c>
      <c r="F7" s="97">
        <v>633.3849527085124</v>
      </c>
      <c r="G7" s="97">
        <v>666.83095442820286</v>
      </c>
      <c r="H7" s="97">
        <v>631.85717970765256</v>
      </c>
      <c r="I7" s="97">
        <v>640.71590713671537</v>
      </c>
      <c r="J7" s="97">
        <v>679.24909716251068</v>
      </c>
      <c r="K7" s="97">
        <v>610.5023215821152</v>
      </c>
      <c r="L7" s="97">
        <v>599.50017196904548</v>
      </c>
      <c r="M7" s="97">
        <v>569.88873602751494</v>
      </c>
      <c r="N7" s="97">
        <v>554.74204643164228</v>
      </c>
      <c r="O7" s="97">
        <v>562.67962166809968</v>
      </c>
      <c r="P7" s="97">
        <v>551.59140154772138</v>
      </c>
      <c r="Q7" s="97">
        <v>576.81160791057607</v>
      </c>
      <c r="R7" s="97">
        <v>609.30894239036968</v>
      </c>
      <c r="S7" s="97">
        <v>609.18409286328449</v>
      </c>
      <c r="T7" s="97">
        <v>570.84402407566631</v>
      </c>
      <c r="U7" s="97">
        <v>548.80773860705074</v>
      </c>
      <c r="V7" s="97">
        <v>503.66294067067929</v>
      </c>
      <c r="W7" s="97">
        <v>513.05993121238168</v>
      </c>
      <c r="X7" s="97">
        <v>539.24084264832322</v>
      </c>
      <c r="Y7" s="97">
        <v>582.18796216680994</v>
      </c>
      <c r="DA7" s="175" t="s">
        <v>631</v>
      </c>
    </row>
    <row r="8" spans="1:105" ht="11.45" customHeight="1" x14ac:dyDescent="0.25">
      <c r="A8" s="128" t="s">
        <v>54</v>
      </c>
      <c r="B8" s="97">
        <v>719.14198022355959</v>
      </c>
      <c r="C8" s="97">
        <v>686.03788650042986</v>
      </c>
      <c r="D8" s="97">
        <v>921.15217808254522</v>
      </c>
      <c r="E8" s="97">
        <v>807.11775322441952</v>
      </c>
      <c r="F8" s="97">
        <v>851.74660361134988</v>
      </c>
      <c r="G8" s="97">
        <v>995.33189853826298</v>
      </c>
      <c r="H8" s="97">
        <v>1057.6538306104901</v>
      </c>
      <c r="I8" s="97">
        <v>1203.4152940670679</v>
      </c>
      <c r="J8" s="97">
        <v>1301.1280773860699</v>
      </c>
      <c r="K8" s="97">
        <v>1147.2891934651759</v>
      </c>
      <c r="L8" s="97">
        <v>1437.157867583835</v>
      </c>
      <c r="M8" s="97">
        <v>1397.930438521066</v>
      </c>
      <c r="N8" s="97">
        <v>1354.7397841788481</v>
      </c>
      <c r="O8" s="97">
        <v>1337.2418211521931</v>
      </c>
      <c r="P8" s="97">
        <v>1300.7280369733451</v>
      </c>
      <c r="Q8" s="97">
        <v>1251.050108340499</v>
      </c>
      <c r="R8" s="97">
        <v>1427.7124909716249</v>
      </c>
      <c r="S8" s="97">
        <v>1760.5500593293211</v>
      </c>
      <c r="T8" s="97">
        <v>1788.264116079105</v>
      </c>
      <c r="U8" s="97">
        <v>1800.0947153912291</v>
      </c>
      <c r="V8" s="97">
        <v>1651.6593361994842</v>
      </c>
      <c r="W8" s="97">
        <v>1776.1232226999139</v>
      </c>
      <c r="X8" s="97">
        <v>1815.582085124677</v>
      </c>
      <c r="Y8" s="97">
        <v>1748.5114445399831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3.1169389509888221</v>
      </c>
      <c r="D9" s="97">
        <v>1.3327601031814269</v>
      </c>
      <c r="E9" s="97">
        <v>3.9337919174548581</v>
      </c>
      <c r="F9" s="97">
        <v>5.8899398108340497</v>
      </c>
      <c r="G9" s="97">
        <v>7.8890799656061903</v>
      </c>
      <c r="H9" s="97">
        <v>4.6216680997420463</v>
      </c>
      <c r="I9" s="97">
        <v>18.14273430782459</v>
      </c>
      <c r="J9" s="97">
        <v>8.104041272570937</v>
      </c>
      <c r="K9" s="97">
        <v>7.9320722269991393</v>
      </c>
      <c r="L9" s="97">
        <v>9.8452278589853819</v>
      </c>
      <c r="M9" s="97">
        <v>10.834049871023209</v>
      </c>
      <c r="N9" s="97">
        <v>9.0928632846087698</v>
      </c>
      <c r="O9" s="97">
        <v>7.308684436801375</v>
      </c>
      <c r="P9" s="97">
        <v>8.4909716251074805</v>
      </c>
      <c r="Q9" s="97">
        <v>7.6311263972484946</v>
      </c>
      <c r="R9" s="97">
        <v>7.0937231298366292</v>
      </c>
      <c r="S9" s="97">
        <v>7.0722269991401543</v>
      </c>
      <c r="T9" s="97">
        <v>6.212295786758383</v>
      </c>
      <c r="U9" s="97">
        <v>6.5564058469475492</v>
      </c>
      <c r="V9" s="97">
        <v>7.523731728288908</v>
      </c>
      <c r="W9" s="97">
        <v>7.308684436801375</v>
      </c>
      <c r="X9" s="97">
        <v>8.104041272570937</v>
      </c>
      <c r="Y9" s="97">
        <v>7.4806534823731727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32.66500429922614</v>
      </c>
      <c r="D10" s="97">
        <f t="shared" si="8"/>
        <v>3.0094582975064492</v>
      </c>
      <c r="E10" s="97">
        <f t="shared" si="8"/>
        <v>2.00627687016337</v>
      </c>
      <c r="F10" s="97">
        <f t="shared" si="8"/>
        <v>1.0031814273430779</v>
      </c>
      <c r="G10" s="97">
        <f t="shared" si="8"/>
        <v>11.166036113499571</v>
      </c>
      <c r="H10" s="97">
        <f t="shared" si="8"/>
        <v>44.373258813413592</v>
      </c>
      <c r="I10" s="97">
        <f t="shared" si="8"/>
        <v>61.068959587274279</v>
      </c>
      <c r="J10" s="97">
        <f t="shared" si="8"/>
        <v>74.143250214961299</v>
      </c>
      <c r="K10" s="97">
        <f t="shared" si="8"/>
        <v>84.711521926053308</v>
      </c>
      <c r="L10" s="97">
        <f t="shared" si="8"/>
        <v>97.688134135855535</v>
      </c>
      <c r="M10" s="97">
        <f t="shared" si="8"/>
        <v>97.659071367153913</v>
      </c>
      <c r="N10" s="97">
        <f t="shared" si="8"/>
        <v>90.935769561478921</v>
      </c>
      <c r="O10" s="97">
        <f t="shared" si="8"/>
        <v>99.061306964746336</v>
      </c>
      <c r="P10" s="97">
        <f t="shared" si="8"/>
        <v>133.86526225279445</v>
      </c>
      <c r="Q10" s="97">
        <f t="shared" si="8"/>
        <v>143.9094582975064</v>
      </c>
      <c r="R10" s="97">
        <f t="shared" si="8"/>
        <v>144.75451418744629</v>
      </c>
      <c r="S10" s="97">
        <f t="shared" si="8"/>
        <v>149.46414445399833</v>
      </c>
      <c r="T10" s="97">
        <f t="shared" si="8"/>
        <v>149.91195184866723</v>
      </c>
      <c r="U10" s="97">
        <f t="shared" si="8"/>
        <v>156.9587274290628</v>
      </c>
      <c r="V10" s="97">
        <f t="shared" si="8"/>
        <v>155.2510748065348</v>
      </c>
      <c r="W10" s="97">
        <f t="shared" si="8"/>
        <v>161.49269131556315</v>
      </c>
      <c r="X10" s="97">
        <f t="shared" ref="X10:Y10" si="9">SUM(X11:X13)</f>
        <v>171.3492691315563</v>
      </c>
      <c r="Y10" s="97">
        <f t="shared" si="9"/>
        <v>165.06638005159073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1.0174548581255369</v>
      </c>
      <c r="I12" s="97">
        <v>10.68357695614789</v>
      </c>
      <c r="J12" s="97">
        <v>11.802665520206361</v>
      </c>
      <c r="K12" s="97">
        <v>24.88538263112639</v>
      </c>
      <c r="L12" s="97">
        <v>23.834565778159931</v>
      </c>
      <c r="M12" s="97">
        <v>20.000257953568362</v>
      </c>
      <c r="N12" s="97">
        <v>17.805932932072221</v>
      </c>
      <c r="O12" s="97">
        <v>17.805932932072221</v>
      </c>
      <c r="P12" s="97">
        <v>24.58013757523646</v>
      </c>
      <c r="Q12" s="97">
        <v>22.929234737747201</v>
      </c>
      <c r="R12" s="97">
        <v>15.54883920894239</v>
      </c>
      <c r="S12" s="97">
        <v>19.561478933791921</v>
      </c>
      <c r="T12" s="97">
        <v>17.555202063628549</v>
      </c>
      <c r="U12" s="97">
        <v>19.84092863284609</v>
      </c>
      <c r="V12" s="97">
        <v>25.945829750644879</v>
      </c>
      <c r="W12" s="97">
        <v>26.081943250214959</v>
      </c>
      <c r="X12" s="97">
        <v>28.088306104901111</v>
      </c>
      <c r="Y12" s="97">
        <v>38.693035253654337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32.66500429922614</v>
      </c>
      <c r="D13" s="97">
        <v>3.0094582975064492</v>
      </c>
      <c r="E13" s="97">
        <v>2.00627687016337</v>
      </c>
      <c r="F13" s="97">
        <v>1.0031814273430779</v>
      </c>
      <c r="G13" s="97">
        <v>11.166036113499571</v>
      </c>
      <c r="H13" s="97">
        <v>43.355803955288053</v>
      </c>
      <c r="I13" s="97">
        <v>50.38538263112639</v>
      </c>
      <c r="J13" s="97">
        <v>62.340584694754938</v>
      </c>
      <c r="K13" s="97">
        <v>59.826139294926911</v>
      </c>
      <c r="L13" s="97">
        <v>73.853568357695607</v>
      </c>
      <c r="M13" s="97">
        <v>77.658813413585548</v>
      </c>
      <c r="N13" s="97">
        <v>73.129836629406697</v>
      </c>
      <c r="O13" s="97">
        <v>81.255374032674112</v>
      </c>
      <c r="P13" s="97">
        <v>109.285124677558</v>
      </c>
      <c r="Q13" s="97">
        <v>120.9802235597592</v>
      </c>
      <c r="R13" s="97">
        <v>129.20567497850391</v>
      </c>
      <c r="S13" s="97">
        <v>129.9026655202064</v>
      </c>
      <c r="T13" s="97">
        <v>132.35674978503869</v>
      </c>
      <c r="U13" s="97">
        <v>137.1177987962167</v>
      </c>
      <c r="V13" s="97">
        <v>129.30524505588991</v>
      </c>
      <c r="W13" s="97">
        <v>135.4107480653482</v>
      </c>
      <c r="X13" s="97">
        <v>143.26096302665519</v>
      </c>
      <c r="Y13" s="97">
        <v>126.3733447979364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1.4672162319505977</v>
      </c>
      <c r="M15" s="98">
        <v>3.4023840144460911</v>
      </c>
      <c r="N15" s="98">
        <v>3.4172903227046838</v>
      </c>
      <c r="O15" s="98">
        <v>3.3727418541217489</v>
      </c>
      <c r="P15" s="98">
        <v>4.9164055718880073</v>
      </c>
      <c r="Q15" s="98">
        <v>6.1026673006045895</v>
      </c>
      <c r="R15" s="98">
        <v>7.3081400095301836</v>
      </c>
      <c r="S15" s="98">
        <v>8.3508278246368768</v>
      </c>
      <c r="T15" s="98">
        <v>9.4005626189581672</v>
      </c>
      <c r="U15" s="98">
        <v>9.9277117993005994</v>
      </c>
      <c r="V15" s="98">
        <v>10.185575256844171</v>
      </c>
      <c r="W15" s="98">
        <v>10.53450236462165</v>
      </c>
      <c r="X15" s="98">
        <v>10.55616906284259</v>
      </c>
      <c r="Y15" s="98">
        <v>11.496915425266312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1324.150578675838</v>
      </c>
      <c r="C17" s="79">
        <f t="shared" si="10"/>
        <v>1357.2951521926052</v>
      </c>
      <c r="D17" s="79">
        <f t="shared" si="10"/>
        <v>1673.6791772226998</v>
      </c>
      <c r="E17" s="79">
        <f t="shared" si="10"/>
        <v>1506.6519750644882</v>
      </c>
      <c r="F17" s="79">
        <f t="shared" si="10"/>
        <v>1492.0246775580395</v>
      </c>
      <c r="G17" s="79">
        <f t="shared" si="10"/>
        <v>1682.3166792777297</v>
      </c>
      <c r="H17" s="79">
        <f t="shared" si="10"/>
        <v>1739.6046474634563</v>
      </c>
      <c r="I17" s="79">
        <f t="shared" si="10"/>
        <v>1924.4416053310404</v>
      </c>
      <c r="J17" s="79">
        <f t="shared" si="10"/>
        <v>2063.7231762682709</v>
      </c>
      <c r="K17" s="79">
        <f t="shared" si="10"/>
        <v>1851.5338194325018</v>
      </c>
      <c r="L17" s="79">
        <f t="shared" ref="L17" si="11">L18+L42</f>
        <v>2147.8560382439887</v>
      </c>
      <c r="M17" s="79">
        <f t="shared" ref="M17:V17" si="12">M18+M42</f>
        <v>2111.5767606266554</v>
      </c>
      <c r="N17" s="79">
        <f t="shared" si="12"/>
        <v>2046.987169084528</v>
      </c>
      <c r="O17" s="79">
        <f t="shared" si="12"/>
        <v>2045.9210118455237</v>
      </c>
      <c r="P17" s="79">
        <f t="shared" si="12"/>
        <v>2032.5527830439432</v>
      </c>
      <c r="Q17" s="79">
        <f t="shared" si="12"/>
        <v>2022.8604282636315</v>
      </c>
      <c r="R17" s="79">
        <f t="shared" si="12"/>
        <v>2232.4346464583687</v>
      </c>
      <c r="S17" s="79">
        <f t="shared" si="12"/>
        <v>2568.6807667756257</v>
      </c>
      <c r="T17" s="79">
        <f t="shared" si="12"/>
        <v>2559.7910759465585</v>
      </c>
      <c r="U17" s="79">
        <f t="shared" si="12"/>
        <v>2557.5034246109944</v>
      </c>
      <c r="V17" s="79">
        <f t="shared" si="12"/>
        <v>2362.3420739670764</v>
      </c>
      <c r="W17" s="79">
        <f t="shared" ref="W17:Y17" si="13">W18+W42</f>
        <v>2505.8744920464787</v>
      </c>
      <c r="X17" s="79">
        <f t="shared" si="13"/>
        <v>2582.1878672571665</v>
      </c>
      <c r="Y17" s="79">
        <f t="shared" si="13"/>
        <v>2553.1975259153787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937.81645988710511</v>
      </c>
      <c r="C18" s="32">
        <f t="shared" si="14"/>
        <v>968.42785196410978</v>
      </c>
      <c r="D18" s="32">
        <f t="shared" si="14"/>
        <v>1106.1000308271769</v>
      </c>
      <c r="E18" s="32">
        <f t="shared" si="14"/>
        <v>1064.6326270051673</v>
      </c>
      <c r="F18" s="32">
        <f t="shared" si="14"/>
        <v>989.98528220090554</v>
      </c>
      <c r="G18" s="32">
        <f t="shared" si="14"/>
        <v>1030.9788505897536</v>
      </c>
      <c r="H18" s="32">
        <f t="shared" si="14"/>
        <v>1008.3746557396486</v>
      </c>
      <c r="I18" s="32">
        <f t="shared" si="14"/>
        <v>1082.073067185687</v>
      </c>
      <c r="J18" s="32">
        <f t="shared" si="14"/>
        <v>1123.6076431702979</v>
      </c>
      <c r="K18" s="32">
        <f t="shared" si="14"/>
        <v>1058.3613559659418</v>
      </c>
      <c r="L18" s="32">
        <f t="shared" ref="L18" si="15">L19+L21+L33</f>
        <v>1076.949973724631</v>
      </c>
      <c r="M18" s="32">
        <f t="shared" ref="M18:V18" si="16">M19+M21+M33</f>
        <v>1059.0609604197227</v>
      </c>
      <c r="N18" s="32">
        <f t="shared" si="16"/>
        <v>1034.5870900227535</v>
      </c>
      <c r="O18" s="32">
        <f t="shared" si="16"/>
        <v>1033.2195013013879</v>
      </c>
      <c r="P18" s="32">
        <f t="shared" si="16"/>
        <v>1028.1331865948828</v>
      </c>
      <c r="Q18" s="32">
        <f t="shared" si="16"/>
        <v>1038.8264616872473</v>
      </c>
      <c r="R18" s="32">
        <f t="shared" si="16"/>
        <v>1042.6382485434183</v>
      </c>
      <c r="S18" s="32">
        <f t="shared" si="16"/>
        <v>1069.6451932952998</v>
      </c>
      <c r="T18" s="32">
        <f t="shared" si="16"/>
        <v>1043.7234380999132</v>
      </c>
      <c r="U18" s="32">
        <f t="shared" si="16"/>
        <v>1034.8988970741436</v>
      </c>
      <c r="V18" s="32">
        <f t="shared" si="16"/>
        <v>949.40387500272516</v>
      </c>
      <c r="W18" s="32">
        <f t="shared" ref="W18:Y18" si="17">W19+W21+W33</f>
        <v>976.03483995107058</v>
      </c>
      <c r="X18" s="32">
        <f t="shared" si="17"/>
        <v>1012.9665561922623</v>
      </c>
      <c r="Y18" s="32">
        <f t="shared" si="17"/>
        <v>1065.8219680960976</v>
      </c>
      <c r="DA18" s="173" t="s">
        <v>391</v>
      </c>
    </row>
    <row r="19" spans="1:105" ht="11.45" customHeight="1" x14ac:dyDescent="0.25">
      <c r="A19" s="107" t="s">
        <v>174</v>
      </c>
      <c r="B19" s="129">
        <v>2.0288890582460555</v>
      </c>
      <c r="C19" s="129">
        <v>2.1427536891613213</v>
      </c>
      <c r="D19" s="129">
        <v>1.8759243386483722</v>
      </c>
      <c r="E19" s="129">
        <v>1.9084955859327812</v>
      </c>
      <c r="F19" s="129">
        <v>2.0127127563138418</v>
      </c>
      <c r="G19" s="129">
        <v>2.203254923686826</v>
      </c>
      <c r="H19" s="129">
        <v>2.2847204019687348</v>
      </c>
      <c r="I19" s="129">
        <v>2.4928358887063973</v>
      </c>
      <c r="J19" s="129">
        <v>2.700307922704841</v>
      </c>
      <c r="K19" s="129">
        <v>2.3507603535819284</v>
      </c>
      <c r="L19" s="129">
        <v>2.1534384768885659</v>
      </c>
      <c r="M19" s="129">
        <v>2.5960195574710081</v>
      </c>
      <c r="N19" s="129">
        <v>3.0284209100774131</v>
      </c>
      <c r="O19" s="129">
        <v>3.080061814788289</v>
      </c>
      <c r="P19" s="129">
        <v>3.4048254694407802</v>
      </c>
      <c r="Q19" s="129">
        <v>3.7685536276185729</v>
      </c>
      <c r="R19" s="129">
        <v>3.9885062715326356</v>
      </c>
      <c r="S19" s="129">
        <v>3.7763800472803597</v>
      </c>
      <c r="T19" s="129">
        <v>3.6111538666482068</v>
      </c>
      <c r="U19" s="129">
        <v>3.849268010066357</v>
      </c>
      <c r="V19" s="129">
        <v>3.4592158129877371</v>
      </c>
      <c r="W19" s="129">
        <v>3.6125427847870593</v>
      </c>
      <c r="X19" s="129">
        <v>3.6724178019426481</v>
      </c>
      <c r="Y19" s="129">
        <v>3.9815109614731941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3.6730811214081139E-3</v>
      </c>
      <c r="I20" s="97">
        <v>4.0884901978591993E-2</v>
      </c>
      <c r="J20" s="97">
        <v>4.6119311076674531E-2</v>
      </c>
      <c r="K20" s="97">
        <v>9.2069094955818165E-2</v>
      </c>
      <c r="L20" s="97">
        <v>8.2341425751626451E-2</v>
      </c>
      <c r="M20" s="97">
        <v>8.8018358253338702E-2</v>
      </c>
      <c r="N20" s="97">
        <v>9.4182254690428457E-2</v>
      </c>
      <c r="O20" s="97">
        <v>9.4478447682530303E-2</v>
      </c>
      <c r="P20" s="97">
        <v>0.14525375305055349</v>
      </c>
      <c r="Q20" s="97">
        <v>0.14407898312859149</v>
      </c>
      <c r="R20" s="97">
        <v>9.9249212422687305E-2</v>
      </c>
      <c r="S20" s="97">
        <v>0.11749041592408777</v>
      </c>
      <c r="T20" s="97">
        <v>0.10774068522798344</v>
      </c>
      <c r="U20" s="97">
        <v>0.13430621801528719</v>
      </c>
      <c r="V20" s="97">
        <v>0.16946891661767063</v>
      </c>
      <c r="W20" s="97">
        <v>0.17476315672142492</v>
      </c>
      <c r="X20" s="97">
        <v>0.18182036934422005</v>
      </c>
      <c r="Y20" s="97">
        <v>0.24812604127867252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754.61070075574833</v>
      </c>
      <c r="C21" s="130">
        <f t="shared" si="18"/>
        <v>792.19997036860809</v>
      </c>
      <c r="D21" s="130">
        <f t="shared" si="18"/>
        <v>931.924646454362</v>
      </c>
      <c r="E21" s="130">
        <f t="shared" si="18"/>
        <v>887.19817949604214</v>
      </c>
      <c r="F21" s="130">
        <f t="shared" si="18"/>
        <v>826.08765797820251</v>
      </c>
      <c r="G21" s="130">
        <f t="shared" si="18"/>
        <v>872.77931320370556</v>
      </c>
      <c r="H21" s="130">
        <f t="shared" si="18"/>
        <v>847.33446146012795</v>
      </c>
      <c r="I21" s="130">
        <f t="shared" si="18"/>
        <v>890.09140948542006</v>
      </c>
      <c r="J21" s="130">
        <f t="shared" si="18"/>
        <v>935.63821812949254</v>
      </c>
      <c r="K21" s="130">
        <f t="shared" si="18"/>
        <v>885.15991291408307</v>
      </c>
      <c r="L21" s="130">
        <f t="shared" ref="L21" si="19">L22+L24+L26+L27+L29+L32</f>
        <v>905.91940066792529</v>
      </c>
      <c r="M21" s="130">
        <f t="shared" ref="M21:V21" si="20">M22+M24+M26+M27+M29+M32</f>
        <v>897.38451139787821</v>
      </c>
      <c r="N21" s="130">
        <f t="shared" si="20"/>
        <v>873.72294693317565</v>
      </c>
      <c r="O21" s="130">
        <f t="shared" si="20"/>
        <v>876.86365676394166</v>
      </c>
      <c r="P21" s="130">
        <f t="shared" si="20"/>
        <v>869.23874398597127</v>
      </c>
      <c r="Q21" s="130">
        <f t="shared" si="20"/>
        <v>880.40104334512102</v>
      </c>
      <c r="R21" s="130">
        <f t="shared" si="20"/>
        <v>889.16796955054656</v>
      </c>
      <c r="S21" s="130">
        <f t="shared" si="20"/>
        <v>906.14643421873961</v>
      </c>
      <c r="T21" s="130">
        <f t="shared" si="20"/>
        <v>874.99911113800044</v>
      </c>
      <c r="U21" s="130">
        <f t="shared" si="20"/>
        <v>861.49756640042108</v>
      </c>
      <c r="V21" s="130">
        <f t="shared" si="20"/>
        <v>800.65601518528922</v>
      </c>
      <c r="W21" s="130">
        <f t="shared" ref="W21:Y21" si="21">W22+W24+W26+W27+W29+W32</f>
        <v>827.0764430388657</v>
      </c>
      <c r="X21" s="130">
        <f t="shared" si="21"/>
        <v>855.20318359154805</v>
      </c>
      <c r="Y21" s="130">
        <f t="shared" si="21"/>
        <v>908.34677354574046</v>
      </c>
      <c r="DA21" s="176" t="s">
        <v>393</v>
      </c>
    </row>
    <row r="22" spans="1:105" ht="11.45" customHeight="1" x14ac:dyDescent="0.25">
      <c r="A22" s="111" t="s">
        <v>110</v>
      </c>
      <c r="B22" s="96">
        <v>551.7864753808542</v>
      </c>
      <c r="C22" s="96">
        <v>581.72101877001217</v>
      </c>
      <c r="D22" s="96">
        <v>694.33346432584744</v>
      </c>
      <c r="E22" s="96">
        <v>640.8549103281357</v>
      </c>
      <c r="F22" s="96">
        <v>571.7093350385228</v>
      </c>
      <c r="G22" s="96">
        <v>605.07610857056056</v>
      </c>
      <c r="H22" s="96">
        <v>570.70173409746201</v>
      </c>
      <c r="I22" s="96">
        <v>584.80601092748293</v>
      </c>
      <c r="J22" s="96">
        <v>621.89118365693798</v>
      </c>
      <c r="K22" s="96">
        <v>567.40860097812265</v>
      </c>
      <c r="L22" s="96">
        <v>572.33157690964356</v>
      </c>
      <c r="M22" s="96">
        <v>537.10756556486842</v>
      </c>
      <c r="N22" s="96">
        <v>518.25048136184898</v>
      </c>
      <c r="O22" s="96">
        <v>524.91497181860393</v>
      </c>
      <c r="P22" s="96">
        <v>523.37750700855634</v>
      </c>
      <c r="Q22" s="96">
        <v>537.74959643543252</v>
      </c>
      <c r="R22" s="96">
        <v>555.25856016466207</v>
      </c>
      <c r="S22" s="96">
        <v>565.82652523378852</v>
      </c>
      <c r="T22" s="96">
        <v>527.82555986863656</v>
      </c>
      <c r="U22" s="96">
        <v>515.53310457364569</v>
      </c>
      <c r="V22" s="96">
        <v>476.77446103121201</v>
      </c>
      <c r="W22" s="96">
        <v>485.89436305424636</v>
      </c>
      <c r="X22" s="96">
        <v>513.24601499332982</v>
      </c>
      <c r="Y22" s="96">
        <v>565.15401040616177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0.91750122407185775</v>
      </c>
      <c r="I23" s="96">
        <v>9.5913800589853402</v>
      </c>
      <c r="J23" s="96">
        <v>10.621452729059992</v>
      </c>
      <c r="K23" s="96">
        <v>22.222935775908311</v>
      </c>
      <c r="L23" s="96">
        <v>21.884348473938481</v>
      </c>
      <c r="M23" s="96">
        <v>18.210697215440817</v>
      </c>
      <c r="N23" s="96">
        <v>16.117310069626718</v>
      </c>
      <c r="O23" s="96">
        <v>16.101349480919321</v>
      </c>
      <c r="P23" s="96">
        <v>22.327883716084099</v>
      </c>
      <c r="Q23" s="96">
        <v>20.559191320620204</v>
      </c>
      <c r="R23" s="96">
        <v>13.816945752506413</v>
      </c>
      <c r="S23" s="96">
        <v>17.60394689048195</v>
      </c>
      <c r="T23" s="96">
        <v>15.747954698445122</v>
      </c>
      <c r="U23" s="96">
        <v>17.987654108754121</v>
      </c>
      <c r="V23" s="96">
        <v>23.35744739561288</v>
      </c>
      <c r="W23" s="96">
        <v>23.506000559523226</v>
      </c>
      <c r="X23" s="96">
        <v>25.410665409903071</v>
      </c>
      <c r="Y23" s="96">
        <v>35.220153522561311</v>
      </c>
      <c r="DA23" s="171" t="s">
        <v>642</v>
      </c>
    </row>
    <row r="24" spans="1:105" ht="11.45" customHeight="1" x14ac:dyDescent="0.25">
      <c r="A24" s="111" t="s">
        <v>111</v>
      </c>
      <c r="B24" s="96">
        <v>202.82422537489416</v>
      </c>
      <c r="C24" s="96">
        <v>207.36201264760709</v>
      </c>
      <c r="D24" s="96">
        <v>236.2584220253332</v>
      </c>
      <c r="E24" s="96">
        <v>242.40947725045163</v>
      </c>
      <c r="F24" s="96">
        <v>248.4883831288457</v>
      </c>
      <c r="G24" s="96">
        <v>258.71541443538064</v>
      </c>
      <c r="H24" s="96">
        <v>270.91234903076577</v>
      </c>
      <c r="I24" s="96">
        <v>286.04395401795432</v>
      </c>
      <c r="J24" s="96">
        <v>304.5442829678255</v>
      </c>
      <c r="K24" s="96">
        <v>308.72052947680311</v>
      </c>
      <c r="L24" s="96">
        <v>321.54517543497991</v>
      </c>
      <c r="M24" s="96">
        <v>317.57866135248059</v>
      </c>
      <c r="N24" s="96">
        <v>312.33126890859177</v>
      </c>
      <c r="O24" s="96">
        <v>308.39316302823948</v>
      </c>
      <c r="P24" s="96">
        <v>308.01516129157653</v>
      </c>
      <c r="Q24" s="96">
        <v>301.33260956384231</v>
      </c>
      <c r="R24" s="96">
        <v>296.04562871029566</v>
      </c>
      <c r="S24" s="96">
        <v>305.31206153421994</v>
      </c>
      <c r="T24" s="96">
        <v>311.59721124778997</v>
      </c>
      <c r="U24" s="96">
        <v>311.45536566589806</v>
      </c>
      <c r="V24" s="96">
        <v>290.59477369382654</v>
      </c>
      <c r="W24" s="96">
        <v>304.39510085140159</v>
      </c>
      <c r="X24" s="96">
        <v>304.34211165392435</v>
      </c>
      <c r="Y24" s="96">
        <v>303.65930001828019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9.4245913316055248</v>
      </c>
      <c r="D25" s="96">
        <v>0.76935661526153643</v>
      </c>
      <c r="E25" s="96">
        <v>0.60107042829901336</v>
      </c>
      <c r="F25" s="96">
        <v>0.29232365136750893</v>
      </c>
      <c r="G25" s="96">
        <v>2.8701754482029527</v>
      </c>
      <c r="H25" s="96">
        <v>10.668047149539023</v>
      </c>
      <c r="I25" s="96">
        <v>11.494996246508014</v>
      </c>
      <c r="J25" s="96">
        <v>13.924389458782958</v>
      </c>
      <c r="K25" s="96">
        <v>15.300573937248942</v>
      </c>
      <c r="L25" s="96">
        <v>15.716134258955686</v>
      </c>
      <c r="M25" s="96">
        <v>16.713853109036325</v>
      </c>
      <c r="N25" s="96">
        <v>15.996372733675404</v>
      </c>
      <c r="O25" s="96">
        <v>17.665598420667486</v>
      </c>
      <c r="P25" s="96">
        <v>23.873163896509876</v>
      </c>
      <c r="Q25" s="96">
        <v>26.570321095153048</v>
      </c>
      <c r="R25" s="96">
        <v>24.568263200016233</v>
      </c>
      <c r="S25" s="96">
        <v>20.979551663700708</v>
      </c>
      <c r="T25" s="96">
        <v>21.473261514465317</v>
      </c>
      <c r="U25" s="96">
        <v>22.045115778787729</v>
      </c>
      <c r="V25" s="96">
        <v>21.098358058280294</v>
      </c>
      <c r="W25" s="96">
        <v>21.562979755580308</v>
      </c>
      <c r="X25" s="96">
        <v>22.25821208404372</v>
      </c>
      <c r="Y25" s="96">
        <v>20.467626405919781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1.098710232158211</v>
      </c>
      <c r="H26" s="96">
        <v>1.098710232158211</v>
      </c>
      <c r="I26" s="96">
        <v>1.098710232158211</v>
      </c>
      <c r="J26" s="96">
        <v>1.098710232158211</v>
      </c>
      <c r="K26" s="96">
        <v>1.098710232158211</v>
      </c>
      <c r="L26" s="96">
        <v>2.1974204643164228</v>
      </c>
      <c r="M26" s="96">
        <v>31.862080825451411</v>
      </c>
      <c r="N26" s="96">
        <v>34.051373444157207</v>
      </c>
      <c r="O26" s="96">
        <v>36.252114167555433</v>
      </c>
      <c r="P26" s="96">
        <v>29.342180052566874</v>
      </c>
      <c r="Q26" s="96">
        <v>33.666948171117269</v>
      </c>
      <c r="R26" s="96">
        <v>32.194032185433663</v>
      </c>
      <c r="S26" s="96">
        <v>29.851413069526888</v>
      </c>
      <c r="T26" s="96">
        <v>30.840392717311715</v>
      </c>
      <c r="U26" s="96">
        <v>30.693802885195971</v>
      </c>
      <c r="V26" s="96">
        <v>29.49867063234387</v>
      </c>
      <c r="W26" s="96">
        <v>32.806823239169745</v>
      </c>
      <c r="X26" s="96">
        <v>32.818227379820392</v>
      </c>
      <c r="Y26" s="96">
        <v>33.95026244647083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3.1169389509888221</v>
      </c>
      <c r="D27" s="96">
        <v>1.3327601031814269</v>
      </c>
      <c r="E27" s="96">
        <v>3.9337919174548581</v>
      </c>
      <c r="F27" s="96">
        <v>5.8899398108340497</v>
      </c>
      <c r="G27" s="96">
        <v>7.8890799656061903</v>
      </c>
      <c r="H27" s="96">
        <v>4.6216680997420463</v>
      </c>
      <c r="I27" s="96">
        <v>18.14273430782459</v>
      </c>
      <c r="J27" s="96">
        <v>8.104041272570937</v>
      </c>
      <c r="K27" s="96">
        <v>7.9320722269991393</v>
      </c>
      <c r="L27" s="96">
        <v>9.8452278589853819</v>
      </c>
      <c r="M27" s="96">
        <v>10.834049871023209</v>
      </c>
      <c r="N27" s="96">
        <v>9.0865947925962196</v>
      </c>
      <c r="O27" s="96">
        <v>7.2968446824584241</v>
      </c>
      <c r="P27" s="96">
        <v>8.4818153734065511</v>
      </c>
      <c r="Q27" s="96">
        <v>7.6200297286012191</v>
      </c>
      <c r="R27" s="96">
        <v>5.5960760299223447</v>
      </c>
      <c r="S27" s="96">
        <v>4.9951109591570875</v>
      </c>
      <c r="T27" s="96">
        <v>4.4760981220087777</v>
      </c>
      <c r="U27" s="96">
        <v>3.4988219553872488</v>
      </c>
      <c r="V27" s="96">
        <v>3.2326136898317772</v>
      </c>
      <c r="W27" s="96">
        <v>3.1353632331135053</v>
      </c>
      <c r="X27" s="96">
        <v>3.4907887522206367</v>
      </c>
      <c r="Y27" s="96">
        <v>3.2911166708050703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9.6462596037023298E-4</v>
      </c>
      <c r="O29" s="96">
        <v>9.9216844155655269E-4</v>
      </c>
      <c r="P29" s="96">
        <v>9.5660386994801325E-3</v>
      </c>
      <c r="Q29" s="96">
        <v>1.639769246620159E-2</v>
      </c>
      <c r="R29" s="96">
        <v>5.1297765197556827E-2</v>
      </c>
      <c r="S29" s="96">
        <v>0.11766135800838021</v>
      </c>
      <c r="T29" s="96">
        <v>0.16878914951274565</v>
      </c>
      <c r="U29" s="96">
        <v>0.2045321863394034</v>
      </c>
      <c r="V29" s="96">
        <v>0.33774593165254108</v>
      </c>
      <c r="W29" s="96">
        <v>0.47963239976414396</v>
      </c>
      <c r="X29" s="96">
        <v>0.74482020980653152</v>
      </c>
      <c r="Y29" s="96">
        <v>1.2958241239660864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1.5990164426892933E-5</v>
      </c>
      <c r="O30" s="96">
        <v>1.6122613671057498E-5</v>
      </c>
      <c r="P30" s="96">
        <v>2.9914783701340909E-4</v>
      </c>
      <c r="Q30" s="96">
        <v>4.4973618594405871E-4</v>
      </c>
      <c r="R30" s="96">
        <v>8.5430908832508101E-4</v>
      </c>
      <c r="S30" s="96">
        <v>2.5928565089766067E-3</v>
      </c>
      <c r="T30" s="96">
        <v>3.2671382373263345E-3</v>
      </c>
      <c r="U30" s="96">
        <v>4.4684991593904625E-3</v>
      </c>
      <c r="V30" s="96">
        <v>9.2936617135991311E-3</v>
      </c>
      <c r="W30" s="96">
        <v>1.1653075791356198E-2</v>
      </c>
      <c r="X30" s="96">
        <v>1.7129274097289645E-2</v>
      </c>
      <c r="Y30" s="96">
        <v>3.5817921381259422E-2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4.5046383433971338E-4</v>
      </c>
      <c r="O31" s="96">
        <v>4.6656024264040932E-4</v>
      </c>
      <c r="P31" s="96">
        <v>2.5538537940967641E-3</v>
      </c>
      <c r="Q31" s="96">
        <v>4.6343186679693119E-3</v>
      </c>
      <c r="R31" s="96">
        <v>1.6965833755116334E-2</v>
      </c>
      <c r="S31" s="96">
        <v>3.4321695713825325E-2</v>
      </c>
      <c r="T31" s="96">
        <v>5.9284194595948143E-2</v>
      </c>
      <c r="U31" s="96">
        <v>7.6463276936472382E-2</v>
      </c>
      <c r="V31" s="96">
        <v>0.14804281557745633</v>
      </c>
      <c r="W31" s="96">
        <v>0.23875076509703733</v>
      </c>
      <c r="X31" s="96">
        <v>0.39884219119328679</v>
      </c>
      <c r="Y31" s="96">
        <v>0.72107813655679387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2.153784054603067E-3</v>
      </c>
      <c r="N32" s="96">
        <v>2.2638000211158316E-3</v>
      </c>
      <c r="O32" s="96">
        <v>5.5708986429074629E-3</v>
      </c>
      <c r="P32" s="96">
        <v>1.2514221165437147E-2</v>
      </c>
      <c r="Q32" s="96">
        <v>1.5461753661458012E-2</v>
      </c>
      <c r="R32" s="96">
        <v>2.2374695035324424E-2</v>
      </c>
      <c r="S32" s="96">
        <v>4.3662064038848557E-2</v>
      </c>
      <c r="T32" s="96">
        <v>9.1060032740751015E-2</v>
      </c>
      <c r="U32" s="96">
        <v>0.1119391339546786</v>
      </c>
      <c r="V32" s="96">
        <v>0.21775020642258017</v>
      </c>
      <c r="W32" s="96">
        <v>0.36516026117047234</v>
      </c>
      <c r="X32" s="96">
        <v>0.56122060244626393</v>
      </c>
      <c r="Y32" s="96">
        <v>0.9962598800564918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181.17687007311082</v>
      </c>
      <c r="C33" s="130">
        <f t="shared" si="22"/>
        <v>174.08512790634043</v>
      </c>
      <c r="D33" s="130">
        <f t="shared" si="22"/>
        <v>172.29946003416643</v>
      </c>
      <c r="E33" s="130">
        <f t="shared" si="22"/>
        <v>175.52595192319234</v>
      </c>
      <c r="F33" s="130">
        <f t="shared" si="22"/>
        <v>161.88491146638918</v>
      </c>
      <c r="G33" s="130">
        <f t="shared" si="22"/>
        <v>155.99628246236119</v>
      </c>
      <c r="H33" s="130">
        <f t="shared" si="22"/>
        <v>158.75547387755191</v>
      </c>
      <c r="I33" s="130">
        <f t="shared" si="22"/>
        <v>189.48882181156054</v>
      </c>
      <c r="J33" s="130">
        <f t="shared" si="22"/>
        <v>185.2691171181005</v>
      </c>
      <c r="K33" s="130">
        <f t="shared" si="22"/>
        <v>170.85068269827684</v>
      </c>
      <c r="L33" s="130">
        <f t="shared" ref="L33" si="23">L34+L36+L38+L39+L41</f>
        <v>168.87713457981704</v>
      </c>
      <c r="M33" s="130">
        <f t="shared" ref="M33:V33" si="24">M34+M36+M38+M39+M41</f>
        <v>159.08042946437359</v>
      </c>
      <c r="N33" s="130">
        <f t="shared" si="24"/>
        <v>157.83572217950038</v>
      </c>
      <c r="O33" s="130">
        <f t="shared" si="24"/>
        <v>153.27578272265782</v>
      </c>
      <c r="P33" s="130">
        <f t="shared" si="24"/>
        <v>155.48961713947082</v>
      </c>
      <c r="Q33" s="130">
        <f t="shared" si="24"/>
        <v>154.65686471450769</v>
      </c>
      <c r="R33" s="130">
        <f t="shared" si="24"/>
        <v>149.48177272133918</v>
      </c>
      <c r="S33" s="130">
        <f t="shared" si="24"/>
        <v>159.72237902927981</v>
      </c>
      <c r="T33" s="130">
        <f t="shared" si="24"/>
        <v>165.1131730952645</v>
      </c>
      <c r="U33" s="130">
        <f t="shared" si="24"/>
        <v>169.55206266365619</v>
      </c>
      <c r="V33" s="130">
        <f t="shared" si="24"/>
        <v>145.28864400444817</v>
      </c>
      <c r="W33" s="130">
        <f t="shared" ref="W33:Y33" si="25">W34+W36+W38+W39+W41</f>
        <v>145.34585412741779</v>
      </c>
      <c r="X33" s="130">
        <f t="shared" si="25"/>
        <v>154.09095479877163</v>
      </c>
      <c r="Y33" s="130">
        <f t="shared" si="25"/>
        <v>153.4936835888839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X34" s="97">
        <v>0</v>
      </c>
      <c r="Y34" s="97">
        <v>0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97">
        <v>0</v>
      </c>
      <c r="DA35" s="175" t="s">
        <v>653</v>
      </c>
    </row>
    <row r="36" spans="1:105" ht="11.45" customHeight="1" x14ac:dyDescent="0.25">
      <c r="A36" s="111" t="s">
        <v>111</v>
      </c>
      <c r="B36" s="97">
        <v>181.17687007311082</v>
      </c>
      <c r="C36" s="97">
        <v>174.08512790634043</v>
      </c>
      <c r="D36" s="97">
        <v>172.29946003416643</v>
      </c>
      <c r="E36" s="97">
        <v>175.52595192319234</v>
      </c>
      <c r="F36" s="97">
        <v>161.88491146638918</v>
      </c>
      <c r="G36" s="97">
        <v>155.99628246236119</v>
      </c>
      <c r="H36" s="97">
        <v>158.75547387755191</v>
      </c>
      <c r="I36" s="97">
        <v>189.48882181156054</v>
      </c>
      <c r="J36" s="97">
        <v>185.2691171181005</v>
      </c>
      <c r="K36" s="97">
        <v>170.85068269827684</v>
      </c>
      <c r="L36" s="97">
        <v>167.40991834786644</v>
      </c>
      <c r="M36" s="97">
        <v>155.68019923398211</v>
      </c>
      <c r="N36" s="97">
        <v>154.42114612065114</v>
      </c>
      <c r="O36" s="97">
        <v>149.90963687241674</v>
      </c>
      <c r="P36" s="97">
        <v>150.58942591100111</v>
      </c>
      <c r="Q36" s="97">
        <v>148.57612049175481</v>
      </c>
      <c r="R36" s="97">
        <v>141.07956188544387</v>
      </c>
      <c r="S36" s="97">
        <v>149.75287545797988</v>
      </c>
      <c r="T36" s="97">
        <v>154.72466184226815</v>
      </c>
      <c r="U36" s="97">
        <v>157.46935764205756</v>
      </c>
      <c r="V36" s="97">
        <v>132.44485428622448</v>
      </c>
      <c r="W36" s="97">
        <v>132.49964040522511</v>
      </c>
      <c r="X36" s="97">
        <v>141.23296390242231</v>
      </c>
      <c r="Y36" s="97">
        <v>140.8289278171689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7.9121588688267801</v>
      </c>
      <c r="D37" s="97">
        <v>0.56107938183495831</v>
      </c>
      <c r="E37" s="97">
        <v>0.43522827695000399</v>
      </c>
      <c r="F37" s="97">
        <v>0.19044265903015306</v>
      </c>
      <c r="G37" s="97">
        <v>1.7306147023034575</v>
      </c>
      <c r="H37" s="97">
        <v>6.2515086028093982</v>
      </c>
      <c r="I37" s="97">
        <v>7.614820257107743</v>
      </c>
      <c r="J37" s="97">
        <v>8.4708841561470081</v>
      </c>
      <c r="K37" s="97">
        <v>8.4675726207280455</v>
      </c>
      <c r="L37" s="97">
        <v>8.182479334285345</v>
      </c>
      <c r="M37" s="97">
        <v>8.1932960196412843</v>
      </c>
      <c r="N37" s="97">
        <v>7.9088405715478425</v>
      </c>
      <c r="O37" s="97">
        <v>8.5872313717074924</v>
      </c>
      <c r="P37" s="97">
        <v>11.671652884811991</v>
      </c>
      <c r="Q37" s="97">
        <v>13.100856340281636</v>
      </c>
      <c r="R37" s="97">
        <v>11.707924294117506</v>
      </c>
      <c r="S37" s="97">
        <v>10.290285197613439</v>
      </c>
      <c r="T37" s="97">
        <v>10.662621507976676</v>
      </c>
      <c r="U37" s="97">
        <v>11.145835337941605</v>
      </c>
      <c r="V37" s="97">
        <v>9.6160330868568806</v>
      </c>
      <c r="W37" s="97">
        <v>9.3861138227526926</v>
      </c>
      <c r="X37" s="97">
        <v>10.329143235270946</v>
      </c>
      <c r="Y37" s="97">
        <v>9.4923286773516722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1.1371903113491246</v>
      </c>
      <c r="S39" s="97">
        <v>1.705171141366864</v>
      </c>
      <c r="T39" s="97">
        <v>1.1649763315953567</v>
      </c>
      <c r="U39" s="97">
        <v>2.3722846429749751</v>
      </c>
      <c r="V39" s="97">
        <v>3.059825970165436</v>
      </c>
      <c r="W39" s="97">
        <v>2.9700707249591067</v>
      </c>
      <c r="X39" s="97">
        <v>3.328120190276755</v>
      </c>
      <c r="Y39" s="97">
        <v>3.0327008001779414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1.4672162319505977</v>
      </c>
      <c r="M41" s="97">
        <v>3.4002302303914882</v>
      </c>
      <c r="N41" s="97">
        <v>3.4145760588492284</v>
      </c>
      <c r="O41" s="97">
        <v>3.3661458502410802</v>
      </c>
      <c r="P41" s="97">
        <v>4.9001912284697022</v>
      </c>
      <c r="Q41" s="97">
        <v>6.0807442227528785</v>
      </c>
      <c r="R41" s="97">
        <v>7.2650205245462063</v>
      </c>
      <c r="S41" s="97">
        <v>8.2643324299330665</v>
      </c>
      <c r="T41" s="97">
        <v>9.2235349214009759</v>
      </c>
      <c r="U41" s="97">
        <v>9.7104203786236489</v>
      </c>
      <c r="V41" s="97">
        <v>9.7839637480582482</v>
      </c>
      <c r="W41" s="97">
        <v>9.8761429972335755</v>
      </c>
      <c r="X41" s="97">
        <v>9.5298707060725469</v>
      </c>
      <c r="Y41" s="97">
        <v>9.6320549715370536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386.33411878873289</v>
      </c>
      <c r="C42" s="32">
        <f t="shared" si="26"/>
        <v>388.86730022849542</v>
      </c>
      <c r="D42" s="32">
        <f t="shared" si="26"/>
        <v>567.57914639552291</v>
      </c>
      <c r="E42" s="32">
        <f t="shared" si="26"/>
        <v>442.01934805932092</v>
      </c>
      <c r="F42" s="32">
        <f t="shared" si="26"/>
        <v>502.03939535713386</v>
      </c>
      <c r="G42" s="32">
        <f t="shared" si="26"/>
        <v>651.33782868797607</v>
      </c>
      <c r="H42" s="32">
        <f t="shared" si="26"/>
        <v>731.22999172380787</v>
      </c>
      <c r="I42" s="32">
        <f t="shared" si="26"/>
        <v>842.36853814535334</v>
      </c>
      <c r="J42" s="32">
        <f t="shared" si="26"/>
        <v>940.11553309797307</v>
      </c>
      <c r="K42" s="32">
        <f t="shared" si="26"/>
        <v>793.17246346655998</v>
      </c>
      <c r="L42" s="32">
        <f t="shared" ref="L42" si="27">L43+L52</f>
        <v>1070.9060645193576</v>
      </c>
      <c r="M42" s="32">
        <f t="shared" ref="M42:V42" si="28">M43+M52</f>
        <v>1052.5158002069327</v>
      </c>
      <c r="N42" s="32">
        <f t="shared" si="28"/>
        <v>1012.4000790617745</v>
      </c>
      <c r="O42" s="32">
        <f t="shared" si="28"/>
        <v>1012.7015105441358</v>
      </c>
      <c r="P42" s="32">
        <f t="shared" si="28"/>
        <v>1004.4195964490605</v>
      </c>
      <c r="Q42" s="32">
        <f t="shared" si="28"/>
        <v>984.03396657638427</v>
      </c>
      <c r="R42" s="32">
        <f t="shared" si="28"/>
        <v>1189.7963979149506</v>
      </c>
      <c r="S42" s="32">
        <f t="shared" si="28"/>
        <v>1499.0355734803261</v>
      </c>
      <c r="T42" s="32">
        <f t="shared" si="28"/>
        <v>1516.0676378466451</v>
      </c>
      <c r="U42" s="32">
        <f t="shared" si="28"/>
        <v>1522.6045275368506</v>
      </c>
      <c r="V42" s="32">
        <f t="shared" si="28"/>
        <v>1412.9381989643512</v>
      </c>
      <c r="W42" s="32">
        <f t="shared" ref="W42:Y42" si="29">W43+W52</f>
        <v>1529.8396520954082</v>
      </c>
      <c r="X42" s="32">
        <f t="shared" si="29"/>
        <v>1569.2213110649045</v>
      </c>
      <c r="Y42" s="32">
        <f t="shared" si="29"/>
        <v>1487.3755578192809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177.97698938175273</v>
      </c>
      <c r="C43" s="141">
        <f t="shared" si="30"/>
        <v>184.83019118559889</v>
      </c>
      <c r="D43" s="141">
        <f t="shared" si="30"/>
        <v>217.3220427059025</v>
      </c>
      <c r="E43" s="141">
        <f t="shared" si="30"/>
        <v>203.35929096652669</v>
      </c>
      <c r="F43" s="141">
        <f t="shared" si="30"/>
        <v>216.75534673986959</v>
      </c>
      <c r="G43" s="141">
        <f t="shared" si="30"/>
        <v>241.15836991562315</v>
      </c>
      <c r="H43" s="141">
        <f t="shared" si="30"/>
        <v>223.49199890748872</v>
      </c>
      <c r="I43" s="141">
        <f t="shared" si="30"/>
        <v>267.49835200378703</v>
      </c>
      <c r="J43" s="141">
        <f t="shared" si="30"/>
        <v>266.37651975708798</v>
      </c>
      <c r="K43" s="141">
        <f t="shared" si="30"/>
        <v>263.13709741903961</v>
      </c>
      <c r="L43" s="141">
        <f t="shared" ref="L43" si="31">L44+L46+L48+L49+L51</f>
        <v>307.17620267277687</v>
      </c>
      <c r="M43" s="141">
        <f t="shared" ref="M43:V43" si="32">M44+M46+M48+M49+M51</f>
        <v>322.9798487850901</v>
      </c>
      <c r="N43" s="141">
        <f t="shared" si="32"/>
        <v>315.52676033416395</v>
      </c>
      <c r="O43" s="141">
        <f t="shared" si="32"/>
        <v>278.54198445280576</v>
      </c>
      <c r="P43" s="141">
        <f t="shared" si="32"/>
        <v>253.9161618071478</v>
      </c>
      <c r="Q43" s="141">
        <f t="shared" si="32"/>
        <v>276.66181043021624</v>
      </c>
      <c r="R43" s="141">
        <f t="shared" si="32"/>
        <v>278.90200979456591</v>
      </c>
      <c r="S43" s="141">
        <f t="shared" si="32"/>
        <v>300.73145961120338</v>
      </c>
      <c r="T43" s="141">
        <f t="shared" si="32"/>
        <v>294.86413589946267</v>
      </c>
      <c r="U43" s="141">
        <f t="shared" si="32"/>
        <v>293.08072005434144</v>
      </c>
      <c r="V43" s="141">
        <f t="shared" si="32"/>
        <v>301.45027978701717</v>
      </c>
      <c r="W43" s="141">
        <f t="shared" ref="W43:Y43" si="33">W44+W46+W48+W49+W51</f>
        <v>287.3633381242982</v>
      </c>
      <c r="X43" s="141">
        <f t="shared" si="33"/>
        <v>300.80998814488964</v>
      </c>
      <c r="Y43" s="141">
        <f t="shared" si="33"/>
        <v>311.03574610093892</v>
      </c>
      <c r="DA43" s="174" t="s">
        <v>400</v>
      </c>
    </row>
    <row r="44" spans="1:105" ht="11.45" customHeight="1" x14ac:dyDescent="0.25">
      <c r="A44" s="111" t="s">
        <v>110</v>
      </c>
      <c r="B44" s="96">
        <v>51.193234013178284</v>
      </c>
      <c r="C44" s="96">
        <v>51.611549982786954</v>
      </c>
      <c r="D44" s="96">
        <v>51.975392074970905</v>
      </c>
      <c r="E44" s="96">
        <v>50.830747138382037</v>
      </c>
      <c r="F44" s="96">
        <v>59.662904913675845</v>
      </c>
      <c r="G44" s="96">
        <v>59.55159093395546</v>
      </c>
      <c r="H44" s="96">
        <v>59.888180066347452</v>
      </c>
      <c r="I44" s="96">
        <v>64.100637276674021</v>
      </c>
      <c r="J44" s="96">
        <v>66.460271103074263</v>
      </c>
      <c r="K44" s="96">
        <v>65.628342881537108</v>
      </c>
      <c r="L44" s="96">
        <v>48.849722360673397</v>
      </c>
      <c r="M44" s="96">
        <v>50.185408858743898</v>
      </c>
      <c r="N44" s="96">
        <v>51.26856292966211</v>
      </c>
      <c r="O44" s="96">
        <v>52.489995358580721</v>
      </c>
      <c r="P44" s="96">
        <v>49.382194460055231</v>
      </c>
      <c r="Q44" s="96">
        <v>58.210929211473974</v>
      </c>
      <c r="R44" s="96">
        <v>65.57638323167491</v>
      </c>
      <c r="S44" s="96">
        <v>59.059326853712911</v>
      </c>
      <c r="T44" s="96">
        <v>56.853007449093269</v>
      </c>
      <c r="U44" s="96">
        <v>49.138225746781835</v>
      </c>
      <c r="V44" s="96">
        <v>49.185390461049359</v>
      </c>
      <c r="W44" s="96">
        <v>49.394086988896099</v>
      </c>
      <c r="X44" s="96">
        <v>50.064737939338663</v>
      </c>
      <c r="Y44" s="96">
        <v>51.170730065420003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9.6280552932271141E-2</v>
      </c>
      <c r="I45" s="96">
        <v>1.051311995183958</v>
      </c>
      <c r="J45" s="96">
        <v>1.1350934800696943</v>
      </c>
      <c r="K45" s="96">
        <v>2.5703777602622595</v>
      </c>
      <c r="L45" s="96">
        <v>1.8678758784698264</v>
      </c>
      <c r="M45" s="96">
        <v>1.7015423798742044</v>
      </c>
      <c r="N45" s="96">
        <v>1.594424617590646</v>
      </c>
      <c r="O45" s="96">
        <v>1.6100888808566982</v>
      </c>
      <c r="P45" s="96">
        <v>2.1067009582647955</v>
      </c>
      <c r="Q45" s="96">
        <v>2.2255146978124589</v>
      </c>
      <c r="R45" s="96">
        <v>1.6317899349249645</v>
      </c>
      <c r="S45" s="96">
        <v>1.8374487708769076</v>
      </c>
      <c r="T45" s="96">
        <v>1.6962395417181155</v>
      </c>
      <c r="U45" s="96">
        <v>1.7144998069172923</v>
      </c>
      <c r="V45" s="96">
        <v>2.4096197767007301</v>
      </c>
      <c r="W45" s="96">
        <v>2.3895264581789508</v>
      </c>
      <c r="X45" s="96">
        <v>2.4786910515565297</v>
      </c>
      <c r="Y45" s="96">
        <v>3.1889377684330893</v>
      </c>
      <c r="DA45" s="171" t="s">
        <v>661</v>
      </c>
    </row>
    <row r="46" spans="1:105" ht="11.45" customHeight="1" x14ac:dyDescent="0.25">
      <c r="A46" s="111" t="s">
        <v>111</v>
      </c>
      <c r="B46" s="96">
        <v>126.78375536857446</v>
      </c>
      <c r="C46" s="96">
        <v>133.21864120281194</v>
      </c>
      <c r="D46" s="96">
        <v>165.34665063093161</v>
      </c>
      <c r="E46" s="96">
        <v>152.52854382814465</v>
      </c>
      <c r="F46" s="96">
        <v>157.09244182619375</v>
      </c>
      <c r="G46" s="96">
        <v>181.6067789816677</v>
      </c>
      <c r="H46" s="96">
        <v>163.60381884114128</v>
      </c>
      <c r="I46" s="96">
        <v>203.397714727113</v>
      </c>
      <c r="J46" s="96">
        <v>199.91624865401374</v>
      </c>
      <c r="K46" s="96">
        <v>197.50875453750248</v>
      </c>
      <c r="L46" s="96">
        <v>258.32648031210346</v>
      </c>
      <c r="M46" s="96">
        <v>272.79443992634623</v>
      </c>
      <c r="N46" s="96">
        <v>264.24388705140143</v>
      </c>
      <c r="O46" s="96">
        <v>226.03486919288099</v>
      </c>
      <c r="P46" s="96">
        <v>200.90513980641288</v>
      </c>
      <c r="Q46" s="96">
        <v>214.7494456984931</v>
      </c>
      <c r="R46" s="96">
        <v>208.89858723400448</v>
      </c>
      <c r="S46" s="96">
        <v>237.08367398820494</v>
      </c>
      <c r="T46" s="96">
        <v>233.09549082690305</v>
      </c>
      <c r="U46" s="96">
        <v>238.76398339698119</v>
      </c>
      <c r="V46" s="96">
        <v>246.43703409798903</v>
      </c>
      <c r="W46" s="96">
        <v>232.16291553752561</v>
      </c>
      <c r="X46" s="96">
        <v>244.85664967497041</v>
      </c>
      <c r="Y46" s="96">
        <v>254.0567497841285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6.0547794413143041</v>
      </c>
      <c r="D47" s="96">
        <v>0.53843811527956853</v>
      </c>
      <c r="E47" s="96">
        <v>0.37820467337539676</v>
      </c>
      <c r="F47" s="96">
        <v>0.18480476076444841</v>
      </c>
      <c r="G47" s="96">
        <v>2.0147362282141623</v>
      </c>
      <c r="H47" s="96">
        <v>6.4424278165471511</v>
      </c>
      <c r="I47" s="96">
        <v>8.1737646767032075</v>
      </c>
      <c r="J47" s="96">
        <v>9.1405810618729468</v>
      </c>
      <c r="K47" s="96">
        <v>9.7887798624097595</v>
      </c>
      <c r="L47" s="96">
        <v>12.62619985430149</v>
      </c>
      <c r="M47" s="96">
        <v>14.356903510057482</v>
      </c>
      <c r="N47" s="96">
        <v>13.533527157367383</v>
      </c>
      <c r="O47" s="96">
        <v>12.94789154539038</v>
      </c>
      <c r="P47" s="96">
        <v>15.571445607216253</v>
      </c>
      <c r="Q47" s="96">
        <v>18.935759178119067</v>
      </c>
      <c r="R47" s="96">
        <v>17.33609611340999</v>
      </c>
      <c r="S47" s="96">
        <v>16.291230559517334</v>
      </c>
      <c r="T47" s="96">
        <v>16.063431416234295</v>
      </c>
      <c r="U47" s="96">
        <v>16.899948557756769</v>
      </c>
      <c r="V47" s="96">
        <v>17.892327236752575</v>
      </c>
      <c r="W47" s="96">
        <v>16.446139355495202</v>
      </c>
      <c r="X47" s="96">
        <v>17.90771316212496</v>
      </c>
      <c r="Y47" s="96">
        <v>17.124252872119335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8.0418610878391691E-3</v>
      </c>
      <c r="O48" s="96">
        <v>4.721602006045383E-3</v>
      </c>
      <c r="P48" s="96">
        <v>3.6185250205199662</v>
      </c>
      <c r="Q48" s="96">
        <v>3.6885118460796287</v>
      </c>
      <c r="R48" s="96">
        <v>4.0628035841278116</v>
      </c>
      <c r="S48" s="96">
        <v>4.2080022357181575</v>
      </c>
      <c r="T48" s="96">
        <v>4.317732820091555</v>
      </c>
      <c r="U48" s="96">
        <v>4.4643226522072998</v>
      </c>
      <c r="V48" s="96">
        <v>4.5607446729011771</v>
      </c>
      <c r="W48" s="96">
        <v>4.5486367780271548</v>
      </c>
      <c r="X48" s="96">
        <v>4.537232637376504</v>
      </c>
      <c r="Y48" s="96">
        <v>4.5039078028842781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6.2684920125499668E-3</v>
      </c>
      <c r="O49" s="96">
        <v>1.1839754342950625E-2</v>
      </c>
      <c r="P49" s="96">
        <v>9.1562517009298947E-3</v>
      </c>
      <c r="Q49" s="96">
        <v>1.109666864727517E-2</v>
      </c>
      <c r="R49" s="96">
        <v>0.36045678856516034</v>
      </c>
      <c r="S49" s="96">
        <v>0.37194489861620278</v>
      </c>
      <c r="T49" s="96">
        <v>0.57122133315424828</v>
      </c>
      <c r="U49" s="96">
        <v>0.68529924858532565</v>
      </c>
      <c r="V49" s="96">
        <v>1.2312920682916948</v>
      </c>
      <c r="W49" s="96">
        <v>1.2032504787287632</v>
      </c>
      <c r="X49" s="96">
        <v>1.2851323300735451</v>
      </c>
      <c r="Y49" s="96">
        <v>1.1568360113901612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5.5854499512087981E-4</v>
      </c>
      <c r="P51" s="96">
        <v>1.1462684587710608E-3</v>
      </c>
      <c r="Q51" s="96">
        <v>1.8270055222836346E-3</v>
      </c>
      <c r="R51" s="96">
        <v>3.7789561935366572E-3</v>
      </c>
      <c r="S51" s="96">
        <v>8.5116349511379467E-3</v>
      </c>
      <c r="T51" s="96">
        <v>2.6683470220492951E-2</v>
      </c>
      <c r="U51" s="96">
        <v>2.8889009785800578E-2</v>
      </c>
      <c r="V51" s="96">
        <v>3.5818486785885138E-2</v>
      </c>
      <c r="W51" s="96">
        <v>5.4448341120563404E-2</v>
      </c>
      <c r="X51" s="96">
        <v>6.6235563130492836E-2</v>
      </c>
      <c r="Y51" s="96">
        <v>0.14752243711597227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208.35712940698014</v>
      </c>
      <c r="C52" s="130">
        <f t="shared" si="34"/>
        <v>204.03710904289653</v>
      </c>
      <c r="D52" s="130">
        <f t="shared" si="34"/>
        <v>350.25710368962041</v>
      </c>
      <c r="E52" s="130">
        <f t="shared" si="34"/>
        <v>238.6600570927942</v>
      </c>
      <c r="F52" s="130">
        <f t="shared" si="34"/>
        <v>285.28404861726426</v>
      </c>
      <c r="G52" s="130">
        <f t="shared" si="34"/>
        <v>410.17945877235286</v>
      </c>
      <c r="H52" s="130">
        <f t="shared" si="34"/>
        <v>507.73799281631909</v>
      </c>
      <c r="I52" s="130">
        <f t="shared" si="34"/>
        <v>574.87018614156636</v>
      </c>
      <c r="J52" s="130">
        <f t="shared" si="34"/>
        <v>673.73901334088509</v>
      </c>
      <c r="K52" s="130">
        <f t="shared" si="34"/>
        <v>530.03536604752037</v>
      </c>
      <c r="L52" s="130">
        <f t="shared" ref="L52" si="35">L53+L55</f>
        <v>763.72986184658089</v>
      </c>
      <c r="M52" s="130">
        <f t="shared" ref="M52:V52" si="36">M53+M55</f>
        <v>729.53595142184258</v>
      </c>
      <c r="N52" s="130">
        <f t="shared" si="36"/>
        <v>696.87331872761047</v>
      </c>
      <c r="O52" s="130">
        <f t="shared" si="36"/>
        <v>734.15952609133001</v>
      </c>
      <c r="P52" s="130">
        <f t="shared" si="36"/>
        <v>750.50343464191269</v>
      </c>
      <c r="Q52" s="130">
        <f t="shared" si="36"/>
        <v>707.37215614616809</v>
      </c>
      <c r="R52" s="130">
        <f t="shared" si="36"/>
        <v>910.89438812038475</v>
      </c>
      <c r="S52" s="130">
        <f t="shared" si="36"/>
        <v>1198.3041138691228</v>
      </c>
      <c r="T52" s="130">
        <f t="shared" si="36"/>
        <v>1221.2035019471823</v>
      </c>
      <c r="U52" s="130">
        <f t="shared" si="36"/>
        <v>1229.523807482509</v>
      </c>
      <c r="V52" s="130">
        <f t="shared" si="36"/>
        <v>1111.4879191773339</v>
      </c>
      <c r="W52" s="130">
        <f t="shared" ref="W52:Y52" si="37">W53+W55</f>
        <v>1242.4763139711099</v>
      </c>
      <c r="X52" s="130">
        <f t="shared" si="37"/>
        <v>1268.4113229200148</v>
      </c>
      <c r="Y52" s="130">
        <f t="shared" si="37"/>
        <v>1176.3398117183419</v>
      </c>
      <c r="DA52" s="176" t="s">
        <v>401</v>
      </c>
    </row>
    <row r="53" spans="1:105" ht="11.45" customHeight="1" x14ac:dyDescent="0.25">
      <c r="A53" s="128" t="s">
        <v>27</v>
      </c>
      <c r="B53" s="97">
        <v>112.80090281278731</v>
      </c>
      <c r="C53" s="97">
        <v>119.00937216294388</v>
      </c>
      <c r="D53" s="97">
        <v>193.84809861158286</v>
      </c>
      <c r="E53" s="97">
        <v>185.49852019817794</v>
      </c>
      <c r="F53" s="97">
        <v>206.35650572408517</v>
      </c>
      <c r="G53" s="97">
        <v>239.74056991607569</v>
      </c>
      <c r="H53" s="97">
        <v>280.12039658286938</v>
      </c>
      <c r="I53" s="97">
        <v>303.88842450684172</v>
      </c>
      <c r="J53" s="97">
        <v>383.93681280284989</v>
      </c>
      <c r="K53" s="97">
        <v>312.2031443453335</v>
      </c>
      <c r="L53" s="97">
        <v>430.65921249013724</v>
      </c>
      <c r="M53" s="97">
        <v>421.47569352764845</v>
      </c>
      <c r="N53" s="97">
        <v>393.99416192860241</v>
      </c>
      <c r="O53" s="97">
        <v>384.28721555304605</v>
      </c>
      <c r="P53" s="97">
        <v>424.76648639767643</v>
      </c>
      <c r="Q53" s="97">
        <v>385.29810965250465</v>
      </c>
      <c r="R53" s="97">
        <v>479.27484476000228</v>
      </c>
      <c r="S53" s="97">
        <v>532.96360766147347</v>
      </c>
      <c r="T53" s="97">
        <v>513.36689327850331</v>
      </c>
      <c r="U53" s="97">
        <v>566.40541971310006</v>
      </c>
      <c r="V53" s="97">
        <v>534.92870895242538</v>
      </c>
      <c r="W53" s="97">
        <v>535.35357148512321</v>
      </c>
      <c r="X53" s="97">
        <v>564.01173579094791</v>
      </c>
      <c r="Y53" s="97">
        <v>556.42937364260854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5.4089689955545515</v>
      </c>
      <c r="D54" s="97">
        <v>0.63125079624336256</v>
      </c>
      <c r="E54" s="97">
        <v>0.45995592354318449</v>
      </c>
      <c r="F54" s="97">
        <v>0.24275938567891256</v>
      </c>
      <c r="G54" s="97">
        <v>2.6596695029285553</v>
      </c>
      <c r="H54" s="97">
        <v>11.03064370813992</v>
      </c>
      <c r="I54" s="97">
        <v>12.212096253025926</v>
      </c>
      <c r="J54" s="97">
        <v>17.554378814576303</v>
      </c>
      <c r="K54" s="97">
        <v>15.473176667560448</v>
      </c>
      <c r="L54" s="97">
        <v>21.049291111879079</v>
      </c>
      <c r="M54" s="97">
        <v>22.181851893479891</v>
      </c>
      <c r="N54" s="97">
        <v>20.178823244708489</v>
      </c>
      <c r="O54" s="97">
        <v>22.01301598743601</v>
      </c>
      <c r="P54" s="97">
        <v>32.922145471654346</v>
      </c>
      <c r="Q54" s="97">
        <v>33.974067744080486</v>
      </c>
      <c r="R54" s="97">
        <v>39.774107060818608</v>
      </c>
      <c r="S54" s="97">
        <v>36.622652526791761</v>
      </c>
      <c r="T54" s="97">
        <v>35.377921092726389</v>
      </c>
      <c r="U54" s="97">
        <v>40.090730267599675</v>
      </c>
      <c r="V54" s="97">
        <v>38.837991797550494</v>
      </c>
      <c r="W54" s="97">
        <v>37.923797694913446</v>
      </c>
      <c r="X54" s="97">
        <v>41.249279519358566</v>
      </c>
      <c r="Y54" s="97">
        <v>37.505153111764571</v>
      </c>
      <c r="DA54" s="175" t="s">
        <v>669</v>
      </c>
    </row>
    <row r="55" spans="1:105" ht="11.45" customHeight="1" x14ac:dyDescent="0.25">
      <c r="A55" s="128" t="s">
        <v>116</v>
      </c>
      <c r="B55" s="97">
        <v>95.556226594192822</v>
      </c>
      <c r="C55" s="97">
        <v>85.027736879952641</v>
      </c>
      <c r="D55" s="97">
        <v>156.40900507803758</v>
      </c>
      <c r="E55" s="97">
        <v>53.161536894616276</v>
      </c>
      <c r="F55" s="97">
        <v>78.927542893179108</v>
      </c>
      <c r="G55" s="97">
        <v>170.43888885627717</v>
      </c>
      <c r="H55" s="97">
        <v>227.61759623344969</v>
      </c>
      <c r="I55" s="97">
        <v>270.98176163472465</v>
      </c>
      <c r="J55" s="97">
        <v>289.80220053803521</v>
      </c>
      <c r="K55" s="97">
        <v>217.8322217021869</v>
      </c>
      <c r="L55" s="97">
        <v>333.07064935644365</v>
      </c>
      <c r="M55" s="97">
        <v>308.06025789419414</v>
      </c>
      <c r="N55" s="97">
        <v>302.879156799008</v>
      </c>
      <c r="O55" s="97">
        <v>349.87231053828395</v>
      </c>
      <c r="P55" s="97">
        <v>325.73694824423626</v>
      </c>
      <c r="Q55" s="97">
        <v>322.07404649366345</v>
      </c>
      <c r="R55" s="97">
        <v>431.61954336038241</v>
      </c>
      <c r="S55" s="97">
        <v>665.34050620764924</v>
      </c>
      <c r="T55" s="97">
        <v>707.8366086686791</v>
      </c>
      <c r="U55" s="97">
        <v>663.11838776940897</v>
      </c>
      <c r="V55" s="97">
        <v>576.55921022490861</v>
      </c>
      <c r="W55" s="97">
        <v>707.12274248598669</v>
      </c>
      <c r="X55" s="97">
        <v>704.39958712906696</v>
      </c>
      <c r="Y55" s="97">
        <v>619.91043807573328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3.8645056619249827</v>
      </c>
      <c r="D56" s="98">
        <v>0.50933338888702362</v>
      </c>
      <c r="E56" s="98">
        <v>0.13181756799577141</v>
      </c>
      <c r="F56" s="98">
        <v>9.2850970502055014E-2</v>
      </c>
      <c r="G56" s="98">
        <v>1.8908402318504423</v>
      </c>
      <c r="H56" s="98">
        <v>8.9631766782525588</v>
      </c>
      <c r="I56" s="98">
        <v>10.889705197781495</v>
      </c>
      <c r="J56" s="98">
        <v>13.250351203375716</v>
      </c>
      <c r="K56" s="98">
        <v>10.796036206979711</v>
      </c>
      <c r="L56" s="98">
        <v>16.279463798274008</v>
      </c>
      <c r="M56" s="98">
        <v>16.212908881370577</v>
      </c>
      <c r="N56" s="98">
        <v>15.512272922107575</v>
      </c>
      <c r="O56" s="98">
        <v>20.041636707472751</v>
      </c>
      <c r="P56" s="98">
        <v>25.246716817365538</v>
      </c>
      <c r="Q56" s="98">
        <v>28.39921920212495</v>
      </c>
      <c r="R56" s="98">
        <v>35.819284310141569</v>
      </c>
      <c r="S56" s="98">
        <v>45.718945572583159</v>
      </c>
      <c r="T56" s="98">
        <v>48.779514253636002</v>
      </c>
      <c r="U56" s="98">
        <v>46.936168854130919</v>
      </c>
      <c r="V56" s="98">
        <v>41.86053487644967</v>
      </c>
      <c r="W56" s="98">
        <v>50.091717436606558</v>
      </c>
      <c r="X56" s="98">
        <v>51.516615025856993</v>
      </c>
      <c r="Y56" s="98">
        <v>41.783983730781017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8.5577772386078497</v>
      </c>
      <c r="C60" s="79">
        <f>IF(C17=0,0,C17/TrRoad_act!C30*100)</f>
        <v>8.5685890307613484</v>
      </c>
      <c r="D60" s="79">
        <f>IF(D17=0,0,D17/TrRoad_act!D30*100)</f>
        <v>10.081143163521951</v>
      </c>
      <c r="E60" s="79">
        <f>IF(E17=0,0,E17/TrRoad_act!E30*100)</f>
        <v>8.9655552995862244</v>
      </c>
      <c r="F60" s="79">
        <f>IF(F17=0,0,F17/TrRoad_act!F30*100)</f>
        <v>8.7749312247744715</v>
      </c>
      <c r="G60" s="79">
        <f>IF(G17=0,0,G17/TrRoad_act!G30*100)</f>
        <v>9.6490328977304873</v>
      </c>
      <c r="H60" s="79">
        <f>IF(H17=0,0,H17/TrRoad_act!H30*100)</f>
        <v>9.7893696078934358</v>
      </c>
      <c r="I60" s="79">
        <f>IF(I17=0,0,I17/TrRoad_act!I30*100)</f>
        <v>10.531065123901655</v>
      </c>
      <c r="J60" s="79">
        <f>IF(J17=0,0,J17/TrRoad_act!J30*100)</f>
        <v>10.852710219967731</v>
      </c>
      <c r="K60" s="79">
        <f>IF(K17=0,0,K17/TrRoad_act!K30*100)</f>
        <v>9.7726237041982209</v>
      </c>
      <c r="L60" s="79">
        <f>IF(L17=0,0,L17/TrRoad_act!L30*100)</f>
        <v>10.844981643397061</v>
      </c>
      <c r="M60" s="79">
        <f>IF(M17=0,0,M17/TrRoad_act!M30*100)</f>
        <v>10.64971325848871</v>
      </c>
      <c r="N60" s="79">
        <f>IF(N17=0,0,N17/TrRoad_act!N30*100)</f>
        <v>10.322298002771834</v>
      </c>
      <c r="O60" s="79">
        <f>IF(O17=0,0,O17/TrRoad_act!O30*100)</f>
        <v>10.348544068334617</v>
      </c>
      <c r="P60" s="79">
        <f>IF(P17=0,0,P17/TrRoad_act!P30*100)</f>
        <v>10.244203885291485</v>
      </c>
      <c r="Q60" s="79">
        <f>IF(Q17=0,0,Q17/TrRoad_act!Q30*100)</f>
        <v>9.9539534676016732</v>
      </c>
      <c r="R60" s="79">
        <f>IF(R17=0,0,R17/TrRoad_act!R30*100)</f>
        <v>10.882122303860079</v>
      </c>
      <c r="S60" s="79">
        <f>IF(S17=0,0,S17/TrRoad_act!S30*100)</f>
        <v>12.418718894884655</v>
      </c>
      <c r="T60" s="79">
        <f>IF(T17=0,0,T17/TrRoad_act!T30*100)</f>
        <v>12.356903637673222</v>
      </c>
      <c r="U60" s="79">
        <f>IF(U17=0,0,U17/TrRoad_act!U30*100)</f>
        <v>12.190135058446343</v>
      </c>
      <c r="V60" s="79">
        <f>IF(V17=0,0,V17/TrRoad_act!V30*100)</f>
        <v>11.972133912316908</v>
      </c>
      <c r="W60" s="79">
        <f>IF(W17=0,0,W17/TrRoad_act!W30*100)</f>
        <v>12.497518182509101</v>
      </c>
      <c r="X60" s="79">
        <f>IF(X17=0,0,X17/TrRoad_act!X30*100)</f>
        <v>12.420208600600201</v>
      </c>
      <c r="Y60" s="79">
        <f>IF(Y17=0,0,Y17/TrRoad_act!Y30*100)</f>
        <v>11.961417328879783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7.1262669453167931</v>
      </c>
      <c r="C61" s="32">
        <f>IF(C18=0,0,C18/TrRoad_act!C31*100)</f>
        <v>7.2114821476931823</v>
      </c>
      <c r="D61" s="32">
        <f>IF(D18=0,0,D18/TrRoad_act!D31*100)</f>
        <v>7.9424447503444284</v>
      </c>
      <c r="E61" s="32">
        <f>IF(E18=0,0,E18/TrRoad_act!E31*100)</f>
        <v>7.5559967164370185</v>
      </c>
      <c r="F61" s="32">
        <f>IF(F18=0,0,F18/TrRoad_act!F31*100)</f>
        <v>7.0492743448720168</v>
      </c>
      <c r="G61" s="32">
        <f>IF(G18=0,0,G18/TrRoad_act!G31*100)</f>
        <v>7.2283210316747839</v>
      </c>
      <c r="H61" s="32">
        <f>IF(H18=0,0,H18/TrRoad_act!H31*100)</f>
        <v>6.9649760663569111</v>
      </c>
      <c r="I61" s="32">
        <f>IF(I18=0,0,I18/TrRoad_act!I31*100)</f>
        <v>7.4608373770619201</v>
      </c>
      <c r="J61" s="32">
        <f>IF(J18=0,0,J18/TrRoad_act!J31*100)</f>
        <v>7.5759167309572053</v>
      </c>
      <c r="K61" s="32">
        <f>IF(K18=0,0,K18/TrRoad_act!K31*100)</f>
        <v>7.1638309779223306</v>
      </c>
      <c r="L61" s="32">
        <f>IF(L18=0,0,L18/TrRoad_act!L31*100)</f>
        <v>7.0664659672889458</v>
      </c>
      <c r="M61" s="32">
        <f>IF(M18=0,0,M18/TrRoad_act!M31*100)</f>
        <v>6.9922999462860957</v>
      </c>
      <c r="N61" s="32">
        <f>IF(N18=0,0,N18/TrRoad_act!N31*100)</f>
        <v>6.8556875829482129</v>
      </c>
      <c r="O61" s="32">
        <f>IF(O18=0,0,O18/TrRoad_act!O31*100)</f>
        <v>6.7472789950808618</v>
      </c>
      <c r="P61" s="32">
        <f>IF(P18=0,0,P18/TrRoad_act!P31*100)</f>
        <v>6.6176112614396825</v>
      </c>
      <c r="Q61" s="32">
        <f>IF(Q18=0,0,Q18/TrRoad_act!Q31*100)</f>
        <v>6.618346512377796</v>
      </c>
      <c r="R61" s="32">
        <f>IF(R18=0,0,R18/TrRoad_act!R31*100)</f>
        <v>6.6218812281066892</v>
      </c>
      <c r="S61" s="32">
        <f>IF(S18=0,0,S18/TrRoad_act!S31*100)</f>
        <v>6.7746772414410712</v>
      </c>
      <c r="T61" s="32">
        <f>IF(T18=0,0,T18/TrRoad_act!T31*100)</f>
        <v>6.5450759152346034</v>
      </c>
      <c r="U61" s="32">
        <f>IF(U18=0,0,U18/TrRoad_act!U31*100)</f>
        <v>6.4776844183354649</v>
      </c>
      <c r="V61" s="32">
        <f>IF(V18=0,0,V18/TrRoad_act!V31*100)</f>
        <v>6.4292405560659152</v>
      </c>
      <c r="W61" s="32">
        <f>IF(W18=0,0,W18/TrRoad_act!W31*100)</f>
        <v>6.4585092215473772</v>
      </c>
      <c r="X61" s="32">
        <f>IF(X18=0,0,X18/TrRoad_act!X31*100)</f>
        <v>6.4777052690294861</v>
      </c>
      <c r="Y61" s="32">
        <f>IF(Y18=0,0,Y18/TrRoad_act!Y31*100)</f>
        <v>6.5941061548023496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3.8955674309139203</v>
      </c>
      <c r="C62" s="141">
        <f>IF(C19=0,0,C19/TrRoad_act!C32*100)</f>
        <v>3.8951863014201691</v>
      </c>
      <c r="D62" s="141">
        <f>IF(D19=0,0,D19/TrRoad_act!D32*100)</f>
        <v>3.8950084955284008</v>
      </c>
      <c r="E62" s="141">
        <f>IF(E19=0,0,E19/TrRoad_act!E32*100)</f>
        <v>3.8941350953181657</v>
      </c>
      <c r="F62" s="141">
        <f>IF(F19=0,0,F19/TrRoad_act!F32*100)</f>
        <v>3.8902434913790662</v>
      </c>
      <c r="G62" s="141">
        <f>IF(G19=0,0,G19/TrRoad_act!G32*100)</f>
        <v>3.8896146835518168</v>
      </c>
      <c r="H62" s="141">
        <f>IF(H19=0,0,H19/TrRoad_act!H32*100)</f>
        <v>3.8907950742256219</v>
      </c>
      <c r="I62" s="141">
        <f>IF(I19=0,0,I19/TrRoad_act!I32*100)</f>
        <v>3.8780764837301169</v>
      </c>
      <c r="J62" s="141">
        <f>IF(J19=0,0,J19/TrRoad_act!J32*100)</f>
        <v>3.8576932520446943</v>
      </c>
      <c r="K62" s="141">
        <f>IF(K19=0,0,K19/TrRoad_act!K32*100)</f>
        <v>3.8302538949914533</v>
      </c>
      <c r="L62" s="141">
        <f>IF(L19=0,0,L19/TrRoad_act!L32*100)</f>
        <v>3.8179418383416972</v>
      </c>
      <c r="M62" s="141">
        <f>IF(M19=0,0,M19/TrRoad_act!M32*100)</f>
        <v>3.8032585786763335</v>
      </c>
      <c r="N62" s="141">
        <f>IF(N19=0,0,N19/TrRoad_act!N32*100)</f>
        <v>3.7868822163947971</v>
      </c>
      <c r="O62" s="141">
        <f>IF(O19=0,0,O19/TrRoad_act!O32*100)</f>
        <v>3.7617687133964863</v>
      </c>
      <c r="P62" s="141">
        <f>IF(P19=0,0,P19/TrRoad_act!P32*100)</f>
        <v>3.7370087991143981</v>
      </c>
      <c r="Q62" s="141">
        <f>IF(Q19=0,0,Q19/TrRoad_act!Q32*100)</f>
        <v>3.7049583440998521</v>
      </c>
      <c r="R62" s="141">
        <f>IF(R19=0,0,R19/TrRoad_act!R32*100)</f>
        <v>3.6829978979733946</v>
      </c>
      <c r="S62" s="141">
        <f>IF(S19=0,0,S19/TrRoad_act!S32*100)</f>
        <v>3.6536649394224985</v>
      </c>
      <c r="T62" s="141">
        <f>IF(T19=0,0,T19/TrRoad_act!T32*100)</f>
        <v>3.6280241896140306</v>
      </c>
      <c r="U62" s="141">
        <f>IF(U19=0,0,U19/TrRoad_act!U32*100)</f>
        <v>3.6121429630794331</v>
      </c>
      <c r="V62" s="141">
        <f>IF(V19=0,0,V19/TrRoad_act!V32*100)</f>
        <v>3.5963567566338153</v>
      </c>
      <c r="W62" s="141">
        <f>IF(W19=0,0,W19/TrRoad_act!W32*100)</f>
        <v>3.5874846252097434</v>
      </c>
      <c r="X62" s="141">
        <f>IF(X19=0,0,X19/TrRoad_act!X32*100)</f>
        <v>3.5747043948278816</v>
      </c>
      <c r="Y62" s="141">
        <f>IF(Y19=0,0,Y19/TrRoad_act!Y32*100)</f>
        <v>3.5627152957495625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5.8918452414478937</v>
      </c>
      <c r="C63" s="130">
        <f>IF(C21=0,0,C21/TrRoad_act!C33*100)</f>
        <v>6.0566854684720939</v>
      </c>
      <c r="D63" s="130">
        <f>IF(D21=0,0,D21/TrRoad_act!D33*100)</f>
        <v>6.8582465668690471</v>
      </c>
      <c r="E63" s="130">
        <f>IF(E21=0,0,E21/TrRoad_act!E33*100)</f>
        <v>6.4580698749847922</v>
      </c>
      <c r="F63" s="130">
        <f>IF(F21=0,0,F21/TrRoad_act!F33*100)</f>
        <v>6.0259431470426712</v>
      </c>
      <c r="G63" s="130">
        <f>IF(G21=0,0,G21/TrRoad_act!G33*100)</f>
        <v>6.2632608687752374</v>
      </c>
      <c r="H63" s="130">
        <f>IF(H21=0,0,H21/TrRoad_act!H33*100)</f>
        <v>5.9924349093953992</v>
      </c>
      <c r="I63" s="130">
        <f>IF(I21=0,0,I21/TrRoad_act!I33*100)</f>
        <v>6.3126635304056471</v>
      </c>
      <c r="J63" s="130">
        <f>IF(J21=0,0,J21/TrRoad_act!J33*100)</f>
        <v>6.4856372354355134</v>
      </c>
      <c r="K63" s="130">
        <f>IF(K21=0,0,K21/TrRoad_act!K33*100)</f>
        <v>6.1490340843841258</v>
      </c>
      <c r="L63" s="130">
        <f>IF(L21=0,0,L21/TrRoad_act!L33*100)</f>
        <v>6.0921443546496246</v>
      </c>
      <c r="M63" s="130">
        <f>IF(M21=0,0,M21/TrRoad_act!M33*100)</f>
        <v>6.0729099490618745</v>
      </c>
      <c r="N63" s="130">
        <f>IF(N21=0,0,N21/TrRoad_act!N33*100)</f>
        <v>5.9392654287415878</v>
      </c>
      <c r="O63" s="130">
        <f>IF(O21=0,0,O21/TrRoad_act!O33*100)</f>
        <v>5.8691362593479015</v>
      </c>
      <c r="P63" s="130">
        <f>IF(P21=0,0,P21/TrRoad_act!P33*100)</f>
        <v>5.738228251041539</v>
      </c>
      <c r="Q63" s="130">
        <f>IF(Q21=0,0,Q21/TrRoad_act!Q33*100)</f>
        <v>5.755591916829653</v>
      </c>
      <c r="R63" s="130">
        <f>IF(R21=0,0,R21/TrRoad_act!R33*100)</f>
        <v>5.7963813486582483</v>
      </c>
      <c r="S63" s="130">
        <f>IF(S21=0,0,S21/TrRoad_act!S33*100)</f>
        <v>5.893438158635707</v>
      </c>
      <c r="T63" s="130">
        <f>IF(T21=0,0,T21/TrRoad_act!T33*100)</f>
        <v>5.6352802882952631</v>
      </c>
      <c r="U63" s="130">
        <f>IF(U21=0,0,U21/TrRoad_act!U33*100)</f>
        <v>5.5416004979222011</v>
      </c>
      <c r="V63" s="130">
        <f>IF(V21=0,0,V21/TrRoad_act!V33*100)</f>
        <v>5.5632865357251173</v>
      </c>
      <c r="W63" s="130">
        <f>IF(W21=0,0,W21/TrRoad_act!W33*100)</f>
        <v>5.6137728032669028</v>
      </c>
      <c r="X63" s="130">
        <f>IF(X21=0,0,X21/TrRoad_act!X33*100)</f>
        <v>5.6121939355618222</v>
      </c>
      <c r="Y63" s="130">
        <f>IF(Y21=0,0,Y21/TrRoad_act!Y33*100)</f>
        <v>5.7680147804029405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5.543721888751568</v>
      </c>
      <c r="C64" s="96">
        <f>IF(C22=0,0,C22/TrRoad_act!C34*100)</f>
        <v>5.8111058334391519</v>
      </c>
      <c r="D64" s="96">
        <f>IF(D22=0,0,D22/TrRoad_act!D34*100)</f>
        <v>6.8864358801734564</v>
      </c>
      <c r="E64" s="96">
        <f>IF(E22=0,0,E22/TrRoad_act!E34*100)</f>
        <v>6.426026290065086</v>
      </c>
      <c r="F64" s="96">
        <f>IF(F22=0,0,F22/TrRoad_act!F34*100)</f>
        <v>5.8178227846628499</v>
      </c>
      <c r="G64" s="96">
        <f>IF(G22=0,0,G22/TrRoad_act!G34*100)</f>
        <v>6.0958736616212299</v>
      </c>
      <c r="H64" s="96">
        <f>IF(H22=0,0,H22/TrRoad_act!H34*100)</f>
        <v>5.729393529452774</v>
      </c>
      <c r="I64" s="96">
        <f>IF(I22=0,0,I22/TrRoad_act!I34*100)</f>
        <v>6.1005168612716005</v>
      </c>
      <c r="J64" s="96">
        <f>IF(J22=0,0,J22/TrRoad_act!J34*100)</f>
        <v>6.4611998577489933</v>
      </c>
      <c r="K64" s="96">
        <f>IF(K22=0,0,K22/TrRoad_act!K34*100)</f>
        <v>5.9850774714117758</v>
      </c>
      <c r="L64" s="96">
        <f>IF(L22=0,0,L22/TrRoad_act!L34*100)</f>
        <v>5.848679244804285</v>
      </c>
      <c r="M64" s="96">
        <f>IF(M22=0,0,M22/TrRoad_act!M34*100)</f>
        <v>5.773322031843283</v>
      </c>
      <c r="N64" s="96">
        <f>IF(N22=0,0,N22/TrRoad_act!N34*100)</f>
        <v>5.5857690780654119</v>
      </c>
      <c r="O64" s="96">
        <f>IF(O22=0,0,O22/TrRoad_act!O34*100)</f>
        <v>5.5053899123267236</v>
      </c>
      <c r="P64" s="96">
        <f>IF(P22=0,0,P22/TrRoad_act!P34*100)</f>
        <v>5.4072845588288736</v>
      </c>
      <c r="Q64" s="96">
        <f>IF(Q22=0,0,Q22/TrRoad_act!Q34*100)</f>
        <v>5.4576141772740909</v>
      </c>
      <c r="R64" s="96">
        <f>IF(R22=0,0,R22/TrRoad_act!R34*100)</f>
        <v>5.5398768982946347</v>
      </c>
      <c r="S64" s="96">
        <f>IF(S22=0,0,S22/TrRoad_act!S34*100)</f>
        <v>5.6280102335716027</v>
      </c>
      <c r="T64" s="96">
        <f>IF(T22=0,0,T22/TrRoad_act!T34*100)</f>
        <v>5.2064143536993095</v>
      </c>
      <c r="U64" s="96">
        <f>IF(U22=0,0,U22/TrRoad_act!U34*100)</f>
        <v>5.0899015479398253</v>
      </c>
      <c r="V64" s="96">
        <f>IF(V22=0,0,V22/TrRoad_act!V34*100)</f>
        <v>5.1385415435744912</v>
      </c>
      <c r="W64" s="96">
        <f>IF(W22=0,0,W22/TrRoad_act!W34*100)</f>
        <v>5.1680144785756346</v>
      </c>
      <c r="X64" s="96">
        <f>IF(X22=0,0,X22/TrRoad_act!X34*100)</f>
        <v>5.2289626013442296</v>
      </c>
      <c r="Y64" s="96">
        <f>IF(Y22=0,0,Y22/TrRoad_act!Y34*100)</f>
        <v>5.528635920177666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7.1057778375287661</v>
      </c>
      <c r="C65" s="96">
        <f>IF(C24=0,0,C24/TrRoad_act!C35*100)</f>
        <v>6.8059192277893228</v>
      </c>
      <c r="D65" s="96">
        <f>IF(D24=0,0,D24/TrRoad_act!D35*100)</f>
        <v>6.7833549492700529</v>
      </c>
      <c r="E65" s="96">
        <f>IF(E24=0,0,E24/TrRoad_act!E35*100)</f>
        <v>6.553985687225321</v>
      </c>
      <c r="F65" s="96">
        <f>IF(F24=0,0,F24/TrRoad_act!F35*100)</f>
        <v>6.5316583068663867</v>
      </c>
      <c r="G65" s="96">
        <f>IF(G24=0,0,G24/TrRoad_act!G35*100)</f>
        <v>6.6123611480445694</v>
      </c>
      <c r="H65" s="96">
        <f>IF(H24=0,0,H24/TrRoad_act!H35*100)</f>
        <v>6.6343412951767853</v>
      </c>
      <c r="I65" s="96">
        <f>IF(I24=0,0,I24/TrRoad_act!I35*100)</f>
        <v>6.5816193953696089</v>
      </c>
      <c r="J65" s="96">
        <f>IF(J24=0,0,J24/TrRoad_act!J35*100)</f>
        <v>6.5565059740634366</v>
      </c>
      <c r="K65" s="96">
        <f>IF(K24=0,0,K24/TrRoad_act!K35*100)</f>
        <v>6.4833370303652424</v>
      </c>
      <c r="L65" s="96">
        <f>IF(L24=0,0,L24/TrRoad_act!L35*100)</f>
        <v>6.561177582309508</v>
      </c>
      <c r="M65" s="96">
        <f>IF(M24=0,0,M24/TrRoad_act!M35*100)</f>
        <v>6.5015762455430268</v>
      </c>
      <c r="N65" s="96">
        <f>IF(N24=0,0,N24/TrRoad_act!N35*100)</f>
        <v>6.4596228262055897</v>
      </c>
      <c r="O65" s="96">
        <f>IF(O24=0,0,O24/TrRoad_act!O35*100)</f>
        <v>6.4390962845884889</v>
      </c>
      <c r="P65" s="96">
        <f>IF(P24=0,0,P24/TrRoad_act!P35*100)</f>
        <v>6.3529778777068042</v>
      </c>
      <c r="Q65" s="96">
        <f>IF(Q24=0,0,Q24/TrRoad_act!Q35*100)</f>
        <v>6.269569471341109</v>
      </c>
      <c r="R65" s="96">
        <f>IF(R24=0,0,R24/TrRoad_act!R35*100)</f>
        <v>6.2303803361645844</v>
      </c>
      <c r="S65" s="96">
        <f>IF(S24=0,0,S24/TrRoad_act!S35*100)</f>
        <v>6.3323977096373039</v>
      </c>
      <c r="T65" s="96">
        <f>IF(T24=0,0,T24/TrRoad_act!T35*100)</f>
        <v>6.3384054320845467</v>
      </c>
      <c r="U65" s="96">
        <f>IF(U24=0,0,U24/TrRoad_act!U35*100)</f>
        <v>6.2487121353231787</v>
      </c>
      <c r="V65" s="96">
        <f>IF(V24=0,0,V24/TrRoad_act!V35*100)</f>
        <v>6.1603923566846079</v>
      </c>
      <c r="W65" s="96">
        <f>IF(W24=0,0,W24/TrRoad_act!W35*100)</f>
        <v>6.1786776986541785</v>
      </c>
      <c r="X65" s="96">
        <f>IF(X24=0,0,X24/TrRoad_act!X35*100)</f>
        <v>6.1031086796227338</v>
      </c>
      <c r="Y65" s="96">
        <f>IF(Y24=0,0,Y24/TrRoad_act!Y35*100)</f>
        <v>6.0372939283682605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6.7283692684788399</v>
      </c>
      <c r="H66" s="96">
        <f>IF(H26=0,0,H26/TrRoad_act!H36*100)</f>
        <v>6.8029620638954835</v>
      </c>
      <c r="I66" s="96">
        <f>IF(I26=0,0,I26/TrRoad_act!I36*100)</f>
        <v>7.0253588997253829</v>
      </c>
      <c r="J66" s="96">
        <f>IF(J26=0,0,J26/TrRoad_act!J36*100)</f>
        <v>7.3641925833580553</v>
      </c>
      <c r="K66" s="96">
        <f>IF(K26=0,0,K26/TrRoad_act!K36*100)</f>
        <v>7.7238596638109458</v>
      </c>
      <c r="L66" s="96">
        <f>IF(L26=0,0,L26/TrRoad_act!L36*100)</f>
        <v>7.4179901343794707</v>
      </c>
      <c r="M66" s="96">
        <f>IF(M26=0,0,M26/TrRoad_act!M36*100)</f>
        <v>7.1348780009652319</v>
      </c>
      <c r="N66" s="96">
        <f>IF(N26=0,0,N26/TrRoad_act!N36*100)</f>
        <v>7.147795678546065</v>
      </c>
      <c r="O66" s="96">
        <f>IF(O26=0,0,O26/TrRoad_act!O36*100)</f>
        <v>7.160400429800549</v>
      </c>
      <c r="P66" s="96">
        <f>IF(P26=0,0,P26/TrRoad_act!P36*100)</f>
        <v>5.8669553824315352</v>
      </c>
      <c r="Q66" s="96">
        <f>IF(Q26=0,0,Q26/TrRoad_act!Q36*100)</f>
        <v>6.4857321173913256</v>
      </c>
      <c r="R66" s="96">
        <f>IF(R26=0,0,R26/TrRoad_act!R36*100)</f>
        <v>6.663316745724333</v>
      </c>
      <c r="S66" s="96">
        <f>IF(S26=0,0,S26/TrRoad_act!S36*100)</f>
        <v>7.0514939331098132</v>
      </c>
      <c r="T66" s="96">
        <f>IF(T26=0,0,T26/TrRoad_act!T36*100)</f>
        <v>7.7450810030840476</v>
      </c>
      <c r="U66" s="96">
        <f>IF(U26=0,0,U26/TrRoad_act!U36*100)</f>
        <v>8.3140203792237237</v>
      </c>
      <c r="V66" s="96">
        <f>IF(V26=0,0,V26/TrRoad_act!V36*100)</f>
        <v>8.7906583257446709</v>
      </c>
      <c r="W66" s="96">
        <f>IF(W26=0,0,W26/TrRoad_act!W36*100)</f>
        <v>9.9712803069856424</v>
      </c>
      <c r="X66" s="96">
        <f>IF(X26=0,0,X26/TrRoad_act!X36*100)</f>
        <v>9.7353458379401534</v>
      </c>
      <c r="Y66" s="96">
        <f>IF(Y26=0,0,Y26/TrRoad_act!Y36*100)</f>
        <v>9.6970155150383803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13.873450308658237</v>
      </c>
      <c r="D67" s="96">
        <f>IF(D27=0,0,D27/TrRoad_act!D37*100)</f>
        <v>5.8346487046239899</v>
      </c>
      <c r="E67" s="96">
        <f>IF(E27=0,0,E27/TrRoad_act!E37*100)</f>
        <v>5.9277204946773532</v>
      </c>
      <c r="F67" s="96">
        <f>IF(F27=0,0,F27/TrRoad_act!F37*100)</f>
        <v>7.5878880970610156</v>
      </c>
      <c r="G67" s="96">
        <f>IF(G27=0,0,G27/TrRoad_act!G37*100)</f>
        <v>9.8643380287932825</v>
      </c>
      <c r="H67" s="96">
        <f>IF(H27=0,0,H27/TrRoad_act!H37*100)</f>
        <v>5.8142343213127408</v>
      </c>
      <c r="I67" s="96">
        <f>IF(I27=0,0,I27/TrRoad_act!I37*100)</f>
        <v>11.921968359323106</v>
      </c>
      <c r="J67" s="96">
        <f>IF(J27=0,0,J27/TrRoad_act!J37*100)</f>
        <v>5.7287134173463627</v>
      </c>
      <c r="K67" s="96">
        <f>IF(K27=0,0,K27/TrRoad_act!K37*100)</f>
        <v>5.7173027706924735</v>
      </c>
      <c r="L67" s="96">
        <f>IF(L27=0,0,L27/TrRoad_act!L37*100)</f>
        <v>6.3811398495091858</v>
      </c>
      <c r="M67" s="96">
        <f>IF(M27=0,0,M27/TrRoad_act!M37*100)</f>
        <v>7.6177259602485154</v>
      </c>
      <c r="N67" s="96">
        <f>IF(N27=0,0,N27/TrRoad_act!N37*100)</f>
        <v>7.4979601360284196</v>
      </c>
      <c r="O67" s="96">
        <f>IF(O27=0,0,O27/TrRoad_act!O37*100)</f>
        <v>6.6590342285733284</v>
      </c>
      <c r="P67" s="96">
        <f>IF(P27=0,0,P27/TrRoad_act!P37*100)</f>
        <v>7.0956943439298161</v>
      </c>
      <c r="Q67" s="96">
        <f>IF(Q27=0,0,Q27/TrRoad_act!Q37*100)</f>
        <v>6.5430642048736702</v>
      </c>
      <c r="R67" s="96">
        <f>IF(R27=0,0,R27/TrRoad_act!R37*100)</f>
        <v>7.0477587571239511</v>
      </c>
      <c r="S67" s="96">
        <f>IF(S27=0,0,S27/TrRoad_act!S37*100)</f>
        <v>7.0219155226255552</v>
      </c>
      <c r="T67" s="96">
        <f>IF(T27=0,0,T27/TrRoad_act!T37*100)</f>
        <v>6.9702703948026068</v>
      </c>
      <c r="U67" s="96">
        <f>IF(U27=0,0,U27/TrRoad_act!U37*100)</f>
        <v>6.8721966408400004</v>
      </c>
      <c r="V67" s="96">
        <f>IF(V27=0,0,V27/TrRoad_act!V37*100)</f>
        <v>8.7602254865238258</v>
      </c>
      <c r="W67" s="96">
        <f>IF(W27=0,0,W27/TrRoad_act!W37*100)</f>
        <v>8.378521409991464</v>
      </c>
      <c r="X67" s="96">
        <f>IF(X27=0,0,X27/TrRoad_act!X37*100)</f>
        <v>8.6959749799554285</v>
      </c>
      <c r="Y67" s="96">
        <f>IF(Y27=0,0,Y27/TrRoad_act!Y37*100)</f>
        <v>7.6867836266970819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2.1811052639156725</v>
      </c>
      <c r="O68" s="96">
        <f>IF(O29=0,0,O29/TrRoad_act!O38*100)</f>
        <v>2.1659842303744505</v>
      </c>
      <c r="P68" s="96">
        <f>IF(P29=0,0,P29/TrRoad_act!P38*100)</f>
        <v>5.0979341841315327</v>
      </c>
      <c r="Q68" s="96">
        <f>IF(Q29=0,0,Q29/TrRoad_act!Q38*100)</f>
        <v>4.6552367113474427</v>
      </c>
      <c r="R68" s="96">
        <f>IF(R29=0,0,R29/TrRoad_act!R38*100)</f>
        <v>3.7516422712086293</v>
      </c>
      <c r="S68" s="96">
        <f>IF(S29=0,0,S29/TrRoad_act!S38*100)</f>
        <v>4.260387132577776</v>
      </c>
      <c r="T68" s="96">
        <f>IF(T29=0,0,T29/TrRoad_act!T38*100)</f>
        <v>3.6879135796230313</v>
      </c>
      <c r="U68" s="96">
        <f>IF(U29=0,0,U29/TrRoad_act!U38*100)</f>
        <v>3.6229750146600481</v>
      </c>
      <c r="V68" s="96">
        <f>IF(V29=0,0,V29/TrRoad_act!V38*100)</f>
        <v>3.4805314221977288</v>
      </c>
      <c r="W68" s="96">
        <f>IF(W29=0,0,W29/TrRoad_act!W38*100)</f>
        <v>3.2078352540859423</v>
      </c>
      <c r="X68" s="96">
        <f>IF(X29=0,0,X29/TrRoad_act!X38*100)</f>
        <v>3.0981887196060618</v>
      </c>
      <c r="Y68" s="96">
        <f>IF(Y29=0,0,Y29/TrRoad_act!Y38*100)</f>
        <v>3.0708932952243795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1.4580592983471157</v>
      </c>
      <c r="N69" s="96">
        <f>IF(N32=0,0,N32/TrRoad_act!N39*100)</f>
        <v>1.4525599065005212</v>
      </c>
      <c r="O69" s="96">
        <f>IF(O32=0,0,O32/TrRoad_act!O39*100)</f>
        <v>1.4293811540080077</v>
      </c>
      <c r="P69" s="96">
        <f>IF(P32=0,0,P32/TrRoad_act!P39*100)</f>
        <v>1.4195150199768307</v>
      </c>
      <c r="Q69" s="96">
        <f>IF(Q32=0,0,Q32/TrRoad_act!Q39*100)</f>
        <v>1.4446870481074117</v>
      </c>
      <c r="R69" s="96">
        <f>IF(R32=0,0,R32/TrRoad_act!R39*100)</f>
        <v>1.4495269439121736</v>
      </c>
      <c r="S69" s="96">
        <f>IF(S32=0,0,S32/TrRoad_act!S39*100)</f>
        <v>1.4106825860307195</v>
      </c>
      <c r="T69" s="96">
        <f>IF(T32=0,0,T32/TrRoad_act!T39*100)</f>
        <v>1.4758182921698138</v>
      </c>
      <c r="U69" s="96">
        <f>IF(U32=0,0,U32/TrRoad_act!U39*100)</f>
        <v>1.5113793270849667</v>
      </c>
      <c r="V69" s="96">
        <f>IF(V32=0,0,V32/TrRoad_act!V39*100)</f>
        <v>1.5487080937784119</v>
      </c>
      <c r="W69" s="96">
        <f>IF(W32=0,0,W32/TrRoad_act!W39*100)</f>
        <v>1.5804091258265818</v>
      </c>
      <c r="X69" s="96">
        <f>IF(X32=0,0,X32/TrRoad_act!X39*100)</f>
        <v>1.6082054402095556</v>
      </c>
      <c r="Y69" s="96">
        <f>IF(Y32=0,0,Y32/TrRoad_act!Y39*100)</f>
        <v>1.6374016041096733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60.352055320823062</v>
      </c>
      <c r="C70" s="130">
        <f>IF(C33=0,0,C33/TrRoad_act!C40*100)</f>
        <v>59.17237522309329</v>
      </c>
      <c r="D70" s="130">
        <f>IF(D33=0,0,D33/TrRoad_act!D40*100)</f>
        <v>59.434101426066391</v>
      </c>
      <c r="E70" s="130">
        <f>IF(E33=0,0,E33/TrRoad_act!E40*100)</f>
        <v>57.915744641414825</v>
      </c>
      <c r="F70" s="130">
        <f>IF(F33=0,0,F33/TrRoad_act!F40*100)</f>
        <v>57.162751224007479</v>
      </c>
      <c r="G70" s="130">
        <f>IF(G33=0,0,G33/TrRoad_act!G40*100)</f>
        <v>57.457194277112777</v>
      </c>
      <c r="H70" s="130">
        <f>IF(H33=0,0,H33/TrRoad_act!H40*100)</f>
        <v>56.901603540341185</v>
      </c>
      <c r="I70" s="130">
        <f>IF(I33=0,0,I33/TrRoad_act!I40*100)</f>
        <v>55.896407614029656</v>
      </c>
      <c r="J70" s="130">
        <f>IF(J33=0,0,J33/TrRoad_act!J40*100)</f>
        <v>55.304214065104631</v>
      </c>
      <c r="K70" s="130">
        <f>IF(K33=0,0,K33/TrRoad_act!K40*100)</f>
        <v>53.862131998195728</v>
      </c>
      <c r="L70" s="130">
        <f>IF(L33=0,0,L33/TrRoad_act!L40*100)</f>
        <v>53.851127098155935</v>
      </c>
      <c r="M70" s="130">
        <f>IF(M33=0,0,M33/TrRoad_act!M40*100)</f>
        <v>52.850641018064316</v>
      </c>
      <c r="N70" s="130">
        <f>IF(N33=0,0,N33/TrRoad_act!N40*100)</f>
        <v>52.611907393166788</v>
      </c>
      <c r="O70" s="130">
        <f>IF(O33=0,0,O33/TrRoad_act!O40*100)</f>
        <v>52.672090282700282</v>
      </c>
      <c r="P70" s="130">
        <f>IF(P33=0,0,P33/TrRoad_act!P40*100)</f>
        <v>52.35340644426627</v>
      </c>
      <c r="Q70" s="130">
        <f>IF(Q33=0,0,Q33/TrRoad_act!Q40*100)</f>
        <v>51.898276749834793</v>
      </c>
      <c r="R70" s="130">
        <f>IF(R33=0,0,R33/TrRoad_act!R40*100)</f>
        <v>50.330563205838111</v>
      </c>
      <c r="S70" s="130">
        <f>IF(S33=0,0,S33/TrRoad_act!S40*100)</f>
        <v>51.52334807396123</v>
      </c>
      <c r="T70" s="130">
        <f>IF(T33=0,0,T33/TrRoad_act!T40*100)</f>
        <v>51.597866592270158</v>
      </c>
      <c r="U70" s="130">
        <f>IF(U33=0,0,U33/TrRoad_act!U40*100)</f>
        <v>52.363206505143964</v>
      </c>
      <c r="V70" s="130">
        <f>IF(V33=0,0,V33/TrRoad_act!V40*100)</f>
        <v>52.074782797293253</v>
      </c>
      <c r="W70" s="130">
        <f>IF(W33=0,0,W33/TrRoad_act!W40*100)</f>
        <v>52.151364954222387</v>
      </c>
      <c r="X70" s="130">
        <f>IF(X33=0,0,X33/TrRoad_act!X40*100)</f>
        <v>51.934935894429266</v>
      </c>
      <c r="Y70" s="130">
        <f>IF(Y33=0,0,Y33/TrRoad_act!Y40*100)</f>
        <v>50.574525070472454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X71" s="97">
        <f>IF(X34=0,0,X34/TrRoad_act!X41*100)</f>
        <v>0</v>
      </c>
      <c r="Y71" s="97">
        <f>IF(Y34=0,0,Y34/TrRoad_act!Y41*100)</f>
        <v>0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60.352055320823062</v>
      </c>
      <c r="C72" s="97">
        <f>IF(C36=0,0,C36/TrRoad_act!C42*100)</f>
        <v>59.17237522309329</v>
      </c>
      <c r="D72" s="97">
        <f>IF(D36=0,0,D36/TrRoad_act!D42*100)</f>
        <v>59.434101426066391</v>
      </c>
      <c r="E72" s="97">
        <f>IF(E36=0,0,E36/TrRoad_act!E42*100)</f>
        <v>57.915744641414825</v>
      </c>
      <c r="F72" s="97">
        <f>IF(F36=0,0,F36/TrRoad_act!F42*100)</f>
        <v>57.162751224007479</v>
      </c>
      <c r="G72" s="97">
        <f>IF(G36=0,0,G36/TrRoad_act!G42*100)</f>
        <v>57.457194277112777</v>
      </c>
      <c r="H72" s="97">
        <f>IF(H36=0,0,H36/TrRoad_act!H42*100)</f>
        <v>56.901603540341185</v>
      </c>
      <c r="I72" s="97">
        <f>IF(I36=0,0,I36/TrRoad_act!I42*100)</f>
        <v>55.896407614029656</v>
      </c>
      <c r="J72" s="97">
        <f>IF(J36=0,0,J36/TrRoad_act!J42*100)</f>
        <v>55.304214065104631</v>
      </c>
      <c r="K72" s="97">
        <f>IF(K36=0,0,K36/TrRoad_act!K42*100)</f>
        <v>53.862131998195728</v>
      </c>
      <c r="L72" s="97">
        <f>IF(L36=0,0,L36/TrRoad_act!L42*100)</f>
        <v>54.253718229574368</v>
      </c>
      <c r="M72" s="97">
        <f>IF(M36=0,0,M36/TrRoad_act!M42*100)</f>
        <v>53.799961131699078</v>
      </c>
      <c r="N72" s="97">
        <f>IF(N36=0,0,N36/TrRoad_act!N42*100)</f>
        <v>53.558970317591779</v>
      </c>
      <c r="O72" s="97">
        <f>IF(O36=0,0,O36/TrRoad_act!O42*100)</f>
        <v>53.637665484511608</v>
      </c>
      <c r="P72" s="97">
        <f>IF(P36=0,0,P36/TrRoad_act!P42*100)</f>
        <v>53.714849269611022</v>
      </c>
      <c r="Q72" s="97">
        <f>IF(Q36=0,0,Q36/TrRoad_act!Q42*100)</f>
        <v>53.554804526180988</v>
      </c>
      <c r="R72" s="97">
        <f>IF(R36=0,0,R36/TrRoad_act!R42*100)</f>
        <v>53.950040228339958</v>
      </c>
      <c r="S72" s="97">
        <f>IF(S36=0,0,S36/TrRoad_act!S42*100)</f>
        <v>55.202645098222156</v>
      </c>
      <c r="T72" s="97">
        <f>IF(T36=0,0,T36/TrRoad_act!T42*100)</f>
        <v>55.541747875947912</v>
      </c>
      <c r="U72" s="97">
        <f>IF(U36=0,0,U36/TrRoad_act!U42*100)</f>
        <v>55.090812208328444</v>
      </c>
      <c r="V72" s="97">
        <f>IF(V36=0,0,V36/TrRoad_act!V42*100)</f>
        <v>54.986280371047222</v>
      </c>
      <c r="W72" s="97">
        <f>IF(W36=0,0,W36/TrRoad_act!W42*100)</f>
        <v>55.141194807595163</v>
      </c>
      <c r="X72" s="97">
        <f>IF(X36=0,0,X36/TrRoad_act!X42*100)</f>
        <v>54.483337761006709</v>
      </c>
      <c r="Y72" s="97">
        <f>IF(Y36=0,0,Y36/TrRoad_act!Y42*100)</f>
        <v>53.080806033187258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10.347697372638338</v>
      </c>
      <c r="S74" s="97">
        <f>IF(S39=0,0,S39/TrRoad_act!S44*100)</f>
        <v>15.702862302402036</v>
      </c>
      <c r="T74" s="97">
        <f>IF(T39=0,0,T39/TrRoad_act!T44*100)</f>
        <v>11.316556898356902</v>
      </c>
      <c r="U74" s="97">
        <f>IF(U39=0,0,U39/TrRoad_act!U44*100)</f>
        <v>46.198962194889411</v>
      </c>
      <c r="V74" s="97">
        <f>IF(V39=0,0,V39/TrRoad_act!V44*100)</f>
        <v>61.131690646526515</v>
      </c>
      <c r="W74" s="97">
        <f>IF(W39=0,0,W39/TrRoad_act!W44*100)</f>
        <v>59.784758743814507</v>
      </c>
      <c r="X74" s="97">
        <f>IF(X39=0,0,X39/TrRoad_act!X44*100)</f>
        <v>63.933649606969077</v>
      </c>
      <c r="Y74" s="97">
        <f>IF(Y39=0,0,Y39/TrRoad_act!Y44*100)</f>
        <v>57.824956905149683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29.16097398383754</v>
      </c>
      <c r="M75" s="97">
        <f>IF(M41=0,0,M41/TrRoad_act!M45*100)</f>
        <v>29.233221250295198</v>
      </c>
      <c r="N75" s="97">
        <f>IF(N41=0,0,N41/TrRoad_act!N45*100)</f>
        <v>29.234023766997471</v>
      </c>
      <c r="O75" s="97">
        <f>IF(O41=0,0,O41/TrRoad_act!O45*100)</f>
        <v>29.234632652486731</v>
      </c>
      <c r="P75" s="97">
        <f>IF(P41=0,0,P41/TrRoad_act!P45*100)</f>
        <v>29.430071133663187</v>
      </c>
      <c r="Q75" s="97">
        <f>IF(Q41=0,0,Q41/TrRoad_act!Q45*100)</f>
        <v>29.558613532430279</v>
      </c>
      <c r="R75" s="97">
        <f>IF(R41=0,0,R41/TrRoad_act!R45*100)</f>
        <v>29.64125713549668</v>
      </c>
      <c r="S75" s="97">
        <f>IF(S41=0,0,S41/TrRoad_act!S45*100)</f>
        <v>29.661050207663948</v>
      </c>
      <c r="T75" s="97">
        <f>IF(T41=0,0,T41/TrRoad_act!T45*100)</f>
        <v>29.627249688544772</v>
      </c>
      <c r="U75" s="97">
        <f>IF(U41=0,0,U41/TrRoad_act!U45*100)</f>
        <v>29.578698938915331</v>
      </c>
      <c r="V75" s="97">
        <f>IF(V41=0,0,V41/TrRoad_act!V45*100)</f>
        <v>29.535792233323161</v>
      </c>
      <c r="W75" s="97">
        <f>IF(W41=0,0,W41/TrRoad_act!W45*100)</f>
        <v>29.533483658603991</v>
      </c>
      <c r="X75" s="97">
        <f>IF(X41=0,0,X41/TrRoad_act!X45*100)</f>
        <v>29.529741099387802</v>
      </c>
      <c r="Y75" s="97">
        <f>IF(Y41=0,0,Y41/TrRoad_act!Y45*100)</f>
        <v>29.236841940888709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16.70221998407974</v>
      </c>
      <c r="C76" s="32">
        <f>IF(C42=0,0,C42/TrRoad_act!C46*100)</f>
        <v>16.126294184254224</v>
      </c>
      <c r="D76" s="32">
        <f>IF(D42=0,0,D42/TrRoad_act!D46*100)</f>
        <v>21.212881248658942</v>
      </c>
      <c r="E76" s="32">
        <f>IF(E42=0,0,E42/TrRoad_act!E46*100)</f>
        <v>16.280700435023874</v>
      </c>
      <c r="F76" s="32">
        <f>IF(F42=0,0,F42/TrRoad_act!F46*100)</f>
        <v>16.963807528872945</v>
      </c>
      <c r="G76" s="32">
        <f>IF(G42=0,0,G42/TrRoad_act!G46*100)</f>
        <v>20.533763053249505</v>
      </c>
      <c r="H76" s="32">
        <f>IF(H42=0,0,H42/TrRoad_act!H46*100)</f>
        <v>22.208600347698258</v>
      </c>
      <c r="I76" s="32">
        <f>IF(I42=0,0,I42/TrRoad_act!I46*100)</f>
        <v>22.340571607016361</v>
      </c>
      <c r="J76" s="32">
        <f>IF(J42=0,0,J42/TrRoad_act!J46*100)</f>
        <v>22.466986907661184</v>
      </c>
      <c r="K76" s="32">
        <f>IF(K42=0,0,K42/TrRoad_act!K46*100)</f>
        <v>19.00975470541356</v>
      </c>
      <c r="L76" s="32">
        <f>IF(L42=0,0,L42/TrRoad_act!L46*100)</f>
        <v>23.460202936873518</v>
      </c>
      <c r="M76" s="32">
        <f>IF(M42=0,0,M42/TrRoad_act!M46*100)</f>
        <v>22.48272381978899</v>
      </c>
      <c r="N76" s="32">
        <f>IF(N42=0,0,N42/TrRoad_act!N46*100)</f>
        <v>21.359552348646648</v>
      </c>
      <c r="O76" s="32">
        <f>IF(O42=0,0,O42/TrRoad_act!O46*100)</f>
        <v>22.721568193048615</v>
      </c>
      <c r="P76" s="32">
        <f>IF(P42=0,0,P42/TrRoad_act!P46*100)</f>
        <v>23.333178538430175</v>
      </c>
      <c r="Q76" s="32">
        <f>IF(Q42=0,0,Q42/TrRoad_act!Q46*100)</f>
        <v>21.271728927544292</v>
      </c>
      <c r="R76" s="32">
        <f>IF(R42=0,0,R42/TrRoad_act!R46*100)</f>
        <v>24.946714796848653</v>
      </c>
      <c r="S76" s="32">
        <f>IF(S42=0,0,S42/TrRoad_act!S46*100)</f>
        <v>30.623372806499727</v>
      </c>
      <c r="T76" s="32">
        <f>IF(T42=0,0,T42/TrRoad_act!T46*100)</f>
        <v>31.791545720199181</v>
      </c>
      <c r="U76" s="32">
        <f>IF(U42=0,0,U42/TrRoad_act!U46*100)</f>
        <v>30.429351653334098</v>
      </c>
      <c r="V76" s="32">
        <f>IF(V42=0,0,V42/TrRoad_act!V46*100)</f>
        <v>28.457755299263471</v>
      </c>
      <c r="W76" s="32">
        <f>IF(W42=0,0,W42/TrRoad_act!W46*100)</f>
        <v>30.97724930413483</v>
      </c>
      <c r="X76" s="32">
        <f>IF(X42=0,0,X42/TrRoad_act!X46*100)</f>
        <v>30.455676126069704</v>
      </c>
      <c r="Y76" s="32">
        <f>IF(Y42=0,0,Y42/TrRoad_act!Y46*100)</f>
        <v>28.702597294063558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10.560093898674513</v>
      </c>
      <c r="C77" s="141">
        <f>IF(C43=0,0,C43/TrRoad_act!C47*100)</f>
        <v>10.675544452470167</v>
      </c>
      <c r="D77" s="141">
        <f>IF(D43=0,0,D43/TrRoad_act!D47*100)</f>
        <v>12.363544111547723</v>
      </c>
      <c r="E77" s="141">
        <f>IF(E43=0,0,E43/TrRoad_act!E47*100)</f>
        <v>11.609730587923838</v>
      </c>
      <c r="F77" s="141">
        <f>IF(F43=0,0,F43/TrRoad_act!F47*100)</f>
        <v>11.604278878124127</v>
      </c>
      <c r="G77" s="141">
        <f>IF(G43=0,0,G43/TrRoad_act!G47*100)</f>
        <v>12.012732871661965</v>
      </c>
      <c r="H77" s="141">
        <f>IF(H43=0,0,H43/TrRoad_act!H47*100)</f>
        <v>11.14820477299812</v>
      </c>
      <c r="I77" s="141">
        <f>IF(I43=0,0,I43/TrRoad_act!I47*100)</f>
        <v>11.586025601675088</v>
      </c>
      <c r="J77" s="141">
        <f>IF(J43=0,0,J43/TrRoad_act!J47*100)</f>
        <v>10.754653035766621</v>
      </c>
      <c r="K77" s="141">
        <f>IF(K43=0,0,K43/TrRoad_act!K47*100)</f>
        <v>9.8145237335398416</v>
      </c>
      <c r="L77" s="141">
        <f>IF(L43=0,0,L43/TrRoad_act!L47*100)</f>
        <v>11.281587157074799</v>
      </c>
      <c r="M77" s="141">
        <f>IF(M43=0,0,M43/TrRoad_act!M47*100)</f>
        <v>11.490090093480401</v>
      </c>
      <c r="N77" s="141">
        <f>IF(N43=0,0,N43/TrRoad_act!N47*100)</f>
        <v>10.692359167811926</v>
      </c>
      <c r="O77" s="141">
        <f>IF(O43=0,0,O43/TrRoad_act!O47*100)</f>
        <v>10.384772019118222</v>
      </c>
      <c r="P77" s="141">
        <f>IF(P43=0,0,P43/TrRoad_act!P47*100)</f>
        <v>10.700965876683105</v>
      </c>
      <c r="Q77" s="141">
        <f>IF(Q43=0,0,Q43/TrRoad_act!Q47*100)</f>
        <v>10.045288100494885</v>
      </c>
      <c r="R77" s="141">
        <f>IF(R43=0,0,R43/TrRoad_act!R47*100)</f>
        <v>10.765103580196277</v>
      </c>
      <c r="S77" s="141">
        <f>IF(S43=0,0,S43/TrRoad_act!S47*100)</f>
        <v>11.518362145171427</v>
      </c>
      <c r="T77" s="141">
        <f>IF(T43=0,0,T43/TrRoad_act!T47*100)</f>
        <v>11.425098035236504</v>
      </c>
      <c r="U77" s="141">
        <f>IF(U43=0,0,U43/TrRoad_act!U47*100)</f>
        <v>11.390481440789992</v>
      </c>
      <c r="V77" s="141">
        <f>IF(V43=0,0,V43/TrRoad_act!V47*100)</f>
        <v>11.51676083262323</v>
      </c>
      <c r="W77" s="141">
        <f>IF(W43=0,0,W43/TrRoad_act!W47*100)</f>
        <v>10.806048980072552</v>
      </c>
      <c r="X77" s="141">
        <f>IF(X43=0,0,X43/TrRoad_act!X47*100)</f>
        <v>11.133901941171683</v>
      </c>
      <c r="Y77" s="141">
        <f>IF(Y43=0,0,Y43/TrRoad_act!Y47*100)</f>
        <v>11.321492318040063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8.9223385393648122</v>
      </c>
      <c r="C78" s="96">
        <f>IF(C44=0,0,C44/TrRoad_act!C48*100)</f>
        <v>8.7667801475575402</v>
      </c>
      <c r="D78" s="96">
        <f>IF(D44=0,0,D44/TrRoad_act!D48*100)</f>
        <v>8.5968734675081997</v>
      </c>
      <c r="E78" s="96">
        <f>IF(E44=0,0,E44/TrRoad_act!E48*100)</f>
        <v>8.4170355625913196</v>
      </c>
      <c r="F78" s="96">
        <f>IF(F44=0,0,F44/TrRoad_act!F48*100)</f>
        <v>7.882953492464619</v>
      </c>
      <c r="G78" s="96">
        <f>IF(G44=0,0,G44/TrRoad_act!G48*100)</f>
        <v>7.7549445474820482</v>
      </c>
      <c r="H78" s="96">
        <f>IF(H44=0,0,H44/TrRoad_act!H48*100)</f>
        <v>7.6282617426339625</v>
      </c>
      <c r="I78" s="96">
        <f>IF(I44=0,0,I44/TrRoad_act!I48*100)</f>
        <v>7.5253110719162573</v>
      </c>
      <c r="J78" s="96">
        <f>IF(J44=0,0,J44/TrRoad_act!J48*100)</f>
        <v>7.4556160821738038</v>
      </c>
      <c r="K78" s="96">
        <f>IF(K44=0,0,K44/TrRoad_act!K48*100)</f>
        <v>7.4103516121852895</v>
      </c>
      <c r="L78" s="96">
        <f>IF(L44=0,0,L44/TrRoad_act!L48*100)</f>
        <v>7.1745359112799303</v>
      </c>
      <c r="M78" s="96">
        <f>IF(M44=0,0,M44/TrRoad_act!M48*100)</f>
        <v>7.1818583336430919</v>
      </c>
      <c r="N78" s="96">
        <f>IF(N44=0,0,N44/TrRoad_act!N48*100)</f>
        <v>7.1899408161997096</v>
      </c>
      <c r="O78" s="96">
        <f>IF(O44=0,0,O44/TrRoad_act!O48*100)</f>
        <v>7.2478475340642694</v>
      </c>
      <c r="P78" s="96">
        <f>IF(P44=0,0,P44/TrRoad_act!P48*100)</f>
        <v>7.267205734867817</v>
      </c>
      <c r="Q78" s="96">
        <f>IF(Q44=0,0,Q44/TrRoad_act!Q48*100)</f>
        <v>7.3899066336176471</v>
      </c>
      <c r="R78" s="96">
        <f>IF(R44=0,0,R44/TrRoad_act!R48*100)</f>
        <v>7.4515942041868195</v>
      </c>
      <c r="S78" s="96">
        <f>IF(S44=0,0,S44/TrRoad_act!S48*100)</f>
        <v>7.4878953785735503</v>
      </c>
      <c r="T78" s="96">
        <f>IF(T44=0,0,T44/TrRoad_act!T48*100)</f>
        <v>7.5536842615087547</v>
      </c>
      <c r="U78" s="96">
        <f>IF(U44=0,0,U44/TrRoad_act!U48*100)</f>
        <v>7.6412725135871442</v>
      </c>
      <c r="V78" s="96">
        <f>IF(V44=0,0,V44/TrRoad_act!V48*100)</f>
        <v>7.6415808836854007</v>
      </c>
      <c r="W78" s="96">
        <f>IF(W44=0,0,W44/TrRoad_act!W48*100)</f>
        <v>7.6671126927531992</v>
      </c>
      <c r="X78" s="96">
        <f>IF(X44=0,0,X44/TrRoad_act!X48*100)</f>
        <v>7.764244086525558</v>
      </c>
      <c r="Y78" s="96">
        <f>IF(Y44=0,0,Y44/TrRoad_act!Y48*100)</f>
        <v>7.9285360094735857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11.405433222626128</v>
      </c>
      <c r="C79" s="96">
        <f>IF(C46=0,0,C46/TrRoad_act!C49*100)</f>
        <v>11.65900163072447</v>
      </c>
      <c r="D79" s="96">
        <f>IF(D46=0,0,D46/TrRoad_act!D49*100)</f>
        <v>14.338319670589975</v>
      </c>
      <c r="E79" s="96">
        <f>IF(E46=0,0,E46/TrRoad_act!E49*100)</f>
        <v>13.289644409472562</v>
      </c>
      <c r="F79" s="96">
        <f>IF(F46=0,0,F46/TrRoad_act!F49*100)</f>
        <v>14.139329250244709</v>
      </c>
      <c r="G79" s="96">
        <f>IF(G46=0,0,G46/TrRoad_act!G49*100)</f>
        <v>14.650371689708145</v>
      </c>
      <c r="H79" s="96">
        <f>IF(H46=0,0,H46/TrRoad_act!H49*100)</f>
        <v>13.413970944824072</v>
      </c>
      <c r="I79" s="96">
        <f>IF(I46=0,0,I46/TrRoad_act!I49*100)</f>
        <v>13.960024157491976</v>
      </c>
      <c r="J79" s="96">
        <f>IF(J46=0,0,J46/TrRoad_act!J49*100)</f>
        <v>12.609537260934461</v>
      </c>
      <c r="K79" s="96">
        <f>IF(K46=0,0,K46/TrRoad_act!K49*100)</f>
        <v>11.000402845095113</v>
      </c>
      <c r="L79" s="96">
        <f>IF(L46=0,0,L46/TrRoad_act!L49*100)</f>
        <v>12.651070509466969</v>
      </c>
      <c r="M79" s="96">
        <f>IF(M46=0,0,M46/TrRoad_act!M49*100)</f>
        <v>12.915410084484202</v>
      </c>
      <c r="N79" s="96">
        <f>IF(N46=0,0,N46/TrRoad_act!N49*100)</f>
        <v>11.808413148809148</v>
      </c>
      <c r="O79" s="96">
        <f>IF(O46=0,0,O46/TrRoad_act!O49*100)</f>
        <v>11.545291873858295</v>
      </c>
      <c r="P79" s="96">
        <f>IF(P46=0,0,P46/TrRoad_act!P49*100)</f>
        <v>12.070682092162302</v>
      </c>
      <c r="Q79" s="96">
        <f>IF(Q46=0,0,Q46/TrRoad_act!Q49*100)</f>
        <v>11.087613352421261</v>
      </c>
      <c r="R79" s="96">
        <f>IF(R46=0,0,R46/TrRoad_act!R49*100)</f>
        <v>12.466670478748016</v>
      </c>
      <c r="S79" s="96">
        <f>IF(S46=0,0,S46/TrRoad_act!S49*100)</f>
        <v>13.279767632197165</v>
      </c>
      <c r="T79" s="96">
        <f>IF(T46=0,0,T46/TrRoad_act!T49*100)</f>
        <v>13.040073016218145</v>
      </c>
      <c r="U79" s="96">
        <f>IF(U46=0,0,U46/TrRoad_act!U49*100)</f>
        <v>12.657137622565928</v>
      </c>
      <c r="V79" s="96">
        <f>IF(V46=0,0,V46/TrRoad_act!V49*100)</f>
        <v>12.793440522101646</v>
      </c>
      <c r="W79" s="96">
        <f>IF(W46=0,0,W46/TrRoad_act!W49*100)</f>
        <v>11.803147771625405</v>
      </c>
      <c r="X79" s="96">
        <f>IF(X46=0,0,X46/TrRoad_act!X49*100)</f>
        <v>12.19104873200261</v>
      </c>
      <c r="Y79" s="96">
        <f>IF(Y46=0,0,Y46/TrRoad_act!Y49*100)</f>
        <v>12.387334925143296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10.791255098104829</v>
      </c>
      <c r="O80" s="96">
        <f>IF(O48=0,0,O48/TrRoad_act!O50*100)</f>
        <v>8.6984612249774642</v>
      </c>
      <c r="P80" s="96">
        <f>IF(P48=0,0,P48/TrRoad_act!P50*100)</f>
        <v>12.576934834837456</v>
      </c>
      <c r="Q80" s="96">
        <f>IF(Q48=0,0,Q48/TrRoad_act!Q50*100)</f>
        <v>12.542471228152413</v>
      </c>
      <c r="R80" s="96">
        <f>IF(R48=0,0,R48/TrRoad_act!R50*100)</f>
        <v>12.536413240084476</v>
      </c>
      <c r="S80" s="96">
        <f>IF(S48=0,0,S48/TrRoad_act!S50*100)</f>
        <v>12.425980452530631</v>
      </c>
      <c r="T80" s="96">
        <f>IF(T48=0,0,T48/TrRoad_act!T50*100)</f>
        <v>12.21405138706891</v>
      </c>
      <c r="U80" s="96">
        <f>IF(U48=0,0,U48/TrRoad_act!U50*100)</f>
        <v>11.957516304963258</v>
      </c>
      <c r="V80" s="96">
        <f>IF(V48=0,0,V48/TrRoad_act!V50*100)</f>
        <v>11.851507758459867</v>
      </c>
      <c r="W80" s="96">
        <f>IF(W48=0,0,W48/TrRoad_act!W50*100)</f>
        <v>11.81530765392653</v>
      </c>
      <c r="X80" s="96">
        <f>IF(X48=0,0,X48/TrRoad_act!X50*100)</f>
        <v>11.780976330173857</v>
      </c>
      <c r="Y80" s="96">
        <f>IF(Y48=0,0,Y48/TrRoad_act!Y50*100)</f>
        <v>11.765748198384712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10.130688755566977</v>
      </c>
      <c r="O81" s="96">
        <f>IF(O49=0,0,O49/TrRoad_act!O51*100)</f>
        <v>10.424511427966662</v>
      </c>
      <c r="P81" s="96">
        <f>IF(P49=0,0,P49/TrRoad_act!P51*100)</f>
        <v>10.168777145002332</v>
      </c>
      <c r="Q81" s="96">
        <f>IF(Q49=0,0,Q49/TrRoad_act!Q51*100)</f>
        <v>9.3775169003332355</v>
      </c>
      <c r="R81" s="96">
        <f>IF(R49=0,0,R49/TrRoad_act!R51*100)</f>
        <v>14.062894687656785</v>
      </c>
      <c r="S81" s="96">
        <f>IF(S49=0,0,S49/TrRoad_act!S51*100)</f>
        <v>13.867156200306031</v>
      </c>
      <c r="T81" s="96">
        <f>IF(T49=0,0,T49/TrRoad_act!T51*100)</f>
        <v>13.006020060129995</v>
      </c>
      <c r="U81" s="96">
        <f>IF(U49=0,0,U49/TrRoad_act!U51*100)</f>
        <v>13.027229946284935</v>
      </c>
      <c r="V81" s="96">
        <f>IF(V49=0,0,V49/TrRoad_act!V51*100)</f>
        <v>15.597646101128262</v>
      </c>
      <c r="W81" s="96">
        <f>IF(W49=0,0,W49/TrRoad_act!W51*100)</f>
        <v>15.236315391350733</v>
      </c>
      <c r="X81" s="96">
        <f>IF(X49=0,0,X49/TrRoad_act!X51*100)</f>
        <v>16.266653663504307</v>
      </c>
      <c r="Y81" s="96">
        <f>IF(Y49=0,0,Y49/TrRoad_act!Y51*100)</f>
        <v>14.7102359792194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2.4319580862872505</v>
      </c>
      <c r="P82" s="96">
        <f>IF(P51=0,0,P51/TrRoad_act!P52*100)</f>
        <v>2.4944027060811913</v>
      </c>
      <c r="Q82" s="96">
        <f>IF(Q51=0,0,Q51/TrRoad_act!Q52*100)</f>
        <v>2.649010968157985</v>
      </c>
      <c r="R82" s="96">
        <f>IF(R51=0,0,R51/TrRoad_act!R52*100)</f>
        <v>2.7408670443693248</v>
      </c>
      <c r="S82" s="96">
        <f>IF(S51=0,0,S51/TrRoad_act!S52*100)</f>
        <v>2.7451116284363786</v>
      </c>
      <c r="T82" s="96">
        <f>IF(T51=0,0,T51/TrRoad_act!T52*100)</f>
        <v>2.9058517567451712</v>
      </c>
      <c r="U82" s="96">
        <f>IF(U51=0,0,U51/TrRoad_act!U52*100)</f>
        <v>2.9624110091868272</v>
      </c>
      <c r="V82" s="96">
        <f>IF(V51=0,0,V51/TrRoad_act!V52*100)</f>
        <v>3.0245001683542276</v>
      </c>
      <c r="W82" s="96">
        <f>IF(W51=0,0,W51/TrRoad_act!W52*100)</f>
        <v>3.2098681922322791</v>
      </c>
      <c r="X82" s="96">
        <f>IF(X51=0,0,X51/TrRoad_act!X52*100)</f>
        <v>3.2666178985887537</v>
      </c>
      <c r="Y82" s="96">
        <f>IF(Y51=0,0,Y51/TrRoad_act!Y52*100)</f>
        <v>3.0603616169957033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33.193886397265899</v>
      </c>
      <c r="C83" s="130">
        <f>IF(C52=0,0,C52/TrRoad_act!C53*100)</f>
        <v>30.00349108762283</v>
      </c>
      <c r="D83" s="130">
        <f>IF(D52=0,0,D52/TrRoad_act!D53*100)</f>
        <v>38.159794886148738</v>
      </c>
      <c r="E83" s="130">
        <f>IF(E52=0,0,E52/TrRoad_act!E53*100)</f>
        <v>24.773669443618918</v>
      </c>
      <c r="F83" s="130">
        <f>IF(F52=0,0,F52/TrRoad_act!F53*100)</f>
        <v>26.13491755923938</v>
      </c>
      <c r="G83" s="130">
        <f>IF(G52=0,0,G52/TrRoad_act!G53*100)</f>
        <v>35.223337807152348</v>
      </c>
      <c r="H83" s="130">
        <f>IF(H52=0,0,H52/TrRoad_act!H53*100)</f>
        <v>39.426225042847001</v>
      </c>
      <c r="I83" s="130">
        <f>IF(I52=0,0,I52/TrRoad_act!I53*100)</f>
        <v>39.326839458296945</v>
      </c>
      <c r="J83" s="130">
        <f>IF(J52=0,0,J52/TrRoad_act!J53*100)</f>
        <v>39.455738137548394</v>
      </c>
      <c r="K83" s="130">
        <f>IF(K52=0,0,K52/TrRoad_act!K53*100)</f>
        <v>35.54062407211952</v>
      </c>
      <c r="L83" s="130">
        <f>IF(L52=0,0,L52/TrRoad_act!L53*100)</f>
        <v>41.462725819367911</v>
      </c>
      <c r="M83" s="130">
        <f>IF(M52=0,0,M52/TrRoad_act!M53*100)</f>
        <v>39.002192387995571</v>
      </c>
      <c r="N83" s="130">
        <f>IF(N52=0,0,N52/TrRoad_act!N53*100)</f>
        <v>38.956616173018901</v>
      </c>
      <c r="O83" s="130">
        <f>IF(O52=0,0,O52/TrRoad_act!O53*100)</f>
        <v>41.366001928587401</v>
      </c>
      <c r="P83" s="130">
        <f>IF(P52=0,0,P52/TrRoad_act!P53*100)</f>
        <v>38.848951246838062</v>
      </c>
      <c r="Q83" s="130">
        <f>IF(Q52=0,0,Q52/TrRoad_act!Q53*100)</f>
        <v>37.789544007229068</v>
      </c>
      <c r="R83" s="130">
        <f>IF(R52=0,0,R52/TrRoad_act!R53*100)</f>
        <v>41.811884900246959</v>
      </c>
      <c r="S83" s="130">
        <f>IF(S52=0,0,S52/TrRoad_act!S53*100)</f>
        <v>52.460955597752914</v>
      </c>
      <c r="T83" s="130">
        <f>IF(T52=0,0,T52/TrRoad_act!T53*100)</f>
        <v>55.815460120141502</v>
      </c>
      <c r="U83" s="130">
        <f>IF(U52=0,0,U52/TrRoad_act!U53*100)</f>
        <v>50.583023649848002</v>
      </c>
      <c r="V83" s="130">
        <f>IF(V52=0,0,V52/TrRoad_act!V53*100)</f>
        <v>47.346809753592822</v>
      </c>
      <c r="W83" s="130">
        <f>IF(W52=0,0,W52/TrRoad_act!W53*100)</f>
        <v>54.511100425794112</v>
      </c>
      <c r="X83" s="130">
        <f>IF(X52=0,0,X52/TrRoad_act!X53*100)</f>
        <v>51.75652090040095</v>
      </c>
      <c r="Y83" s="130">
        <f>IF(Y52=0,0,Y52/TrRoad_act!Y53*100)</f>
        <v>48.315182160726167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29.738706600787939</v>
      </c>
      <c r="C84" s="97">
        <f>IF(C53=0,0,C53/TrRoad_act!C54*100)</f>
        <v>28.764516268089618</v>
      </c>
      <c r="D84" s="97">
        <f>IF(D53=0,0,D53/TrRoad_act!D54*100)</f>
        <v>30.397740783056733</v>
      </c>
      <c r="E84" s="97">
        <f>IF(E53=0,0,E53/TrRoad_act!E54*100)</f>
        <v>27.400076838726434</v>
      </c>
      <c r="F84" s="97">
        <f>IF(F53=0,0,F53/TrRoad_act!F54*100)</f>
        <v>27.404582433477447</v>
      </c>
      <c r="G84" s="97">
        <f>IF(G53=0,0,G53/TrRoad_act!G54*100)</f>
        <v>29.452158466348365</v>
      </c>
      <c r="H84" s="97">
        <f>IF(H53=0,0,H53/TrRoad_act!H54*100)</f>
        <v>30.481000716307875</v>
      </c>
      <c r="I84" s="97">
        <f>IF(I53=0,0,I53/TrRoad_act!I54*100)</f>
        <v>30.449741934553277</v>
      </c>
      <c r="J84" s="97">
        <f>IF(J53=0,0,J53/TrRoad_act!J54*100)</f>
        <v>30.690392710059943</v>
      </c>
      <c r="K84" s="97">
        <f>IF(K53=0,0,K53/TrRoad_act!K54*100)</f>
        <v>29.790376368829531</v>
      </c>
      <c r="L84" s="97">
        <f>IF(L53=0,0,L53/TrRoad_act!L54*100)</f>
        <v>31.252482764160906</v>
      </c>
      <c r="M84" s="97">
        <f>IF(M53=0,0,M53/TrRoad_act!M54*100)</f>
        <v>30.719802735251346</v>
      </c>
      <c r="N84" s="97">
        <f>IF(N53=0,0,N53/TrRoad_act!N54*100)</f>
        <v>30.708820103554359</v>
      </c>
      <c r="O84" s="97">
        <f>IF(O53=0,0,O53/TrRoad_act!O54*100)</f>
        <v>31.319251471315894</v>
      </c>
      <c r="P84" s="97">
        <f>IF(P53=0,0,P53/TrRoad_act!P54*100)</f>
        <v>30.914591440878926</v>
      </c>
      <c r="Q84" s="97">
        <f>IF(Q53=0,0,Q53/TrRoad_act!Q54*100)</f>
        <v>30.65219647195741</v>
      </c>
      <c r="R84" s="97">
        <f>IF(R53=0,0,R53/TrRoad_act!R54*100)</f>
        <v>31.614435670184847</v>
      </c>
      <c r="S84" s="97">
        <f>IF(S53=0,0,S53/TrRoad_act!S54*100)</f>
        <v>33.99002599881846</v>
      </c>
      <c r="T84" s="97">
        <f>IF(T53=0,0,T53/TrRoad_act!T54*100)</f>
        <v>34.733889937652457</v>
      </c>
      <c r="U84" s="97">
        <f>IF(U53=0,0,U53/TrRoad_act!U54*100)</f>
        <v>33.574713675939542</v>
      </c>
      <c r="V84" s="97">
        <f>IF(V53=0,0,V53/TrRoad_act!V54*100)</f>
        <v>32.898444585020009</v>
      </c>
      <c r="W84" s="97">
        <f>IF(W53=0,0,W53/TrRoad_act!W54*100)</f>
        <v>34.494431152391961</v>
      </c>
      <c r="X84" s="97">
        <f>IF(X53=0,0,X53/TrRoad_act!X54*100)</f>
        <v>33.956155074710892</v>
      </c>
      <c r="Y84" s="97">
        <f>IF(Y53=0,0,Y53/TrRoad_act!Y54*100)</f>
        <v>33.27926875852922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38.470143722966718</v>
      </c>
      <c r="C85" s="98">
        <f>IF(C55=0,0,C55/TrRoad_act!C55*100)</f>
        <v>31.928366614196985</v>
      </c>
      <c r="D85" s="98">
        <f>IF(D55=0,0,D55/TrRoad_act!D55*100)</f>
        <v>55.827689776509445</v>
      </c>
      <c r="E85" s="98">
        <f>IF(E55=0,0,E55/TrRoad_act!E55*100)</f>
        <v>18.564468087825222</v>
      </c>
      <c r="F85" s="98">
        <f>IF(F55=0,0,F55/TrRoad_act!F55*100)</f>
        <v>23.311206529668215</v>
      </c>
      <c r="G85" s="98">
        <f>IF(G55=0,0,G55/TrRoad_act!G55*100)</f>
        <v>48.625904362648001</v>
      </c>
      <c r="H85" s="98">
        <f>IF(H55=0,0,H55/TrRoad_act!H55*100)</f>
        <v>61.715437750595505</v>
      </c>
      <c r="I85" s="98">
        <f>IF(I55=0,0,I55/TrRoad_act!I55*100)</f>
        <v>58.429485770688657</v>
      </c>
      <c r="J85" s="98">
        <f>IF(J55=0,0,J55/TrRoad_act!J55*100)</f>
        <v>63.47212803815512</v>
      </c>
      <c r="K85" s="98">
        <f>IF(K55=0,0,K55/TrRoad_act!K55*100)</f>
        <v>49.133156624543481</v>
      </c>
      <c r="L85" s="98">
        <f>IF(L55=0,0,L55/TrRoad_act!L55*100)</f>
        <v>71.787522755198268</v>
      </c>
      <c r="M85" s="98">
        <f>IF(M55=0,0,M55/TrRoad_act!M55*100)</f>
        <v>61.797462089955545</v>
      </c>
      <c r="N85" s="98">
        <f>IF(N55=0,0,N55/TrRoad_act!N55*100)</f>
        <v>59.875931474046226</v>
      </c>
      <c r="O85" s="98">
        <f>IF(O55=0,0,O55/TrRoad_act!O55*100)</f>
        <v>63.869827120961055</v>
      </c>
      <c r="P85" s="98">
        <f>IF(P55=0,0,P55/TrRoad_act!P55*100)</f>
        <v>58.391501902961373</v>
      </c>
      <c r="Q85" s="98">
        <f>IF(Q55=0,0,Q55/TrRoad_act!Q55*100)</f>
        <v>52.380606373192784</v>
      </c>
      <c r="R85" s="98">
        <f>IF(R55=0,0,R55/TrRoad_act!R55*100)</f>
        <v>65.144834021735946</v>
      </c>
      <c r="S85" s="98">
        <f>IF(S55=0,0,S55/TrRoad_act!S55*100)</f>
        <v>92.900936045538032</v>
      </c>
      <c r="T85" s="98">
        <f>IF(T55=0,0,T55/TrRoad_act!T55*100)</f>
        <v>99.705050248398891</v>
      </c>
      <c r="U85" s="98">
        <f>IF(U55=0,0,U55/TrRoad_act!U55*100)</f>
        <v>89.16423541217361</v>
      </c>
      <c r="V85" s="98">
        <f>IF(V55=0,0,V55/TrRoad_act!V55*100)</f>
        <v>79.906143249021341</v>
      </c>
      <c r="W85" s="98">
        <f>IF(W55=0,0,W55/TrRoad_act!W55*100)</f>
        <v>97.224553530422881</v>
      </c>
      <c r="X85" s="98">
        <f>IF(X55=0,0,X55/TrRoad_act!X55*100)</f>
        <v>89.19526440289593</v>
      </c>
      <c r="Y85" s="98">
        <f>IF(Y55=0,0,Y55/TrRoad_act!Y55*100)</f>
        <v>81.27618925697135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28.157062707877042</v>
      </c>
      <c r="C88" s="29">
        <f>IF(TrRoad_act!C4=0,0,C18/TrRoad_act!C4*1000)</f>
        <v>29.025113674854218</v>
      </c>
      <c r="D88" s="29">
        <f>IF(TrRoad_act!D4=0,0,D18/TrRoad_act!D4*1000)</f>
        <v>32.264367421351395</v>
      </c>
      <c r="E88" s="29">
        <f>IF(TrRoad_act!E4=0,0,E18/TrRoad_act!E4*1000)</f>
        <v>31.262510646621706</v>
      </c>
      <c r="F88" s="29">
        <f>IF(TrRoad_act!F4=0,0,F18/TrRoad_act!F4*1000)</f>
        <v>28.91182219875656</v>
      </c>
      <c r="G88" s="29">
        <f>IF(TrRoad_act!G4=0,0,G18/TrRoad_act!G4*1000)</f>
        <v>29.946664278118423</v>
      </c>
      <c r="H88" s="29">
        <f>IF(TrRoad_act!H4=0,0,H18/TrRoad_act!H4*1000)</f>
        <v>28.734045461142859</v>
      </c>
      <c r="I88" s="29">
        <f>IF(TrRoad_act!I4=0,0,I18/TrRoad_act!I4*1000)</f>
        <v>31.165338431344491</v>
      </c>
      <c r="J88" s="29">
        <f>IF(TrRoad_act!J4=0,0,J18/TrRoad_act!J4*1000)</f>
        <v>33.120625932856925</v>
      </c>
      <c r="K88" s="29">
        <f>IF(TrRoad_act!K4=0,0,K18/TrRoad_act!K4*1000)</f>
        <v>33.213510976319462</v>
      </c>
      <c r="L88" s="29">
        <f>IF(TrRoad_act!L4=0,0,L18/TrRoad_act!L4*1000)</f>
        <v>33.430116945626338</v>
      </c>
      <c r="M88" s="29">
        <f>IF(TrRoad_act!M4=0,0,M18/TrRoad_act!M4*1000)</f>
        <v>32.643856747033951</v>
      </c>
      <c r="N88" s="29">
        <f>IF(TrRoad_act!N4=0,0,N18/TrRoad_act!N4*1000)</f>
        <v>31.873795343752896</v>
      </c>
      <c r="O88" s="29">
        <f>IF(TrRoad_act!O4=0,0,O18/TrRoad_act!O4*1000)</f>
        <v>31.785106808897726</v>
      </c>
      <c r="P88" s="29">
        <f>IF(TrRoad_act!P4=0,0,P18/TrRoad_act!P4*1000)</f>
        <v>31.432793707183922</v>
      </c>
      <c r="Q88" s="29">
        <f>IF(TrRoad_act!Q4=0,0,Q18/TrRoad_act!Q4*1000)</f>
        <v>31.464574035656756</v>
      </c>
      <c r="R88" s="29">
        <f>IF(TrRoad_act!R4=0,0,R18/TrRoad_act!R4*1000)</f>
        <v>30.800158871091494</v>
      </c>
      <c r="S88" s="29">
        <f>IF(TrRoad_act!S4=0,0,S18/TrRoad_act!S4*1000)</f>
        <v>31.309106462100242</v>
      </c>
      <c r="T88" s="29">
        <f>IF(TrRoad_act!T4=0,0,T18/TrRoad_act!T4*1000)</f>
        <v>29.980352634693777</v>
      </c>
      <c r="U88" s="29">
        <f>IF(TrRoad_act!U4=0,0,U18/TrRoad_act!U4*1000)</f>
        <v>29.631394033742716</v>
      </c>
      <c r="V88" s="29">
        <f>IF(TrRoad_act!V4=0,0,V18/TrRoad_act!V4*1000)</f>
        <v>33.102632954176421</v>
      </c>
      <c r="W88" s="29">
        <f>IF(TrRoad_act!W4=0,0,W18/TrRoad_act!W4*1000)</f>
        <v>32.534360028921263</v>
      </c>
      <c r="X88" s="29">
        <f>IF(TrRoad_act!X4=0,0,X18/TrRoad_act!X4*1000)</f>
        <v>30.837269922791485</v>
      </c>
      <c r="Y88" s="29">
        <f>IF(TrRoad_act!Y4=0,0,Y18/TrRoad_act!Y4*1000)</f>
        <v>30.282296411100624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33.729396457330175</v>
      </c>
      <c r="C89" s="152">
        <f>IF(TrRoad_act!C5=0,0,C19/TrRoad_act!C5*1000)</f>
        <v>33.726743370838065</v>
      </c>
      <c r="D89" s="152">
        <f>IF(TrRoad_act!D5=0,0,D19/TrRoad_act!D5*1000)</f>
        <v>33.731065041983456</v>
      </c>
      <c r="E89" s="152">
        <f>IF(TrRoad_act!E5=0,0,E19/TrRoad_act!E5*1000)</f>
        <v>33.709344433163238</v>
      </c>
      <c r="F89" s="152">
        <f>IF(TrRoad_act!F5=0,0,F19/TrRoad_act!F5*1000)</f>
        <v>33.671147819924769</v>
      </c>
      <c r="G89" s="152">
        <f>IF(TrRoad_act!G5=0,0,G19/TrRoad_act!G5*1000)</f>
        <v>33.696218133834073</v>
      </c>
      <c r="H89" s="152">
        <f>IF(TrRoad_act!H5=0,0,H19/TrRoad_act!H5*1000)</f>
        <v>33.697044388201007</v>
      </c>
      <c r="I89" s="152">
        <f>IF(TrRoad_act!I5=0,0,I19/TrRoad_act!I5*1000)</f>
        <v>33.533069517128602</v>
      </c>
      <c r="J89" s="152">
        <f>IF(TrRoad_act!J5=0,0,J19/TrRoad_act!J5*1000)</f>
        <v>33.339273514352385</v>
      </c>
      <c r="K89" s="152">
        <f>IF(TrRoad_act!K5=0,0,K19/TrRoad_act!K5*1000)</f>
        <v>33.086257059332603</v>
      </c>
      <c r="L89" s="152">
        <f>IF(TrRoad_act!L5=0,0,L19/TrRoad_act!L5*1000)</f>
        <v>33.036660530187227</v>
      </c>
      <c r="M89" s="152">
        <f>IF(TrRoad_act!M5=0,0,M19/TrRoad_act!M5*1000)</f>
        <v>32.938460410535257</v>
      </c>
      <c r="N89" s="152">
        <f>IF(TrRoad_act!N5=0,0,N19/TrRoad_act!N5*1000)</f>
        <v>33.000302648487136</v>
      </c>
      <c r="O89" s="152">
        <f>IF(TrRoad_act!O5=0,0,O19/TrRoad_act!O5*1000)</f>
        <v>32.798326925192875</v>
      </c>
      <c r="P89" s="152">
        <f>IF(TrRoad_act!P5=0,0,P19/TrRoad_act!P5*1000)</f>
        <v>32.511856484670631</v>
      </c>
      <c r="Q89" s="152">
        <f>IF(TrRoad_act!Q5=0,0,Q19/TrRoad_act!Q5*1000)</f>
        <v>32.177405544733126</v>
      </c>
      <c r="R89" s="152">
        <f>IF(TrRoad_act!R5=0,0,R19/TrRoad_act!R5*1000)</f>
        <v>31.96643772383511</v>
      </c>
      <c r="S89" s="152">
        <f>IF(TrRoad_act!S5=0,0,S19/TrRoad_act!S5*1000)</f>
        <v>31.726791442969631</v>
      </c>
      <c r="T89" s="152">
        <f>IF(TrRoad_act!T5=0,0,T19/TrRoad_act!T5*1000)</f>
        <v>31.516136681130305</v>
      </c>
      <c r="U89" s="152">
        <f>IF(TrRoad_act!U5=0,0,U19/TrRoad_act!U5*1000)</f>
        <v>31.356556557257257</v>
      </c>
      <c r="V89" s="152">
        <f>IF(TrRoad_act!V5=0,0,V19/TrRoad_act!V5*1000)</f>
        <v>31.251846220243131</v>
      </c>
      <c r="W89" s="152">
        <f>IF(TrRoad_act!W5=0,0,W19/TrRoad_act!W5*1000)</f>
        <v>31.160317104053561</v>
      </c>
      <c r="X89" s="152">
        <f>IF(TrRoad_act!X5=0,0,X19/TrRoad_act!X5*1000)</f>
        <v>31.047328417789707</v>
      </c>
      <c r="Y89" s="152">
        <f>IF(TrRoad_act!Y5=0,0,Y19/TrRoad_act!Y5*1000)</f>
        <v>30.904717428037042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31.535404770602543</v>
      </c>
      <c r="C90" s="116">
        <f>IF(TrRoad_act!C6=0,0,C21/TrRoad_act!C6*1000)</f>
        <v>32.931491950806787</v>
      </c>
      <c r="D90" s="116">
        <f>IF(TrRoad_act!D6=0,0,D21/TrRoad_act!D6*1000)</f>
        <v>37.309818498453119</v>
      </c>
      <c r="E90" s="116">
        <f>IF(TrRoad_act!E6=0,0,E21/TrRoad_act!E6*1000)</f>
        <v>35.172779079291232</v>
      </c>
      <c r="F90" s="116">
        <f>IF(TrRoad_act!F6=0,0,F21/TrRoad_act!F6*1000)</f>
        <v>32.610439680175375</v>
      </c>
      <c r="G90" s="116">
        <f>IF(TrRoad_act!G6=0,0,G21/TrRoad_act!G6*1000)</f>
        <v>33.797216279573483</v>
      </c>
      <c r="H90" s="116">
        <f>IF(TrRoad_act!H6=0,0,H21/TrRoad_act!H6*1000)</f>
        <v>32.166671530640343</v>
      </c>
      <c r="I90" s="116">
        <f>IF(TrRoad_act!I6=0,0,I21/TrRoad_act!I6*1000)</f>
        <v>34.242187023367705</v>
      </c>
      <c r="J90" s="116">
        <f>IF(TrRoad_act!J6=0,0,J21/TrRoad_act!J6*1000)</f>
        <v>35.447555147925463</v>
      </c>
      <c r="K90" s="116">
        <f>IF(TrRoad_act!K6=0,0,K21/TrRoad_act!K6*1000)</f>
        <v>33.50340321400769</v>
      </c>
      <c r="L90" s="116">
        <f>IF(TrRoad_act!L6=0,0,L21/TrRoad_act!L6*1000)</f>
        <v>33.703612510432876</v>
      </c>
      <c r="M90" s="116">
        <f>IF(TrRoad_act!M6=0,0,M21/TrRoad_act!M6*1000)</f>
        <v>33.376148748386889</v>
      </c>
      <c r="N90" s="116">
        <f>IF(TrRoad_act!N6=0,0,N21/TrRoad_act!N6*1000)</f>
        <v>32.438201111311514</v>
      </c>
      <c r="O90" s="116">
        <f>IF(TrRoad_act!O6=0,0,O21/TrRoad_act!O6*1000)</f>
        <v>32.291057144685752</v>
      </c>
      <c r="P90" s="116">
        <f>IF(TrRoad_act!P6=0,0,P21/TrRoad_act!P6*1000)</f>
        <v>31.897498953652022</v>
      </c>
      <c r="Q90" s="116">
        <f>IF(TrRoad_act!Q6=0,0,Q21/TrRoad_act!Q6*1000)</f>
        <v>31.978534864157535</v>
      </c>
      <c r="R90" s="116">
        <f>IF(TrRoad_act!R6=0,0,R21/TrRoad_act!R6*1000)</f>
        <v>31.943094178421706</v>
      </c>
      <c r="S90" s="116">
        <f>IF(TrRoad_act!S6=0,0,S21/TrRoad_act!S6*1000)</f>
        <v>32.224268642202688</v>
      </c>
      <c r="T90" s="116">
        <f>IF(TrRoad_act!T6=0,0,T21/TrRoad_act!T6*1000)</f>
        <v>30.744873898032342</v>
      </c>
      <c r="U90" s="116">
        <f>IF(TrRoad_act!U6=0,0,U21/TrRoad_act!U6*1000)</f>
        <v>30.105450321513175</v>
      </c>
      <c r="V90" s="116">
        <f>IF(TrRoad_act!V6=0,0,V21/TrRoad_act!V6*1000)</f>
        <v>32.248202733497642</v>
      </c>
      <c r="W90" s="116">
        <f>IF(TrRoad_act!W6=0,0,W21/TrRoad_act!W6*1000)</f>
        <v>31.018247357624425</v>
      </c>
      <c r="X90" s="116">
        <f>IF(TrRoad_act!X6=0,0,X21/TrRoad_act!X6*1000)</f>
        <v>30.123935092560217</v>
      </c>
      <c r="Y90" s="116">
        <f>IF(TrRoad_act!Y6=0,0,Y21/TrRoad_act!Y6*1000)</f>
        <v>30.065387871468452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29.90074136221881</v>
      </c>
      <c r="C91" s="87">
        <f>IF(TrRoad_act!C7=0,0,C22/TrRoad_act!C7*1000)</f>
        <v>31.849475744227064</v>
      </c>
      <c r="D91" s="87">
        <f>IF(TrRoad_act!D7=0,0,D22/TrRoad_act!D7*1000)</f>
        <v>37.793807935199354</v>
      </c>
      <c r="E91" s="87">
        <f>IF(TrRoad_act!E7=0,0,E22/TrRoad_act!E7*1000)</f>
        <v>35.320468082369587</v>
      </c>
      <c r="F91" s="87">
        <f>IF(TrRoad_act!F7=0,0,F22/TrRoad_act!F7*1000)</f>
        <v>31.782524859230303</v>
      </c>
      <c r="G91" s="87">
        <f>IF(TrRoad_act!G7=0,0,G22/TrRoad_act!G7*1000)</f>
        <v>33.208580366510319</v>
      </c>
      <c r="H91" s="87">
        <f>IF(TrRoad_act!H7=0,0,H22/TrRoad_act!H7*1000)</f>
        <v>31.057508510369725</v>
      </c>
      <c r="I91" s="87">
        <f>IF(TrRoad_act!I7=0,0,I22/TrRoad_act!I7*1000)</f>
        <v>33.436232887226261</v>
      </c>
      <c r="J91" s="87">
        <f>IF(TrRoad_act!J7=0,0,J22/TrRoad_act!J7*1000)</f>
        <v>35.699668364397056</v>
      </c>
      <c r="K91" s="87">
        <f>IF(TrRoad_act!K7=0,0,K22/TrRoad_act!K7*1000)</f>
        <v>32.976399626146787</v>
      </c>
      <c r="L91" s="87">
        <f>IF(TrRoad_act!L7=0,0,L22/TrRoad_act!L7*1000)</f>
        <v>32.717690294551446</v>
      </c>
      <c r="M91" s="87">
        <f>IF(TrRoad_act!M7=0,0,M22/TrRoad_act!M7*1000)</f>
        <v>32.067327753205113</v>
      </c>
      <c r="N91" s="87">
        <f>IF(TrRoad_act!N7=0,0,N22/TrRoad_act!N7*1000)</f>
        <v>30.829649722616988</v>
      </c>
      <c r="O91" s="87">
        <f>IF(TrRoad_act!O7=0,0,O22/TrRoad_act!O7*1000)</f>
        <v>30.600295871073985</v>
      </c>
      <c r="P91" s="87">
        <f>IF(TrRoad_act!P7=0,0,P22/TrRoad_act!P7*1000)</f>
        <v>30.365454414220356</v>
      </c>
      <c r="Q91" s="87">
        <f>IF(TrRoad_act!Q7=0,0,Q22/TrRoad_act!Q7*1000)</f>
        <v>30.6263856308254</v>
      </c>
      <c r="R91" s="87">
        <f>IF(TrRoad_act!R7=0,0,R22/TrRoad_act!R7*1000)</f>
        <v>30.833131821885647</v>
      </c>
      <c r="S91" s="87">
        <f>IF(TrRoad_act!S7=0,0,S22/TrRoad_act!S7*1000)</f>
        <v>31.085514591592343</v>
      </c>
      <c r="T91" s="87">
        <f>IF(TrRoad_act!T7=0,0,T22/TrRoad_act!T7*1000)</f>
        <v>28.696990372591884</v>
      </c>
      <c r="U91" s="87">
        <f>IF(TrRoad_act!U7=0,0,U22/TrRoad_act!U7*1000)</f>
        <v>27.940811823324839</v>
      </c>
      <c r="V91" s="87">
        <f>IF(TrRoad_act!V7=0,0,V22/TrRoad_act!V7*1000)</f>
        <v>30.103167057051088</v>
      </c>
      <c r="W91" s="87">
        <f>IF(TrRoad_act!W7=0,0,W22/TrRoad_act!W7*1000)</f>
        <v>28.863309503469566</v>
      </c>
      <c r="X91" s="87">
        <f>IF(TrRoad_act!X7=0,0,X22/TrRoad_act!X7*1000)</f>
        <v>28.358840882803879</v>
      </c>
      <c r="Y91" s="87">
        <f>IF(TrRoad_act!Y7=0,0,Y22/TrRoad_act!Y7*1000)</f>
        <v>29.100636190658072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37.045112001097621</v>
      </c>
      <c r="C92" s="87">
        <f>IF(TrRoad_act!C8=0,0,C24/TrRoad_act!C8*1000)</f>
        <v>36.055295497160678</v>
      </c>
      <c r="D92" s="87">
        <f>IF(TrRoad_act!D8=0,0,D24/TrRoad_act!D8*1000)</f>
        <v>35.98400114638347</v>
      </c>
      <c r="E92" s="87">
        <f>IF(TrRoad_act!E8=0,0,E24/TrRoad_act!E8*1000)</f>
        <v>34.819955087091557</v>
      </c>
      <c r="F92" s="87">
        <f>IF(TrRoad_act!F8=0,0,F24/TrRoad_act!F8*1000)</f>
        <v>34.489756640681584</v>
      </c>
      <c r="G92" s="87">
        <f>IF(TrRoad_act!G8=0,0,G24/TrRoad_act!G8*1000)</f>
        <v>34.818470036091291</v>
      </c>
      <c r="H92" s="87">
        <f>IF(TrRoad_act!H8=0,0,H24/TrRoad_act!H8*1000)</f>
        <v>34.761181933202245</v>
      </c>
      <c r="I92" s="87">
        <f>IF(TrRoad_act!I8=0,0,I24/TrRoad_act!I8*1000)</f>
        <v>34.867614791287629</v>
      </c>
      <c r="J92" s="87">
        <f>IF(TrRoad_act!J8=0,0,J24/TrRoad_act!J8*1000)</f>
        <v>35.015653312078939</v>
      </c>
      <c r="K92" s="87">
        <f>IF(TrRoad_act!K8=0,0,K24/TrRoad_act!K8*1000)</f>
        <v>34.527952482323727</v>
      </c>
      <c r="L92" s="87">
        <f>IF(TrRoad_act!L8=0,0,L24/TrRoad_act!L8*1000)</f>
        <v>35.47687768961751</v>
      </c>
      <c r="M92" s="87">
        <f>IF(TrRoad_act!M8=0,0,M24/TrRoad_act!M8*1000)</f>
        <v>34.905544205022331</v>
      </c>
      <c r="N92" s="87">
        <f>IF(TrRoad_act!N8=0,0,N24/TrRoad_act!N8*1000)</f>
        <v>34.461290675361298</v>
      </c>
      <c r="O92" s="87">
        <f>IF(TrRoad_act!O8=0,0,O24/TrRoad_act!O8*1000)</f>
        <v>34.594035572823557</v>
      </c>
      <c r="P92" s="87">
        <f>IF(TrRoad_act!P8=0,0,P24/TrRoad_act!P8*1000)</f>
        <v>34.483923129481077</v>
      </c>
      <c r="Q92" s="87">
        <f>IF(TrRoad_act!Q8=0,0,Q24/TrRoad_act!Q8*1000)</f>
        <v>34.007084536140745</v>
      </c>
      <c r="R92" s="87">
        <f>IF(TrRoad_act!R8=0,0,R24/TrRoad_act!R8*1000)</f>
        <v>33.5174407268048</v>
      </c>
      <c r="S92" s="87">
        <f>IF(TrRoad_act!S8=0,0,S24/TrRoad_act!S8*1000)</f>
        <v>33.807272278683349</v>
      </c>
      <c r="T92" s="87">
        <f>IF(TrRoad_act!T8=0,0,T24/TrRoad_act!T8*1000)</f>
        <v>33.768860354791762</v>
      </c>
      <c r="U92" s="87">
        <f>IF(TrRoad_act!U8=0,0,U24/TrRoad_act!U8*1000)</f>
        <v>33.155755022034043</v>
      </c>
      <c r="V92" s="87">
        <f>IF(TrRoad_act!V8=0,0,V24/TrRoad_act!V8*1000)</f>
        <v>34.883452022596359</v>
      </c>
      <c r="W92" s="87">
        <f>IF(TrRoad_act!W8=0,0,W24/TrRoad_act!W8*1000)</f>
        <v>33.354674876076267</v>
      </c>
      <c r="X92" s="87">
        <f>IF(TrRoad_act!X8=0,0,X24/TrRoad_act!X8*1000)</f>
        <v>31.993577799396025</v>
      </c>
      <c r="Y92" s="87">
        <f>IF(TrRoad_act!Y8=0,0,Y24/TrRoad_act!Y8*1000)</f>
        <v>30.716065017632062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37.429886868802804</v>
      </c>
      <c r="H93" s="87">
        <f>IF(TrRoad_act!H9=0,0,H26/TrRoad_act!H9*1000)</f>
        <v>37.646890759471255</v>
      </c>
      <c r="I93" s="87">
        <f>IF(TrRoad_act!I9=0,0,I26/TrRoad_act!I9*1000)</f>
        <v>39.286707607076899</v>
      </c>
      <c r="J93" s="87">
        <f>IF(TrRoad_act!J9=0,0,J26/TrRoad_act!J9*1000)</f>
        <v>41.494165665791932</v>
      </c>
      <c r="K93" s="87">
        <f>IF(TrRoad_act!K9=0,0,K26/TrRoad_act!K9*1000)</f>
        <v>43.385505694476123</v>
      </c>
      <c r="L93" s="87">
        <f>IF(TrRoad_act!L9=0,0,L26/TrRoad_act!L9*1000)</f>
        <v>42.307833322535146</v>
      </c>
      <c r="M93" s="87">
        <f>IF(TrRoad_act!M9=0,0,M26/TrRoad_act!M9*1000)</f>
        <v>40.425388120752416</v>
      </c>
      <c r="N93" s="87">
        <f>IF(TrRoad_act!N9=0,0,N26/TrRoad_act!N9*1000)</f>
        <v>40.246157534747745</v>
      </c>
      <c r="O93" s="87">
        <f>IF(TrRoad_act!O9=0,0,O26/TrRoad_act!O9*1000)</f>
        <v>40.613801938133641</v>
      </c>
      <c r="P93" s="87">
        <f>IF(TrRoad_act!P9=0,0,P26/TrRoad_act!P9*1000)</f>
        <v>33.621715100000323</v>
      </c>
      <c r="Q93" s="87">
        <f>IF(TrRoad_act!Q9=0,0,Q26/TrRoad_act!Q9*1000)</f>
        <v>37.149745315664411</v>
      </c>
      <c r="R93" s="87">
        <f>IF(TrRoad_act!R9=0,0,R26/TrRoad_act!R9*1000)</f>
        <v>37.85635151411504</v>
      </c>
      <c r="S93" s="87">
        <f>IF(TrRoad_act!S9=0,0,S26/TrRoad_act!S9*1000)</f>
        <v>39.748774283789992</v>
      </c>
      <c r="T93" s="87">
        <f>IF(TrRoad_act!T9=0,0,T26/TrRoad_act!T9*1000)</f>
        <v>43.562362453034616</v>
      </c>
      <c r="U93" s="87">
        <f>IF(TrRoad_act!U9=0,0,U26/TrRoad_act!U9*1000)</f>
        <v>46.563891073389925</v>
      </c>
      <c r="V93" s="87">
        <f>IF(TrRoad_act!V9=0,0,V26/TrRoad_act!V9*1000)</f>
        <v>52.53197787476573</v>
      </c>
      <c r="W93" s="87">
        <f>IF(TrRoad_act!W9=0,0,W26/TrRoad_act!W9*1000)</f>
        <v>56.799120841443312</v>
      </c>
      <c r="X93" s="87">
        <f>IF(TrRoad_act!X9=0,0,X26/TrRoad_act!X9*1000)</f>
        <v>53.871452183300221</v>
      </c>
      <c r="Y93" s="87">
        <f>IF(TrRoad_act!Y9=0,0,Y26/TrRoad_act!Y9*1000)</f>
        <v>52.108287740972528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77.765887845249154</v>
      </c>
      <c r="D94" s="87">
        <f>IF(TrRoad_act!D10=0,0,D27/TrRoad_act!D10*1000)</f>
        <v>32.722993060702549</v>
      </c>
      <c r="E94" s="87">
        <f>IF(TrRoad_act!E10=0,0,E27/TrRoad_act!E10*1000)</f>
        <v>33.282805556699003</v>
      </c>
      <c r="F94" s="87">
        <f>IF(TrRoad_act!F10=0,0,F27/TrRoad_act!F10*1000)</f>
        <v>42.333171660288386</v>
      </c>
      <c r="G94" s="87">
        <f>IF(TrRoad_act!G10=0,0,G27/TrRoad_act!G10*1000)</f>
        <v>54.875266460640589</v>
      </c>
      <c r="H94" s="87">
        <f>IF(TrRoad_act!H10=0,0,H27/TrRoad_act!H10*1000)</f>
        <v>32.175373357747446</v>
      </c>
      <c r="I94" s="87">
        <f>IF(TrRoad_act!I10=0,0,I27/TrRoad_act!I10*1000)</f>
        <v>66.669175442674927</v>
      </c>
      <c r="J94" s="87">
        <f>IF(TrRoad_act!J10=0,0,J27/TrRoad_act!J10*1000)</f>
        <v>32.278920044595125</v>
      </c>
      <c r="K94" s="87">
        <f>IF(TrRoad_act!K10=0,0,K27/TrRoad_act!K10*1000)</f>
        <v>32.114523400407784</v>
      </c>
      <c r="L94" s="87">
        <f>IF(TrRoad_act!L10=0,0,L27/TrRoad_act!L10*1000)</f>
        <v>36.394251848571024</v>
      </c>
      <c r="M94" s="87">
        <f>IF(TrRoad_act!M10=0,0,M27/TrRoad_act!M10*1000)</f>
        <v>43.161148445553948</v>
      </c>
      <c r="N94" s="87">
        <f>IF(TrRoad_act!N10=0,0,N27/TrRoad_act!N10*1000)</f>
        <v>42.217782711612195</v>
      </c>
      <c r="O94" s="87">
        <f>IF(TrRoad_act!O10=0,0,O27/TrRoad_act!O10*1000)</f>
        <v>37.770052095545012</v>
      </c>
      <c r="P94" s="87">
        <f>IF(TrRoad_act!P10=0,0,P27/TrRoad_act!P10*1000)</f>
        <v>40.663239809643471</v>
      </c>
      <c r="Q94" s="87">
        <f>IF(TrRoad_act!Q10=0,0,Q27/TrRoad_act!Q10*1000)</f>
        <v>37.478138843154277</v>
      </c>
      <c r="R94" s="87">
        <f>IF(TrRoad_act!R10=0,0,R27/TrRoad_act!R10*1000)</f>
        <v>40.040484803242556</v>
      </c>
      <c r="S94" s="87">
        <f>IF(TrRoad_act!S10=0,0,S27/TrRoad_act!S10*1000)</f>
        <v>39.582042868693449</v>
      </c>
      <c r="T94" s="87">
        <f>IF(TrRoad_act!T10=0,0,T27/TrRoad_act!T10*1000)</f>
        <v>39.204424745608151</v>
      </c>
      <c r="U94" s="87">
        <f>IF(TrRoad_act!U10=0,0,U27/TrRoad_act!U10*1000)</f>
        <v>38.488745663727592</v>
      </c>
      <c r="V94" s="87">
        <f>IF(TrRoad_act!V10=0,0,V27/TrRoad_act!V10*1000)</f>
        <v>52.350114676655323</v>
      </c>
      <c r="W94" s="87">
        <f>IF(TrRoad_act!W10=0,0,W27/TrRoad_act!W10*1000)</f>
        <v>47.726333568752061</v>
      </c>
      <c r="X94" s="87">
        <f>IF(TrRoad_act!X10=0,0,X27/TrRoad_act!X10*1000)</f>
        <v>48.119995747266003</v>
      </c>
      <c r="Y94" s="87">
        <f>IF(TrRoad_act!Y10=0,0,Y27/TrRoad_act!Y10*1000)</f>
        <v>41.306021672477698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11.912438001752603</v>
      </c>
      <c r="O95" s="87">
        <f>IF(TrRoad_act!O11=0,0,O29/TrRoad_act!O11*1000)</f>
        <v>11.916901817726851</v>
      </c>
      <c r="P95" s="87">
        <f>IF(TrRoad_act!P11=0,0,P29/TrRoad_act!P11*1000)</f>
        <v>28.338250621976751</v>
      </c>
      <c r="Q95" s="87">
        <f>IF(TrRoad_act!Q11=0,0,Q29/TrRoad_act!Q11*1000)</f>
        <v>25.864872219212319</v>
      </c>
      <c r="R95" s="87">
        <f>IF(TrRoad_act!R11=0,0,R29/TrRoad_act!R11*1000)</f>
        <v>20.674806432586706</v>
      </c>
      <c r="S95" s="87">
        <f>IF(TrRoad_act!S11=0,0,S29/TrRoad_act!S11*1000)</f>
        <v>23.295036918101999</v>
      </c>
      <c r="T95" s="87">
        <f>IF(TrRoad_act!T11=0,0,T29/TrRoad_act!T11*1000)</f>
        <v>20.120461122023666</v>
      </c>
      <c r="U95" s="87">
        <f>IF(TrRoad_act!U11=0,0,U29/TrRoad_act!U11*1000)</f>
        <v>19.682273083530173</v>
      </c>
      <c r="V95" s="87">
        <f>IF(TrRoad_act!V11=0,0,V29/TrRoad_act!V11*1000)</f>
        <v>20.175283477235418</v>
      </c>
      <c r="W95" s="87">
        <f>IF(TrRoad_act!W11=0,0,W29/TrRoad_act!W11*1000)</f>
        <v>17.724519833763395</v>
      </c>
      <c r="X95" s="87">
        <f>IF(TrRoad_act!X11=0,0,X29/TrRoad_act!X11*1000)</f>
        <v>16.629795221888081</v>
      </c>
      <c r="Y95" s="87">
        <f>IF(TrRoad_act!Y11=0,0,Y29/TrRoad_act!Y11*1000)</f>
        <v>16.006824106363169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10.001294706956113</v>
      </c>
      <c r="N96" s="87">
        <f>IF(TrRoad_act!N12=0,0,N32/TrRoad_act!N12*1000)</f>
        <v>9.9014713933881655</v>
      </c>
      <c r="O96" s="87">
        <f>IF(TrRoad_act!O12=0,0,O32/TrRoad_act!O12*1000)</f>
        <v>9.8151689504777906</v>
      </c>
      <c r="P96" s="87">
        <f>IF(TrRoad_act!P12=0,0,P32/TrRoad_act!P12*1000)</f>
        <v>9.8482816790615733</v>
      </c>
      <c r="Q96" s="87">
        <f>IF(TrRoad_act!Q12=0,0,Q32/TrRoad_act!Q12*1000)</f>
        <v>10.018068672518371</v>
      </c>
      <c r="R96" s="87">
        <f>IF(TrRoad_act!R12=0,0,R32/TrRoad_act!R12*1000)</f>
        <v>9.9698352343656396</v>
      </c>
      <c r="S96" s="87">
        <f>IF(TrRoad_act!S12=0,0,S32/TrRoad_act!S12*1000)</f>
        <v>9.6268742958006381</v>
      </c>
      <c r="T96" s="87">
        <f>IF(TrRoad_act!T12=0,0,T32/TrRoad_act!T12*1000)</f>
        <v>10.049205794987641</v>
      </c>
      <c r="U96" s="87">
        <f>IF(TrRoad_act!U12=0,0,U32/TrRoad_act!U12*1000)</f>
        <v>10.24766804410236</v>
      </c>
      <c r="V96" s="87">
        <f>IF(TrRoad_act!V12=0,0,V32/TrRoad_act!V12*1000)</f>
        <v>11.204315039849305</v>
      </c>
      <c r="W96" s="87">
        <f>IF(TrRoad_act!W12=0,0,W32/TrRoad_act!W12*1000)</f>
        <v>10.898672653569346</v>
      </c>
      <c r="X96" s="87">
        <f>IF(TrRoad_act!X12=0,0,X32/TrRoad_act!X12*1000)</f>
        <v>10.773633980897218</v>
      </c>
      <c r="Y96" s="87">
        <f>IF(TrRoad_act!Y12=0,0,Y32/TrRoad_act!Y12*1000)</f>
        <v>10.652151018922524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19.444870384854294</v>
      </c>
      <c r="C97" s="116">
        <f>IF(TrRoad_act!C13=0,0,C33/TrRoad_act!C13*1000)</f>
        <v>18.828894511431027</v>
      </c>
      <c r="D97" s="116">
        <f>IF(TrRoad_act!D13=0,0,D33/TrRoad_act!D13*1000)</f>
        <v>18.629408863224583</v>
      </c>
      <c r="E97" s="116">
        <f>IF(TrRoad_act!E13=0,0,E33/TrRoad_act!E13*1000)</f>
        <v>20.005250051583385</v>
      </c>
      <c r="F97" s="116">
        <f>IF(TrRoad_act!F13=0,0,F33/TrRoad_act!F13*1000)</f>
        <v>18.292569785100248</v>
      </c>
      <c r="G97" s="116">
        <f>IF(TrRoad_act!G13=0,0,G33/TrRoad_act!G13*1000)</f>
        <v>18.271288029791425</v>
      </c>
      <c r="H97" s="116">
        <f>IF(TrRoad_act!H13=0,0,H33/TrRoad_act!H13*1000)</f>
        <v>18.282273390835606</v>
      </c>
      <c r="I97" s="116">
        <f>IF(TrRoad_act!I13=0,0,I33/TrRoad_act!I13*1000)</f>
        <v>21.90100138112285</v>
      </c>
      <c r="J97" s="116">
        <f>IF(TrRoad_act!J13=0,0,J33/TrRoad_act!J13*1000)</f>
        <v>24.872625975691768</v>
      </c>
      <c r="K97" s="116">
        <f>IF(TrRoad_act!K13=0,0,K33/TrRoad_act!K13*1000)</f>
        <v>31.790095979521947</v>
      </c>
      <c r="L97" s="116">
        <f>IF(TrRoad_act!L13=0,0,L33/TrRoad_act!L13*1000)</f>
        <v>32.040257912480882</v>
      </c>
      <c r="M97" s="116">
        <f>IF(TrRoad_act!M13=0,0,M33/TrRoad_act!M13*1000)</f>
        <v>29.044789448379571</v>
      </c>
      <c r="N97" s="116">
        <f>IF(TrRoad_act!N13=0,0,N33/TrRoad_act!N13*1000)</f>
        <v>29.056160820087737</v>
      </c>
      <c r="O97" s="116">
        <f>IF(TrRoad_act!O13=0,0,O33/TrRoad_act!O13*1000)</f>
        <v>29.153771148745687</v>
      </c>
      <c r="P97" s="116">
        <f>IF(TrRoad_act!P13=0,0,P33/TrRoad_act!P13*1000)</f>
        <v>29.046059152999142</v>
      </c>
      <c r="Q97" s="116">
        <f>IF(TrRoad_act!Q13=0,0,Q33/TrRoad_act!Q13*1000)</f>
        <v>28.812874909171086</v>
      </c>
      <c r="R97" s="116">
        <f>IF(TrRoad_act!R13=0,0,R33/TrRoad_act!R13*1000)</f>
        <v>25.374838079895735</v>
      </c>
      <c r="S97" s="116">
        <f>IF(TrRoad_act!S13=0,0,S33/TrRoad_act!S13*1000)</f>
        <v>26.957363549245535</v>
      </c>
      <c r="T97" s="116">
        <f>IF(TrRoad_act!T13=0,0,T33/TrRoad_act!T13*1000)</f>
        <v>26.46468554179588</v>
      </c>
      <c r="U97" s="116">
        <f>IF(TrRoad_act!U13=0,0,U33/TrRoad_act!U13*1000)</f>
        <v>27.404568072354323</v>
      </c>
      <c r="V97" s="116">
        <f>IF(TrRoad_act!V13=0,0,V33/TrRoad_act!V13*1000)</f>
        <v>38.826468200012869</v>
      </c>
      <c r="W97" s="116">
        <f>IF(TrRoad_act!W13=0,0,W33/TrRoad_act!W13*1000)</f>
        <v>45.138464014726026</v>
      </c>
      <c r="X97" s="116">
        <f>IF(TrRoad_act!X13=0,0,X33/TrRoad_act!X13*1000)</f>
        <v>35.496649343186277</v>
      </c>
      <c r="Y97" s="116">
        <f>IF(TrRoad_act!Y13=0,0,Y33/TrRoad_act!Y13*1000)</f>
        <v>31.615588792767024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X98" s="101">
        <f>IF(TrRoad_act!X14=0,0,X34/TrRoad_act!X14*1000)</f>
        <v>0</v>
      </c>
      <c r="Y98" s="101">
        <f>IF(TrRoad_act!Y14=0,0,Y34/TrRoad_act!Y14*1000)</f>
        <v>0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19.444870384854294</v>
      </c>
      <c r="C99" s="101">
        <f>IF(TrRoad_act!C15=0,0,C36/TrRoad_act!C15*1000)</f>
        <v>18.828894511431027</v>
      </c>
      <c r="D99" s="101">
        <f>IF(TrRoad_act!D15=0,0,D36/TrRoad_act!D15*1000)</f>
        <v>18.629408863224583</v>
      </c>
      <c r="E99" s="101">
        <f>IF(TrRoad_act!E15=0,0,E36/TrRoad_act!E15*1000)</f>
        <v>20.005250051583385</v>
      </c>
      <c r="F99" s="101">
        <f>IF(TrRoad_act!F15=0,0,F36/TrRoad_act!F15*1000)</f>
        <v>18.292569785100248</v>
      </c>
      <c r="G99" s="101">
        <f>IF(TrRoad_act!G15=0,0,G36/TrRoad_act!G15*1000)</f>
        <v>18.271288029791425</v>
      </c>
      <c r="H99" s="101">
        <f>IF(TrRoad_act!H15=0,0,H36/TrRoad_act!H15*1000)</f>
        <v>18.282273390835606</v>
      </c>
      <c r="I99" s="101">
        <f>IF(TrRoad_act!I15=0,0,I36/TrRoad_act!I15*1000)</f>
        <v>21.90100138112285</v>
      </c>
      <c r="J99" s="101">
        <f>IF(TrRoad_act!J15=0,0,J36/TrRoad_act!J15*1000)</f>
        <v>24.872625975691768</v>
      </c>
      <c r="K99" s="101">
        <f>IF(TrRoad_act!K15=0,0,K36/TrRoad_act!K15*1000)</f>
        <v>31.790095979521947</v>
      </c>
      <c r="L99" s="101">
        <f>IF(TrRoad_act!L15=0,0,L36/TrRoad_act!L15*1000)</f>
        <v>32.279790943245729</v>
      </c>
      <c r="M99" s="101">
        <f>IF(TrRoad_act!M15=0,0,M36/TrRoad_act!M15*1000)</f>
        <v>29.566501243894201</v>
      </c>
      <c r="N99" s="101">
        <f>IF(TrRoad_act!N15=0,0,N36/TrRoad_act!N15*1000)</f>
        <v>29.579198550561827</v>
      </c>
      <c r="O99" s="101">
        <f>IF(TrRoad_act!O15=0,0,O36/TrRoad_act!O15*1000)</f>
        <v>29.688212791547873</v>
      </c>
      <c r="P99" s="101">
        <f>IF(TrRoad_act!P15=0,0,P36/TrRoad_act!P15*1000)</f>
        <v>29.801397755091582</v>
      </c>
      <c r="Q99" s="101">
        <f>IF(TrRoad_act!Q15=0,0,Q36/TrRoad_act!Q15*1000)</f>
        <v>29.732545668828475</v>
      </c>
      <c r="R99" s="101">
        <f>IF(TrRoad_act!R15=0,0,R36/TrRoad_act!R15*1000)</f>
        <v>27.199646656034105</v>
      </c>
      <c r="S99" s="101">
        <f>IF(TrRoad_act!S15=0,0,S36/TrRoad_act!S15*1000)</f>
        <v>28.882396591474883</v>
      </c>
      <c r="T99" s="101">
        <f>IF(TrRoad_act!T15=0,0,T36/TrRoad_act!T15*1000)</f>
        <v>28.48751293525137</v>
      </c>
      <c r="U99" s="101">
        <f>IF(TrRoad_act!U15=0,0,U36/TrRoad_act!U15*1000)</f>
        <v>28.8320753079954</v>
      </c>
      <c r="V99" s="101">
        <f>IF(TrRoad_act!V15=0,0,V36/TrRoad_act!V15*1000)</f>
        <v>40.997253403319554</v>
      </c>
      <c r="W99" s="101">
        <f>IF(TrRoad_act!W15=0,0,W36/TrRoad_act!W15*1000)</f>
        <v>47.726245319493081</v>
      </c>
      <c r="X99" s="101">
        <f>IF(TrRoad_act!X15=0,0,X36/TrRoad_act!X15*1000)</f>
        <v>37.238438870515296</v>
      </c>
      <c r="Y99" s="101">
        <f>IF(TrRoad_act!Y15=0,0,Y36/TrRoad_act!Y15*1000)</f>
        <v>33.182337036194298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5.2169323887081651</v>
      </c>
      <c r="S101" s="101">
        <f>IF(TrRoad_act!S17=0,0,S39/TrRoad_act!S17*1000)</f>
        <v>8.2158435675014871</v>
      </c>
      <c r="T101" s="101">
        <f>IF(TrRoad_act!T17=0,0,T39/TrRoad_act!T17*1000)</f>
        <v>5.8042926870880089</v>
      </c>
      <c r="U101" s="101">
        <f>IF(TrRoad_act!U17=0,0,U39/TrRoad_act!U17*1000)</f>
        <v>24.178477385978976</v>
      </c>
      <c r="V101" s="101">
        <f>IF(TrRoad_act!V17=0,0,V39/TrRoad_act!V17*1000)</f>
        <v>45.579213496474878</v>
      </c>
      <c r="W101" s="101">
        <f>IF(TrRoad_act!W17=0,0,W39/TrRoad_act!W17*1000)</f>
        <v>51.745379695345036</v>
      </c>
      <c r="X101" s="101">
        <f>IF(TrRoad_act!X17=0,0,X39/TrRoad_act!X17*1000)</f>
        <v>43.697567008495106</v>
      </c>
      <c r="Y101" s="101">
        <f>IF(TrRoad_act!Y17=0,0,Y39/TrRoad_act!Y17*1000)</f>
        <v>36.148042061200684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17.350149899709248</v>
      </c>
      <c r="M102" s="101">
        <f>IF(TrRoad_act!M18=0,0,M41/TrRoad_act!M18*1000)</f>
        <v>16.065514812251887</v>
      </c>
      <c r="N102" s="101">
        <f>IF(TrRoad_act!N18=0,0,N41/TrRoad_act!N18*1000)</f>
        <v>16.145175837180709</v>
      </c>
      <c r="O102" s="101">
        <f>IF(TrRoad_act!O18=0,0,O41/TrRoad_act!O18*1000)</f>
        <v>16.181241059426441</v>
      </c>
      <c r="P102" s="101">
        <f>IF(TrRoad_act!P18=0,0,P41/TrRoad_act!P18*1000)</f>
        <v>16.328022283237196</v>
      </c>
      <c r="Q102" s="101">
        <f>IF(TrRoad_act!Q18=0,0,Q41/TrRoad_act!Q18*1000)</f>
        <v>16.410345150836946</v>
      </c>
      <c r="R102" s="101">
        <f>IF(TrRoad_act!R18=0,0,R41/TrRoad_act!R18*1000)</f>
        <v>14.944042990771408</v>
      </c>
      <c r="S102" s="101">
        <f>IF(TrRoad_act!S18=0,0,S41/TrRoad_act!S18*1000)</f>
        <v>15.518861712026709</v>
      </c>
      <c r="T102" s="101">
        <f>IF(TrRoad_act!T18=0,0,T41/TrRoad_act!T18*1000)</f>
        <v>15.19589661858363</v>
      </c>
      <c r="U102" s="101">
        <f>IF(TrRoad_act!U18=0,0,U41/TrRoad_act!U18*1000)</f>
        <v>15.480172484921264</v>
      </c>
      <c r="V102" s="101">
        <f>IF(TrRoad_act!V18=0,0,V41/TrRoad_act!V18*1000)</f>
        <v>22.021608853813898</v>
      </c>
      <c r="W102" s="101">
        <f>IF(TrRoad_act!W18=0,0,W41/TrRoad_act!W18*1000)</f>
        <v>25.562055576561903</v>
      </c>
      <c r="X102" s="101">
        <f>IF(TrRoad_act!X18=0,0,X41/TrRoad_act!X18*1000)</f>
        <v>20.183078056181433</v>
      </c>
      <c r="Y102" s="101">
        <f>IF(TrRoad_act!Y18=0,0,Y41/TrRoad_act!Y18*1000)</f>
        <v>18.2767899671673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43.976166288061336</v>
      </c>
      <c r="C103" s="29">
        <f>IF(TrRoad_act!C19=0,0,C42/TrRoad_act!C19*1000)</f>
        <v>41.798359796616118</v>
      </c>
      <c r="D103" s="29">
        <f>IF(TrRoad_act!D19=0,0,D42/TrRoad_act!D19*1000)</f>
        <v>61.484112402509162</v>
      </c>
      <c r="E103" s="29">
        <f>IF(TrRoad_act!E19=0,0,E42/TrRoad_act!E19*1000)</f>
        <v>46.626437956366708</v>
      </c>
      <c r="F103" s="29">
        <f>IF(TrRoad_act!F19=0,0,F42/TrRoad_act!F19*1000)</f>
        <v>48.438829817732348</v>
      </c>
      <c r="G103" s="29">
        <f>IF(TrRoad_act!G19=0,0,G42/TrRoad_act!G19*1000)</f>
        <v>60.590314751052404</v>
      </c>
      <c r="H103" s="29">
        <f>IF(TrRoad_act!H19=0,0,H42/TrRoad_act!H19*1000)</f>
        <v>68.844984350034963</v>
      </c>
      <c r="I103" s="29">
        <f>IF(TrRoad_act!I19=0,0,I42/TrRoad_act!I19*1000)</f>
        <v>67.825436885608113</v>
      </c>
      <c r="J103" s="29">
        <f>IF(TrRoad_act!J19=0,0,J42/TrRoad_act!J19*1000)</f>
        <v>72.607874604452363</v>
      </c>
      <c r="K103" s="29">
        <f>IF(TrRoad_act!K19=0,0,K42/TrRoad_act!K19*1000)</f>
        <v>66.609333821661167</v>
      </c>
      <c r="L103" s="29">
        <f>IF(TrRoad_act!L19=0,0,L42/TrRoad_act!L19*1000)</f>
        <v>88.587482625504663</v>
      </c>
      <c r="M103" s="29">
        <f>IF(TrRoad_act!M19=0,0,M42/TrRoad_act!M19*1000)</f>
        <v>85.762236420260621</v>
      </c>
      <c r="N103" s="29">
        <f>IF(TrRoad_act!N19=0,0,N42/TrRoad_act!N19*1000)</f>
        <v>80.767627973274145</v>
      </c>
      <c r="O103" s="29">
        <f>IF(TrRoad_act!O19=0,0,O42/TrRoad_act!O19*1000)</f>
        <v>80.401531198611579</v>
      </c>
      <c r="P103" s="29">
        <f>IF(TrRoad_act!P19=0,0,P42/TrRoad_act!P19*1000)</f>
        <v>75.824929395628644</v>
      </c>
      <c r="Q103" s="29">
        <f>IF(TrRoad_act!Q19=0,0,Q42/TrRoad_act!Q19*1000)</f>
        <v>69.477384927380697</v>
      </c>
      <c r="R103" s="29">
        <f>IF(TrRoad_act!R19=0,0,R42/TrRoad_act!R19*1000)</f>
        <v>78.212753490387513</v>
      </c>
      <c r="S103" s="29">
        <f>IF(TrRoad_act!S19=0,0,S42/TrRoad_act!S19*1000)</f>
        <v>90.038658358383032</v>
      </c>
      <c r="T103" s="29">
        <f>IF(TrRoad_act!T19=0,0,T42/TrRoad_act!T19*1000)</f>
        <v>90.220557163664921</v>
      </c>
      <c r="U103" s="29">
        <f>IF(TrRoad_act!U19=0,0,U42/TrRoad_act!U19*1000)</f>
        <v>87.141048328971934</v>
      </c>
      <c r="V103" s="29">
        <f>IF(TrRoad_act!V19=0,0,V42/TrRoad_act!V19*1000)</f>
        <v>84.263924910607145</v>
      </c>
      <c r="W103" s="29">
        <f>IF(TrRoad_act!W19=0,0,W42/TrRoad_act!W19*1000)</f>
        <v>91.040687466823599</v>
      </c>
      <c r="X103" s="29">
        <f>IF(TrRoad_act!X19=0,0,X42/TrRoad_act!X19*1000)</f>
        <v>89.409952000529586</v>
      </c>
      <c r="Y103" s="29">
        <f>IF(TrRoad_act!Y19=0,0,Y42/TrRoad_act!Y19*1000)</f>
        <v>88.565173934401571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948.35213838017057</v>
      </c>
      <c r="C104" s="152">
        <f>IF(TrRoad_act!C20=0,0,C43/TrRoad_act!C20*1000)</f>
        <v>963.45970784679719</v>
      </c>
      <c r="D104" s="152">
        <f>IF(TrRoad_act!D20=0,0,D43/TrRoad_act!D20*1000)</f>
        <v>1119.3191465916693</v>
      </c>
      <c r="E104" s="152">
        <f>IF(TrRoad_act!E20=0,0,E43/TrRoad_act!E20*1000)</f>
        <v>1047.3194494158292</v>
      </c>
      <c r="F104" s="152">
        <f>IF(TrRoad_act!F20=0,0,F43/TrRoad_act!F20*1000)</f>
        <v>1059.5371208798695</v>
      </c>
      <c r="G104" s="152">
        <f>IF(TrRoad_act!G20=0,0,G43/TrRoad_act!G20*1000)</f>
        <v>1086.644537242905</v>
      </c>
      <c r="H104" s="152">
        <f>IF(TrRoad_act!H20=0,0,H43/TrRoad_act!H20*1000)</f>
        <v>1005.9136122645249</v>
      </c>
      <c r="I104" s="152">
        <f>IF(TrRoad_act!I20=0,0,I43/TrRoad_act!I20*1000)</f>
        <v>1043.5315327753349</v>
      </c>
      <c r="J104" s="152">
        <f>IF(TrRoad_act!J20=0,0,J43/TrRoad_act!J20*1000)</f>
        <v>967.56974500800584</v>
      </c>
      <c r="K104" s="152">
        <f>IF(TrRoad_act!K20=0,0,K43/TrRoad_act!K20*1000)</f>
        <v>874.72404097081892</v>
      </c>
      <c r="L104" s="152">
        <f>IF(TrRoad_act!L20=0,0,L43/TrRoad_act!L20*1000)</f>
        <v>983.81329780801821</v>
      </c>
      <c r="M104" s="152">
        <f>IF(TrRoad_act!M20=0,0,M43/TrRoad_act!M20*1000)</f>
        <v>1005.8997912573889</v>
      </c>
      <c r="N104" s="152">
        <f>IF(TrRoad_act!N20=0,0,N43/TrRoad_act!N20*1000)</f>
        <v>938.55513358648318</v>
      </c>
      <c r="O104" s="152">
        <f>IF(TrRoad_act!O20=0,0,O43/TrRoad_act!O20*1000)</f>
        <v>919.62714212117453</v>
      </c>
      <c r="P104" s="152">
        <f>IF(TrRoad_act!P20=0,0,P43/TrRoad_act!P20*1000)</f>
        <v>956.1487977620061</v>
      </c>
      <c r="Q104" s="152">
        <f>IF(TrRoad_act!Q20=0,0,Q43/TrRoad_act!Q20*1000)</f>
        <v>901.95223435722255</v>
      </c>
      <c r="R104" s="152">
        <f>IF(TrRoad_act!R20=0,0,R43/TrRoad_act!R20*1000)</f>
        <v>982.88447175801957</v>
      </c>
      <c r="S104" s="152">
        <f>IF(TrRoad_act!S20=0,0,S43/TrRoad_act!S20*1000)</f>
        <v>1045.58921577566</v>
      </c>
      <c r="T104" s="152">
        <f>IF(TrRoad_act!T20=0,0,T43/TrRoad_act!T20*1000)</f>
        <v>1038.1974651032531</v>
      </c>
      <c r="U104" s="152">
        <f>IF(TrRoad_act!U20=0,0,U43/TrRoad_act!U20*1000)</f>
        <v>1028.809494487055</v>
      </c>
      <c r="V104" s="152">
        <f>IF(TrRoad_act!V20=0,0,V43/TrRoad_act!V20*1000)</f>
        <v>1043.0503109761146</v>
      </c>
      <c r="W104" s="152">
        <f>IF(TrRoad_act!W20=0,0,W43/TrRoad_act!W20*1000)</f>
        <v>981.05868295400023</v>
      </c>
      <c r="X104" s="152">
        <f>IF(TrRoad_act!X20=0,0,X43/TrRoad_act!X20*1000)</f>
        <v>1013.31502387022</v>
      </c>
      <c r="Y104" s="152">
        <f>IF(TrRoad_act!Y20=0,0,Y43/TrRoad_act!Y20*1000)</f>
        <v>1032.8753691817953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956.16663560817256</v>
      </c>
      <c r="C105" s="87">
        <f>IF(TrRoad_act!C21=0,0,C44/TrRoad_act!C21*1000)</f>
        <v>944.23396835611231</v>
      </c>
      <c r="D105" s="87">
        <f>IF(TrRoad_act!D21=0,0,D44/TrRoad_act!D21*1000)</f>
        <v>930.60722984367726</v>
      </c>
      <c r="E105" s="87">
        <f>IF(TrRoad_act!E21=0,0,E44/TrRoad_act!E21*1000)</f>
        <v>910.28974165453303</v>
      </c>
      <c r="F105" s="87">
        <f>IF(TrRoad_act!F21=0,0,F44/TrRoad_act!F21*1000)</f>
        <v>851.91763332228697</v>
      </c>
      <c r="G105" s="87">
        <f>IF(TrRoad_act!G21=0,0,G44/TrRoad_act!G21*1000)</f>
        <v>837.48225996509439</v>
      </c>
      <c r="H105" s="87">
        <f>IF(TrRoad_act!H21=0,0,H44/TrRoad_act!H21*1000)</f>
        <v>819.77131980269303</v>
      </c>
      <c r="I105" s="87">
        <f>IF(TrRoad_act!I21=0,0,I44/TrRoad_act!I21*1000)</f>
        <v>809.82991270934713</v>
      </c>
      <c r="J105" s="87">
        <f>IF(TrRoad_act!J21=0,0,J44/TrRoad_act!J21*1000)</f>
        <v>803.30539051757387</v>
      </c>
      <c r="K105" s="87">
        <f>IF(TrRoad_act!K21=0,0,K44/TrRoad_act!K21*1000)</f>
        <v>794.67405744931193</v>
      </c>
      <c r="L105" s="87">
        <f>IF(TrRoad_act!L21=0,0,L44/TrRoad_act!L21*1000)</f>
        <v>765.60621662656069</v>
      </c>
      <c r="M105" s="87">
        <f>IF(TrRoad_act!M21=0,0,M44/TrRoad_act!M21*1000)</f>
        <v>767.20086183264812</v>
      </c>
      <c r="N105" s="87">
        <f>IF(TrRoad_act!N21=0,0,N44/TrRoad_act!N21*1000)</f>
        <v>768.91533913008266</v>
      </c>
      <c r="O105" s="87">
        <f>IF(TrRoad_act!O21=0,0,O44/TrRoad_act!O21*1000)</f>
        <v>775.66950349315869</v>
      </c>
      <c r="P105" s="87">
        <f>IF(TrRoad_act!P21=0,0,P44/TrRoad_act!P21*1000)</f>
        <v>781.32959959806044</v>
      </c>
      <c r="Q105" s="87">
        <f>IF(TrRoad_act!Q21=0,0,Q44/TrRoad_act!Q21*1000)</f>
        <v>798.82042631540332</v>
      </c>
      <c r="R105" s="87">
        <f>IF(TrRoad_act!R21=0,0,R44/TrRoad_act!R21*1000)</f>
        <v>805.51971192373605</v>
      </c>
      <c r="S105" s="87">
        <f>IF(TrRoad_act!S21=0,0,S44/TrRoad_act!S21*1000)</f>
        <v>809.56711967712999</v>
      </c>
      <c r="T105" s="87">
        <f>IF(TrRoad_act!T21=0,0,T44/TrRoad_act!T21*1000)</f>
        <v>816.77886367545284</v>
      </c>
      <c r="U105" s="87">
        <f>IF(TrRoad_act!U21=0,0,U44/TrRoad_act!U21*1000)</f>
        <v>826.35064819540503</v>
      </c>
      <c r="V105" s="87">
        <f>IF(TrRoad_act!V21=0,0,V44/TrRoad_act!V21*1000)</f>
        <v>826.53590328480038</v>
      </c>
      <c r="W105" s="87">
        <f>IF(TrRoad_act!W21=0,0,W44/TrRoad_act!W21*1000)</f>
        <v>829.44653443219715</v>
      </c>
      <c r="X105" s="87">
        <f>IF(TrRoad_act!X21=0,0,X44/TrRoad_act!X21*1000)</f>
        <v>840.10517621029442</v>
      </c>
      <c r="Y105" s="87">
        <f>IF(TrRoad_act!Y21=0,0,Y44/TrRoad_act!Y21*1000)</f>
        <v>858.038257405487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945.23285222299796</v>
      </c>
      <c r="C106" s="87">
        <f>IF(TrRoad_act!C22=0,0,C46/TrRoad_act!C22*1000)</f>
        <v>971.12022936107246</v>
      </c>
      <c r="D106" s="87">
        <f>IF(TrRoad_act!D22=0,0,D46/TrRoad_act!D22*1000)</f>
        <v>1195.5260508362855</v>
      </c>
      <c r="E106" s="87">
        <f>IF(TrRoad_act!E22=0,0,E46/TrRoad_act!E22*1000)</f>
        <v>1102.6343276995028</v>
      </c>
      <c r="F106" s="87">
        <f>IF(TrRoad_act!F22=0,0,F46/TrRoad_act!F22*1000)</f>
        <v>1167.6101908848693</v>
      </c>
      <c r="G106" s="87">
        <f>IF(TrRoad_act!G22=0,0,G46/TrRoad_act!G22*1000)</f>
        <v>1204.1171804392843</v>
      </c>
      <c r="H106" s="87">
        <f>IF(TrRoad_act!H22=0,0,H46/TrRoad_act!H22*1000)</f>
        <v>1097.1037144324919</v>
      </c>
      <c r="I106" s="87">
        <f>IF(TrRoad_act!I22=0,0,I46/TrRoad_act!I22*1000)</f>
        <v>1147.9314465586742</v>
      </c>
      <c r="J106" s="87">
        <f>IF(TrRoad_act!J22=0,0,J46/TrRoad_act!J22*1000)</f>
        <v>1038.1419009216211</v>
      </c>
      <c r="K106" s="87">
        <f>IF(TrRoad_act!K22=0,0,K46/TrRoad_act!K22*1000)</f>
        <v>905.01644713405551</v>
      </c>
      <c r="L106" s="87">
        <f>IF(TrRoad_act!L22=0,0,L46/TrRoad_act!L22*1000)</f>
        <v>1039.857458964914</v>
      </c>
      <c r="M106" s="87">
        <f>IF(TrRoad_act!M22=0,0,M46/TrRoad_act!M22*1000)</f>
        <v>1066.9709166647215</v>
      </c>
      <c r="N106" s="87">
        <f>IF(TrRoad_act!N22=0,0,N46/TrRoad_act!N22*1000)</f>
        <v>980.51472088048536</v>
      </c>
      <c r="O106" s="87">
        <f>IF(TrRoad_act!O22=0,0,O46/TrRoad_act!O22*1000)</f>
        <v>961.04125713249186</v>
      </c>
      <c r="P106" s="87">
        <f>IF(TrRoad_act!P22=0,0,P46/TrRoad_act!P22*1000)</f>
        <v>1005.3813984547999</v>
      </c>
      <c r="Q106" s="87">
        <f>IF(TrRoad_act!Q22=0,0,Q46/TrRoad_act!Q22*1000)</f>
        <v>928.49697799003263</v>
      </c>
      <c r="R106" s="87">
        <f>IF(TrRoad_act!R22=0,0,R46/TrRoad_act!R22*1000)</f>
        <v>1048.2066342357066</v>
      </c>
      <c r="S106" s="87">
        <f>IF(TrRoad_act!S22=0,0,S46/TrRoad_act!S22*1000)</f>
        <v>1121.2184937581724</v>
      </c>
      <c r="T106" s="87">
        <f>IF(TrRoad_act!T22=0,0,T46/TrRoad_act!T22*1000)</f>
        <v>1105.5276406613898</v>
      </c>
      <c r="U106" s="87">
        <f>IF(TrRoad_act!U22=0,0,U46/TrRoad_act!U22*1000)</f>
        <v>1077.4951921977779</v>
      </c>
      <c r="V106" s="87">
        <f>IF(TrRoad_act!V22=0,0,V46/TrRoad_act!V22*1000)</f>
        <v>1093.6648498961974</v>
      </c>
      <c r="W106" s="87">
        <f>IF(TrRoad_act!W22=0,0,W46/TrRoad_act!W22*1000)</f>
        <v>1013.234622567615</v>
      </c>
      <c r="X106" s="87">
        <f>IF(TrRoad_act!X22=0,0,X46/TrRoad_act!X22*1000)</f>
        <v>1050.9169831922939</v>
      </c>
      <c r="Y106" s="87">
        <f>IF(TrRoad_act!Y22=0,0,Y46/TrRoad_act!Y22*1000)</f>
        <v>1072.3131395968835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1224.6887529211158</v>
      </c>
      <c r="O107" s="87">
        <f>IF(TrRoad_act!O23=0,0,O48/TrRoad_act!O23*1000)</f>
        <v>991.0470582765173</v>
      </c>
      <c r="P107" s="87">
        <f>IF(TrRoad_act!P23=0,0,P48/TrRoad_act!P23*1000)</f>
        <v>1438.4274151960103</v>
      </c>
      <c r="Q107" s="87">
        <f>IF(TrRoad_act!Q23=0,0,Q48/TrRoad_act!Q23*1000)</f>
        <v>1440.7827974231395</v>
      </c>
      <c r="R107" s="87">
        <f>IF(TrRoad_act!R23=0,0,R48/TrRoad_act!R23*1000)</f>
        <v>1440.0083967914791</v>
      </c>
      <c r="S107" s="87">
        <f>IF(TrRoad_act!S23=0,0,S48/TrRoad_act!S23*1000)</f>
        <v>1427.4004286445206</v>
      </c>
      <c r="T107" s="87">
        <f>IF(TrRoad_act!T23=0,0,T48/TrRoad_act!T23*1000)</f>
        <v>1403.0895810477268</v>
      </c>
      <c r="U107" s="87">
        <f>IF(TrRoad_act!U23=0,0,U48/TrRoad_act!U23*1000)</f>
        <v>1373.6546771542082</v>
      </c>
      <c r="V107" s="87">
        <f>IF(TrRoad_act!V23=0,0,V48/TrRoad_act!V23*1000)</f>
        <v>1361.5911170053205</v>
      </c>
      <c r="W107" s="87">
        <f>IF(TrRoad_act!W23=0,0,W48/TrRoad_act!W23*1000)</f>
        <v>1357.5409932525174</v>
      </c>
      <c r="X107" s="87">
        <f>IF(TrRoad_act!X23=0,0,X48/TrRoad_act!X23*1000)</f>
        <v>1353.7046153483698</v>
      </c>
      <c r="Y107" s="87">
        <f>IF(TrRoad_act!Y23=0,0,Y48/TrRoad_act!Y23*1000)</f>
        <v>1352.0665417256785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1161.276731436147</v>
      </c>
      <c r="O108" s="87">
        <f>IF(TrRoad_act!O24=0,0,O49/TrRoad_act!O24*1000)</f>
        <v>1199.638888241793</v>
      </c>
      <c r="P108" s="87">
        <f>IF(TrRoad_act!P24=0,0,P49/TrRoad_act!P24*1000)</f>
        <v>1174.6942736189881</v>
      </c>
      <c r="Q108" s="87">
        <f>IF(TrRoad_act!Q24=0,0,Q49/TrRoad_act!Q24*1000)</f>
        <v>1088.0434467496123</v>
      </c>
      <c r="R108" s="87">
        <f>IF(TrRoad_act!R24=0,0,R49/TrRoad_act!R24*1000)</f>
        <v>1631.5839729011886</v>
      </c>
      <c r="S108" s="87">
        <f>IF(TrRoad_act!S24=0,0,S49/TrRoad_act!S24*1000)</f>
        <v>1608.9611037467751</v>
      </c>
      <c r="T108" s="87">
        <f>IF(TrRoad_act!T24=0,0,T49/TrRoad_act!T24*1000)</f>
        <v>1509.0827589601379</v>
      </c>
      <c r="U108" s="87">
        <f>IF(TrRoad_act!U24=0,0,U49/TrRoad_act!U24*1000)</f>
        <v>1511.5817767284382</v>
      </c>
      <c r="V108" s="87">
        <f>IF(TrRoad_act!V24=0,0,V49/TrRoad_act!V24*1000)</f>
        <v>1809.9857161933635</v>
      </c>
      <c r="W108" s="87">
        <f>IF(TrRoad_act!W24=0,0,W49/TrRoad_act!W24*1000)</f>
        <v>1768.1978296469351</v>
      </c>
      <c r="X108" s="87">
        <f>IF(TrRoad_act!X24=0,0,X49/TrRoad_act!X24*1000)</f>
        <v>1887.921043515779</v>
      </c>
      <c r="Y108" s="87">
        <f>IF(TrRoad_act!Y24=0,0,Y49/TrRoad_act!Y24*1000)</f>
        <v>1707.4230373397809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207.1627652189469</v>
      </c>
      <c r="P109" s="87">
        <f>IF(TrRoad_act!P25=0,0,P51/TrRoad_act!P25*1000)</f>
        <v>212.50038554324976</v>
      </c>
      <c r="Q109" s="87">
        <f>IF(TrRoad_act!Q25=0,0,Q51/TrRoad_act!Q25*1000)</f>
        <v>225.69707153703911</v>
      </c>
      <c r="R109" s="87">
        <f>IF(TrRoad_act!R25=0,0,R51/TrRoad_act!R25*1000)</f>
        <v>233.50151057230244</v>
      </c>
      <c r="S109" s="87">
        <f>IF(TrRoad_act!S25=0,0,S51/TrRoad_act!S25*1000)</f>
        <v>233.84013309887516</v>
      </c>
      <c r="T109" s="87">
        <f>IF(TrRoad_act!T25=0,0,T51/TrRoad_act!T25*1000)</f>
        <v>247.5086750242705</v>
      </c>
      <c r="U109" s="87">
        <f>IF(TrRoad_act!U25=0,0,U51/TrRoad_act!U25*1000)</f>
        <v>252.30170965300425</v>
      </c>
      <c r="V109" s="87">
        <f>IF(TrRoad_act!V25=0,0,V51/TrRoad_act!V25*1000)</f>
        <v>257.20467987245905</v>
      </c>
      <c r="W109" s="87">
        <f>IF(TrRoad_act!W25=0,0,W51/TrRoad_act!W25*1000)</f>
        <v>273.32260026782683</v>
      </c>
      <c r="X109" s="87">
        <f>IF(TrRoad_act!X25=0,0,X51/TrRoad_act!X25*1000)</f>
        <v>278.12719776557748</v>
      </c>
      <c r="Y109" s="87">
        <f>IF(TrRoad_act!Y25=0,0,Y51/TrRoad_act!Y25*1000)</f>
        <v>260.54010905355176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24.234872357589897</v>
      </c>
      <c r="C110" s="116">
        <f>IF(TrRoad_act!C26=0,0,C52/TrRoad_act!C26*1000)</f>
        <v>22.393187923597608</v>
      </c>
      <c r="D110" s="116">
        <f>IF(TrRoad_act!D26=0,0,D52/TrRoad_act!D26*1000)</f>
        <v>38.7574376409707</v>
      </c>
      <c r="E110" s="116">
        <f>IF(TrRoad_act!E26=0,0,E52/TrRoad_act!E26*1000)</f>
        <v>25.70149287044779</v>
      </c>
      <c r="F110" s="116">
        <f>IF(TrRoad_act!F26=0,0,F52/TrRoad_act!F26*1000)</f>
        <v>28.079624415382249</v>
      </c>
      <c r="G110" s="116">
        <f>IF(TrRoad_act!G26=0,0,G52/TrRoad_act!G26*1000)</f>
        <v>38.961045554814071</v>
      </c>
      <c r="H110" s="116">
        <f>IF(TrRoad_act!H26=0,0,H52/TrRoad_act!H26*1000)</f>
        <v>48.824622412978208</v>
      </c>
      <c r="I110" s="116">
        <f>IF(TrRoad_act!I26=0,0,I52/TrRoad_act!I26*1000)</f>
        <v>47.262621605723282</v>
      </c>
      <c r="J110" s="116">
        <f>IF(TrRoad_act!J26=0,0,J52/TrRoad_act!J26*1000)</f>
        <v>53.165267487007767</v>
      </c>
      <c r="K110" s="116">
        <f>IF(TrRoad_act!K26=0,0,K52/TrRoad_act!K26*1000)</f>
        <v>45.665129273832974</v>
      </c>
      <c r="L110" s="116">
        <f>IF(TrRoad_act!L26=0,0,L52/TrRoad_act!L26*1000)</f>
        <v>64.852279609832337</v>
      </c>
      <c r="M110" s="116">
        <f>IF(TrRoad_act!M26=0,0,M52/TrRoad_act!M26*1000)</f>
        <v>61.041882460532889</v>
      </c>
      <c r="N110" s="116">
        <f>IF(TrRoad_act!N26=0,0,N52/TrRoad_act!N26*1000)</f>
        <v>57.127589177307826</v>
      </c>
      <c r="O110" s="116">
        <f>IF(TrRoad_act!O26=0,0,O52/TrRoad_act!O26*1000)</f>
        <v>59.723385411356134</v>
      </c>
      <c r="P110" s="116">
        <f>IF(TrRoad_act!P26=0,0,P52/TrRoad_act!P26*1000)</f>
        <v>57.815532022728192</v>
      </c>
      <c r="Q110" s="116">
        <f>IF(TrRoad_act!Q26=0,0,Q52/TrRoad_act!Q26*1000)</f>
        <v>51.049349177510898</v>
      </c>
      <c r="R110" s="116">
        <f>IF(TrRoad_act!R26=0,0,R52/TrRoad_act!R26*1000)</f>
        <v>61.016944474050987</v>
      </c>
      <c r="S110" s="116">
        <f>IF(TrRoad_act!S26=0,0,S52/TrRoad_act!S26*1000)</f>
        <v>73.24068826826101</v>
      </c>
      <c r="T110" s="116">
        <f>IF(TrRoad_act!T26=0,0,T52/TrRoad_act!T26*1000)</f>
        <v>73.922730142081249</v>
      </c>
      <c r="U110" s="116">
        <f>IF(TrRoad_act!U26=0,0,U52/TrRoad_act!U26*1000)</f>
        <v>71.533849632447584</v>
      </c>
      <c r="V110" s="116">
        <f>IF(TrRoad_act!V26=0,0,V52/TrRoad_act!V26*1000)</f>
        <v>67.44874805372497</v>
      </c>
      <c r="W110" s="116">
        <f>IF(TrRoad_act!W26=0,0,W52/TrRoad_act!W26*1000)</f>
        <v>75.251427168015866</v>
      </c>
      <c r="X110" s="116">
        <f>IF(TrRoad_act!X26=0,0,X52/TrRoad_act!X26*1000)</f>
        <v>73.514044448824308</v>
      </c>
      <c r="Y110" s="116">
        <f>IF(TrRoad_act!Y26=0,0,Y52/TrRoad_act!Y26*1000)</f>
        <v>71.323580410982956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22.310305144934198</v>
      </c>
      <c r="C111" s="101">
        <f>IF(TrRoad_act!C27=0,0,C53/TrRoad_act!C27*1000)</f>
        <v>22.378595743314005</v>
      </c>
      <c r="D111" s="101">
        <f>IF(TrRoad_act!D27=0,0,D53/TrRoad_act!D27*1000)</f>
        <v>38.615159085972685</v>
      </c>
      <c r="E111" s="101">
        <f>IF(TrRoad_act!E27=0,0,E53/TrRoad_act!E27*1000)</f>
        <v>35.645372828243261</v>
      </c>
      <c r="F111" s="101">
        <f>IF(TrRoad_act!F27=0,0,F53/TrRoad_act!F27*1000)</f>
        <v>38.059112084855244</v>
      </c>
      <c r="G111" s="101">
        <f>IF(TrRoad_act!G27=0,0,G53/TrRoad_act!G27*1000)</f>
        <v>42.650875274163973</v>
      </c>
      <c r="H111" s="101">
        <f>IF(TrRoad_act!H27=0,0,H53/TrRoad_act!H27*1000)</f>
        <v>53.838246508335459</v>
      </c>
      <c r="I111" s="101">
        <f>IF(TrRoad_act!I27=0,0,I53/TrRoad_act!I27*1000)</f>
        <v>54.101553232480278</v>
      </c>
      <c r="J111" s="101">
        <f>IF(TrRoad_act!J27=0,0,J53/TrRoad_act!J27*1000)</f>
        <v>60.759109479799001</v>
      </c>
      <c r="K111" s="101">
        <f>IF(TrRoad_act!K27=0,0,K53/TrRoad_act!K27*1000)</f>
        <v>56.568788611221869</v>
      </c>
      <c r="L111" s="101">
        <f>IF(TrRoad_act!L27=0,0,L53/TrRoad_act!L27*1000)</f>
        <v>82.850945073131442</v>
      </c>
      <c r="M111" s="101">
        <f>IF(TrRoad_act!M27=0,0,M53/TrRoad_act!M27*1000)</f>
        <v>85.91025143245993</v>
      </c>
      <c r="N111" s="101">
        <f>IF(TrRoad_act!N27=0,0,N53/TrRoad_act!N27*1000)</f>
        <v>77.664924488192867</v>
      </c>
      <c r="O111" s="101">
        <f>IF(TrRoad_act!O27=0,0,O53/TrRoad_act!O27*1000)</f>
        <v>84.162771693614999</v>
      </c>
      <c r="P111" s="101">
        <f>IF(TrRoad_act!P27=0,0,P53/TrRoad_act!P27*1000)</f>
        <v>83.385647113795926</v>
      </c>
      <c r="Q111" s="101">
        <f>IF(TrRoad_act!Q27=0,0,Q53/TrRoad_act!Q27*1000)</f>
        <v>73.460078103432735</v>
      </c>
      <c r="R111" s="101">
        <f>IF(TrRoad_act!R27=0,0,R53/TrRoad_act!R27*1000)</f>
        <v>84.127583773916498</v>
      </c>
      <c r="S111" s="101">
        <f>IF(TrRoad_act!S27=0,0,S53/TrRoad_act!S27*1000)</f>
        <v>84.249700863337566</v>
      </c>
      <c r="T111" s="101">
        <f>IF(TrRoad_act!T27=0,0,T53/TrRoad_act!T27*1000)</f>
        <v>79.259980435155683</v>
      </c>
      <c r="U111" s="101">
        <f>IF(TrRoad_act!U27=0,0,U53/TrRoad_act!U27*1000)</f>
        <v>84.161280789465096</v>
      </c>
      <c r="V111" s="101">
        <f>IF(TrRoad_act!V27=0,0,V53/TrRoad_act!V27*1000)</f>
        <v>82.588962320893216</v>
      </c>
      <c r="W111" s="101">
        <f>IF(TrRoad_act!W27=0,0,W53/TrRoad_act!W27*1000)</f>
        <v>85.044252817334907</v>
      </c>
      <c r="X111" s="101">
        <f>IF(TrRoad_act!X27=0,0,X53/TrRoad_act!X27*1000)</f>
        <v>90.925638528284367</v>
      </c>
      <c r="Y111" s="101">
        <f>IF(TrRoad_act!Y27=0,0,Y53/TrRoad_act!Y27*1000)</f>
        <v>93.690751581513481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26.982538497044036</v>
      </c>
      <c r="C112" s="88">
        <f>IF(TrRoad_act!C28=0,0,C55/TrRoad_act!C28*1000)</f>
        <v>22.413643907232583</v>
      </c>
      <c r="D112" s="88">
        <f>IF(TrRoad_act!D28=0,0,D55/TrRoad_act!D28*1000)</f>
        <v>38.935234549244662</v>
      </c>
      <c r="E112" s="88">
        <f>IF(TrRoad_act!E28=0,0,E55/TrRoad_act!E28*1000)</f>
        <v>13.023901698381906</v>
      </c>
      <c r="F112" s="88">
        <f>IF(TrRoad_act!F28=0,0,F55/TrRoad_act!F28*1000)</f>
        <v>16.659027223219145</v>
      </c>
      <c r="G112" s="88">
        <f>IF(TrRoad_act!G28=0,0,G55/TrRoad_act!G28*1000)</f>
        <v>34.734268226618589</v>
      </c>
      <c r="H112" s="88">
        <f>IF(TrRoad_act!H28=0,0,H55/TrRoad_act!H28*1000)</f>
        <v>43.804456625693163</v>
      </c>
      <c r="I112" s="88">
        <f>IF(TrRoad_act!I28=0,0,I55/TrRoad_act!I28*1000)</f>
        <v>41.394545444387774</v>
      </c>
      <c r="J112" s="88">
        <f>IF(TrRoad_act!J28=0,0,J55/TrRoad_act!J28*1000)</f>
        <v>45.612708968246743</v>
      </c>
      <c r="K112" s="88">
        <f>IF(TrRoad_act!K28=0,0,K55/TrRoad_act!K28*1000)</f>
        <v>35.78056122120644</v>
      </c>
      <c r="L112" s="88">
        <f>IF(TrRoad_act!L28=0,0,L55/TrRoad_act!L28*1000)</f>
        <v>50.630538646033401</v>
      </c>
      <c r="M112" s="88">
        <f>IF(TrRoad_act!M28=0,0,M55/TrRoad_act!M28*1000)</f>
        <v>43.725020547983185</v>
      </c>
      <c r="N112" s="88">
        <f>IF(TrRoad_act!N28=0,0,N55/TrRoad_act!N28*1000)</f>
        <v>42.506119512363327</v>
      </c>
      <c r="O112" s="88">
        <f>IF(TrRoad_act!O28=0,0,O55/TrRoad_act!O28*1000)</f>
        <v>45.281158620300197</v>
      </c>
      <c r="P112" s="88">
        <f>IF(TrRoad_act!P28=0,0,P55/TrRoad_act!P28*1000)</f>
        <v>41.300486703785104</v>
      </c>
      <c r="Q112" s="88">
        <f>IF(TrRoad_act!Q28=0,0,Q55/TrRoad_act!Q28*1000)</f>
        <v>37.399875581414015</v>
      </c>
      <c r="R112" s="88">
        <f>IF(TrRoad_act!R28=0,0,R55/TrRoad_act!R28*1000)</f>
        <v>46.754839004808311</v>
      </c>
      <c r="S112" s="88">
        <f>IF(TrRoad_act!S28=0,0,S55/TrRoad_act!S28*1000)</f>
        <v>66.300801703806144</v>
      </c>
      <c r="T112" s="88">
        <f>IF(TrRoad_act!T28=0,0,T55/TrRoad_act!T28*1000)</f>
        <v>70.480594311329199</v>
      </c>
      <c r="U112" s="88">
        <f>IF(TrRoad_act!U28=0,0,U55/TrRoad_act!U28*1000)</f>
        <v>63.407763221400735</v>
      </c>
      <c r="V112" s="88">
        <f>IF(TrRoad_act!V28=0,0,V55/TrRoad_act!V28*1000)</f>
        <v>57.644392144062053</v>
      </c>
      <c r="W112" s="88">
        <f>IF(TrRoad_act!W28=0,0,W55/TrRoad_act!W28*1000)</f>
        <v>69.217183093773173</v>
      </c>
      <c r="X112" s="88">
        <f>IF(TrRoad_act!X28=0,0,X55/TrRoad_act!X28*1000)</f>
        <v>63.74080057271442</v>
      </c>
      <c r="Y112" s="88">
        <f>IF(TrRoad_act!Y28=0,0,Y55/TrRoad_act!Y28*1000)</f>
        <v>58.737013272288543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44.447369120556779</v>
      </c>
      <c r="C116" s="152">
        <f>IF(C19=0,0,1000000*C19/TrRoad_act!C59)</f>
        <v>45.906969088210666</v>
      </c>
      <c r="D116" s="152">
        <f>IF(D19=0,0,1000000*D19/TrRoad_act!D59)</f>
        <v>39.163347362178961</v>
      </c>
      <c r="E116" s="152">
        <f>IF(E19=0,0,1000000*E19/TrRoad_act!E59)</f>
        <v>39.181580117283893</v>
      </c>
      <c r="F116" s="152">
        <f>IF(F19=0,0,1000000*F19/TrRoad_act!F59)</f>
        <v>38.723142088112851</v>
      </c>
      <c r="G116" s="152">
        <f>IF(G19=0,0,1000000*G19/TrRoad_act!G59)</f>
        <v>39.088367520967005</v>
      </c>
      <c r="H116" s="152">
        <f>IF(H19=0,0,1000000*H19/TrRoad_act!H59)</f>
        <v>39.323254366856588</v>
      </c>
      <c r="I116" s="152">
        <f>IF(I19=0,0,1000000*I19/TrRoad_act!I59)</f>
        <v>39.013347867762135</v>
      </c>
      <c r="J116" s="152">
        <f>IF(J19=0,0,1000000*J19/TrRoad_act!J59)</f>
        <v>38.401375504207188</v>
      </c>
      <c r="K116" s="152">
        <f>IF(K19=0,0,1000000*K19/TrRoad_act!K59)</f>
        <v>28.702812620047965</v>
      </c>
      <c r="L116" s="152">
        <f>IF(L19=0,0,1000000*L19/TrRoad_act!L59)</f>
        <v>24.498731250154332</v>
      </c>
      <c r="M116" s="152">
        <f>IF(M19=0,0,1000000*M19/TrRoad_act!M59)</f>
        <v>27.676114685191983</v>
      </c>
      <c r="N116" s="152">
        <f>IF(N19=0,0,1000000*N19/TrRoad_act!N59)</f>
        <v>30.436391056054404</v>
      </c>
      <c r="O116" s="152">
        <f>IF(O19=0,0,1000000*O19/TrRoad_act!O59)</f>
        <v>29.084625257679782</v>
      </c>
      <c r="P116" s="152">
        <f>IF(P19=0,0,1000000*P19/TrRoad_act!P59)</f>
        <v>30.211406117486959</v>
      </c>
      <c r="Q116" s="152">
        <f>IF(Q19=0,0,1000000*Q19/TrRoad_act!Q59)</f>
        <v>31.242154360811888</v>
      </c>
      <c r="R116" s="152">
        <f>IF(R19=0,0,1000000*R19/TrRoad_act!R59)</f>
        <v>31.622687044372665</v>
      </c>
      <c r="S116" s="152">
        <f>IF(S19=0,0,1000000*S19/TrRoad_act!S59)</f>
        <v>28.328020218292536</v>
      </c>
      <c r="T116" s="152">
        <f>IF(T19=0,0,1000000*T19/TrRoad_act!T59)</f>
        <v>25.711312685284494</v>
      </c>
      <c r="U116" s="152">
        <f>IF(U19=0,0,1000000*U19/TrRoad_act!U59)</f>
        <v>26.097086130431308</v>
      </c>
      <c r="V116" s="152">
        <f>IF(V19=0,0,1000000*V19/TrRoad_act!V59)</f>
        <v>22.397719660641243</v>
      </c>
      <c r="W116" s="152">
        <f>IF(W19=0,0,1000000*W19/TrRoad_act!W59)</f>
        <v>22.279705108310829</v>
      </c>
      <c r="X116" s="152">
        <f>IF(X19=0,0,1000000*X19/TrRoad_act!X59)</f>
        <v>21.551368238485519</v>
      </c>
      <c r="Y116" s="152">
        <f>IF(Y19=0,0,1000000*Y19/TrRoad_act!Y59)</f>
        <v>22.30238489767871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592.22312098237978</v>
      </c>
      <c r="C117" s="116">
        <f>IF(C21=0,0,1000000*C21/TrRoad_act!C60)</f>
        <v>612.77844242621291</v>
      </c>
      <c r="D117" s="116">
        <f>IF(D21=0,0,1000000*D21/TrRoad_act!D60)</f>
        <v>702.3322378885839</v>
      </c>
      <c r="E117" s="116">
        <f>IF(E21=0,0,1000000*E21/TrRoad_act!E60)</f>
        <v>654.17945693558624</v>
      </c>
      <c r="F117" s="116">
        <f>IF(F21=0,0,1000000*F21/TrRoad_act!F60)</f>
        <v>631.12736569583387</v>
      </c>
      <c r="G117" s="116">
        <f>IF(G21=0,0,1000000*G21/TrRoad_act!G60)</f>
        <v>669.46125286392123</v>
      </c>
      <c r="H117" s="116">
        <f>IF(H21=0,0,1000000*H21/TrRoad_act!H60)</f>
        <v>635.30279045017312</v>
      </c>
      <c r="I117" s="116">
        <f>IF(I21=0,0,1000000*I21/TrRoad_act!I60)</f>
        <v>620.73733894595682</v>
      </c>
      <c r="J117" s="116">
        <f>IF(J21=0,0,1000000*J21/TrRoad_act!J60)</f>
        <v>605.63498333179655</v>
      </c>
      <c r="K117" s="116">
        <f>IF(K21=0,0,1000000*K21/TrRoad_act!K60)</f>
        <v>557.03927198622762</v>
      </c>
      <c r="L117" s="116">
        <f>IF(L21=0,0,1000000*L21/TrRoad_act!L60)</f>
        <v>542.77059351668458</v>
      </c>
      <c r="M117" s="116">
        <f>IF(M21=0,0,1000000*M21/TrRoad_act!M60)</f>
        <v>512.99634790937989</v>
      </c>
      <c r="N117" s="116">
        <f>IF(N21=0,0,1000000*N21/TrRoad_act!N60)</f>
        <v>478.96488136278333</v>
      </c>
      <c r="O117" s="116">
        <f>IF(O21=0,0,1000000*O21/TrRoad_act!O60)</f>
        <v>466.46646279601111</v>
      </c>
      <c r="P117" s="116">
        <f>IF(P21=0,0,1000000*P21/TrRoad_act!P60)</f>
        <v>445.96929043454475</v>
      </c>
      <c r="Q117" s="116">
        <f>IF(Q21=0,0,1000000*Q21/TrRoad_act!Q60)</f>
        <v>432.72008948562257</v>
      </c>
      <c r="R117" s="116">
        <f>IF(R21=0,0,1000000*R21/TrRoad_act!R60)</f>
        <v>419.06818047093918</v>
      </c>
      <c r="S117" s="116">
        <f>IF(S21=0,0,1000000*S21/TrRoad_act!S60)</f>
        <v>407.60177454391271</v>
      </c>
      <c r="T117" s="116">
        <f>IF(T21=0,0,1000000*T21/TrRoad_act!T60)</f>
        <v>376.89356305543419</v>
      </c>
      <c r="U117" s="116">
        <f>IF(U21=0,0,1000000*U21/TrRoad_act!U60)</f>
        <v>359.92055672343986</v>
      </c>
      <c r="V117" s="116">
        <f>IF(V21=0,0,1000000*V21/TrRoad_act!V60)</f>
        <v>328.13959390967375</v>
      </c>
      <c r="W117" s="116">
        <f>IF(W21=0,0,1000000*W21/TrRoad_act!W60)</f>
        <v>331.73515262973706</v>
      </c>
      <c r="X117" s="116">
        <f>IF(X21=0,0,1000000*X21/TrRoad_act!X60)</f>
        <v>334.65317764435412</v>
      </c>
      <c r="Y117" s="116">
        <f>IF(Y21=0,0,1000000*Y21/TrRoad_act!Y60)</f>
        <v>343.50331650850262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531.17834897564614</v>
      </c>
      <c r="C118" s="87">
        <f>IF(C22=0,0,1000000*C22/TrRoad_act!C61)</f>
        <v>559.94099392914995</v>
      </c>
      <c r="D118" s="87">
        <f>IF(D22=0,0,1000000*D22/TrRoad_act!D61)</f>
        <v>668.51282497404964</v>
      </c>
      <c r="E118" s="87">
        <f>IF(E22=0,0,1000000*E22/TrRoad_act!E61)</f>
        <v>613.08404245696272</v>
      </c>
      <c r="F118" s="87">
        <f>IF(F22=0,0,1000000*F22/TrRoad_act!F61)</f>
        <v>576.00286035964359</v>
      </c>
      <c r="G118" s="87">
        <f>IF(G22=0,0,1000000*G22/TrRoad_act!G61)</f>
        <v>615.51900399229385</v>
      </c>
      <c r="H118" s="87">
        <f>IF(H22=0,0,1000000*H22/TrRoad_act!H61)</f>
        <v>571.03064775056635</v>
      </c>
      <c r="I118" s="87">
        <f>IF(I22=0,0,1000000*I22/TrRoad_act!I61)</f>
        <v>550.18195983137491</v>
      </c>
      <c r="J118" s="87">
        <f>IF(J22=0,0,1000000*J22/TrRoad_act!J61)</f>
        <v>542.15531689112629</v>
      </c>
      <c r="K118" s="87">
        <f>IF(K22=0,0,1000000*K22/TrRoad_act!K61)</f>
        <v>483.214306621079</v>
      </c>
      <c r="L118" s="87">
        <f>IF(L22=0,0,1000000*L22/TrRoad_act!L61)</f>
        <v>463.30558098183593</v>
      </c>
      <c r="M118" s="87">
        <f>IF(M22=0,0,1000000*M22/TrRoad_act!M61)</f>
        <v>427.6364763480538</v>
      </c>
      <c r="N118" s="87">
        <f>IF(N22=0,0,1000000*N22/TrRoad_act!N61)</f>
        <v>395.11098271184181</v>
      </c>
      <c r="O118" s="87">
        <f>IF(O22=0,0,1000000*O22/TrRoad_act!O61)</f>
        <v>387.04406883761345</v>
      </c>
      <c r="P118" s="87">
        <f>IF(P22=0,0,1000000*P22/TrRoad_act!P61)</f>
        <v>373.58357061636536</v>
      </c>
      <c r="Q118" s="87">
        <f>IF(Q22=0,0,1000000*Q22/TrRoad_act!Q61)</f>
        <v>367.13950248919917</v>
      </c>
      <c r="R118" s="87">
        <f>IF(R22=0,0,1000000*R22/TrRoad_act!R61)</f>
        <v>357.56349280837543</v>
      </c>
      <c r="S118" s="87">
        <f>IF(S22=0,0,1000000*S22/TrRoad_act!S61)</f>
        <v>345.7265999241053</v>
      </c>
      <c r="T118" s="87">
        <f>IF(T22=0,0,1000000*T22/TrRoad_act!T61)</f>
        <v>307.35100479267129</v>
      </c>
      <c r="U118" s="87">
        <f>IF(U22=0,0,1000000*U22/TrRoad_act!U61)</f>
        <v>289.90857054934327</v>
      </c>
      <c r="V118" s="87">
        <f>IF(V22=0,0,1000000*V22/TrRoad_act!V61)</f>
        <v>263.56871757730005</v>
      </c>
      <c r="W118" s="87">
        <f>IF(W22=0,0,1000000*W22/TrRoad_act!W61)</f>
        <v>263.39906535573454</v>
      </c>
      <c r="X118" s="87">
        <f>IF(X22=0,0,1000000*X22/TrRoad_act!X61)</f>
        <v>268.32983573503071</v>
      </c>
      <c r="Y118" s="87">
        <f>IF(Y22=0,0,1000000*Y22/TrRoad_act!Y61)</f>
        <v>282.72487031025315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861.60425047639217</v>
      </c>
      <c r="C119" s="87">
        <f>IF(C24=0,0,1000000*C24/TrRoad_act!C62)</f>
        <v>824.49120943927937</v>
      </c>
      <c r="D119" s="87">
        <f>IF(D24=0,0,1000000*D24/TrRoad_act!D62)</f>
        <v>826.4367139085939</v>
      </c>
      <c r="E119" s="87">
        <f>IF(E24=0,0,1000000*E24/TrRoad_act!E62)</f>
        <v>797.71185842633008</v>
      </c>
      <c r="F119" s="87">
        <f>IF(F24=0,0,1000000*F24/TrRoad_act!F62)</f>
        <v>805.4519919381205</v>
      </c>
      <c r="G119" s="87">
        <f>IF(G24=0,0,1000000*G24/TrRoad_act!G62)</f>
        <v>830.40578789284848</v>
      </c>
      <c r="H119" s="87">
        <f>IF(H24=0,0,1000000*H24/TrRoad_act!H62)</f>
        <v>832.98183767515422</v>
      </c>
      <c r="I119" s="87">
        <f>IF(I24=0,0,1000000*I24/TrRoad_act!I62)</f>
        <v>809.66911705267512</v>
      </c>
      <c r="J119" s="87">
        <f>IF(J24=0,0,1000000*J24/TrRoad_act!J62)</f>
        <v>800.83591159169748</v>
      </c>
      <c r="K119" s="87">
        <f>IF(K24=0,0,1000000*K24/TrRoad_act!K62)</f>
        <v>777.34769952814111</v>
      </c>
      <c r="L119" s="87">
        <f>IF(L24=0,0,1000000*L24/TrRoad_act!L62)</f>
        <v>779.49967620758184</v>
      </c>
      <c r="M119" s="87">
        <f>IF(M24=0,0,1000000*M24/TrRoad_act!M62)</f>
        <v>744.36627661178215</v>
      </c>
      <c r="N119" s="87">
        <f>IF(N24=0,0,1000000*N24/TrRoad_act!N62)</f>
        <v>706.25633183396099</v>
      </c>
      <c r="O119" s="87">
        <f>IF(O24=0,0,1000000*O24/TrRoad_act!O62)</f>
        <v>685.85158018067273</v>
      </c>
      <c r="P119" s="87">
        <f>IF(P24=0,0,1000000*P24/TrRoad_act!P62)</f>
        <v>651.82737855884784</v>
      </c>
      <c r="Q119" s="87">
        <f>IF(Q24=0,0,1000000*Q24/TrRoad_act!Q62)</f>
        <v>613.94085690561303</v>
      </c>
      <c r="R119" s="87">
        <f>IF(R24=0,0,1000000*R24/TrRoad_act!R62)</f>
        <v>597.19247554671131</v>
      </c>
      <c r="S119" s="87">
        <f>IF(S24=0,0,1000000*S24/TrRoad_act!S62)</f>
        <v>589.35773843475999</v>
      </c>
      <c r="T119" s="87">
        <f>IF(T24=0,0,1000000*T24/TrRoad_act!T62)</f>
        <v>578.35566453547369</v>
      </c>
      <c r="U119" s="87">
        <f>IF(U24=0,0,1000000*U24/TrRoad_act!U62)</f>
        <v>561.23847974638488</v>
      </c>
      <c r="V119" s="87">
        <f>IF(V24=0,0,1000000*V24/TrRoad_act!V62)</f>
        <v>508.33942446725132</v>
      </c>
      <c r="W119" s="87">
        <f>IF(W24=0,0,1000000*W24/TrRoad_act!W62)</f>
        <v>516.84897180615064</v>
      </c>
      <c r="X119" s="87">
        <f>IF(X24=0,0,1000000*X24/TrRoad_act!X62)</f>
        <v>524.40680558265944</v>
      </c>
      <c r="Y119" s="87">
        <f>IF(Y24=0,0,1000000*Y24/TrRoad_act!Y62)</f>
        <v>527.39779324395761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878.96818572656889</v>
      </c>
      <c r="H120" s="87">
        <f>IF(H26=0,0,1000000*H26/TrRoad_act!H63)</f>
        <v>878.26557326795444</v>
      </c>
      <c r="I120" s="87">
        <f>IF(I26=0,0,1000000*I26/TrRoad_act!I63)</f>
        <v>812.65549715844008</v>
      </c>
      <c r="J120" s="87">
        <f>IF(J26=0,0,1000000*J26/TrRoad_act!J63)</f>
        <v>784.79302297015079</v>
      </c>
      <c r="K120" s="87">
        <f>IF(K26=0,0,1000000*K26/TrRoad_act!K63)</f>
        <v>784.23285664397645</v>
      </c>
      <c r="L120" s="87">
        <f>IF(L26=0,0,1000000*L26/TrRoad_act!L63)</f>
        <v>731.74174635911504</v>
      </c>
      <c r="M120" s="87">
        <f>IF(M26=0,0,1000000*M26/TrRoad_act!M63)</f>
        <v>651.65625282143844</v>
      </c>
      <c r="N120" s="87">
        <f>IF(N26=0,0,1000000*N26/TrRoad_act!N63)</f>
        <v>623.48024250036076</v>
      </c>
      <c r="O120" s="87">
        <f>IF(O26=0,0,1000000*O26/TrRoad_act!O63)</f>
        <v>609.24851129447984</v>
      </c>
      <c r="P120" s="87">
        <f>IF(P26=0,0,1000000*P26/TrRoad_act!P63)</f>
        <v>494.29230909617053</v>
      </c>
      <c r="Q120" s="87">
        <f>IF(Q26=0,0,1000000*Q26/TrRoad_act!Q63)</f>
        <v>537.47582450417906</v>
      </c>
      <c r="R120" s="87">
        <f>IF(R26=0,0,1000000*R26/TrRoad_act!R63)</f>
        <v>524.45235371963747</v>
      </c>
      <c r="S120" s="87">
        <f>IF(S26=0,0,1000000*S26/TrRoad_act!S63)</f>
        <v>522.89255494976067</v>
      </c>
      <c r="T120" s="87">
        <f>IF(T26=0,0,1000000*T26/TrRoad_act!T63)</f>
        <v>568.6437303828103</v>
      </c>
      <c r="U120" s="87">
        <f>IF(U26=0,0,1000000*U26/TrRoad_act!U63)</f>
        <v>606.80076083261122</v>
      </c>
      <c r="V120" s="87">
        <f>IF(V26=0,0,1000000*V26/TrRoad_act!V63)</f>
        <v>595.28334004003455</v>
      </c>
      <c r="W120" s="87">
        <f>IF(W26=0,0,1000000*W26/TrRoad_act!W63)</f>
        <v>691.28120104449715</v>
      </c>
      <c r="X120" s="87">
        <f>IF(X26=0,0,1000000*X26/TrRoad_act!X63)</f>
        <v>700.13712036140271</v>
      </c>
      <c r="Y120" s="87">
        <f>IF(Y26=0,0,1000000*Y26/TrRoad_act!Y63)</f>
        <v>716.0236728138949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1298.7245629120093</v>
      </c>
      <c r="D121" s="87">
        <f>IF(D27=0,0,1000000*D27/TrRoad_act!D64)</f>
        <v>555.31670965892783</v>
      </c>
      <c r="E121" s="87">
        <f>IF(E27=0,0,1000000*E27/TrRoad_act!E64)</f>
        <v>560.20961513170869</v>
      </c>
      <c r="F121" s="87">
        <f>IF(F27=0,0,1000000*F27/TrRoad_act!F64)</f>
        <v>749.92867466692769</v>
      </c>
      <c r="G121" s="87">
        <f>IF(G27=0,0,1000000*G27/TrRoad_act!G64)</f>
        <v>1002.8066563628054</v>
      </c>
      <c r="H121" s="87">
        <f>IF(H27=0,0,1000000*H27/TrRoad_act!H64)</f>
        <v>589.34813819714952</v>
      </c>
      <c r="I121" s="87">
        <f>IF(I27=0,0,1000000*I27/TrRoad_act!I64)</f>
        <v>1109.1724832074701</v>
      </c>
      <c r="J121" s="87">
        <f>IF(J27=0,0,1000000*J27/TrRoad_act!J64)</f>
        <v>502.32698646072873</v>
      </c>
      <c r="K121" s="87">
        <f>IF(K27=0,0,1000000*K27/TrRoad_act!K64)</f>
        <v>487.85732375909583</v>
      </c>
      <c r="L121" s="87">
        <f>IF(L27=0,0,1000000*L27/TrRoad_act!L64)</f>
        <v>539.8194900200341</v>
      </c>
      <c r="M121" s="87">
        <f>IF(M27=0,0,1000000*M27/TrRoad_act!M64)</f>
        <v>610.26586329201882</v>
      </c>
      <c r="N121" s="87">
        <f>IF(N27=0,0,1000000*N27/TrRoad_act!N64)</f>
        <v>580.35350275252085</v>
      </c>
      <c r="O121" s="87">
        <f>IF(O27=0,0,1000000*O27/TrRoad_act!O64)</f>
        <v>507.53597290522526</v>
      </c>
      <c r="P121" s="87">
        <f>IF(P27=0,0,1000000*P27/TrRoad_act!P64)</f>
        <v>526.85355446962865</v>
      </c>
      <c r="Q121" s="87">
        <f>IF(Q27=0,0,1000000*Q27/TrRoad_act!Q64)</f>
        <v>469.12699184887146</v>
      </c>
      <c r="R121" s="87">
        <f>IF(R27=0,0,1000000*R27/TrRoad_act!R64)</f>
        <v>490.45363978285229</v>
      </c>
      <c r="S121" s="87">
        <f>IF(S27=0,0,1000000*S27/TrRoad_act!S64)</f>
        <v>470.65965882946273</v>
      </c>
      <c r="T121" s="87">
        <f>IF(T27=0,0,1000000*T27/TrRoad_act!T64)</f>
        <v>454.14956595056589</v>
      </c>
      <c r="U121" s="87">
        <f>IF(U27=0,0,1000000*U27/TrRoad_act!U64)</f>
        <v>436.91582859481127</v>
      </c>
      <c r="V121" s="87">
        <f>IF(V27=0,0,1000000*V27/TrRoad_act!V64)</f>
        <v>508.91273454530494</v>
      </c>
      <c r="W121" s="87">
        <f>IF(W27=0,0,1000000*W27/TrRoad_act!W64)</f>
        <v>488.45041799556088</v>
      </c>
      <c r="X121" s="87">
        <f>IF(X27=0,0,1000000*X27/TrRoad_act!X64)</f>
        <v>515.16953250009396</v>
      </c>
      <c r="Y121" s="87">
        <f>IF(Y27=0,0,1000000*Y27/TrRoad_act!Y64)</f>
        <v>458.24515048803539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192.92519207404661</v>
      </c>
      <c r="O122" s="87">
        <f>IF(O29=0,0,1000000*O29/TrRoad_act!O65)</f>
        <v>198.43368831131053</v>
      </c>
      <c r="P122" s="87">
        <f>IF(P29=0,0,1000000*P29/TrRoad_act!P65)</f>
        <v>478.3019349740066</v>
      </c>
      <c r="Q122" s="87">
        <f>IF(Q29=0,0,1000000*Q29/TrRoad_act!Q65)</f>
        <v>443.18087746490778</v>
      </c>
      <c r="R122" s="87">
        <f>IF(R29=0,0,1000000*R29/TrRoad_act!R65)</f>
        <v>328.83182818946688</v>
      </c>
      <c r="S122" s="87">
        <f>IF(S29=0,0,1000000*S29/TrRoad_act!S65)</f>
        <v>341.0474145170441</v>
      </c>
      <c r="T122" s="87">
        <f>IF(T29=0,0,1000000*T29/TrRoad_act!T65)</f>
        <v>272.2405637302349</v>
      </c>
      <c r="U122" s="87">
        <f>IF(U29=0,0,1000000*U29/TrRoad_act!U65)</f>
        <v>247.61765900654163</v>
      </c>
      <c r="V122" s="87">
        <f>IF(V29=0,0,1000000*V29/TrRoad_act!V65)</f>
        <v>205.56660477939204</v>
      </c>
      <c r="W122" s="87">
        <f>IF(W29=0,0,1000000*W29/TrRoad_act!W65)</f>
        <v>180.65250461926328</v>
      </c>
      <c r="X122" s="87">
        <f>IF(X29=0,0,1000000*X29/TrRoad_act!X65)</f>
        <v>176.70704858992445</v>
      </c>
      <c r="Y122" s="87">
        <f>IF(Y29=0,0,1000000*Y29/TrRoad_act!Y65)</f>
        <v>181.36096906453275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113.35705550542458</v>
      </c>
      <c r="N123" s="87">
        <f>IF(N32=0,0,1000000*N32/TrRoad_act!N66)</f>
        <v>113.19000105579157</v>
      </c>
      <c r="O123" s="87">
        <f>IF(O32=0,0,1000000*O32/TrRoad_act!O66)</f>
        <v>111.41797285814926</v>
      </c>
      <c r="P123" s="87">
        <f>IF(P32=0,0,1000000*P32/TrRoad_act!P66)</f>
        <v>110.74532004811635</v>
      </c>
      <c r="Q123" s="87">
        <f>IF(Q32=0,0,1000000*Q32/TrRoad_act!Q66)</f>
        <v>112.85951577706578</v>
      </c>
      <c r="R123" s="87">
        <f>IF(R32=0,0,1000000*R32/TrRoad_act!R66)</f>
        <v>113.00351027941629</v>
      </c>
      <c r="S123" s="87">
        <f>IF(S32=0,0,1000000*S32/TrRoad_act!S66)</f>
        <v>109.70367848956923</v>
      </c>
      <c r="T123" s="87">
        <f>IF(T32=0,0,1000000*T32/TrRoad_act!T66)</f>
        <v>114.54092168647927</v>
      </c>
      <c r="U123" s="87">
        <f>IF(U32=0,0,1000000*U32/TrRoad_act!U66)</f>
        <v>117.0911443040571</v>
      </c>
      <c r="V123" s="87">
        <f>IF(V32=0,0,1000000*V32/TrRoad_act!V66)</f>
        <v>116.88148492892118</v>
      </c>
      <c r="W123" s="87">
        <f>IF(W32=0,0,1000000*W32/TrRoad_act!W66)</f>
        <v>121.76067394814017</v>
      </c>
      <c r="X123" s="87">
        <f>IF(X32=0,0,1000000*X32/TrRoad_act!X66)</f>
        <v>123.9444793388392</v>
      </c>
      <c r="Y123" s="87">
        <f>IF(Y32=0,0,1000000*Y32/TrRoad_act!Y66)</f>
        <v>126.17273050360839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16250.504087641117</v>
      </c>
      <c r="C124" s="116">
        <f>IF(C33=0,0,1000000*C33/TrRoad_act!C67)</f>
        <v>15987.246570515237</v>
      </c>
      <c r="D124" s="116">
        <f>IF(D33=0,0,1000000*D33/TrRoad_act!D67)</f>
        <v>15903.586859347095</v>
      </c>
      <c r="E124" s="116">
        <f>IF(E33=0,0,1000000*E33/TrRoad_act!E67)</f>
        <v>16174.525610319974</v>
      </c>
      <c r="F124" s="116">
        <f>IF(F33=0,0,1000000*F33/TrRoad_act!F67)</f>
        <v>17592.361602520014</v>
      </c>
      <c r="G124" s="116">
        <f>IF(G33=0,0,1000000*G33/TrRoad_act!G67)</f>
        <v>16609.484929978833</v>
      </c>
      <c r="H124" s="116">
        <f>IF(H33=0,0,1000000*H33/TrRoad_act!H67)</f>
        <v>17503.359854195362</v>
      </c>
      <c r="I124" s="116">
        <f>IF(I33=0,0,1000000*I33/TrRoad_act!I67)</f>
        <v>17612.122112794921</v>
      </c>
      <c r="J124" s="116">
        <f>IF(J33=0,0,1000000*J33/TrRoad_act!J67)</f>
        <v>17148.196697343621</v>
      </c>
      <c r="K124" s="116">
        <f>IF(K33=0,0,1000000*K33/TrRoad_act!K67)</f>
        <v>17673.599120541723</v>
      </c>
      <c r="L124" s="116">
        <f>IF(L33=0,0,1000000*L33/TrRoad_act!L67)</f>
        <v>17562.09802202756</v>
      </c>
      <c r="M124" s="116">
        <f>IF(M33=0,0,1000000*M33/TrRoad_act!M67)</f>
        <v>17028.519531617811</v>
      </c>
      <c r="N124" s="116">
        <f>IF(N33=0,0,1000000*N33/TrRoad_act!N67)</f>
        <v>17107.708885703487</v>
      </c>
      <c r="O124" s="116">
        <f>IF(O33=0,0,1000000*O33/TrRoad_act!O67)</f>
        <v>16897.341276888747</v>
      </c>
      <c r="P124" s="116">
        <f>IF(P33=0,0,1000000*P33/TrRoad_act!P67)</f>
        <v>16976.702384482018</v>
      </c>
      <c r="Q124" s="116">
        <f>IF(Q33=0,0,1000000*Q33/TrRoad_act!Q67)</f>
        <v>16683.588426591985</v>
      </c>
      <c r="R124" s="116">
        <f>IF(R33=0,0,1000000*R33/TrRoad_act!R67)</f>
        <v>16442.830571041603</v>
      </c>
      <c r="S124" s="116">
        <f>IF(S33=0,0,1000000*S33/TrRoad_act!S67)</f>
        <v>17284.101182694492</v>
      </c>
      <c r="T124" s="116">
        <f>IF(T33=0,0,1000000*T33/TrRoad_act!T67)</f>
        <v>17634.644141329114</v>
      </c>
      <c r="U124" s="116">
        <f>IF(U33=0,0,1000000*U33/TrRoad_act!U67)</f>
        <v>18306.204131252016</v>
      </c>
      <c r="V124" s="116">
        <f>IF(V33=0,0,1000000*V33/TrRoad_act!V67)</f>
        <v>17796.257227394435</v>
      </c>
      <c r="W124" s="116">
        <f>IF(W33=0,0,1000000*W33/TrRoad_act!W67)</f>
        <v>17365.096072570825</v>
      </c>
      <c r="X124" s="116">
        <f>IF(X33=0,0,1000000*X33/TrRoad_act!X67)</f>
        <v>17742.19398949587</v>
      </c>
      <c r="Y124" s="116">
        <f>IF(Y33=0,0,1000000*Y33/TrRoad_act!Y67)</f>
        <v>17075.72406150672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X125" s="101">
        <f>IF(X34=0,0,1000000*X34/TrRoad_act!X68)</f>
        <v>0</v>
      </c>
      <c r="Y125" s="101">
        <f>IF(Y34=0,0,1000000*Y34/TrRoad_act!Y68)</f>
        <v>0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16250.504087641117</v>
      </c>
      <c r="C126" s="101">
        <f>IF(C36=0,0,1000000*C36/TrRoad_act!C69)</f>
        <v>15987.246570515237</v>
      </c>
      <c r="D126" s="101">
        <f>IF(D36=0,0,1000000*D36/TrRoad_act!D69)</f>
        <v>15903.586859347095</v>
      </c>
      <c r="E126" s="101">
        <f>IF(E36=0,0,1000000*E36/TrRoad_act!E69)</f>
        <v>16174.525610319974</v>
      </c>
      <c r="F126" s="101">
        <f>IF(F36=0,0,1000000*F36/TrRoad_act!F69)</f>
        <v>17592.361602520014</v>
      </c>
      <c r="G126" s="101">
        <f>IF(G36=0,0,1000000*G36/TrRoad_act!G69)</f>
        <v>16609.484929978833</v>
      </c>
      <c r="H126" s="101">
        <f>IF(H36=0,0,1000000*H36/TrRoad_act!H69)</f>
        <v>17503.359854195362</v>
      </c>
      <c r="I126" s="101">
        <f>IF(I36=0,0,1000000*I36/TrRoad_act!I69)</f>
        <v>17612.122112794921</v>
      </c>
      <c r="J126" s="101">
        <f>IF(J36=0,0,1000000*J36/TrRoad_act!J69)</f>
        <v>17148.196697343621</v>
      </c>
      <c r="K126" s="101">
        <f>IF(K36=0,0,1000000*K36/TrRoad_act!K69)</f>
        <v>17673.599120541723</v>
      </c>
      <c r="L126" s="101">
        <f>IF(L36=0,0,1000000*L36/TrRoad_act!L69)</f>
        <v>17622.096668196467</v>
      </c>
      <c r="M126" s="101">
        <f>IF(M36=0,0,1000000*M36/TrRoad_act!M69)</f>
        <v>17156.733439936314</v>
      </c>
      <c r="N126" s="101">
        <f>IF(N36=0,0,1000000*N36/TrRoad_act!N69)</f>
        <v>17240.27532886582</v>
      </c>
      <c r="O126" s="101">
        <f>IF(O36=0,0,1000000*O36/TrRoad_act!O69)</f>
        <v>17023.579022531994</v>
      </c>
      <c r="P126" s="101">
        <f>IF(P36=0,0,1000000*P36/TrRoad_act!P69)</f>
        <v>17159.232669895297</v>
      </c>
      <c r="Q126" s="101">
        <f>IF(Q36=0,0,1000000*Q36/TrRoad_act!Q69)</f>
        <v>16889.40780854323</v>
      </c>
      <c r="R126" s="101">
        <f>IF(R36=0,0,1000000*R36/TrRoad_act!R69)</f>
        <v>17610.73048126874</v>
      </c>
      <c r="S126" s="101">
        <f>IF(S36=0,0,1000000*S36/TrRoad_act!S69)</f>
        <v>18504.000427280353</v>
      </c>
      <c r="T126" s="101">
        <f>IF(T36=0,0,1000000*T36/TrRoad_act!T69)</f>
        <v>18949.744255023656</v>
      </c>
      <c r="U126" s="101">
        <f>IF(U36=0,0,1000000*U36/TrRoad_act!U69)</f>
        <v>19043.337482411123</v>
      </c>
      <c r="V126" s="101">
        <f>IF(V36=0,0,1000000*V36/TrRoad_act!V69)</f>
        <v>18508.224467052052</v>
      </c>
      <c r="W126" s="101">
        <f>IF(W36=0,0,1000000*W36/TrRoad_act!W69)</f>
        <v>17988.004399297464</v>
      </c>
      <c r="X126" s="101">
        <f>IF(X36=0,0,1000000*X36/TrRoad_act!X69)</f>
        <v>18320.529757740602</v>
      </c>
      <c r="Y126" s="101">
        <f>IF(Y36=0,0,1000000*Y36/TrRoad_act!Y69)</f>
        <v>17610.219809574701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2203.8571925370634</v>
      </c>
      <c r="S128" s="101">
        <f>IF(S39=0,0,1000000*S39/TrRoad_act!S71)</f>
        <v>3369.9034414364901</v>
      </c>
      <c r="T128" s="101">
        <f>IF(T39=0,0,1000000*T39/TrRoad_act!T71)</f>
        <v>2427.0340241569934</v>
      </c>
      <c r="U128" s="101">
        <f>IF(U39=0,0,1000000*U39/TrRoad_act!U71)</f>
        <v>10094.828267978617</v>
      </c>
      <c r="V128" s="101">
        <f>IF(V39=0,0,1000000*V39/TrRoad_act!V71)</f>
        <v>13303.591174632331</v>
      </c>
      <c r="W128" s="101">
        <f>IF(W39=0,0,1000000*W39/TrRoad_act!W71)</f>
        <v>12913.350978083072</v>
      </c>
      <c r="X128" s="101">
        <f>IF(X39=0,0,1000000*X39/TrRoad_act!X71)</f>
        <v>14470.087783811978</v>
      </c>
      <c r="Y128" s="101">
        <f>IF(Y39=0,0,1000000*Y39/TrRoad_act!Y71)</f>
        <v>13185.655652947573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12648.415792677566</v>
      </c>
      <c r="M129" s="101">
        <f>IF(M41=0,0,1000000*M41/TrRoad_act!M72)</f>
        <v>12687.42623280406</v>
      </c>
      <c r="N129" s="101">
        <f>IF(N41=0,0,1000000*N41/TrRoad_act!N72)</f>
        <v>12693.591296837281</v>
      </c>
      <c r="O129" s="101">
        <f>IF(O41=0,0,1000000*O41/TrRoad_act!O72)</f>
        <v>12702.437170721056</v>
      </c>
      <c r="P129" s="101">
        <f>IF(P41=0,0,1000000*P41/TrRoad_act!P72)</f>
        <v>12794.23297250575</v>
      </c>
      <c r="Q129" s="101">
        <f>IF(Q41=0,0,1000000*Q41/TrRoad_act!Q72)</f>
        <v>12855.696031190018</v>
      </c>
      <c r="R129" s="101">
        <f>IF(R41=0,0,1000000*R41/TrRoad_act!R72)</f>
        <v>12881.242064798238</v>
      </c>
      <c r="S129" s="101">
        <f>IF(S41=0,0,1000000*S41/TrRoad_act!S72)</f>
        <v>12872.79194693624</v>
      </c>
      <c r="T129" s="101">
        <f>IF(T41=0,0,1000000*T41/TrRoad_act!T72)</f>
        <v>12846.148915600244</v>
      </c>
      <c r="U129" s="101">
        <f>IF(U41=0,0,1000000*U41/TrRoad_act!U72)</f>
        <v>12810.580974437533</v>
      </c>
      <c r="V129" s="101">
        <f>IF(V41=0,0,1000000*V41/TrRoad_act!V72)</f>
        <v>12575.788879252248</v>
      </c>
      <c r="W129" s="101">
        <f>IF(W41=0,0,1000000*W41/TrRoad_act!W72)</f>
        <v>12759.874673428392</v>
      </c>
      <c r="X129" s="101">
        <f>IF(X41=0,0,1000000*X41/TrRoad_act!X72)</f>
        <v>12774.625611357302</v>
      </c>
      <c r="Y129" s="101">
        <f>IF(Y41=0,0,1000000*Y41/TrRoad_act!Y72)</f>
        <v>12640.492088631305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1663.1032040531957</v>
      </c>
      <c r="C131" s="152">
        <f>IF(C43=0,0,1000000*C43/TrRoad_act!C74)</f>
        <v>1724.2104833679944</v>
      </c>
      <c r="D131" s="152">
        <f>IF(D43=0,0,1000000*D43/TrRoad_act!D74)</f>
        <v>2021.130366946315</v>
      </c>
      <c r="E131" s="152">
        <f>IF(E43=0,0,1000000*E43/TrRoad_act!E74)</f>
        <v>1865.2537580052895</v>
      </c>
      <c r="F131" s="152">
        <f>IF(F43=0,0,1000000*F43/TrRoad_act!F74)</f>
        <v>1824.9086241317236</v>
      </c>
      <c r="G131" s="152">
        <f>IF(G43=0,0,1000000*G43/TrRoad_act!G74)</f>
        <v>1863.5075064378079</v>
      </c>
      <c r="H131" s="152">
        <f>IF(H43=0,0,1000000*H43/TrRoad_act!H74)</f>
        <v>1686.5156840819573</v>
      </c>
      <c r="I131" s="152">
        <f>IF(I43=0,0,1000000*I43/TrRoad_act!I74)</f>
        <v>1789.3584491938609</v>
      </c>
      <c r="J131" s="152">
        <f>IF(J43=0,0,1000000*J43/TrRoad_act!J74)</f>
        <v>1672.3684542229644</v>
      </c>
      <c r="K131" s="152">
        <f>IF(K43=0,0,1000000*K43/TrRoad_act!K74)</f>
        <v>1513.9004764808335</v>
      </c>
      <c r="L131" s="152">
        <f>IF(L43=0,0,1000000*L43/TrRoad_act!L74)</f>
        <v>1737.5398933908234</v>
      </c>
      <c r="M131" s="152">
        <f>IF(M43=0,0,1000000*M43/TrRoad_act!M74)</f>
        <v>1805.4056478908981</v>
      </c>
      <c r="N131" s="152">
        <f>IF(N43=0,0,1000000*N43/TrRoad_act!N74)</f>
        <v>1715.9477718182281</v>
      </c>
      <c r="O131" s="152">
        <f>IF(O43=0,0,1000000*O43/TrRoad_act!O74)</f>
        <v>1674.7051487335232</v>
      </c>
      <c r="P131" s="152">
        <f>IF(P43=0,0,1000000*P43/TrRoad_act!P74)</f>
        <v>1726.2404604407295</v>
      </c>
      <c r="Q131" s="152">
        <f>IF(Q43=0,0,1000000*Q43/TrRoad_act!Q74)</f>
        <v>1665.9650046680933</v>
      </c>
      <c r="R131" s="152">
        <f>IF(R43=0,0,1000000*R43/TrRoad_act!R74)</f>
        <v>1790.1284325710265</v>
      </c>
      <c r="S131" s="152">
        <f>IF(S43=0,0,1000000*S43/TrRoad_act!S74)</f>
        <v>1953.8674316588488</v>
      </c>
      <c r="T131" s="152">
        <f>IF(T43=0,0,1000000*T43/TrRoad_act!T74)</f>
        <v>1966.8885887873223</v>
      </c>
      <c r="U131" s="152">
        <f>IF(U43=0,0,1000000*U43/TrRoad_act!U74)</f>
        <v>2006.2341791035453</v>
      </c>
      <c r="V131" s="152">
        <f>IF(V43=0,0,1000000*V43/TrRoad_act!V74)</f>
        <v>2059.0303529071416</v>
      </c>
      <c r="W131" s="152">
        <f>IF(W43=0,0,1000000*W43/TrRoad_act!W74)</f>
        <v>1962.2209803090395</v>
      </c>
      <c r="X131" s="152">
        <f>IF(X43=0,0,1000000*X43/TrRoad_act!X74)</f>
        <v>2053.6329126408218</v>
      </c>
      <c r="Y131" s="152">
        <f>IF(Y43=0,0,1000000*Y43/TrRoad_act!Y74)</f>
        <v>2120.2742140272326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1280.7914439123913</v>
      </c>
      <c r="C132" s="87">
        <f>IF(C44=0,0,1000000*C44/TrRoad_act!C75)</f>
        <v>1290.5145896228578</v>
      </c>
      <c r="D132" s="87">
        <f>IF(D44=0,0,1000000*D44/TrRoad_act!D75)</f>
        <v>1297.7625986259902</v>
      </c>
      <c r="E132" s="87">
        <f>IF(E44=0,0,1000000*E44/TrRoad_act!E75)</f>
        <v>1264.6981274478017</v>
      </c>
      <c r="F132" s="87">
        <f>IF(F44=0,0,1000000*F44/TrRoad_act!F75)</f>
        <v>1180.2050306346971</v>
      </c>
      <c r="G132" s="87">
        <f>IF(G44=0,0,1000000*G44/TrRoad_act!G75)</f>
        <v>1156.8807004032064</v>
      </c>
      <c r="H132" s="87">
        <f>IF(H44=0,0,1000000*H44/TrRoad_act!H75)</f>
        <v>1110.4181125905743</v>
      </c>
      <c r="I132" s="87">
        <f>IF(I44=0,0,1000000*I44/TrRoad_act!I75)</f>
        <v>1103.053367233515</v>
      </c>
      <c r="J132" s="87">
        <f>IF(J44=0,0,1000000*J44/TrRoad_act!J75)</f>
        <v>1099.4982480738884</v>
      </c>
      <c r="K132" s="87">
        <f>IF(K44=0,0,1000000*K44/TrRoad_act!K75)</f>
        <v>1067.3705051806446</v>
      </c>
      <c r="L132" s="87">
        <f>IF(L44=0,0,1000000*L44/TrRoad_act!L75)</f>
        <v>1008.2710140699168</v>
      </c>
      <c r="M132" s="87">
        <f>IF(M44=0,0,1000000*M44/TrRoad_act!M75)</f>
        <v>1014.6665761978144</v>
      </c>
      <c r="N132" s="87">
        <f>IF(N44=0,0,1000000*N44/TrRoad_act!N75)</f>
        <v>1021.4488948370679</v>
      </c>
      <c r="O132" s="87">
        <f>IF(O44=0,0,1000000*O44/TrRoad_act!O75)</f>
        <v>1033.4100241879928</v>
      </c>
      <c r="P132" s="87">
        <f>IF(P44=0,0,1000000*P44/TrRoad_act!P75)</f>
        <v>1060.2953248605495</v>
      </c>
      <c r="Q132" s="87">
        <f>IF(Q44=0,0,1000000*Q44/TrRoad_act!Q75)</f>
        <v>1107.6824709140274</v>
      </c>
      <c r="R132" s="87">
        <f>IF(R44=0,0,1000000*R44/TrRoad_act!R75)</f>
        <v>1117.1445184271706</v>
      </c>
      <c r="S132" s="87">
        <f>IF(S44=0,0,1000000*S44/TrRoad_act!S75)</f>
        <v>1123.44163693576</v>
      </c>
      <c r="T132" s="87">
        <f>IF(T44=0,0,1000000*T44/TrRoad_act!T75)</f>
        <v>1133.9983534276107</v>
      </c>
      <c r="U132" s="87">
        <f>IF(U44=0,0,1000000*U44/TrRoad_act!U75)</f>
        <v>1147.8480166969991</v>
      </c>
      <c r="V132" s="87">
        <f>IF(V44=0,0,1000000*V44/TrRoad_act!V75)</f>
        <v>1148.9497643264117</v>
      </c>
      <c r="W132" s="87">
        <f>IF(W44=0,0,1000000*W44/TrRoad_act!W75)</f>
        <v>1153.8248262957813</v>
      </c>
      <c r="X132" s="87">
        <f>IF(X44=0,0,1000000*X44/TrRoad_act!X75)</f>
        <v>1169.4909467480825</v>
      </c>
      <c r="Y132" s="87">
        <f>IF(Y44=0,0,1000000*Y44/TrRoad_act!Y75)</f>
        <v>1195.3264515737346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1891.0247649873138</v>
      </c>
      <c r="C133" s="87">
        <f>IF(C46=0,0,1000000*C46/TrRoad_act!C76)</f>
        <v>1982.3022618119746</v>
      </c>
      <c r="D133" s="87">
        <f>IF(D46=0,0,1000000*D46/TrRoad_act!D76)</f>
        <v>2450.4875973461521</v>
      </c>
      <c r="E133" s="87">
        <f>IF(E46=0,0,1000000*E46/TrRoad_act!E76)</f>
        <v>2215.9217792068434</v>
      </c>
      <c r="F133" s="87">
        <f>IF(F46=0,0,1000000*F46/TrRoad_act!F76)</f>
        <v>2302.6316905764002</v>
      </c>
      <c r="G133" s="87">
        <f>IF(G46=0,0,1000000*G46/TrRoad_act!G76)</f>
        <v>2330.2338998096839</v>
      </c>
      <c r="H133" s="87">
        <f>IF(H46=0,0,1000000*H46/TrRoad_act!H76)</f>
        <v>2081.8973180436383</v>
      </c>
      <c r="I133" s="87">
        <f>IF(I46=0,0,1000000*I46/TrRoad_act!I76)</f>
        <v>2225.7962698027295</v>
      </c>
      <c r="J133" s="87">
        <f>IF(J46=0,0,1000000*J46/TrRoad_act!J76)</f>
        <v>2022.7272591087544</v>
      </c>
      <c r="K133" s="87">
        <f>IF(K46=0,0,1000000*K46/TrRoad_act!K76)</f>
        <v>1758.3216521036829</v>
      </c>
      <c r="L133" s="87">
        <f>IF(L46=0,0,1000000*L46/TrRoad_act!L76)</f>
        <v>2012.8447339632025</v>
      </c>
      <c r="M133" s="87">
        <f>IF(M46=0,0,1000000*M46/TrRoad_act!M76)</f>
        <v>2107.5623468459025</v>
      </c>
      <c r="N133" s="87">
        <f>IF(N46=0,0,1000000*N46/TrRoad_act!N76)</f>
        <v>1976.7636959147292</v>
      </c>
      <c r="O133" s="87">
        <f>IF(O46=0,0,1000000*O46/TrRoad_act!O76)</f>
        <v>1956.7746696753725</v>
      </c>
      <c r="P133" s="87">
        <f>IF(P46=0,0,1000000*P46/TrRoad_act!P76)</f>
        <v>2051.9997528921617</v>
      </c>
      <c r="Q133" s="87">
        <f>IF(Q46=0,0,1000000*Q46/TrRoad_act!Q76)</f>
        <v>1936.4242172993065</v>
      </c>
      <c r="R133" s="87">
        <f>IF(R46=0,0,1000000*R46/TrRoad_act!R76)</f>
        <v>2221.6872518957798</v>
      </c>
      <c r="S133" s="87">
        <f>IF(S46=0,0,1000000*S46/TrRoad_act!S76)</f>
        <v>2416.2378490659994</v>
      </c>
      <c r="T133" s="87">
        <f>IF(T46=0,0,1000000*T46/TrRoad_act!T76)</f>
        <v>2422.0229720168645</v>
      </c>
      <c r="U133" s="87">
        <f>IF(U46=0,0,1000000*U46/TrRoad_act!U76)</f>
        <v>2399.8550964105416</v>
      </c>
      <c r="V133" s="87">
        <f>IF(V46=0,0,1000000*V46/TrRoad_act!V76)</f>
        <v>2476.97815981334</v>
      </c>
      <c r="W133" s="87">
        <f>IF(W46=0,0,1000000*W46/TrRoad_act!W76)</f>
        <v>2333.506704501167</v>
      </c>
      <c r="X133" s="87">
        <f>IF(X46=0,0,1000000*X46/TrRoad_act!X76)</f>
        <v>2461.0934624736951</v>
      </c>
      <c r="Y133" s="87">
        <f>IF(Y46=0,0,1000000*Y46/TrRoad_act!Y76)</f>
        <v>2553.5651444264154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1148.8372982627384</v>
      </c>
      <c r="O134" s="87">
        <f>IF(O48=0,0,1000000*O48/TrRoad_act!O77)</f>
        <v>944.32040120907664</v>
      </c>
      <c r="P134" s="87">
        <f>IF(P48=0,0,1000000*P48/TrRoad_act!P77)</f>
        <v>1391.7403925076794</v>
      </c>
      <c r="Q134" s="87">
        <f>IF(Q48=0,0,1000000*Q48/TrRoad_act!Q77)</f>
        <v>1418.6584023383186</v>
      </c>
      <c r="R134" s="87">
        <f>IF(R48=0,0,1000000*R48/TrRoad_act!R77)</f>
        <v>1417.5867355644841</v>
      </c>
      <c r="S134" s="87">
        <f>IF(S48=0,0,1000000*S48/TrRoad_act!S77)</f>
        <v>1405.4783686433391</v>
      </c>
      <c r="T134" s="87">
        <f>IF(T48=0,0,1000000*T48/TrRoad_act!T77)</f>
        <v>1381.6745024292975</v>
      </c>
      <c r="U134" s="87">
        <f>IF(U48=0,0,1000000*U48/TrRoad_act!U77)</f>
        <v>1352.8250461234243</v>
      </c>
      <c r="V134" s="87">
        <f>IF(V48=0,0,1000000*V48/TrRoad_act!V77)</f>
        <v>1341.3954920297579</v>
      </c>
      <c r="W134" s="87">
        <f>IF(W48=0,0,1000000*W48/TrRoad_act!W77)</f>
        <v>1337.8343464785748</v>
      </c>
      <c r="X134" s="87">
        <f>IF(X48=0,0,1000000*X48/TrRoad_act!X77)</f>
        <v>1334.4801874636776</v>
      </c>
      <c r="Y134" s="87">
        <f>IF(Y48=0,0,1000000*Y48/TrRoad_act!Y77)</f>
        <v>1333.3060399302185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1253.6984025099932</v>
      </c>
      <c r="O135" s="87">
        <f>IF(O49=0,0,1000000*O49/TrRoad_act!O78)</f>
        <v>1315.5282603278474</v>
      </c>
      <c r="P135" s="87">
        <f>IF(P49=0,0,1000000*P49/TrRoad_act!P78)</f>
        <v>1308.0359572756993</v>
      </c>
      <c r="Q135" s="87">
        <f>IF(Q49=0,0,1000000*Q49/TrRoad_act!Q78)</f>
        <v>1232.9631830305743</v>
      </c>
      <c r="R135" s="87">
        <f>IF(R49=0,0,1000000*R49/TrRoad_act!R78)</f>
        <v>1848.496351616207</v>
      </c>
      <c r="S135" s="87">
        <f>IF(S49=0,0,1000000*S49/TrRoad_act!S78)</f>
        <v>1823.2593069421703</v>
      </c>
      <c r="T135" s="87">
        <f>IF(T49=0,0,1000000*T49/TrRoad_act!T78)</f>
        <v>1710.2435124378692</v>
      </c>
      <c r="U135" s="87">
        <f>IF(U49=0,0,1000000*U49/TrRoad_act!U78)</f>
        <v>1713.2481214633142</v>
      </c>
      <c r="V135" s="87">
        <f>IF(V49=0,0,1000000*V49/TrRoad_act!V78)</f>
        <v>2052.1534471528248</v>
      </c>
      <c r="W135" s="87">
        <f>IF(W49=0,0,1000000*W49/TrRoad_act!W78)</f>
        <v>2005.4174645479388</v>
      </c>
      <c r="X135" s="87">
        <f>IF(X49=0,0,1000000*X49/TrRoad_act!X78)</f>
        <v>2141.8872167892418</v>
      </c>
      <c r="Y135" s="87">
        <f>IF(Y49=0,0,1000000*Y49/TrRoad_act!Y78)</f>
        <v>1937.74876279759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279.27249756043989</v>
      </c>
      <c r="P136" s="87">
        <f>IF(P51=0,0,1000000*P51/TrRoad_act!P79)</f>
        <v>286.56711469276519</v>
      </c>
      <c r="Q136" s="87">
        <f>IF(Q51=0,0,1000000*Q51/TrRoad_act!Q79)</f>
        <v>304.50092038060575</v>
      </c>
      <c r="R136" s="87">
        <f>IF(R51=0,0,1000000*R51/TrRoad_act!R79)</f>
        <v>314.91301612805478</v>
      </c>
      <c r="S136" s="87">
        <f>IF(S51=0,0,1000000*S51/TrRoad_act!S79)</f>
        <v>315.24573893103508</v>
      </c>
      <c r="T136" s="87">
        <f>IF(T51=0,0,1000000*T51/TrRoad_act!T79)</f>
        <v>333.54337775616193</v>
      </c>
      <c r="U136" s="87">
        <f>IF(U51=0,0,1000000*U51/TrRoad_act!U79)</f>
        <v>339.87070336235973</v>
      </c>
      <c r="V136" s="87">
        <f>IF(V51=0,0,1000000*V51/TrRoad_act!V79)</f>
        <v>344.40852678735706</v>
      </c>
      <c r="W136" s="87">
        <f>IF(W51=0,0,1000000*W51/TrRoad_act!W79)</f>
        <v>367.89419676056355</v>
      </c>
      <c r="X136" s="87">
        <f>IF(X51=0,0,1000000*X51/TrRoad_act!X79)</f>
        <v>374.21222107623072</v>
      </c>
      <c r="Y136" s="87">
        <f>IF(Y51=0,0,1000000*Y51/TrRoad_act!Y79)</f>
        <v>350.40958934910282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18962.243302419014</v>
      </c>
      <c r="C137" s="116">
        <f>IF(C52=0,0,1000000*C52/TrRoad_act!C80)</f>
        <v>14101.673166279394</v>
      </c>
      <c r="D137" s="116">
        <f>IF(D52=0,0,1000000*D52/TrRoad_act!D80)</f>
        <v>15442.073172102126</v>
      </c>
      <c r="E137" s="116">
        <f>IF(E52=0,0,1000000*E52/TrRoad_act!E80)</f>
        <v>7428.1819257615925</v>
      </c>
      <c r="F137" s="116">
        <f>IF(F52=0,0,1000000*F52/TrRoad_act!F80)</f>
        <v>12342.478524585285</v>
      </c>
      <c r="G137" s="116">
        <f>IF(G52=0,0,1000000*G52/TrRoad_act!G80)</f>
        <v>13060.128594655742</v>
      </c>
      <c r="H137" s="116">
        <f>IF(H52=0,0,1000000*H52/TrRoad_act!H80)</f>
        <v>11564.995394763891</v>
      </c>
      <c r="I137" s="116">
        <f>IF(I52=0,0,1000000*I52/TrRoad_act!I80)</f>
        <v>11071.163912211197</v>
      </c>
      <c r="J137" s="116">
        <f>IF(J52=0,0,1000000*J52/TrRoad_act!J80)</f>
        <v>9380.2856016830501</v>
      </c>
      <c r="K137" s="116">
        <f>IF(K52=0,0,1000000*K52/TrRoad_act!K80)</f>
        <v>6779.9399573726341</v>
      </c>
      <c r="L137" s="116">
        <f>IF(L52=0,0,1000000*L52/TrRoad_act!L80)</f>
        <v>9300.2820522239781</v>
      </c>
      <c r="M137" s="116">
        <f>IF(M52=0,0,1000000*M52/TrRoad_act!M80)</f>
        <v>8566.4492546187575</v>
      </c>
      <c r="N137" s="116">
        <f>IF(N52=0,0,1000000*N52/TrRoad_act!N80)</f>
        <v>8201.4042453525999</v>
      </c>
      <c r="O137" s="116">
        <f>IF(O52=0,0,1000000*O52/TrRoad_act!O80)</f>
        <v>6942.4725159701748</v>
      </c>
      <c r="P137" s="116">
        <f>IF(P52=0,0,1000000*P52/TrRoad_act!P80)</f>
        <v>5854.7089793265568</v>
      </c>
      <c r="Q137" s="116">
        <f>IF(Q52=0,0,1000000*Q52/TrRoad_act!Q80)</f>
        <v>5914.3840081785265</v>
      </c>
      <c r="R137" s="116">
        <f>IF(R52=0,0,1000000*R52/TrRoad_act!R80)</f>
        <v>6818.377981948177</v>
      </c>
      <c r="S137" s="116">
        <f>IF(S52=0,0,1000000*S52/TrRoad_act!S80)</f>
        <v>8521.6372884825141</v>
      </c>
      <c r="T137" s="116">
        <f>IF(T52=0,0,1000000*T52/TrRoad_act!T80)</f>
        <v>9013.1706308698176</v>
      </c>
      <c r="U137" s="116">
        <f>IF(U52=0,0,1000000*U52/TrRoad_act!U80)</f>
        <v>8107.6413286021043</v>
      </c>
      <c r="V137" s="116">
        <f>IF(V52=0,0,1000000*V52/TrRoad_act!V80)</f>
        <v>7262.8705422697376</v>
      </c>
      <c r="W137" s="116">
        <f>IF(W52=0,0,1000000*W52/TrRoad_act!W80)</f>
        <v>8412.5036492417421</v>
      </c>
      <c r="X137" s="116">
        <f>IF(X52=0,0,1000000*X52/TrRoad_act!X80)</f>
        <v>8461.0957362702866</v>
      </c>
      <c r="Y137" s="116">
        <f>IF(Y52=0,0,1000000*Y52/TrRoad_act!Y80)</f>
        <v>7275.5936722991401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13984.738756854365</v>
      </c>
      <c r="C138" s="101">
        <f>IF(C53=0,0,1000000*C53/TrRoad_act!C81)</f>
        <v>10498.356753964703</v>
      </c>
      <c r="D138" s="101">
        <f>IF(D53=0,0,1000000*D53/TrRoad_act!D81)</f>
        <v>9999.3860833376075</v>
      </c>
      <c r="E138" s="101">
        <f>IF(E53=0,0,1000000*E53/TrRoad_act!E81)</f>
        <v>6449.8790054999281</v>
      </c>
      <c r="F138" s="101">
        <f>IF(F53=0,0,1000000*F53/TrRoad_act!F81)</f>
        <v>10786.498652662442</v>
      </c>
      <c r="G138" s="101">
        <f>IF(G53=0,0,1000000*G53/TrRoad_act!G81)</f>
        <v>8787.1777266457375</v>
      </c>
      <c r="H138" s="101">
        <f>IF(H53=0,0,1000000*H53/TrRoad_act!H81)</f>
        <v>7080.183919292017</v>
      </c>
      <c r="I138" s="101">
        <f>IF(I53=0,0,1000000*I53/TrRoad_act!I81)</f>
        <v>6539.5946654079435</v>
      </c>
      <c r="J138" s="101">
        <f>IF(J53=0,0,1000000*J53/TrRoad_act!J81)</f>
        <v>5777.5693016545511</v>
      </c>
      <c r="K138" s="101">
        <f>IF(K53=0,0,1000000*K53/TrRoad_act!K81)</f>
        <v>4279.0414652394229</v>
      </c>
      <c r="L138" s="101">
        <f>IF(L53=0,0,1000000*L53/TrRoad_act!L81)</f>
        <v>5617.7092979498993</v>
      </c>
      <c r="M138" s="101">
        <f>IF(M53=0,0,1000000*M53/TrRoad_act!M81)</f>
        <v>5315.1530767576132</v>
      </c>
      <c r="N138" s="101">
        <f>IF(N53=0,0,1000000*N53/TrRoad_act!N81)</f>
        <v>4986.0686914362668</v>
      </c>
      <c r="O138" s="101">
        <f>IF(O53=0,0,1000000*O53/TrRoad_act!O81)</f>
        <v>3869.8060053275403</v>
      </c>
      <c r="P138" s="101">
        <f>IF(P53=0,0,1000000*P53/TrRoad_act!P81)</f>
        <v>3492.4274318411217</v>
      </c>
      <c r="Q138" s="101">
        <f>IF(Q53=0,0,1000000*Q53/TrRoad_act!Q81)</f>
        <v>3428.8953229790031</v>
      </c>
      <c r="R138" s="101">
        <f>IF(R53=0,0,1000000*R53/TrRoad_act!R81)</f>
        <v>3809.8462210351613</v>
      </c>
      <c r="S138" s="101">
        <f>IF(S53=0,0,1000000*S53/TrRoad_act!S81)</f>
        <v>4031.7082422024878</v>
      </c>
      <c r="T138" s="101">
        <f>IF(T53=0,0,1000000*T53/TrRoad_act!T81)</f>
        <v>4037.8396344041034</v>
      </c>
      <c r="U138" s="101">
        <f>IF(U53=0,0,1000000*U53/TrRoad_act!U81)</f>
        <v>3963.6211063120627</v>
      </c>
      <c r="V138" s="101">
        <f>IF(V53=0,0,1000000*V53/TrRoad_act!V81)</f>
        <v>3700.6994835793325</v>
      </c>
      <c r="W138" s="101">
        <f>IF(W53=0,0,1000000*W53/TrRoad_act!W81)</f>
        <v>3847.6722330158277</v>
      </c>
      <c r="X138" s="101">
        <f>IF(X53=0,0,1000000*X53/TrRoad_act!X81)</f>
        <v>4010.8927306993878</v>
      </c>
      <c r="Y138" s="101">
        <f>IF(Y53=0,0,1000000*Y53/TrRoad_act!Y81)</f>
        <v>3643.6996505966113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32702.33627453553</v>
      </c>
      <c r="C139" s="88">
        <f>IF(C55=0,0,1000000*C55/TrRoad_act!C82)</f>
        <v>27139.398940297684</v>
      </c>
      <c r="D139" s="88">
        <f>IF(D55=0,0,1000000*D55/TrRoad_act!D82)</f>
        <v>47454.18843387063</v>
      </c>
      <c r="E139" s="88">
        <f>IF(E55=0,0,1000000*E55/TrRoad_act!E82)</f>
        <v>15779.619143548909</v>
      </c>
      <c r="F139" s="88">
        <f>IF(F55=0,0,1000000*F55/TrRoad_act!F82)</f>
        <v>19816.104166000277</v>
      </c>
      <c r="G139" s="88">
        <f>IF(G55=0,0,1000000*G55/TrRoad_act!G82)</f>
        <v>41328.537550018715</v>
      </c>
      <c r="H139" s="88">
        <f>IF(H55=0,0,1000000*H55/TrRoad_act!H82)</f>
        <v>52458.537965763928</v>
      </c>
      <c r="I139" s="88">
        <f>IF(I55=0,0,1000000*I55/TrRoad_act!I82)</f>
        <v>49666.745167654815</v>
      </c>
      <c r="J139" s="88">
        <f>IF(J55=0,0,1000000*J55/TrRoad_act!J82)</f>
        <v>53946.798313111547</v>
      </c>
      <c r="K139" s="88">
        <f>IF(K55=0,0,1000000*K55/TrRoad_act!K82)</f>
        <v>41762.312442903931</v>
      </c>
      <c r="L139" s="88">
        <f>IF(L55=0,0,1000000*L55/TrRoad_act!L82)</f>
        <v>61024.303656365635</v>
      </c>
      <c r="M139" s="88">
        <f>IF(M55=0,0,1000000*M55/TrRoad_act!M82)</f>
        <v>52525.193161840434</v>
      </c>
      <c r="N139" s="88">
        <f>IF(N55=0,0,1000000*N55/TrRoad_act!N82)</f>
        <v>50895.506099648461</v>
      </c>
      <c r="O139" s="88">
        <f>IF(O55=0,0,1000000*O55/TrRoad_act!O82)</f>
        <v>54285.851130843126</v>
      </c>
      <c r="P139" s="88">
        <f>IF(P55=0,0,1000000*P55/TrRoad_act!P82)</f>
        <v>49632.324888654002</v>
      </c>
      <c r="Q139" s="88">
        <f>IF(Q55=0,0,1000000*Q55/TrRoad_act!Q82)</f>
        <v>44522.262440373714</v>
      </c>
      <c r="R139" s="88">
        <f>IF(R55=0,0,1000000*R55/TrRoad_act!R82)</f>
        <v>55371.333336803393</v>
      </c>
      <c r="S139" s="88">
        <f>IF(S55=0,0,1000000*S55/TrRoad_act!S82)</f>
        <v>78962.794470406981</v>
      </c>
      <c r="T139" s="88">
        <f>IF(T55=0,0,1000000*T55/TrRoad_act!T82)</f>
        <v>84750.551804200091</v>
      </c>
      <c r="U139" s="88">
        <f>IF(U55=0,0,1000000*U55/TrRoad_act!U82)</f>
        <v>75793.620730301627</v>
      </c>
      <c r="V139" s="88">
        <f>IF(V55=0,0,1000000*V55/TrRoad_act!V82)</f>
        <v>67918.389707257462</v>
      </c>
      <c r="W139" s="88">
        <f>IF(W55=0,0,1000000*W55/TrRoad_act!W82)</f>
        <v>82636.758500173746</v>
      </c>
      <c r="X139" s="88">
        <f>IF(X55=0,0,1000000*X55/TrRoad_act!X82)</f>
        <v>75815.260696272409</v>
      </c>
      <c r="Y139" s="88">
        <f>IF(Y55=0,0,1000000*Y55/TrRoad_act!Y82)</f>
        <v>69086.196152427656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0.70824004081539549</v>
      </c>
      <c r="C142" s="46">
        <f t="shared" si="42"/>
        <v>0.71349835030331432</v>
      </c>
      <c r="D142" s="46">
        <f t="shared" si="42"/>
        <v>0.66087936438489803</v>
      </c>
      <c r="E142" s="46">
        <f t="shared" si="42"/>
        <v>0.70662146575661477</v>
      </c>
      <c r="F142" s="46">
        <f t="shared" si="42"/>
        <v>0.66351803498397255</v>
      </c>
      <c r="G142" s="46">
        <f t="shared" si="42"/>
        <v>0.61283280567151277</v>
      </c>
      <c r="H142" s="46">
        <f t="shared" si="42"/>
        <v>0.57965737054679334</v>
      </c>
      <c r="I142" s="46">
        <f t="shared" si="42"/>
        <v>0.56227898221913053</v>
      </c>
      <c r="J142" s="46">
        <f t="shared" si="42"/>
        <v>0.5444565705765162</v>
      </c>
      <c r="K142" s="46">
        <f t="shared" si="42"/>
        <v>0.57161329966434604</v>
      </c>
      <c r="L142" s="46">
        <f t="shared" ref="L142" si="43">IF(L18=0,0,L18/L$17)</f>
        <v>0.50140696329215217</v>
      </c>
      <c r="M142" s="46">
        <f t="shared" ref="M142:V142" si="44">IF(M18=0,0,M18/M$17)</f>
        <v>0.50154982767731537</v>
      </c>
      <c r="N142" s="46">
        <f t="shared" si="44"/>
        <v>0.50541943088263264</v>
      </c>
      <c r="O142" s="46">
        <f t="shared" si="44"/>
        <v>0.50501436532457911</v>
      </c>
      <c r="P142" s="46">
        <f t="shared" si="44"/>
        <v>0.50583345002000613</v>
      </c>
      <c r="Q142" s="46">
        <f t="shared" si="44"/>
        <v>0.51354332072180964</v>
      </c>
      <c r="R142" s="46">
        <f t="shared" si="44"/>
        <v>0.46704088300972435</v>
      </c>
      <c r="S142" s="46">
        <f t="shared" si="44"/>
        <v>0.41641811124625955</v>
      </c>
      <c r="T142" s="46">
        <f t="shared" si="44"/>
        <v>0.40773774387582218</v>
      </c>
      <c r="U142" s="46">
        <f t="shared" si="44"/>
        <v>0.40465200832783071</v>
      </c>
      <c r="V142" s="46">
        <f t="shared" si="44"/>
        <v>0.40189093927806702</v>
      </c>
      <c r="W142" s="46">
        <f t="shared" ref="W142:Y142" si="45">IF(W18=0,0,W18/W$17)</f>
        <v>0.38949869319032404</v>
      </c>
      <c r="X142" s="46">
        <f t="shared" si="45"/>
        <v>0.39229003010855618</v>
      </c>
      <c r="Y142" s="46">
        <f t="shared" si="45"/>
        <v>0.41744595052980732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1.5322192890441222E-3</v>
      </c>
      <c r="C143" s="154">
        <f t="shared" si="46"/>
        <v>1.5786939824399052E-3</v>
      </c>
      <c r="D143" s="154">
        <f t="shared" si="46"/>
        <v>1.1208386673969843E-3</v>
      </c>
      <c r="E143" s="154">
        <f t="shared" si="46"/>
        <v>1.2667129619307691E-3</v>
      </c>
      <c r="F143" s="154">
        <f t="shared" si="46"/>
        <v>1.3489808758444933E-3</v>
      </c>
      <c r="G143" s="154">
        <f t="shared" si="46"/>
        <v>1.3096552812118293E-3</v>
      </c>
      <c r="H143" s="154">
        <f t="shared" si="46"/>
        <v>1.3133561153105219E-3</v>
      </c>
      <c r="I143" s="154">
        <f t="shared" si="46"/>
        <v>1.2953554328698803E-3</v>
      </c>
      <c r="J143" s="154">
        <f t="shared" si="46"/>
        <v>1.3084642134938247E-3</v>
      </c>
      <c r="K143" s="154">
        <f t="shared" si="46"/>
        <v>1.2696286337899247E-3</v>
      </c>
      <c r="L143" s="154">
        <f t="shared" ref="L143" si="47">IF(L19=0,0,L19/L$17)</f>
        <v>1.0025990748659026E-3</v>
      </c>
      <c r="M143" s="154">
        <f t="shared" ref="M143:V143" si="48">IF(M19=0,0,M19/M$17)</f>
        <v>1.2294222999028384E-3</v>
      </c>
      <c r="N143" s="154">
        <f t="shared" si="48"/>
        <v>1.4794528054769443E-3</v>
      </c>
      <c r="O143" s="154">
        <f t="shared" si="48"/>
        <v>1.5054646767667331E-3</v>
      </c>
      <c r="P143" s="154">
        <f t="shared" si="48"/>
        <v>1.6751473801047993E-3</v>
      </c>
      <c r="Q143" s="154">
        <f t="shared" si="48"/>
        <v>1.8629825246289468E-3</v>
      </c>
      <c r="R143" s="154">
        <f t="shared" si="48"/>
        <v>1.7866172601559357E-3</v>
      </c>
      <c r="S143" s="154">
        <f t="shared" si="48"/>
        <v>1.4701632433759826E-3</v>
      </c>
      <c r="T143" s="154">
        <f t="shared" si="48"/>
        <v>1.4107221095428172E-3</v>
      </c>
      <c r="U143" s="154">
        <f t="shared" si="48"/>
        <v>1.5050881156305174E-3</v>
      </c>
      <c r="V143" s="154">
        <f t="shared" si="48"/>
        <v>1.4643162186832167E-3</v>
      </c>
      <c r="W143" s="154">
        <f t="shared" ref="W143:Y143" si="49">IF(W19=0,0,W19/W$17)</f>
        <v>1.4416295773204487E-3</v>
      </c>
      <c r="X143" s="154">
        <f t="shared" si="49"/>
        <v>1.4222117021421598E-3</v>
      </c>
      <c r="Y143" s="154">
        <f t="shared" si="49"/>
        <v>1.5594214396106047E-3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0.56988284633788822</v>
      </c>
      <c r="C144" s="156">
        <f t="shared" si="50"/>
        <v>0.58366079705572538</v>
      </c>
      <c r="D144" s="156">
        <f t="shared" si="50"/>
        <v>0.55681199786496482</v>
      </c>
      <c r="E144" s="156">
        <f t="shared" si="50"/>
        <v>0.58885409117660903</v>
      </c>
      <c r="F144" s="156">
        <f t="shared" si="50"/>
        <v>0.55366889730687308</v>
      </c>
      <c r="G144" s="156">
        <f t="shared" si="50"/>
        <v>0.51879608872356697</v>
      </c>
      <c r="H144" s="156">
        <f t="shared" si="50"/>
        <v>0.48708450089256722</v>
      </c>
      <c r="I144" s="156">
        <f t="shared" si="50"/>
        <v>0.46251931314502398</v>
      </c>
      <c r="J144" s="156">
        <f t="shared" si="50"/>
        <v>0.45337389669740547</v>
      </c>
      <c r="K144" s="156">
        <f t="shared" si="50"/>
        <v>0.47806845525802283</v>
      </c>
      <c r="L144" s="156">
        <f t="shared" ref="L144" si="51">IF(L21=0,0,L21/L$17)</f>
        <v>0.42177845467174468</v>
      </c>
      <c r="M144" s="156">
        <f t="shared" ref="M144:V144" si="52">IF(M21=0,0,M21/M$17)</f>
        <v>0.42498313494014789</v>
      </c>
      <c r="N144" s="156">
        <f t="shared" si="52"/>
        <v>0.42683362168993461</v>
      </c>
      <c r="O144" s="156">
        <f t="shared" si="52"/>
        <v>0.42859115854769314</v>
      </c>
      <c r="P144" s="156">
        <f t="shared" si="52"/>
        <v>0.42765863265021964</v>
      </c>
      <c r="Q144" s="156">
        <f t="shared" si="52"/>
        <v>0.43522579761018576</v>
      </c>
      <c r="R144" s="156">
        <f t="shared" si="52"/>
        <v>0.39829518456952873</v>
      </c>
      <c r="S144" s="156">
        <f t="shared" si="52"/>
        <v>0.35276724376933505</v>
      </c>
      <c r="T144" s="156">
        <f t="shared" si="52"/>
        <v>0.34182442440715349</v>
      </c>
      <c r="U144" s="156">
        <f t="shared" si="52"/>
        <v>0.33685099230373777</v>
      </c>
      <c r="V144" s="156">
        <f t="shared" si="52"/>
        <v>0.33892467310661284</v>
      </c>
      <c r="W144" s="156">
        <f t="shared" ref="W144:Y144" si="53">IF(W21=0,0,W21/W$17)</f>
        <v>0.33005501499135942</v>
      </c>
      <c r="X144" s="156">
        <f t="shared" si="53"/>
        <v>0.33119324679499634</v>
      </c>
      <c r="Y144" s="156">
        <f t="shared" si="53"/>
        <v>0.35576831182306495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0.41670976418153699</v>
      </c>
      <c r="C145" s="103">
        <f t="shared" si="54"/>
        <v>0.42858844506317356</v>
      </c>
      <c r="D145" s="103">
        <f t="shared" si="54"/>
        <v>0.41485457534222486</v>
      </c>
      <c r="E145" s="103">
        <f t="shared" si="54"/>
        <v>0.42535032703933212</v>
      </c>
      <c r="F145" s="103">
        <f t="shared" si="54"/>
        <v>0.38317686271397705</v>
      </c>
      <c r="G145" s="103">
        <f t="shared" si="54"/>
        <v>0.35966837636677201</v>
      </c>
      <c r="H145" s="103">
        <f t="shared" si="54"/>
        <v>0.32806404313164533</v>
      </c>
      <c r="I145" s="103">
        <f t="shared" si="54"/>
        <v>0.30388347939863064</v>
      </c>
      <c r="J145" s="103">
        <f t="shared" si="54"/>
        <v>0.30134428435381205</v>
      </c>
      <c r="K145" s="103">
        <f t="shared" si="54"/>
        <v>0.30645327404931461</v>
      </c>
      <c r="L145" s="103">
        <f t="shared" ref="L145" si="55">IF(L22=0,0,L22/L$17)</f>
        <v>0.26646645153069087</v>
      </c>
      <c r="M145" s="103">
        <f t="shared" ref="M145:V145" si="56">IF(M22=0,0,M22/M$17)</f>
        <v>0.25436326804689324</v>
      </c>
      <c r="N145" s="103">
        <f t="shared" si="56"/>
        <v>0.25317720071182742</v>
      </c>
      <c r="O145" s="103">
        <f t="shared" si="56"/>
        <v>0.25656658726287002</v>
      </c>
      <c r="P145" s="103">
        <f t="shared" si="56"/>
        <v>0.25749762140235699</v>
      </c>
      <c r="Q145" s="103">
        <f t="shared" si="56"/>
        <v>0.26583623314882981</v>
      </c>
      <c r="R145" s="103">
        <f t="shared" si="56"/>
        <v>0.24872332143991241</v>
      </c>
      <c r="S145" s="103">
        <f t="shared" si="56"/>
        <v>0.22027903683183278</v>
      </c>
      <c r="T145" s="103">
        <f t="shared" si="56"/>
        <v>0.20619868739618036</v>
      </c>
      <c r="U145" s="103">
        <f t="shared" si="56"/>
        <v>0.20157670156475357</v>
      </c>
      <c r="V145" s="103">
        <f t="shared" si="56"/>
        <v>0.20182278692203351</v>
      </c>
      <c r="W145" s="103">
        <f t="shared" ref="W145:Y145" si="57">IF(W22=0,0,W22/W$17)</f>
        <v>0.1939021146495768</v>
      </c>
      <c r="X145" s="103">
        <f t="shared" si="57"/>
        <v>0.19876400997054733</v>
      </c>
      <c r="Y145" s="103">
        <f t="shared" si="57"/>
        <v>0.22135146406408229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0.15317308215635123</v>
      </c>
      <c r="C146" s="103">
        <f t="shared" si="58"/>
        <v>0.15277591783381073</v>
      </c>
      <c r="D146" s="103">
        <f t="shared" si="58"/>
        <v>0.14116111692169106</v>
      </c>
      <c r="E146" s="103">
        <f t="shared" si="58"/>
        <v>0.16089281483872608</v>
      </c>
      <c r="F146" s="103">
        <f t="shared" si="58"/>
        <v>0.16654441904777378</v>
      </c>
      <c r="G146" s="103">
        <f t="shared" si="58"/>
        <v>0.15378520442801241</v>
      </c>
      <c r="H146" s="103">
        <f t="shared" si="58"/>
        <v>0.15573213685407608</v>
      </c>
      <c r="I146" s="103">
        <f t="shared" si="58"/>
        <v>0.14863737783758285</v>
      </c>
      <c r="J146" s="103">
        <f t="shared" si="58"/>
        <v>0.1475703168283054</v>
      </c>
      <c r="K146" s="103">
        <f t="shared" si="58"/>
        <v>0.16673772103791573</v>
      </c>
      <c r="L146" s="103">
        <f t="shared" ref="L146" si="59">IF(L24=0,0,L24/L$17)</f>
        <v>0.14970518028660054</v>
      </c>
      <c r="M146" s="103">
        <f t="shared" ref="M146:V146" si="60">IF(M24=0,0,M24/M$17)</f>
        <v>0.15039882389036729</v>
      </c>
      <c r="N146" s="103">
        <f t="shared" si="60"/>
        <v>0.15258096075329841</v>
      </c>
      <c r="O146" s="103">
        <f t="shared" si="60"/>
        <v>0.15073561552117465</v>
      </c>
      <c r="P146" s="103">
        <f t="shared" si="60"/>
        <v>0.15154103935755814</v>
      </c>
      <c r="Q146" s="103">
        <f t="shared" si="60"/>
        <v>0.14896361872207764</v>
      </c>
      <c r="R146" s="103">
        <f t="shared" si="60"/>
        <v>0.13261110652441957</v>
      </c>
      <c r="S146" s="103">
        <f t="shared" si="60"/>
        <v>0.11885948050970437</v>
      </c>
      <c r="T146" s="103">
        <f t="shared" si="60"/>
        <v>0.12172759494935252</v>
      </c>
      <c r="U146" s="103">
        <f t="shared" si="60"/>
        <v>0.1217810160755783</v>
      </c>
      <c r="V146" s="103">
        <f t="shared" si="60"/>
        <v>0.1230113017484514</v>
      </c>
      <c r="W146" s="103">
        <f t="shared" ref="W146:Y146" si="61">IF(W24=0,0,W24/W$17)</f>
        <v>0.12147260440119269</v>
      </c>
      <c r="X146" s="103">
        <f t="shared" si="61"/>
        <v>0.11786211046572707</v>
      </c>
      <c r="Y146" s="103">
        <f t="shared" si="61"/>
        <v>0.11893294464532723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0</v>
      </c>
      <c r="D147" s="103">
        <f t="shared" si="62"/>
        <v>0</v>
      </c>
      <c r="E147" s="103">
        <f t="shared" si="62"/>
        <v>0</v>
      </c>
      <c r="F147" s="103">
        <f t="shared" si="62"/>
        <v>0</v>
      </c>
      <c r="G147" s="103">
        <f t="shared" si="62"/>
        <v>6.5309358558456488E-4</v>
      </c>
      <c r="H147" s="103">
        <f t="shared" si="62"/>
        <v>6.315861674434228E-4</v>
      </c>
      <c r="I147" s="103">
        <f t="shared" si="62"/>
        <v>5.7092417307679855E-4</v>
      </c>
      <c r="J147" s="103">
        <f t="shared" si="62"/>
        <v>5.3239225337622779E-4</v>
      </c>
      <c r="K147" s="103">
        <f t="shared" si="62"/>
        <v>5.9340543533521165E-4</v>
      </c>
      <c r="L147" s="103">
        <f t="shared" ref="L147" si="63">IF(L26=0,0,L26/L$17)</f>
        <v>1.0230762328526247E-3</v>
      </c>
      <c r="M147" s="103">
        <f t="shared" ref="M147:V147" si="64">IF(M26=0,0,M26/M$17)</f>
        <v>1.5089236356245775E-2</v>
      </c>
      <c r="N147" s="103">
        <f t="shared" si="64"/>
        <v>1.6634873905626856E-2</v>
      </c>
      <c r="O147" s="103">
        <f t="shared" si="64"/>
        <v>1.7719214944106859E-2</v>
      </c>
      <c r="P147" s="103">
        <f t="shared" si="64"/>
        <v>1.4436122051710824E-2</v>
      </c>
      <c r="Q147" s="103">
        <f t="shared" si="64"/>
        <v>1.6643238307853036E-2</v>
      </c>
      <c r="R147" s="103">
        <f t="shared" si="64"/>
        <v>1.4421041277292339E-2</v>
      </c>
      <c r="S147" s="103">
        <f t="shared" si="64"/>
        <v>1.1621301274816767E-2</v>
      </c>
      <c r="T147" s="103">
        <f t="shared" si="64"/>
        <v>1.2048011654977571E-2</v>
      </c>
      <c r="U147" s="103">
        <f t="shared" si="64"/>
        <v>1.2001470883607755E-2</v>
      </c>
      <c r="V147" s="103">
        <f t="shared" si="64"/>
        <v>1.248704451290867E-2</v>
      </c>
      <c r="W147" s="103">
        <f t="shared" ref="W147:Y147" si="65">IF(W26=0,0,W26/W$17)</f>
        <v>1.3091965835997362E-2</v>
      </c>
      <c r="X147" s="103">
        <f t="shared" si="65"/>
        <v>1.2709465409532862E-2</v>
      </c>
      <c r="Y147" s="103">
        <f t="shared" si="65"/>
        <v>1.3297154686180772E-2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2.2964341587411174E-3</v>
      </c>
      <c r="D148" s="103">
        <f t="shared" si="66"/>
        <v>7.9630560104894572E-4</v>
      </c>
      <c r="E148" s="103">
        <f t="shared" si="66"/>
        <v>2.6109492985508368E-3</v>
      </c>
      <c r="F148" s="103">
        <f t="shared" si="66"/>
        <v>3.9476155451221963E-3</v>
      </c>
      <c r="G148" s="103">
        <f t="shared" si="66"/>
        <v>4.689414343197985E-3</v>
      </c>
      <c r="H148" s="103">
        <f t="shared" si="66"/>
        <v>2.6567347394024095E-3</v>
      </c>
      <c r="I148" s="103">
        <f t="shared" si="66"/>
        <v>9.427531735733647E-3</v>
      </c>
      <c r="J148" s="103">
        <f t="shared" si="66"/>
        <v>3.9269032619118401E-3</v>
      </c>
      <c r="K148" s="103">
        <f t="shared" si="66"/>
        <v>4.2840547354572938E-3</v>
      </c>
      <c r="L148" s="103">
        <f t="shared" ref="L148" si="67">IF(L27=0,0,L27/L$17)</f>
        <v>4.5837466216006231E-3</v>
      </c>
      <c r="M148" s="103">
        <f t="shared" ref="M148:V148" si="68">IF(M27=0,0,M27/M$17)</f>
        <v>5.1307866581217602E-3</v>
      </c>
      <c r="N148" s="103">
        <f t="shared" si="68"/>
        <v>4.4390091593295173E-3</v>
      </c>
      <c r="O148" s="103">
        <f t="shared" si="68"/>
        <v>3.5665329405245721E-3</v>
      </c>
      <c r="P148" s="103">
        <f t="shared" si="68"/>
        <v>4.1729865242191725E-3</v>
      </c>
      <c r="Q148" s="103">
        <f t="shared" si="68"/>
        <v>3.7669577308119305E-3</v>
      </c>
      <c r="R148" s="103">
        <f t="shared" si="68"/>
        <v>2.5067143796572962E-3</v>
      </c>
      <c r="S148" s="103">
        <f t="shared" si="68"/>
        <v>1.9446211548612457E-3</v>
      </c>
      <c r="T148" s="103">
        <f t="shared" si="68"/>
        <v>1.7486185353441815E-3</v>
      </c>
      <c r="U148" s="103">
        <f t="shared" si="68"/>
        <v>1.3680614937668881E-3</v>
      </c>
      <c r="V148" s="103">
        <f t="shared" si="68"/>
        <v>1.3683935639360032E-3</v>
      </c>
      <c r="W148" s="103">
        <f t="shared" ref="W148:Y148" si="69">IF(W27=0,0,W27/W$17)</f>
        <v>1.2512052152112935E-3</v>
      </c>
      <c r="X148" s="103">
        <f t="shared" si="69"/>
        <v>1.3518724940523392E-3</v>
      </c>
      <c r="Y148" s="103">
        <f t="shared" si="69"/>
        <v>1.2890176484191644E-3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4.7124182063224251E-7</v>
      </c>
      <c r="O149" s="103">
        <f t="shared" si="72"/>
        <v>4.849495341276968E-7</v>
      </c>
      <c r="P149" s="103">
        <f t="shared" si="72"/>
        <v>4.7064158821765354E-6</v>
      </c>
      <c r="Q149" s="103">
        <f t="shared" si="72"/>
        <v>8.1061907371814694E-6</v>
      </c>
      <c r="R149" s="103">
        <f t="shared" si="72"/>
        <v>2.2978395035634225E-5</v>
      </c>
      <c r="S149" s="103">
        <f t="shared" si="72"/>
        <v>4.5806142799160038E-5</v>
      </c>
      <c r="T149" s="103">
        <f t="shared" si="72"/>
        <v>6.5938642844252769E-5</v>
      </c>
      <c r="U149" s="103">
        <f t="shared" si="72"/>
        <v>7.9973377306626089E-5</v>
      </c>
      <c r="V149" s="103">
        <f t="shared" si="72"/>
        <v>1.4297079807979078E-4</v>
      </c>
      <c r="W149" s="103">
        <f t="shared" ref="W149:Y149" si="73">IF(W29=0,0,W29/W$17)</f>
        <v>1.9140320127223985E-4</v>
      </c>
      <c r="X149" s="103">
        <f t="shared" si="73"/>
        <v>2.8844539905521641E-4</v>
      </c>
      <c r="Y149" s="103">
        <f t="shared" si="73"/>
        <v>5.075299152585166E-4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1.0199885198413936E-6</v>
      </c>
      <c r="N150" s="103">
        <f t="shared" si="76"/>
        <v>1.1059180317814442E-6</v>
      </c>
      <c r="O150" s="103">
        <f t="shared" si="76"/>
        <v>2.7229294829335724E-6</v>
      </c>
      <c r="P150" s="103">
        <f t="shared" si="76"/>
        <v>6.1568984922969125E-6</v>
      </c>
      <c r="Q150" s="103">
        <f t="shared" si="76"/>
        <v>7.6435098761262337E-6</v>
      </c>
      <c r="R150" s="103">
        <f t="shared" si="76"/>
        <v>1.0022553211499657E-5</v>
      </c>
      <c r="S150" s="103">
        <f t="shared" si="76"/>
        <v>1.6997855320751284E-5</v>
      </c>
      <c r="T150" s="103">
        <f t="shared" si="76"/>
        <v>3.5573228454622563E-5</v>
      </c>
      <c r="U150" s="103">
        <f t="shared" si="76"/>
        <v>4.3768908724610973E-5</v>
      </c>
      <c r="V150" s="103">
        <f t="shared" si="76"/>
        <v>9.2175561203510493E-5</v>
      </c>
      <c r="W150" s="103">
        <f t="shared" ref="W150:Y150" si="77">IF(W32=0,0,W32/W$17)</f>
        <v>1.4572168810907045E-4</v>
      </c>
      <c r="X150" s="103">
        <f t="shared" si="77"/>
        <v>2.17343056081508E-4</v>
      </c>
      <c r="Y150" s="103">
        <f t="shared" si="77"/>
        <v>3.9020086379697953E-4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0.13682497518846326</v>
      </c>
      <c r="C151" s="156">
        <f t="shared" si="78"/>
        <v>0.12825885926514907</v>
      </c>
      <c r="D151" s="156">
        <f t="shared" si="78"/>
        <v>0.10294652785253613</v>
      </c>
      <c r="E151" s="156">
        <f t="shared" si="78"/>
        <v>0.11650066161807501</v>
      </c>
      <c r="F151" s="156">
        <f t="shared" si="78"/>
        <v>0.10850015680125498</v>
      </c>
      <c r="G151" s="156">
        <f t="shared" si="78"/>
        <v>9.2727061666733987E-2</v>
      </c>
      <c r="H151" s="156">
        <f t="shared" si="78"/>
        <v>9.1259513538915663E-2</v>
      </c>
      <c r="I151" s="156">
        <f t="shared" si="78"/>
        <v>9.8464313641236659E-2</v>
      </c>
      <c r="J151" s="156">
        <f t="shared" si="78"/>
        <v>8.9774209665616847E-2</v>
      </c>
      <c r="K151" s="156">
        <f t="shared" si="78"/>
        <v>9.2275215772533323E-2</v>
      </c>
      <c r="L151" s="156">
        <f t="shared" ref="L151" si="79">IF(L33=0,0,L33/L$17)</f>
        <v>7.8625909545541522E-2</v>
      </c>
      <c r="M151" s="156">
        <f t="shared" ref="M151:V151" si="80">IF(M33=0,0,M33/M$17)</f>
        <v>7.5337270437264653E-2</v>
      </c>
      <c r="N151" s="156">
        <f t="shared" si="80"/>
        <v>7.7106356387221076E-2</v>
      </c>
      <c r="O151" s="156">
        <f t="shared" si="80"/>
        <v>7.4917742100119186E-2</v>
      </c>
      <c r="P151" s="156">
        <f t="shared" si="80"/>
        <v>7.6499669989681732E-2</v>
      </c>
      <c r="Q151" s="156">
        <f t="shared" si="80"/>
        <v>7.6454540586994899E-2</v>
      </c>
      <c r="R151" s="156">
        <f t="shared" si="80"/>
        <v>6.6959081180039723E-2</v>
      </c>
      <c r="S151" s="156">
        <f t="shared" si="80"/>
        <v>6.2180704233548517E-2</v>
      </c>
      <c r="T151" s="156">
        <f t="shared" si="80"/>
        <v>6.4502597359125891E-2</v>
      </c>
      <c r="U151" s="156">
        <f t="shared" si="80"/>
        <v>6.6295927908462393E-2</v>
      </c>
      <c r="V151" s="156">
        <f t="shared" si="80"/>
        <v>6.1501949952770911E-2</v>
      </c>
      <c r="W151" s="156">
        <f t="shared" ref="W151:Y151" si="81">IF(W33=0,0,W33/W$17)</f>
        <v>5.8002048621644188E-2</v>
      </c>
      <c r="X151" s="156">
        <f t="shared" si="81"/>
        <v>5.9674571611417662E-2</v>
      </c>
      <c r="Y151" s="156">
        <f t="shared" si="81"/>
        <v>6.0118217267131714E-2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0</v>
      </c>
      <c r="M152" s="103">
        <f t="shared" ref="M152:V152" si="84">IF(M34=0,0,M34/M$17)</f>
        <v>0</v>
      </c>
      <c r="N152" s="103">
        <f t="shared" si="84"/>
        <v>0</v>
      </c>
      <c r="O152" s="103">
        <f t="shared" si="84"/>
        <v>0</v>
      </c>
      <c r="P152" s="103">
        <f t="shared" si="84"/>
        <v>0</v>
      </c>
      <c r="Q152" s="103">
        <f t="shared" si="84"/>
        <v>0</v>
      </c>
      <c r="R152" s="103">
        <f t="shared" si="84"/>
        <v>0</v>
      </c>
      <c r="S152" s="103">
        <f t="shared" si="84"/>
        <v>0</v>
      </c>
      <c r="T152" s="103">
        <f t="shared" si="84"/>
        <v>0</v>
      </c>
      <c r="U152" s="103">
        <f t="shared" si="84"/>
        <v>0</v>
      </c>
      <c r="V152" s="103">
        <f t="shared" si="84"/>
        <v>0</v>
      </c>
      <c r="W152" s="103">
        <f t="shared" ref="W152:Y152" si="85">IF(W34=0,0,W34/W$17)</f>
        <v>0</v>
      </c>
      <c r="X152" s="103">
        <f t="shared" si="85"/>
        <v>0</v>
      </c>
      <c r="Y152" s="103">
        <f t="shared" si="85"/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0.13682497518846326</v>
      </c>
      <c r="C153" s="103">
        <f t="shared" si="86"/>
        <v>0.12825885926514907</v>
      </c>
      <c r="D153" s="103">
        <f t="shared" si="86"/>
        <v>0.10294652785253613</v>
      </c>
      <c r="E153" s="103">
        <f t="shared" si="86"/>
        <v>0.11650066161807501</v>
      </c>
      <c r="F153" s="103">
        <f t="shared" si="86"/>
        <v>0.10850015680125498</v>
      </c>
      <c r="G153" s="103">
        <f t="shared" si="86"/>
        <v>9.2727061666733987E-2</v>
      </c>
      <c r="H153" s="103">
        <f t="shared" si="86"/>
        <v>9.1259513538915663E-2</v>
      </c>
      <c r="I153" s="103">
        <f t="shared" si="86"/>
        <v>9.8464313641236659E-2</v>
      </c>
      <c r="J153" s="103">
        <f t="shared" si="86"/>
        <v>8.9774209665616847E-2</v>
      </c>
      <c r="K153" s="103">
        <f t="shared" si="86"/>
        <v>9.2275215772533323E-2</v>
      </c>
      <c r="L153" s="103">
        <f t="shared" ref="L153" si="87">IF(L36=0,0,L36/L$17)</f>
        <v>7.794280220229978E-2</v>
      </c>
      <c r="M153" s="103">
        <f t="shared" ref="M153:V153" si="88">IF(M36=0,0,M36/M$17)</f>
        <v>7.3726990245801288E-2</v>
      </c>
      <c r="N153" s="103">
        <f t="shared" si="88"/>
        <v>7.543825796900952E-2</v>
      </c>
      <c r="O153" s="103">
        <f t="shared" si="88"/>
        <v>7.3272446005718819E-2</v>
      </c>
      <c r="P153" s="103">
        <f t="shared" si="88"/>
        <v>7.4088814404848546E-2</v>
      </c>
      <c r="Q153" s="103">
        <f t="shared" si="88"/>
        <v>7.3448527844943073E-2</v>
      </c>
      <c r="R153" s="103">
        <f t="shared" si="88"/>
        <v>6.3195382722293178E-2</v>
      </c>
      <c r="S153" s="103">
        <f t="shared" si="88"/>
        <v>5.8299527677765653E-2</v>
      </c>
      <c r="T153" s="103">
        <f t="shared" si="88"/>
        <v>6.0444253945628794E-2</v>
      </c>
      <c r="U153" s="103">
        <f t="shared" si="88"/>
        <v>6.1571513893870632E-2</v>
      </c>
      <c r="V153" s="103">
        <f t="shared" si="88"/>
        <v>5.6065061764662263E-2</v>
      </c>
      <c r="W153" s="103">
        <f t="shared" ref="W153:Y153" si="89">IF(W36=0,0,W36/W$17)</f>
        <v>5.2875609223754977E-2</v>
      </c>
      <c r="X153" s="103">
        <f t="shared" si="89"/>
        <v>5.4695076873876647E-2</v>
      </c>
      <c r="Y153" s="103">
        <f t="shared" si="89"/>
        <v>5.5157866317718039E-2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0</v>
      </c>
      <c r="R155" s="103">
        <f t="shared" si="96"/>
        <v>5.0939467059123666E-4</v>
      </c>
      <c r="S155" s="103">
        <f t="shared" si="96"/>
        <v>6.6383147467067509E-4</v>
      </c>
      <c r="T155" s="103">
        <f t="shared" si="96"/>
        <v>4.5510602116798624E-4</v>
      </c>
      <c r="U155" s="103">
        <f t="shared" si="96"/>
        <v>9.2757828597465441E-4</v>
      </c>
      <c r="V155" s="103">
        <f t="shared" si="96"/>
        <v>1.2952510154581789E-3</v>
      </c>
      <c r="W155" s="103">
        <f t="shared" ref="W155:Y155" si="97">IF(W39=0,0,W39/W$17)</f>
        <v>1.1852432092612634E-3</v>
      </c>
      <c r="X155" s="103">
        <f t="shared" si="97"/>
        <v>1.2888760854615614E-3</v>
      </c>
      <c r="Y155" s="103">
        <f t="shared" si="97"/>
        <v>1.1878050050556312E-3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6.8310734324174814E-4</v>
      </c>
      <c r="M156" s="103">
        <f t="shared" ref="M156:V156" si="100">IF(M41=0,0,M41/M$17)</f>
        <v>1.6102801914633677E-3</v>
      </c>
      <c r="N156" s="103">
        <f t="shared" si="100"/>
        <v>1.6680984182115444E-3</v>
      </c>
      <c r="O156" s="103">
        <f t="shared" si="100"/>
        <v>1.6452960944003635E-3</v>
      </c>
      <c r="P156" s="103">
        <f t="shared" si="100"/>
        <v>2.4108555848331745E-3</v>
      </c>
      <c r="Q156" s="103">
        <f t="shared" si="100"/>
        <v>3.0060127420518203E-3</v>
      </c>
      <c r="R156" s="103">
        <f t="shared" si="100"/>
        <v>3.2543037871553154E-3</v>
      </c>
      <c r="S156" s="103">
        <f t="shared" si="100"/>
        <v>3.2173450811121972E-3</v>
      </c>
      <c r="T156" s="103">
        <f t="shared" si="100"/>
        <v>3.6032373923290989E-3</v>
      </c>
      <c r="U156" s="103">
        <f t="shared" si="100"/>
        <v>3.7968357286171138E-3</v>
      </c>
      <c r="V156" s="103">
        <f t="shared" si="100"/>
        <v>4.1416371726504695E-3</v>
      </c>
      <c r="W156" s="103">
        <f t="shared" ref="W156:Y156" si="101">IF(W41=0,0,W41/W$17)</f>
        <v>3.9411961886279476E-3</v>
      </c>
      <c r="X156" s="103">
        <f t="shared" si="101"/>
        <v>3.6906186520794474E-3</v>
      </c>
      <c r="Y156" s="103">
        <f t="shared" si="101"/>
        <v>3.772545944358044E-3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0.29175995918460446</v>
      </c>
      <c r="C157" s="46">
        <f t="shared" si="102"/>
        <v>0.28650164969668568</v>
      </c>
      <c r="D157" s="46">
        <f t="shared" si="102"/>
        <v>0.33912063561510203</v>
      </c>
      <c r="E157" s="46">
        <f t="shared" si="102"/>
        <v>0.29337853424338523</v>
      </c>
      <c r="F157" s="46">
        <f t="shared" si="102"/>
        <v>0.33648196501602745</v>
      </c>
      <c r="G157" s="46">
        <f t="shared" si="102"/>
        <v>0.38716719432848723</v>
      </c>
      <c r="H157" s="46">
        <f t="shared" si="102"/>
        <v>0.42034262945320666</v>
      </c>
      <c r="I157" s="46">
        <f t="shared" si="102"/>
        <v>0.43772101778086947</v>
      </c>
      <c r="J157" s="46">
        <f t="shared" si="102"/>
        <v>0.45554342942348391</v>
      </c>
      <c r="K157" s="46">
        <f t="shared" si="102"/>
        <v>0.42838670033565396</v>
      </c>
      <c r="L157" s="46">
        <f t="shared" ref="L157" si="103">IF(L42=0,0,L42/L$17)</f>
        <v>0.49859303670784783</v>
      </c>
      <c r="M157" s="46">
        <f t="shared" ref="M157:V157" si="104">IF(M42=0,0,M42/M$17)</f>
        <v>0.49845017232268468</v>
      </c>
      <c r="N157" s="46">
        <f t="shared" si="104"/>
        <v>0.49458056911736731</v>
      </c>
      <c r="O157" s="46">
        <f t="shared" si="104"/>
        <v>0.49498563467542084</v>
      </c>
      <c r="P157" s="46">
        <f t="shared" si="104"/>
        <v>0.49416654997999387</v>
      </c>
      <c r="Q157" s="46">
        <f t="shared" si="104"/>
        <v>0.48645667927819042</v>
      </c>
      <c r="R157" s="46">
        <f t="shared" si="104"/>
        <v>0.53295911699027576</v>
      </c>
      <c r="S157" s="46">
        <f t="shared" si="104"/>
        <v>0.58358188875374051</v>
      </c>
      <c r="T157" s="46">
        <f t="shared" si="104"/>
        <v>0.59226225612417771</v>
      </c>
      <c r="U157" s="46">
        <f t="shared" si="104"/>
        <v>0.59534799167216923</v>
      </c>
      <c r="V157" s="46">
        <f t="shared" si="104"/>
        <v>0.59810906072193293</v>
      </c>
      <c r="W157" s="46">
        <f t="shared" ref="W157:Y157" si="105">IF(W42=0,0,W42/W$17)</f>
        <v>0.61050130680967596</v>
      </c>
      <c r="X157" s="46">
        <f t="shared" si="105"/>
        <v>0.60770996989144399</v>
      </c>
      <c r="Y157" s="46">
        <f t="shared" si="105"/>
        <v>0.58255404947019263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0.13440842170663947</v>
      </c>
      <c r="C158" s="154">
        <f t="shared" si="106"/>
        <v>0.13617538594094294</v>
      </c>
      <c r="D158" s="154">
        <f t="shared" si="106"/>
        <v>0.12984689399465812</v>
      </c>
      <c r="E158" s="154">
        <f t="shared" si="106"/>
        <v>0.13497429687292078</v>
      </c>
      <c r="F158" s="154">
        <f t="shared" si="106"/>
        <v>0.14527597968059602</v>
      </c>
      <c r="G158" s="154">
        <f t="shared" si="106"/>
        <v>0.14334897399885488</v>
      </c>
      <c r="H158" s="154">
        <f t="shared" si="106"/>
        <v>0.12847286838039076</v>
      </c>
      <c r="I158" s="154">
        <f t="shared" si="106"/>
        <v>0.13900050345137505</v>
      </c>
      <c r="J158" s="154">
        <f t="shared" si="106"/>
        <v>0.12907570299169849</v>
      </c>
      <c r="K158" s="154">
        <f t="shared" si="106"/>
        <v>0.14211843967273122</v>
      </c>
      <c r="L158" s="154">
        <f t="shared" ref="L158" si="107">IF(L43=0,0,L43/L$17)</f>
        <v>0.1430152660156466</v>
      </c>
      <c r="M158" s="154">
        <f t="shared" ref="M158:V158" si="108">IF(M43=0,0,M43/M$17)</f>
        <v>0.1529567168987212</v>
      </c>
      <c r="N158" s="154">
        <f t="shared" si="108"/>
        <v>0.15414203132268614</v>
      </c>
      <c r="O158" s="154">
        <f t="shared" si="108"/>
        <v>0.13614503338110148</v>
      </c>
      <c r="P158" s="154">
        <f t="shared" si="108"/>
        <v>0.12492475665349459</v>
      </c>
      <c r="Q158" s="154">
        <f t="shared" si="108"/>
        <v>0.13676762200924322</v>
      </c>
      <c r="R158" s="154">
        <f t="shared" si="108"/>
        <v>0.12493176910554948</v>
      </c>
      <c r="S158" s="154">
        <f t="shared" si="108"/>
        <v>0.11707622975224787</v>
      </c>
      <c r="T158" s="154">
        <f t="shared" si="108"/>
        <v>0.11519070390946962</v>
      </c>
      <c r="U158" s="154">
        <f t="shared" si="108"/>
        <v>0.11459641353126246</v>
      </c>
      <c r="V158" s="154">
        <f t="shared" si="108"/>
        <v>0.12760653213985743</v>
      </c>
      <c r="W158" s="154">
        <f t="shared" ref="W158:Y158" si="109">IF(W43=0,0,W43/W$17)</f>
        <v>0.11467587025462575</v>
      </c>
      <c r="X158" s="154">
        <f t="shared" si="109"/>
        <v>0.11649423032275878</v>
      </c>
      <c r="Y158" s="154">
        <f t="shared" si="109"/>
        <v>0.12182204586361786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3.8661187660675236E-2</v>
      </c>
      <c r="C159" s="103">
        <f t="shared" si="110"/>
        <v>3.8025296045161951E-2</v>
      </c>
      <c r="D159" s="103">
        <f t="shared" si="110"/>
        <v>3.1054572932680432E-2</v>
      </c>
      <c r="E159" s="103">
        <f t="shared" si="110"/>
        <v>3.3737550529017404E-2</v>
      </c>
      <c r="F159" s="103">
        <f t="shared" si="110"/>
        <v>3.9987880771063834E-2</v>
      </c>
      <c r="G159" s="103">
        <f t="shared" si="110"/>
        <v>3.5398561797249012E-2</v>
      </c>
      <c r="H159" s="103">
        <f t="shared" si="110"/>
        <v>3.442631643555983E-2</v>
      </c>
      <c r="I159" s="103">
        <f t="shared" si="110"/>
        <v>3.3308694376126574E-2</v>
      </c>
      <c r="J159" s="103">
        <f t="shared" si="110"/>
        <v>3.2204062961220942E-2</v>
      </c>
      <c r="K159" s="103">
        <f t="shared" si="110"/>
        <v>3.5445392459346116E-2</v>
      </c>
      <c r="L159" s="103">
        <f t="shared" ref="L159" si="111">IF(L44=0,0,L44/L$17)</f>
        <v>2.2743480703954072E-2</v>
      </c>
      <c r="M159" s="103">
        <f t="shared" ref="M159:V159" si="112">IF(M44=0,0,M44/M$17)</f>
        <v>2.3766793513985401E-2</v>
      </c>
      <c r="N159" s="103">
        <f t="shared" si="112"/>
        <v>2.5045864333673815E-2</v>
      </c>
      <c r="O159" s="103">
        <f t="shared" si="112"/>
        <v>2.5655924668974442E-2</v>
      </c>
      <c r="P159" s="103">
        <f t="shared" si="112"/>
        <v>2.4295651690826276E-2</v>
      </c>
      <c r="Q159" s="103">
        <f t="shared" si="112"/>
        <v>2.8776542562276852E-2</v>
      </c>
      <c r="R159" s="103">
        <f t="shared" si="112"/>
        <v>2.9374379821468965E-2</v>
      </c>
      <c r="S159" s="103">
        <f t="shared" si="112"/>
        <v>2.2992085126968893E-2</v>
      </c>
      <c r="T159" s="103">
        <f t="shared" si="112"/>
        <v>2.2210018615706824E-2</v>
      </c>
      <c r="U159" s="103">
        <f t="shared" si="112"/>
        <v>1.9213356773610551E-2</v>
      </c>
      <c r="V159" s="103">
        <f t="shared" si="112"/>
        <v>2.0820604688487145E-2</v>
      </c>
      <c r="W159" s="103">
        <f t="shared" ref="W159:Y159" si="113">IF(W44=0,0,W44/W$17)</f>
        <v>1.9711317205099648E-2</v>
      </c>
      <c r="X159" s="103">
        <f t="shared" si="113"/>
        <v>1.9388495536739579E-2</v>
      </c>
      <c r="Y159" s="103">
        <f t="shared" si="113"/>
        <v>2.0041821890405501E-2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9.5747234045964247E-2</v>
      </c>
      <c r="C160" s="103">
        <f t="shared" si="114"/>
        <v>9.8150089895780987E-2</v>
      </c>
      <c r="D160" s="103">
        <f t="shared" si="114"/>
        <v>9.8792321061977689E-2</v>
      </c>
      <c r="E160" s="103">
        <f t="shared" si="114"/>
        <v>0.10123674634390339</v>
      </c>
      <c r="F160" s="103">
        <f t="shared" si="114"/>
        <v>0.1052880989095322</v>
      </c>
      <c r="G160" s="103">
        <f t="shared" si="114"/>
        <v>0.10795041220160587</v>
      </c>
      <c r="H160" s="103">
        <f t="shared" si="114"/>
        <v>9.4046551944830956E-2</v>
      </c>
      <c r="I160" s="103">
        <f t="shared" si="114"/>
        <v>0.10569180907524847</v>
      </c>
      <c r="J160" s="103">
        <f t="shared" si="114"/>
        <v>9.6871640030477574E-2</v>
      </c>
      <c r="K160" s="103">
        <f t="shared" si="114"/>
        <v>0.10667304721338509</v>
      </c>
      <c r="L160" s="103">
        <f t="shared" ref="L160" si="115">IF(L46=0,0,L46/L$17)</f>
        <v>0.12027178531169253</v>
      </c>
      <c r="M160" s="103">
        <f t="shared" ref="M160:V160" si="116">IF(M46=0,0,M46/M$17)</f>
        <v>0.12918992338473581</v>
      </c>
      <c r="N160" s="103">
        <f t="shared" si="116"/>
        <v>0.12908917605457143</v>
      </c>
      <c r="O160" s="103">
        <f t="shared" si="116"/>
        <v>0.11048074089086468</v>
      </c>
      <c r="P160" s="103">
        <f t="shared" si="116"/>
        <v>9.8843750323442087E-2</v>
      </c>
      <c r="Q160" s="103">
        <f t="shared" si="116"/>
        <v>0.10616127672378672</v>
      </c>
      <c r="R160" s="103">
        <f t="shared" si="116"/>
        <v>9.3574334892808739E-2</v>
      </c>
      <c r="S160" s="103">
        <f t="shared" si="116"/>
        <v>9.229783515909909E-2</v>
      </c>
      <c r="T160" s="103">
        <f t="shared" si="116"/>
        <v>9.1060357627314986E-2</v>
      </c>
      <c r="U160" s="103">
        <f t="shared" si="116"/>
        <v>9.3358226268376573E-2</v>
      </c>
      <c r="V160" s="103">
        <f t="shared" si="116"/>
        <v>0.10431894551331755</v>
      </c>
      <c r="W160" s="103">
        <f t="shared" ref="W160:Y160" si="117">IF(W46=0,0,W46/W$17)</f>
        <v>9.2647463500027311E-2</v>
      </c>
      <c r="X160" s="103">
        <f t="shared" si="117"/>
        <v>9.4825265341774032E-2</v>
      </c>
      <c r="Y160" s="103">
        <f t="shared" si="117"/>
        <v>9.9505325069999609E-2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3.9286328753275585E-6</v>
      </c>
      <c r="O161" s="103">
        <f t="shared" si="120"/>
        <v>2.3078124613355724E-6</v>
      </c>
      <c r="P161" s="103">
        <f t="shared" si="120"/>
        <v>1.7802858802519641E-3</v>
      </c>
      <c r="Q161" s="103">
        <f t="shared" si="120"/>
        <v>1.8234139115795285E-3</v>
      </c>
      <c r="R161" s="103">
        <f t="shared" si="120"/>
        <v>1.819898105672755E-3</v>
      </c>
      <c r="S161" s="103">
        <f t="shared" si="120"/>
        <v>1.6381958747642721E-3</v>
      </c>
      <c r="T161" s="103">
        <f t="shared" si="120"/>
        <v>1.6867520402988143E-3</v>
      </c>
      <c r="U161" s="103">
        <f t="shared" si="120"/>
        <v>1.745578367265076E-3</v>
      </c>
      <c r="V161" s="103">
        <f t="shared" si="120"/>
        <v>1.930602990633921E-3</v>
      </c>
      <c r="W161" s="103">
        <f t="shared" ref="W161:Y161" si="121">IF(W48=0,0,W48/W$17)</f>
        <v>1.8151893849689209E-3</v>
      </c>
      <c r="X161" s="103">
        <f t="shared" si="121"/>
        <v>1.7571272388464947E-3</v>
      </c>
      <c r="Y161" s="103">
        <f t="shared" si="121"/>
        <v>1.7640263854123569E-3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3.0623015655508081E-6</v>
      </c>
      <c r="O162" s="103">
        <f t="shared" si="124"/>
        <v>5.7870046176761101E-6</v>
      </c>
      <c r="P162" s="103">
        <f t="shared" si="124"/>
        <v>4.5048038984835254E-6</v>
      </c>
      <c r="Q162" s="103">
        <f t="shared" si="124"/>
        <v>5.4856323709887627E-6</v>
      </c>
      <c r="R162" s="103">
        <f t="shared" si="124"/>
        <v>1.6146353450346447E-4</v>
      </c>
      <c r="S162" s="103">
        <f t="shared" si="124"/>
        <v>1.4479997025208083E-4</v>
      </c>
      <c r="T162" s="103">
        <f t="shared" si="124"/>
        <v>2.2315154487481846E-4</v>
      </c>
      <c r="U162" s="103">
        <f t="shared" si="124"/>
        <v>2.6795633663308276E-4</v>
      </c>
      <c r="V162" s="103">
        <f t="shared" si="124"/>
        <v>5.2121666961804072E-4</v>
      </c>
      <c r="W162" s="103">
        <f t="shared" ref="W162:Y162" si="125">IF(W49=0,0,W49/W$17)</f>
        <v>4.8017188512346508E-4</v>
      </c>
      <c r="X162" s="103">
        <f t="shared" si="125"/>
        <v>4.9769125878460169E-4</v>
      </c>
      <c r="Y162" s="103">
        <f t="shared" si="125"/>
        <v>4.5309303320565042E-4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0</v>
      </c>
      <c r="O163" s="103">
        <f t="shared" si="128"/>
        <v>2.7300418339075764E-7</v>
      </c>
      <c r="P163" s="103">
        <f t="shared" si="128"/>
        <v>5.6395507577147084E-7</v>
      </c>
      <c r="Q163" s="103">
        <f t="shared" si="128"/>
        <v>9.0317922915318805E-7</v>
      </c>
      <c r="R163" s="103">
        <f t="shared" si="128"/>
        <v>1.6927510955502136E-6</v>
      </c>
      <c r="S163" s="103">
        <f t="shared" si="128"/>
        <v>3.3136211635291302E-6</v>
      </c>
      <c r="T163" s="103">
        <f t="shared" si="128"/>
        <v>1.0424081274143027E-5</v>
      </c>
      <c r="U163" s="103">
        <f t="shared" si="128"/>
        <v>1.1295785377176846E-5</v>
      </c>
      <c r="V163" s="103">
        <f t="shared" si="128"/>
        <v>1.5162277800748484E-5</v>
      </c>
      <c r="W163" s="103">
        <f t="shared" ref="W163:Y163" si="129">IF(W51=0,0,W51/W$17)</f>
        <v>2.1728279406402728E-5</v>
      </c>
      <c r="X163" s="103">
        <f t="shared" si="129"/>
        <v>2.5650946614062249E-5</v>
      </c>
      <c r="Y163" s="103">
        <f t="shared" si="129"/>
        <v>5.7779484594746407E-5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0.15735153747796499</v>
      </c>
      <c r="C164" s="156">
        <f t="shared" si="130"/>
        <v>0.15032626375574273</v>
      </c>
      <c r="D164" s="156">
        <f t="shared" si="130"/>
        <v>0.2092737416204439</v>
      </c>
      <c r="E164" s="156">
        <f t="shared" si="130"/>
        <v>0.15840423737046441</v>
      </c>
      <c r="F164" s="156">
        <f t="shared" si="130"/>
        <v>0.1912059853354314</v>
      </c>
      <c r="G164" s="156">
        <f t="shared" si="130"/>
        <v>0.2438182203296323</v>
      </c>
      <c r="H164" s="156">
        <f t="shared" si="130"/>
        <v>0.29186976107281587</v>
      </c>
      <c r="I164" s="156">
        <f t="shared" si="130"/>
        <v>0.29872051432949448</v>
      </c>
      <c r="J164" s="156">
        <f t="shared" si="130"/>
        <v>0.3264677264317854</v>
      </c>
      <c r="K164" s="156">
        <f t="shared" si="130"/>
        <v>0.28626826066292277</v>
      </c>
      <c r="L164" s="156">
        <f t="shared" ref="L164" si="131">IF(L52=0,0,L52/L$17)</f>
        <v>0.35557777069220126</v>
      </c>
      <c r="M164" s="156">
        <f t="shared" ref="M164:V164" si="132">IF(M52=0,0,M52/M$17)</f>
        <v>0.34549345542396348</v>
      </c>
      <c r="N164" s="156">
        <f t="shared" si="132"/>
        <v>0.34043853779468114</v>
      </c>
      <c r="O164" s="156">
        <f t="shared" si="132"/>
        <v>0.35884060129431938</v>
      </c>
      <c r="P164" s="156">
        <f t="shared" si="132"/>
        <v>0.36924179332649931</v>
      </c>
      <c r="Q164" s="156">
        <f t="shared" si="132"/>
        <v>0.34968905726894717</v>
      </c>
      <c r="R164" s="156">
        <f t="shared" si="132"/>
        <v>0.40802734788472628</v>
      </c>
      <c r="S164" s="156">
        <f t="shared" si="132"/>
        <v>0.46650565900149271</v>
      </c>
      <c r="T164" s="156">
        <f t="shared" si="132"/>
        <v>0.47707155221470804</v>
      </c>
      <c r="U164" s="156">
        <f t="shared" si="132"/>
        <v>0.48075157814090674</v>
      </c>
      <c r="V164" s="156">
        <f t="shared" si="132"/>
        <v>0.47050252858207547</v>
      </c>
      <c r="W164" s="156">
        <f t="shared" ref="W164:Y164" si="133">IF(W52=0,0,W52/W$17)</f>
        <v>0.49582543655505018</v>
      </c>
      <c r="X164" s="156">
        <f t="shared" si="133"/>
        <v>0.49121573956868508</v>
      </c>
      <c r="Y164" s="156">
        <f t="shared" si="133"/>
        <v>0.46073200360657474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8.5187368135721531E-2</v>
      </c>
      <c r="C165" s="104">
        <f t="shared" si="134"/>
        <v>8.7681276965215299E-2</v>
      </c>
      <c r="D165" s="104">
        <f t="shared" si="134"/>
        <v>0.11582153930674698</v>
      </c>
      <c r="E165" s="104">
        <f t="shared" si="134"/>
        <v>0.12311968740507453</v>
      </c>
      <c r="F165" s="104">
        <f t="shared" si="134"/>
        <v>0.13830636237319066</v>
      </c>
      <c r="G165" s="104">
        <f t="shared" si="134"/>
        <v>0.1425062075821561</v>
      </c>
      <c r="H165" s="104">
        <f t="shared" si="134"/>
        <v>0.16102532089191479</v>
      </c>
      <c r="I165" s="104">
        <f t="shared" si="134"/>
        <v>0.15790992237177659</v>
      </c>
      <c r="J165" s="104">
        <f t="shared" si="134"/>
        <v>0.18604084947919416</v>
      </c>
      <c r="K165" s="104">
        <f t="shared" si="134"/>
        <v>0.16861865609401847</v>
      </c>
      <c r="L165" s="104">
        <f t="shared" ref="L165" si="135">IF(L53=0,0,L53/L$17)</f>
        <v>0.20050655389465907</v>
      </c>
      <c r="M165" s="104">
        <f t="shared" ref="M165:V165" si="136">IF(M53=0,0,M53/M$17)</f>
        <v>0.19960235468899865</v>
      </c>
      <c r="N165" s="104">
        <f t="shared" si="136"/>
        <v>0.1924751497611038</v>
      </c>
      <c r="O165" s="104">
        <f t="shared" si="136"/>
        <v>0.18783091494153023</v>
      </c>
      <c r="P165" s="104">
        <f t="shared" si="136"/>
        <v>0.20898177402386953</v>
      </c>
      <c r="Q165" s="104">
        <f t="shared" si="136"/>
        <v>0.1904719199946158</v>
      </c>
      <c r="R165" s="104">
        <f t="shared" si="136"/>
        <v>0.21468706621282049</v>
      </c>
      <c r="S165" s="104">
        <f t="shared" si="136"/>
        <v>0.20748534210830874</v>
      </c>
      <c r="T165" s="104">
        <f t="shared" si="136"/>
        <v>0.20055030978989982</v>
      </c>
      <c r="U165" s="104">
        <f t="shared" si="136"/>
        <v>0.22146809824868657</v>
      </c>
      <c r="V165" s="104">
        <f t="shared" si="136"/>
        <v>0.2264399871836176</v>
      </c>
      <c r="W165" s="104">
        <f t="shared" ref="W165:Y165" si="137">IF(W53=0,0,W53/W$17)</f>
        <v>0.21363941936609709</v>
      </c>
      <c r="X165" s="104">
        <f t="shared" si="137"/>
        <v>0.21842397408134695</v>
      </c>
      <c r="Y165" s="104">
        <f t="shared" si="137"/>
        <v>0.21793432274422878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7.2164169342243442E-2</v>
      </c>
      <c r="C166" s="105">
        <f t="shared" si="138"/>
        <v>6.2644986790527407E-2</v>
      </c>
      <c r="D166" s="105">
        <f t="shared" si="138"/>
        <v>9.3452202313696942E-2</v>
      </c>
      <c r="E166" s="105">
        <f t="shared" si="138"/>
        <v>3.5284549965389878E-2</v>
      </c>
      <c r="F166" s="105">
        <f t="shared" si="138"/>
        <v>5.2899622962240746E-2</v>
      </c>
      <c r="G166" s="105">
        <f t="shared" si="138"/>
        <v>0.1013120127474762</v>
      </c>
      <c r="H166" s="105">
        <f t="shared" si="138"/>
        <v>0.13084444018090105</v>
      </c>
      <c r="I166" s="105">
        <f t="shared" si="138"/>
        <v>0.14081059195771786</v>
      </c>
      <c r="J166" s="105">
        <f t="shared" si="138"/>
        <v>0.14042687695259123</v>
      </c>
      <c r="K166" s="105">
        <f t="shared" si="138"/>
        <v>0.1176496045689043</v>
      </c>
      <c r="L166" s="105">
        <f t="shared" ref="L166" si="139">IF(L55=0,0,L55/L$17)</f>
        <v>0.15507121679754221</v>
      </c>
      <c r="M166" s="105">
        <f t="shared" ref="M166:V166" si="140">IF(M55=0,0,M55/M$17)</f>
        <v>0.14589110073496483</v>
      </c>
      <c r="N166" s="105">
        <f t="shared" si="140"/>
        <v>0.14796338803357734</v>
      </c>
      <c r="O166" s="105">
        <f t="shared" si="140"/>
        <v>0.17100968635278913</v>
      </c>
      <c r="P166" s="105">
        <f t="shared" si="140"/>
        <v>0.16026001930262979</v>
      </c>
      <c r="Q166" s="105">
        <f t="shared" si="140"/>
        <v>0.1592171372743314</v>
      </c>
      <c r="R166" s="105">
        <f t="shared" si="140"/>
        <v>0.19334028167190578</v>
      </c>
      <c r="S166" s="105">
        <f t="shared" si="140"/>
        <v>0.25902031689318394</v>
      </c>
      <c r="T166" s="105">
        <f t="shared" si="140"/>
        <v>0.27652124242480824</v>
      </c>
      <c r="U166" s="105">
        <f t="shared" si="140"/>
        <v>0.25928347989222017</v>
      </c>
      <c r="V166" s="105">
        <f t="shared" si="140"/>
        <v>0.24406254139845796</v>
      </c>
      <c r="W166" s="105">
        <f t="shared" ref="W166:Y166" si="141">IF(W55=0,0,W55/W$17)</f>
        <v>0.28218601718895309</v>
      </c>
      <c r="X166" s="105">
        <f t="shared" si="141"/>
        <v>0.27279176548733819</v>
      </c>
      <c r="Y166" s="105">
        <f t="shared" si="141"/>
        <v>0.2427976808623459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3986.4832493147997</v>
      </c>
      <c r="C4" s="146">
        <f t="shared" si="0"/>
        <v>3979.4992860312</v>
      </c>
      <c r="D4" s="146">
        <f t="shared" si="0"/>
        <v>5031.7527426642364</v>
      </c>
      <c r="E4" s="146">
        <f t="shared" si="0"/>
        <v>4525.6873814172004</v>
      </c>
      <c r="F4" s="146">
        <f t="shared" si="0"/>
        <v>4494.0452270399992</v>
      </c>
      <c r="G4" s="146">
        <f t="shared" si="0"/>
        <v>5044.1471478648</v>
      </c>
      <c r="H4" s="146">
        <f t="shared" si="0"/>
        <v>5128.3466589780001</v>
      </c>
      <c r="I4" s="146">
        <f t="shared" si="0"/>
        <v>5638.0211494811992</v>
      </c>
      <c r="J4" s="146">
        <f t="shared" si="0"/>
        <v>6029.3905121303987</v>
      </c>
      <c r="K4" s="146">
        <f t="shared" si="0"/>
        <v>5352.2484494831988</v>
      </c>
      <c r="L4" s="146">
        <f t="shared" ref="L4" si="1">L5+L9+L10+L15</f>
        <v>6227.0165206800011</v>
      </c>
      <c r="M4" s="146">
        <f t="shared" ref="M4:V4" si="2">M5+M9+M10+M15</f>
        <v>6100.0931753999994</v>
      </c>
      <c r="N4" s="146">
        <f t="shared" si="2"/>
        <v>5923.8656623044017</v>
      </c>
      <c r="O4" s="146">
        <f t="shared" si="2"/>
        <v>5894.2247805288016</v>
      </c>
      <c r="P4" s="146">
        <f t="shared" si="2"/>
        <v>5742.8407857132006</v>
      </c>
      <c r="Q4" s="146">
        <f t="shared" si="2"/>
        <v>5671.4850490176013</v>
      </c>
      <c r="R4" s="146">
        <f t="shared" si="2"/>
        <v>6309.6905419451987</v>
      </c>
      <c r="S4" s="146">
        <f t="shared" si="2"/>
        <v>7336.0740354444015</v>
      </c>
      <c r="T4" s="146">
        <f t="shared" si="2"/>
        <v>7311.6956100491971</v>
      </c>
      <c r="U4" s="146">
        <f t="shared" si="2"/>
        <v>7285.2700943303989</v>
      </c>
      <c r="V4" s="146">
        <f t="shared" si="2"/>
        <v>6693.1453005408011</v>
      </c>
      <c r="W4" s="146">
        <f t="shared" ref="W4:Y4" si="3">W5+W9+W10+W15</f>
        <v>7114.7519450207992</v>
      </c>
      <c r="X4" s="146">
        <f t="shared" si="3"/>
        <v>7315.0006599539984</v>
      </c>
      <c r="Y4" s="146">
        <f t="shared" si="3"/>
        <v>7232.9669071560011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3986.4832493147997</v>
      </c>
      <c r="C5" s="101">
        <f t="shared" si="4"/>
        <v>3972.1782360312</v>
      </c>
      <c r="D5" s="101">
        <f t="shared" si="4"/>
        <v>5028.6223626642368</v>
      </c>
      <c r="E5" s="101">
        <f t="shared" si="4"/>
        <v>4516.4477114172005</v>
      </c>
      <c r="F5" s="101">
        <f t="shared" si="4"/>
        <v>4480.2109670399996</v>
      </c>
      <c r="G5" s="101">
        <f t="shared" si="4"/>
        <v>5025.6173178647996</v>
      </c>
      <c r="H5" s="101">
        <f t="shared" si="4"/>
        <v>5117.4913089780002</v>
      </c>
      <c r="I5" s="101">
        <f t="shared" si="4"/>
        <v>5595.4075894811995</v>
      </c>
      <c r="J5" s="101">
        <f t="shared" si="4"/>
        <v>6010.3557821303984</v>
      </c>
      <c r="K5" s="101">
        <f t="shared" si="4"/>
        <v>5333.6176394831991</v>
      </c>
      <c r="L5" s="101">
        <f t="shared" ref="L5" si="5">SUM(L6:L8)</f>
        <v>6203.892100680001</v>
      </c>
      <c r="M5" s="101">
        <f t="shared" ref="M5:V5" si="6">SUM(M6:M8)</f>
        <v>6074.6462153999992</v>
      </c>
      <c r="N5" s="101">
        <f t="shared" si="6"/>
        <v>5902.5083923044012</v>
      </c>
      <c r="O5" s="101">
        <f t="shared" si="6"/>
        <v>5877.058180528802</v>
      </c>
      <c r="P5" s="101">
        <f t="shared" si="6"/>
        <v>5722.8972357132006</v>
      </c>
      <c r="Q5" s="101">
        <f t="shared" si="6"/>
        <v>5653.561099017601</v>
      </c>
      <c r="R5" s="101">
        <f t="shared" si="6"/>
        <v>6293.028841945199</v>
      </c>
      <c r="S5" s="101">
        <f t="shared" si="6"/>
        <v>7319.4628254444015</v>
      </c>
      <c r="T5" s="101">
        <f t="shared" si="6"/>
        <v>7297.1042020091973</v>
      </c>
      <c r="U5" s="101">
        <f t="shared" si="6"/>
        <v>7269.8704423703994</v>
      </c>
      <c r="V5" s="101">
        <f t="shared" si="6"/>
        <v>6675.4735985808011</v>
      </c>
      <c r="W5" s="101">
        <f t="shared" ref="W5:Y5" si="7">SUM(W6:W8)</f>
        <v>7097.5853450207997</v>
      </c>
      <c r="X5" s="101">
        <f t="shared" si="7"/>
        <v>7295.9659299539981</v>
      </c>
      <c r="Y5" s="101">
        <f t="shared" si="7"/>
        <v>7215.3963871560009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2.9026504799999988</v>
      </c>
      <c r="H6" s="101">
        <v>2.9026504799999988</v>
      </c>
      <c r="I6" s="101">
        <v>2.9026504799999988</v>
      </c>
      <c r="J6" s="101">
        <v>2.9026504799999988</v>
      </c>
      <c r="K6" s="101">
        <v>2.9026504799999988</v>
      </c>
      <c r="L6" s="101">
        <v>5.8053009600000003</v>
      </c>
      <c r="M6" s="101">
        <v>84.175500959999994</v>
      </c>
      <c r="N6" s="101">
        <v>89.980574759999996</v>
      </c>
      <c r="O6" s="101">
        <v>95.785875720000007</v>
      </c>
      <c r="P6" s="101">
        <v>87.077924280000005</v>
      </c>
      <c r="Q6" s="101">
        <v>98.68829903999999</v>
      </c>
      <c r="R6" s="101">
        <v>95.785875720000007</v>
      </c>
      <c r="S6" s="101">
        <v>89.980574759999996</v>
      </c>
      <c r="T6" s="101">
        <v>92.88322524000003</v>
      </c>
      <c r="U6" s="101">
        <v>92.88322524000003</v>
      </c>
      <c r="V6" s="101">
        <v>89.980574759999996</v>
      </c>
      <c r="W6" s="101">
        <v>98.68829903999999</v>
      </c>
      <c r="X6" s="101">
        <v>98.68829903999999</v>
      </c>
      <c r="Y6" s="101">
        <v>101.59094952</v>
      </c>
      <c r="DA6" s="175" t="s">
        <v>741</v>
      </c>
    </row>
    <row r="7" spans="1:105" ht="11.45" customHeight="1" x14ac:dyDescent="0.25">
      <c r="A7" s="128" t="s">
        <v>53</v>
      </c>
      <c r="B7" s="101">
        <v>1755.40365</v>
      </c>
      <c r="C7" s="101">
        <v>1843.8013994400001</v>
      </c>
      <c r="D7" s="101">
        <v>2170.8225277199999</v>
      </c>
      <c r="E7" s="101">
        <v>2012.4304200000001</v>
      </c>
      <c r="F7" s="101">
        <v>1837.7362911599998</v>
      </c>
      <c r="G7" s="101">
        <v>1934.77827312</v>
      </c>
      <c r="H7" s="101">
        <v>1833.3035305199999</v>
      </c>
      <c r="I7" s="101">
        <v>1859.00670648</v>
      </c>
      <c r="J7" s="101">
        <v>1970.8089231599999</v>
      </c>
      <c r="K7" s="101">
        <v>1771.34342616</v>
      </c>
      <c r="L7" s="101">
        <v>1739.4212127599999</v>
      </c>
      <c r="M7" s="101">
        <v>1653.5050408799998</v>
      </c>
      <c r="N7" s="101">
        <v>1609.557642</v>
      </c>
      <c r="O7" s="101">
        <v>1632.58813872</v>
      </c>
      <c r="P7" s="101">
        <v>1600.41619584</v>
      </c>
      <c r="Q7" s="101">
        <v>1673.5914241200001</v>
      </c>
      <c r="R7" s="101">
        <v>1767.88089324</v>
      </c>
      <c r="S7" s="101">
        <v>1767.5186482799998</v>
      </c>
      <c r="T7" s="101">
        <v>1656.2767636799999</v>
      </c>
      <c r="U7" s="101">
        <v>1592.33953032</v>
      </c>
      <c r="V7" s="101">
        <v>1461.3540480000001</v>
      </c>
      <c r="W7" s="101">
        <v>1488.6189687599999</v>
      </c>
      <c r="X7" s="101">
        <v>1564.5816370799998</v>
      </c>
      <c r="Y7" s="101">
        <v>1689.19066008</v>
      </c>
      <c r="DA7" s="175" t="s">
        <v>742</v>
      </c>
    </row>
    <row r="8" spans="1:105" ht="11.45" customHeight="1" x14ac:dyDescent="0.25">
      <c r="A8" s="128" t="s">
        <v>54</v>
      </c>
      <c r="B8" s="101">
        <v>2231.0795993147995</v>
      </c>
      <c r="C8" s="101">
        <v>2128.3768365912001</v>
      </c>
      <c r="D8" s="101">
        <v>2857.7998349442364</v>
      </c>
      <c r="E8" s="101">
        <v>2504.0172914171999</v>
      </c>
      <c r="F8" s="101">
        <v>2642.4746758799997</v>
      </c>
      <c r="G8" s="101">
        <v>3087.9363942647997</v>
      </c>
      <c r="H8" s="101">
        <v>3281.2851279780002</v>
      </c>
      <c r="I8" s="101">
        <v>3733.4982325212</v>
      </c>
      <c r="J8" s="101">
        <v>4036.6442084903983</v>
      </c>
      <c r="K8" s="101">
        <v>3559.3715628431992</v>
      </c>
      <c r="L8" s="101">
        <v>4458.6655869600008</v>
      </c>
      <c r="M8" s="101">
        <v>4336.9656735599992</v>
      </c>
      <c r="N8" s="101">
        <v>4202.9701755444012</v>
      </c>
      <c r="O8" s="101">
        <v>4148.6841660888022</v>
      </c>
      <c r="P8" s="101">
        <v>4035.4031155932012</v>
      </c>
      <c r="Q8" s="101">
        <v>3881.2813758576012</v>
      </c>
      <c r="R8" s="101">
        <v>4429.3620729851991</v>
      </c>
      <c r="S8" s="101">
        <v>5461.9636024044012</v>
      </c>
      <c r="T8" s="101">
        <v>5547.9442130891975</v>
      </c>
      <c r="U8" s="101">
        <v>5584.6476868103991</v>
      </c>
      <c r="V8" s="101">
        <v>5124.1389758208006</v>
      </c>
      <c r="W8" s="101">
        <v>5510.2780772207998</v>
      </c>
      <c r="X8" s="101">
        <v>5632.6959938339987</v>
      </c>
      <c r="Y8" s="101">
        <v>5424.6147775560012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7.3210500000000014</v>
      </c>
      <c r="D9" s="101">
        <v>3.1303799999999993</v>
      </c>
      <c r="E9" s="101">
        <v>9.2396700000000003</v>
      </c>
      <c r="F9" s="101">
        <v>13.834260000000002</v>
      </c>
      <c r="G9" s="101">
        <v>18.52983</v>
      </c>
      <c r="H9" s="101">
        <v>10.855350000000001</v>
      </c>
      <c r="I9" s="101">
        <v>42.61356</v>
      </c>
      <c r="J9" s="101">
        <v>19.034730000000003</v>
      </c>
      <c r="K9" s="101">
        <v>18.63081</v>
      </c>
      <c r="L9" s="101">
        <v>23.124420000000001</v>
      </c>
      <c r="M9" s="101">
        <v>25.446959999999986</v>
      </c>
      <c r="N9" s="101">
        <v>21.35727</v>
      </c>
      <c r="O9" s="101">
        <v>17.166599999999999</v>
      </c>
      <c r="P9" s="101">
        <v>19.943550000000002</v>
      </c>
      <c r="Q9" s="101">
        <v>17.923950000000001</v>
      </c>
      <c r="R9" s="101">
        <v>16.661700000000003</v>
      </c>
      <c r="S9" s="101">
        <v>16.61121</v>
      </c>
      <c r="T9" s="101">
        <v>14.591408040000001</v>
      </c>
      <c r="U9" s="101">
        <v>15.399651960000002</v>
      </c>
      <c r="V9" s="101">
        <v>17.671701960000004</v>
      </c>
      <c r="W9" s="101">
        <v>17.166599999999999</v>
      </c>
      <c r="X9" s="101">
        <v>19.034730000000003</v>
      </c>
      <c r="Y9" s="101">
        <v>17.570520000000002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3986.4832493147992</v>
      </c>
      <c r="C17" s="79">
        <f t="shared" si="12"/>
        <v>3979.4992860312004</v>
      </c>
      <c r="D17" s="79">
        <f t="shared" si="12"/>
        <v>5031.7527426642355</v>
      </c>
      <c r="E17" s="79">
        <f t="shared" si="12"/>
        <v>4525.6873814171995</v>
      </c>
      <c r="F17" s="79">
        <f t="shared" si="12"/>
        <v>4494.0452270400001</v>
      </c>
      <c r="G17" s="79">
        <f t="shared" si="12"/>
        <v>5044.1471478648</v>
      </c>
      <c r="H17" s="79">
        <f t="shared" si="12"/>
        <v>5128.3466589780001</v>
      </c>
      <c r="I17" s="79">
        <f t="shared" si="12"/>
        <v>5638.0211494812002</v>
      </c>
      <c r="J17" s="79">
        <f t="shared" si="12"/>
        <v>6029.3905121303978</v>
      </c>
      <c r="K17" s="79">
        <f t="shared" si="12"/>
        <v>5352.2484494831988</v>
      </c>
      <c r="L17" s="79">
        <f t="shared" ref="L17" si="13">SUM(L18,L33)</f>
        <v>6227.0165206800011</v>
      </c>
      <c r="M17" s="79">
        <f t="shared" ref="M17:V17" si="14">SUM(M18,M33)</f>
        <v>6100.0931753999994</v>
      </c>
      <c r="N17" s="79">
        <f t="shared" si="14"/>
        <v>5923.8656623044008</v>
      </c>
      <c r="O17" s="79">
        <f t="shared" si="14"/>
        <v>5894.2247805288007</v>
      </c>
      <c r="P17" s="79">
        <f t="shared" si="14"/>
        <v>5742.8407857132006</v>
      </c>
      <c r="Q17" s="79">
        <f t="shared" si="14"/>
        <v>5671.4850490176023</v>
      </c>
      <c r="R17" s="79">
        <f t="shared" si="14"/>
        <v>6309.6905419451987</v>
      </c>
      <c r="S17" s="79">
        <f t="shared" si="14"/>
        <v>7336.0740354444015</v>
      </c>
      <c r="T17" s="79">
        <f t="shared" si="14"/>
        <v>7311.6956100491971</v>
      </c>
      <c r="U17" s="79">
        <f t="shared" si="14"/>
        <v>7285.2700943303989</v>
      </c>
      <c r="V17" s="79">
        <f t="shared" si="14"/>
        <v>6693.1453005408002</v>
      </c>
      <c r="W17" s="79">
        <f t="shared" ref="W17:Y17" si="15">SUM(W18,W33)</f>
        <v>7114.7519450208001</v>
      </c>
      <c r="X17" s="79">
        <f t="shared" si="15"/>
        <v>7315.0006599539975</v>
      </c>
      <c r="Y17" s="79">
        <f t="shared" si="15"/>
        <v>7232.9669071560002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2798.201136047187</v>
      </c>
      <c r="C18" s="32">
        <f t="shared" si="16"/>
        <v>2830.9969141828074</v>
      </c>
      <c r="D18" s="32">
        <f t="shared" si="16"/>
        <v>3286.5388661831198</v>
      </c>
      <c r="E18" s="32">
        <f t="shared" si="16"/>
        <v>3167.5827967903497</v>
      </c>
      <c r="F18" s="32">
        <f t="shared" si="16"/>
        <v>2950.1135534000546</v>
      </c>
      <c r="G18" s="32">
        <f t="shared" si="16"/>
        <v>3055.7604343385269</v>
      </c>
      <c r="H18" s="32">
        <f t="shared" si="16"/>
        <v>2954.0961643483442</v>
      </c>
      <c r="I18" s="32">
        <f t="shared" si="16"/>
        <v>3137.6034705679449</v>
      </c>
      <c r="J18" s="32">
        <f t="shared" si="16"/>
        <v>3253.3351932697024</v>
      </c>
      <c r="K18" s="32">
        <f t="shared" si="16"/>
        <v>3024.0092022678946</v>
      </c>
      <c r="L18" s="32">
        <f t="shared" ref="L18" si="17">SUM(L19,L20,L27)</f>
        <v>3074.8353096898381</v>
      </c>
      <c r="M18" s="32">
        <f t="shared" ref="M18:V18" si="18">SUM(M19,M20,M27)</f>
        <v>3013.4286497224116</v>
      </c>
      <c r="N18" s="32">
        <f t="shared" si="18"/>
        <v>2950.6298541330711</v>
      </c>
      <c r="O18" s="32">
        <f t="shared" si="18"/>
        <v>2938.2746544658985</v>
      </c>
      <c r="P18" s="32">
        <f t="shared" si="18"/>
        <v>2873.1974795694696</v>
      </c>
      <c r="Q18" s="32">
        <f t="shared" si="18"/>
        <v>2890.722718029896</v>
      </c>
      <c r="R18" s="32">
        <f t="shared" si="18"/>
        <v>2926.8177172701517</v>
      </c>
      <c r="S18" s="32">
        <f t="shared" si="18"/>
        <v>3010.8831430613554</v>
      </c>
      <c r="T18" s="32">
        <f t="shared" si="18"/>
        <v>2937.9948646647258</v>
      </c>
      <c r="U18" s="32">
        <f t="shared" si="18"/>
        <v>2901.4495797476493</v>
      </c>
      <c r="V18" s="32">
        <f t="shared" si="18"/>
        <v>2635.5048924922589</v>
      </c>
      <c r="W18" s="32">
        <f t="shared" ref="W18:Y18" si="19">SUM(W19,W20,W27)</f>
        <v>2712.6626828213084</v>
      </c>
      <c r="X18" s="32">
        <f t="shared" si="19"/>
        <v>2810.4915890517595</v>
      </c>
      <c r="Y18" s="32">
        <f t="shared" si="19"/>
        <v>2940.5596367831513</v>
      </c>
      <c r="DA18" s="173" t="s">
        <v>403</v>
      </c>
    </row>
    <row r="19" spans="1:105" ht="11.45" customHeight="1" x14ac:dyDescent="0.25">
      <c r="A19" s="136" t="s">
        <v>173</v>
      </c>
      <c r="B19" s="141">
        <v>5.8867250273817575</v>
      </c>
      <c r="C19" s="141">
        <v>6.2170978340259699</v>
      </c>
      <c r="D19" s="141">
        <v>5.4429051745897334</v>
      </c>
      <c r="E19" s="141">
        <v>5.5374090981940745</v>
      </c>
      <c r="F19" s="141">
        <v>5.8397902573174116</v>
      </c>
      <c r="G19" s="141">
        <v>6.3926392861429582</v>
      </c>
      <c r="H19" s="141">
        <v>6.6183502235860461</v>
      </c>
      <c r="I19" s="141">
        <v>7.1142190751237591</v>
      </c>
      <c r="J19" s="141">
        <v>7.7010019172612116</v>
      </c>
      <c r="K19" s="141">
        <v>6.5534851731997481</v>
      </c>
      <c r="L19" s="141">
        <v>6.0091895096541963</v>
      </c>
      <c r="M19" s="141">
        <v>7.2768460986729844</v>
      </c>
      <c r="N19" s="141">
        <v>8.513553788845341</v>
      </c>
      <c r="O19" s="141">
        <v>8.6625280258890847</v>
      </c>
      <c r="P19" s="141">
        <v>9.4574921794925437</v>
      </c>
      <c r="Q19" s="141">
        <v>10.516240655994604</v>
      </c>
      <c r="R19" s="141">
        <v>11.284494228371502</v>
      </c>
      <c r="S19" s="141">
        <v>10.616094102233772</v>
      </c>
      <c r="T19" s="141">
        <v>10.164986583423342</v>
      </c>
      <c r="U19" s="141">
        <v>10.778784807454878</v>
      </c>
      <c r="V19" s="141">
        <v>9.5450440278654813</v>
      </c>
      <c r="W19" s="141">
        <v>9.9745539525221432</v>
      </c>
      <c r="X19" s="141">
        <v>10.127802298246548</v>
      </c>
      <c r="Y19" s="141">
        <v>10.832238636822204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2230.227883179829</v>
      </c>
      <c r="C20" s="130">
        <f t="shared" si="20"/>
        <v>2309.2416731549811</v>
      </c>
      <c r="D20" s="130">
        <f t="shared" si="20"/>
        <v>2748.2915801911809</v>
      </c>
      <c r="E20" s="130">
        <f t="shared" si="20"/>
        <v>2618.8406349464485</v>
      </c>
      <c r="F20" s="130">
        <f t="shared" si="20"/>
        <v>2442.6298032587729</v>
      </c>
      <c r="G20" s="130">
        <f t="shared" si="20"/>
        <v>2570.7710871990266</v>
      </c>
      <c r="H20" s="130">
        <f t="shared" si="20"/>
        <v>2474.3466451818499</v>
      </c>
      <c r="I20" s="130">
        <f t="shared" si="20"/>
        <v>2566.2399298390574</v>
      </c>
      <c r="J20" s="130">
        <f t="shared" si="20"/>
        <v>2697.1320296044969</v>
      </c>
      <c r="K20" s="130">
        <f t="shared" si="20"/>
        <v>2513.6753035876382</v>
      </c>
      <c r="L20" s="130">
        <f t="shared" ref="L20" si="21">SUM(L21:L26)</f>
        <v>2574.8359199085962</v>
      </c>
      <c r="M20" s="130">
        <f t="shared" ref="M20:V20" si="22">SUM(M21:M26)</f>
        <v>2548.5856623377872</v>
      </c>
      <c r="N20" s="130">
        <f t="shared" si="22"/>
        <v>2487.5737691773434</v>
      </c>
      <c r="O20" s="130">
        <f t="shared" si="22"/>
        <v>2491.1708387533854</v>
      </c>
      <c r="P20" s="130">
        <f t="shared" si="22"/>
        <v>2432.7588766993949</v>
      </c>
      <c r="Q20" s="130">
        <f t="shared" si="22"/>
        <v>2459.9054709354045</v>
      </c>
      <c r="R20" s="130">
        <f t="shared" si="22"/>
        <v>2511.4971957017556</v>
      </c>
      <c r="S20" s="130">
        <f t="shared" si="22"/>
        <v>2563.5905899287113</v>
      </c>
      <c r="T20" s="130">
        <f t="shared" si="22"/>
        <v>2478.1528054320638</v>
      </c>
      <c r="U20" s="130">
        <f t="shared" si="22"/>
        <v>2431.1419386281464</v>
      </c>
      <c r="V20" s="130">
        <f t="shared" si="22"/>
        <v>2237.7065010660071</v>
      </c>
      <c r="W20" s="130">
        <f t="shared" ref="W20:Y20" si="23">SUM(W21:W26)</f>
        <v>2313.7623227906079</v>
      </c>
      <c r="X20" s="130">
        <f t="shared" si="23"/>
        <v>2386.428241127217</v>
      </c>
      <c r="Y20" s="130">
        <f t="shared" si="23"/>
        <v>2515.1430719774826</v>
      </c>
      <c r="DA20" s="176" t="s">
        <v>405</v>
      </c>
    </row>
    <row r="21" spans="1:105" ht="11.45" customHeight="1" x14ac:dyDescent="0.25">
      <c r="A21" s="111" t="s">
        <v>110</v>
      </c>
      <c r="B21" s="96">
        <v>1600.9821932813204</v>
      </c>
      <c r="C21" s="96">
        <v>1687.8358460406969</v>
      </c>
      <c r="D21" s="96">
        <v>2014.5754964685448</v>
      </c>
      <c r="E21" s="96">
        <v>1859.4100176233542</v>
      </c>
      <c r="F21" s="96">
        <v>1658.7874222499261</v>
      </c>
      <c r="G21" s="96">
        <v>1755.5995273947135</v>
      </c>
      <c r="H21" s="96">
        <v>1653.2018299526567</v>
      </c>
      <c r="I21" s="96">
        <v>1668.9578712485165</v>
      </c>
      <c r="J21" s="96">
        <v>1773.5700278480458</v>
      </c>
      <c r="K21" s="96">
        <v>1581.8302567465612</v>
      </c>
      <c r="L21" s="96">
        <v>1597.0964320181247</v>
      </c>
      <c r="M21" s="96">
        <v>1505.5545640249306</v>
      </c>
      <c r="N21" s="96">
        <v>1456.9154949654294</v>
      </c>
      <c r="O21" s="96">
        <v>1476.2985056843686</v>
      </c>
      <c r="P21" s="96">
        <v>1453.7716320210395</v>
      </c>
      <c r="Q21" s="96">
        <v>1500.6033421773445</v>
      </c>
      <c r="R21" s="96">
        <v>1570.9670715960237</v>
      </c>
      <c r="S21" s="96">
        <v>1590.6417156683751</v>
      </c>
      <c r="T21" s="96">
        <v>1485.7687965073044</v>
      </c>
      <c r="U21" s="96">
        <v>1443.6044413604409</v>
      </c>
      <c r="V21" s="96">
        <v>1315.567882413842</v>
      </c>
      <c r="W21" s="96">
        <v>1341.5978240923846</v>
      </c>
      <c r="X21" s="96">
        <v>1415.4310458536727</v>
      </c>
      <c r="Y21" s="96">
        <v>1537.5778608961791</v>
      </c>
      <c r="DA21" s="171" t="s">
        <v>751</v>
      </c>
    </row>
    <row r="22" spans="1:105" ht="11.45" customHeight="1" x14ac:dyDescent="0.25">
      <c r="A22" s="111" t="s">
        <v>111</v>
      </c>
      <c r="B22" s="96">
        <v>629.24568989850866</v>
      </c>
      <c r="C22" s="96">
        <v>614.08477711428418</v>
      </c>
      <c r="D22" s="96">
        <v>730.58570372263614</v>
      </c>
      <c r="E22" s="96">
        <v>750.19094732309463</v>
      </c>
      <c r="F22" s="96">
        <v>770.00812100884662</v>
      </c>
      <c r="G22" s="96">
        <v>793.73907932431302</v>
      </c>
      <c r="H22" s="96">
        <v>807.38681474919326</v>
      </c>
      <c r="I22" s="96">
        <v>851.76584811054113</v>
      </c>
      <c r="J22" s="96">
        <v>901.62462127645153</v>
      </c>
      <c r="K22" s="96">
        <v>910.31158636107705</v>
      </c>
      <c r="L22" s="96">
        <v>948.80976693047182</v>
      </c>
      <c r="M22" s="96">
        <v>933.40863735285643</v>
      </c>
      <c r="N22" s="96">
        <v>919.35495298910871</v>
      </c>
      <c r="O22" s="96">
        <v>901.95866211674615</v>
      </c>
      <c r="P22" s="96">
        <v>881.52747458800582</v>
      </c>
      <c r="Q22" s="96">
        <v>852.4276892762847</v>
      </c>
      <c r="R22" s="96">
        <v>842.23648253356237</v>
      </c>
      <c r="S22" s="96">
        <v>882.11852407348442</v>
      </c>
      <c r="T22" s="96">
        <v>900.08599598292142</v>
      </c>
      <c r="U22" s="96">
        <v>897.87180016246907</v>
      </c>
      <c r="V22" s="96">
        <v>836.0907464003327</v>
      </c>
      <c r="W22" s="96">
        <v>877.46368973155256</v>
      </c>
      <c r="X22" s="96">
        <v>875.14239320290949</v>
      </c>
      <c r="Y22" s="96">
        <v>878.57917221845094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2.9026504799999988</v>
      </c>
      <c r="H23" s="96">
        <v>2.9026504799999988</v>
      </c>
      <c r="I23" s="96">
        <v>2.9026504799999988</v>
      </c>
      <c r="J23" s="96">
        <v>2.9026504799999988</v>
      </c>
      <c r="K23" s="96">
        <v>2.9026504799999988</v>
      </c>
      <c r="L23" s="96">
        <v>5.8053009600000003</v>
      </c>
      <c r="M23" s="96">
        <v>84.175500959999994</v>
      </c>
      <c r="N23" s="96">
        <v>89.959329202014374</v>
      </c>
      <c r="O23" s="96">
        <v>95.773401857531027</v>
      </c>
      <c r="P23" s="96">
        <v>77.518248689218908</v>
      </c>
      <c r="Q23" s="96">
        <v>88.943727298388126</v>
      </c>
      <c r="R23" s="96">
        <v>85.052473564957396</v>
      </c>
      <c r="S23" s="96">
        <v>78.863576527121467</v>
      </c>
      <c r="T23" s="96">
        <v>81.476332980398482</v>
      </c>
      <c r="U23" s="96">
        <v>81.089061583355004</v>
      </c>
      <c r="V23" s="96">
        <v>77.931676582406823</v>
      </c>
      <c r="W23" s="96">
        <v>86.671388356323973</v>
      </c>
      <c r="X23" s="96">
        <v>86.701516622508024</v>
      </c>
      <c r="Y23" s="96">
        <v>89.692207009667868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7.3210500000000014</v>
      </c>
      <c r="D24" s="96">
        <v>3.1303799999999993</v>
      </c>
      <c r="E24" s="96">
        <v>9.2396700000000003</v>
      </c>
      <c r="F24" s="96">
        <v>13.834260000000002</v>
      </c>
      <c r="G24" s="96">
        <v>18.52983</v>
      </c>
      <c r="H24" s="96">
        <v>10.855350000000001</v>
      </c>
      <c r="I24" s="96">
        <v>42.61356</v>
      </c>
      <c r="J24" s="96">
        <v>19.034730000000003</v>
      </c>
      <c r="K24" s="96">
        <v>18.63081</v>
      </c>
      <c r="L24" s="96">
        <v>23.124420000000001</v>
      </c>
      <c r="M24" s="96">
        <v>25.446959999999986</v>
      </c>
      <c r="N24" s="96">
        <v>21.342546598557082</v>
      </c>
      <c r="O24" s="96">
        <v>17.138790846566</v>
      </c>
      <c r="P24" s="96">
        <v>19.922043843617367</v>
      </c>
      <c r="Q24" s="96">
        <v>17.897886202383958</v>
      </c>
      <c r="R24" s="96">
        <v>13.144034279486252</v>
      </c>
      <c r="S24" s="96">
        <v>11.732490646291181</v>
      </c>
      <c r="T24" s="96">
        <v>10.513435993263984</v>
      </c>
      <c r="U24" s="96">
        <v>8.2180148149394032</v>
      </c>
      <c r="V24" s="96">
        <v>7.5927462250856923</v>
      </c>
      <c r="W24" s="96">
        <v>7.3643248580481897</v>
      </c>
      <c r="X24" s="96">
        <v>8.1991464691143214</v>
      </c>
      <c r="Y24" s="96">
        <v>7.7301577225802616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1.4454222336075506E-3</v>
      </c>
      <c r="O25" s="96">
        <v>1.4782481740747593E-3</v>
      </c>
      <c r="P25" s="96">
        <v>1.9477557513310984E-2</v>
      </c>
      <c r="Q25" s="96">
        <v>3.2825981002903924E-2</v>
      </c>
      <c r="R25" s="96">
        <v>9.7133727725641827E-2</v>
      </c>
      <c r="S25" s="96">
        <v>0.23428301343889998</v>
      </c>
      <c r="T25" s="96">
        <v>0.30824396817541172</v>
      </c>
      <c r="U25" s="96">
        <v>0.35862070694210535</v>
      </c>
      <c r="V25" s="96">
        <v>0.52344944433982299</v>
      </c>
      <c r="W25" s="96">
        <v>0.66509575229858742</v>
      </c>
      <c r="X25" s="96">
        <v>0.95413897901280498</v>
      </c>
      <c r="Y25" s="96">
        <v>1.5636741306043949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562.08652783997638</v>
      </c>
      <c r="C27" s="130">
        <f t="shared" si="24"/>
        <v>515.53814319380035</v>
      </c>
      <c r="D27" s="130">
        <f t="shared" si="24"/>
        <v>532.8043808173494</v>
      </c>
      <c r="E27" s="130">
        <f t="shared" si="24"/>
        <v>543.20475274570686</v>
      </c>
      <c r="F27" s="130">
        <f t="shared" si="24"/>
        <v>501.64395988396433</v>
      </c>
      <c r="G27" s="130">
        <f t="shared" si="24"/>
        <v>478.59670785335703</v>
      </c>
      <c r="H27" s="130">
        <f t="shared" si="24"/>
        <v>473.13116894290835</v>
      </c>
      <c r="I27" s="130">
        <f t="shared" si="24"/>
        <v>564.24932165376367</v>
      </c>
      <c r="J27" s="130">
        <f t="shared" si="24"/>
        <v>548.50216174794423</v>
      </c>
      <c r="K27" s="130">
        <f t="shared" si="24"/>
        <v>503.78041350705683</v>
      </c>
      <c r="L27" s="130">
        <f t="shared" ref="L27" si="25">SUM(L28:L32)</f>
        <v>493.99020027158747</v>
      </c>
      <c r="M27" s="130">
        <f t="shared" ref="M27:V27" si="26">SUM(M28:M32)</f>
        <v>457.56614128595146</v>
      </c>
      <c r="N27" s="130">
        <f t="shared" si="26"/>
        <v>454.54253116688244</v>
      </c>
      <c r="O27" s="130">
        <f t="shared" si="26"/>
        <v>438.44128768662381</v>
      </c>
      <c r="P27" s="130">
        <f t="shared" si="26"/>
        <v>430.98111069058211</v>
      </c>
      <c r="Q27" s="130">
        <f t="shared" si="26"/>
        <v>420.30100643849642</v>
      </c>
      <c r="R27" s="130">
        <f t="shared" si="26"/>
        <v>404.03602734002476</v>
      </c>
      <c r="S27" s="130">
        <f t="shared" si="26"/>
        <v>436.67645903041034</v>
      </c>
      <c r="T27" s="130">
        <f t="shared" si="26"/>
        <v>449.67707264923848</v>
      </c>
      <c r="U27" s="130">
        <f t="shared" si="26"/>
        <v>459.52885631204816</v>
      </c>
      <c r="V27" s="130">
        <f t="shared" si="26"/>
        <v>388.25334739838615</v>
      </c>
      <c r="W27" s="130">
        <f t="shared" ref="W27:Y27" si="27">SUM(W28:W32)</f>
        <v>388.92580607817837</v>
      </c>
      <c r="X27" s="130">
        <f t="shared" si="27"/>
        <v>413.935545626296</v>
      </c>
      <c r="Y27" s="130">
        <f t="shared" si="27"/>
        <v>414.58432616884659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X28" s="97">
        <v>0</v>
      </c>
      <c r="Y28" s="97">
        <v>0</v>
      </c>
      <c r="DA28" s="175" t="s">
        <v>757</v>
      </c>
    </row>
    <row r="29" spans="1:105" ht="11.45" customHeight="1" x14ac:dyDescent="0.25">
      <c r="A29" s="111" t="s">
        <v>111</v>
      </c>
      <c r="B29" s="97">
        <v>562.08652783997638</v>
      </c>
      <c r="C29" s="97">
        <v>515.53814319380035</v>
      </c>
      <c r="D29" s="97">
        <v>532.8043808173494</v>
      </c>
      <c r="E29" s="97">
        <v>543.20475274570686</v>
      </c>
      <c r="F29" s="97">
        <v>501.64395988396433</v>
      </c>
      <c r="G29" s="97">
        <v>478.59670785335703</v>
      </c>
      <c r="H29" s="97">
        <v>473.13116894290835</v>
      </c>
      <c r="I29" s="97">
        <v>564.24932165376367</v>
      </c>
      <c r="J29" s="97">
        <v>548.50216174794423</v>
      </c>
      <c r="K29" s="97">
        <v>503.78041350705683</v>
      </c>
      <c r="L29" s="97">
        <v>493.99020027158747</v>
      </c>
      <c r="M29" s="97">
        <v>457.56614128595146</v>
      </c>
      <c r="N29" s="97">
        <v>454.54253116688244</v>
      </c>
      <c r="O29" s="97">
        <v>438.44128768662381</v>
      </c>
      <c r="P29" s="97">
        <v>430.98111069058211</v>
      </c>
      <c r="Q29" s="97">
        <v>420.30100643849642</v>
      </c>
      <c r="R29" s="97">
        <v>401.36500065011757</v>
      </c>
      <c r="S29" s="97">
        <v>432.6713619204578</v>
      </c>
      <c r="T29" s="97">
        <v>446.94078229946422</v>
      </c>
      <c r="U29" s="97">
        <v>453.95684647850868</v>
      </c>
      <c r="V29" s="97">
        <v>381.06644407075663</v>
      </c>
      <c r="W29" s="97">
        <v>381.94971940376217</v>
      </c>
      <c r="X29" s="97">
        <v>406.11847422959897</v>
      </c>
      <c r="Y29" s="97">
        <v>407.46113429943279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2.6710266899072059</v>
      </c>
      <c r="S31" s="97">
        <v>4.0050971099525556</v>
      </c>
      <c r="T31" s="97">
        <v>2.7362903497742499</v>
      </c>
      <c r="U31" s="97">
        <v>5.5720098335394788</v>
      </c>
      <c r="V31" s="97">
        <v>7.1869033276295324</v>
      </c>
      <c r="W31" s="97">
        <v>6.9760866744161811</v>
      </c>
      <c r="X31" s="97">
        <v>7.8170713966970533</v>
      </c>
      <c r="Y31" s="97">
        <v>7.1231918694137883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1188.2821132676122</v>
      </c>
      <c r="C33" s="32">
        <f t="shared" si="28"/>
        <v>1148.5023718483931</v>
      </c>
      <c r="D33" s="32">
        <f t="shared" si="28"/>
        <v>1745.2138764811161</v>
      </c>
      <c r="E33" s="32">
        <f t="shared" si="28"/>
        <v>1358.1045846268501</v>
      </c>
      <c r="F33" s="32">
        <f t="shared" si="28"/>
        <v>1543.9316736399455</v>
      </c>
      <c r="G33" s="32">
        <f t="shared" si="28"/>
        <v>1988.3867135262726</v>
      </c>
      <c r="H33" s="32">
        <f t="shared" si="28"/>
        <v>2174.2504946296553</v>
      </c>
      <c r="I33" s="32">
        <f t="shared" si="28"/>
        <v>2500.4176789132553</v>
      </c>
      <c r="J33" s="32">
        <f t="shared" si="28"/>
        <v>2776.0553188606955</v>
      </c>
      <c r="K33" s="32">
        <f t="shared" si="28"/>
        <v>2328.2392472153042</v>
      </c>
      <c r="L33" s="32">
        <f t="shared" ref="L33" si="29">L34+L40</f>
        <v>3152.1812109901625</v>
      </c>
      <c r="M33" s="32">
        <f t="shared" ref="M33:V33" si="30">M34+M40</f>
        <v>3086.6645256775873</v>
      </c>
      <c r="N33" s="32">
        <f t="shared" si="30"/>
        <v>2973.2358081713301</v>
      </c>
      <c r="O33" s="32">
        <f t="shared" si="30"/>
        <v>2955.9501260629027</v>
      </c>
      <c r="P33" s="32">
        <f t="shared" si="30"/>
        <v>2869.6433061437315</v>
      </c>
      <c r="Q33" s="32">
        <f t="shared" si="30"/>
        <v>2780.7623309877063</v>
      </c>
      <c r="R33" s="32">
        <f t="shared" si="30"/>
        <v>3382.872824675047</v>
      </c>
      <c r="S33" s="32">
        <f t="shared" si="30"/>
        <v>4325.190892383046</v>
      </c>
      <c r="T33" s="32">
        <f t="shared" si="30"/>
        <v>4373.7007453844717</v>
      </c>
      <c r="U33" s="32">
        <f t="shared" si="30"/>
        <v>4383.8205145827496</v>
      </c>
      <c r="V33" s="32">
        <f t="shared" si="30"/>
        <v>4057.6404080485418</v>
      </c>
      <c r="W33" s="32">
        <f t="shared" ref="W33:Y33" si="31">W34+W40</f>
        <v>4402.0892621994917</v>
      </c>
      <c r="X33" s="32">
        <f t="shared" si="31"/>
        <v>4504.5090709022379</v>
      </c>
      <c r="Y33" s="32">
        <f t="shared" si="31"/>
        <v>4292.4072703728489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541.87103788136415</v>
      </c>
      <c r="C34" s="141">
        <f t="shared" si="32"/>
        <v>544.26401097474866</v>
      </c>
      <c r="D34" s="141">
        <f t="shared" si="32"/>
        <v>662.10822297981952</v>
      </c>
      <c r="E34" s="141">
        <f t="shared" si="32"/>
        <v>619.51706589858395</v>
      </c>
      <c r="F34" s="141">
        <f t="shared" si="32"/>
        <v>659.90228174812137</v>
      </c>
      <c r="G34" s="141">
        <f t="shared" si="32"/>
        <v>729.95583620786135</v>
      </c>
      <c r="H34" s="141">
        <f t="shared" si="32"/>
        <v>661.06380449260951</v>
      </c>
      <c r="I34" s="141">
        <f t="shared" si="32"/>
        <v>788.6010690030123</v>
      </c>
      <c r="J34" s="141">
        <f t="shared" si="32"/>
        <v>781.40391111510121</v>
      </c>
      <c r="K34" s="141">
        <f t="shared" si="32"/>
        <v>765.34566280777074</v>
      </c>
      <c r="L34" s="141">
        <f t="shared" ref="L34" si="33">SUM(L35:L39)</f>
        <v>898.58076048977853</v>
      </c>
      <c r="M34" s="141">
        <f t="shared" ref="M34:V34" si="34">SUM(M35:M39)</f>
        <v>942.45510235997494</v>
      </c>
      <c r="N34" s="141">
        <f t="shared" si="34"/>
        <v>921.97165067293736</v>
      </c>
      <c r="O34" s="141">
        <f t="shared" si="34"/>
        <v>808.75095526622556</v>
      </c>
      <c r="P34" s="141">
        <f t="shared" si="34"/>
        <v>721.73151298615664</v>
      </c>
      <c r="Q34" s="141">
        <f t="shared" si="34"/>
        <v>779.70571320300098</v>
      </c>
      <c r="R34" s="141">
        <f t="shared" si="34"/>
        <v>791.41930870089357</v>
      </c>
      <c r="S34" s="141">
        <f t="shared" si="34"/>
        <v>863.00780336368348</v>
      </c>
      <c r="T34" s="141">
        <f t="shared" si="34"/>
        <v>846.10765189603558</v>
      </c>
      <c r="U34" s="141">
        <f t="shared" si="34"/>
        <v>839.31662714239314</v>
      </c>
      <c r="V34" s="141">
        <f t="shared" si="34"/>
        <v>859.7000179056198</v>
      </c>
      <c r="W34" s="141">
        <f t="shared" ref="W34:Y34" si="35">SUM(W35:W39)</f>
        <v>820.46837601652953</v>
      </c>
      <c r="X34" s="141">
        <f t="shared" si="35"/>
        <v>857.16459177820684</v>
      </c>
      <c r="Y34" s="141">
        <f t="shared" si="35"/>
        <v>888.89663208549143</v>
      </c>
      <c r="DA34" s="174" t="s">
        <v>412</v>
      </c>
    </row>
    <row r="35" spans="1:105" ht="11.45" customHeight="1" x14ac:dyDescent="0.25">
      <c r="A35" s="111" t="s">
        <v>110</v>
      </c>
      <c r="B35" s="96">
        <v>148.53473169129776</v>
      </c>
      <c r="C35" s="96">
        <v>149.74845556527717</v>
      </c>
      <c r="D35" s="96">
        <v>150.80412607686534</v>
      </c>
      <c r="E35" s="96">
        <v>147.48299327845172</v>
      </c>
      <c r="F35" s="96">
        <v>173.10907865275658</v>
      </c>
      <c r="G35" s="96">
        <v>172.78610643914331</v>
      </c>
      <c r="H35" s="96">
        <v>173.48335034375731</v>
      </c>
      <c r="I35" s="96">
        <v>182.93461615636002</v>
      </c>
      <c r="J35" s="96">
        <v>189.5378933946929</v>
      </c>
      <c r="K35" s="96">
        <v>182.9596842402392</v>
      </c>
      <c r="L35" s="96">
        <v>136.31559123222112</v>
      </c>
      <c r="M35" s="96">
        <v>140.67363075639602</v>
      </c>
      <c r="N35" s="96">
        <v>144.1271478234917</v>
      </c>
      <c r="O35" s="96">
        <v>147.6256267615679</v>
      </c>
      <c r="P35" s="96">
        <v>137.16759408195426</v>
      </c>
      <c r="Q35" s="96">
        <v>162.43901530565805</v>
      </c>
      <c r="R35" s="96">
        <v>185.53219368787904</v>
      </c>
      <c r="S35" s="96">
        <v>166.02655549595192</v>
      </c>
      <c r="T35" s="96">
        <v>160.03473662109664</v>
      </c>
      <c r="U35" s="96">
        <v>137.59768344516223</v>
      </c>
      <c r="V35" s="96">
        <v>135.71767211395297</v>
      </c>
      <c r="W35" s="96">
        <v>136.38149496279456</v>
      </c>
      <c r="X35" s="96">
        <v>138.068649949068</v>
      </c>
      <c r="Y35" s="96">
        <v>139.2168864163942</v>
      </c>
      <c r="DA35" s="171" t="s">
        <v>762</v>
      </c>
    </row>
    <row r="36" spans="1:105" ht="11.45" customHeight="1" x14ac:dyDescent="0.25">
      <c r="A36" s="111" t="s">
        <v>111</v>
      </c>
      <c r="B36" s="96">
        <v>393.33630619006635</v>
      </c>
      <c r="C36" s="96">
        <v>394.51555540947146</v>
      </c>
      <c r="D36" s="96">
        <v>511.3040969029542</v>
      </c>
      <c r="E36" s="96">
        <v>472.03407262013229</v>
      </c>
      <c r="F36" s="96">
        <v>486.79320309536473</v>
      </c>
      <c r="G36" s="96">
        <v>557.16972976871807</v>
      </c>
      <c r="H36" s="96">
        <v>487.58045414885214</v>
      </c>
      <c r="I36" s="96">
        <v>605.66645284665231</v>
      </c>
      <c r="J36" s="96">
        <v>591.86601772040831</v>
      </c>
      <c r="K36" s="96">
        <v>582.38597856753154</v>
      </c>
      <c r="L36" s="96">
        <v>762.26516925755743</v>
      </c>
      <c r="M36" s="96">
        <v>801.78147160357889</v>
      </c>
      <c r="N36" s="96">
        <v>777.8085338900172</v>
      </c>
      <c r="O36" s="96">
        <v>661.08504548875476</v>
      </c>
      <c r="P36" s="96">
        <v>574.98273715703863</v>
      </c>
      <c r="Q36" s="96">
        <v>607.49606235811507</v>
      </c>
      <c r="R36" s="96">
        <v>594.30707382736534</v>
      </c>
      <c r="S36" s="96">
        <v>684.99062739109684</v>
      </c>
      <c r="T36" s="96">
        <v>673.32434131837567</v>
      </c>
      <c r="U36" s="96">
        <v>688.31515272906483</v>
      </c>
      <c r="V36" s="96">
        <v>709.04139520678893</v>
      </c>
      <c r="W36" s="96">
        <v>669.24378190252332</v>
      </c>
      <c r="X36" s="96">
        <v>704.09064727745817</v>
      </c>
      <c r="Y36" s="96">
        <v>735.06383275075916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2.124555798561854E-2</v>
      </c>
      <c r="O37" s="96">
        <v>1.2473862468992724E-2</v>
      </c>
      <c r="P37" s="96">
        <v>9.5596755907811009</v>
      </c>
      <c r="Q37" s="96">
        <v>9.7445717416118676</v>
      </c>
      <c r="R37" s="96">
        <v>10.733402155042612</v>
      </c>
      <c r="S37" s="96">
        <v>11.116998232878519</v>
      </c>
      <c r="T37" s="96">
        <v>11.406892259601534</v>
      </c>
      <c r="U37" s="96">
        <v>11.794163656645022</v>
      </c>
      <c r="V37" s="96">
        <v>12.048898177593173</v>
      </c>
      <c r="W37" s="96">
        <v>12.016910683676024</v>
      </c>
      <c r="X37" s="96">
        <v>11.986782417491977</v>
      </c>
      <c r="Y37" s="96">
        <v>11.898742510332132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1.4723401442918898E-2</v>
      </c>
      <c r="O38" s="96">
        <v>2.780915343399985E-2</v>
      </c>
      <c r="P38" s="96">
        <v>2.1506156382635293E-2</v>
      </c>
      <c r="Q38" s="96">
        <v>2.6063797616042956E-2</v>
      </c>
      <c r="R38" s="96">
        <v>0.84663903060654833</v>
      </c>
      <c r="S38" s="96">
        <v>0.8736222437562644</v>
      </c>
      <c r="T38" s="96">
        <v>1.3416816969617662</v>
      </c>
      <c r="U38" s="96">
        <v>1.6096273115211204</v>
      </c>
      <c r="V38" s="96">
        <v>2.892052407284778</v>
      </c>
      <c r="W38" s="96">
        <v>2.8261884675356299</v>
      </c>
      <c r="X38" s="96">
        <v>3.0185121341886267</v>
      </c>
      <c r="Y38" s="96">
        <v>2.717170408005952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646.41107538624806</v>
      </c>
      <c r="C40" s="130">
        <f t="shared" si="36"/>
        <v>604.2383608736443</v>
      </c>
      <c r="D40" s="130">
        <f t="shared" si="36"/>
        <v>1083.1056535012967</v>
      </c>
      <c r="E40" s="130">
        <f t="shared" si="36"/>
        <v>738.5875187282661</v>
      </c>
      <c r="F40" s="130">
        <f t="shared" si="36"/>
        <v>884.02939189182428</v>
      </c>
      <c r="G40" s="130">
        <f t="shared" si="36"/>
        <v>1258.4308773184111</v>
      </c>
      <c r="H40" s="130">
        <f t="shared" si="36"/>
        <v>1513.1866901370458</v>
      </c>
      <c r="I40" s="130">
        <f t="shared" si="36"/>
        <v>1711.8166099102427</v>
      </c>
      <c r="J40" s="130">
        <f t="shared" si="36"/>
        <v>1994.651407745594</v>
      </c>
      <c r="K40" s="130">
        <f t="shared" si="36"/>
        <v>1562.8935844075336</v>
      </c>
      <c r="L40" s="130">
        <f t="shared" ref="L40" si="37">SUM(L41:L42)</f>
        <v>2253.6004505003839</v>
      </c>
      <c r="M40" s="130">
        <f t="shared" ref="M40:V40" si="38">SUM(M41:M42)</f>
        <v>2144.2094233176122</v>
      </c>
      <c r="N40" s="130">
        <f t="shared" si="38"/>
        <v>2051.2641574983927</v>
      </c>
      <c r="O40" s="130">
        <f t="shared" si="38"/>
        <v>2147.1991707966772</v>
      </c>
      <c r="P40" s="130">
        <f t="shared" si="38"/>
        <v>2147.9117931575747</v>
      </c>
      <c r="Q40" s="130">
        <f t="shared" si="38"/>
        <v>2001.0566177847054</v>
      </c>
      <c r="R40" s="130">
        <f t="shared" si="38"/>
        <v>2591.4535159741536</v>
      </c>
      <c r="S40" s="130">
        <f t="shared" si="38"/>
        <v>3462.1830890193623</v>
      </c>
      <c r="T40" s="130">
        <f t="shared" si="38"/>
        <v>3527.5930934884364</v>
      </c>
      <c r="U40" s="130">
        <f t="shared" si="38"/>
        <v>3544.5038874403563</v>
      </c>
      <c r="V40" s="130">
        <f t="shared" si="38"/>
        <v>3197.9403901429218</v>
      </c>
      <c r="W40" s="130">
        <f t="shared" ref="W40:Y40" si="39">SUM(W41:W42)</f>
        <v>3581.6208861829618</v>
      </c>
      <c r="X40" s="130">
        <f t="shared" si="39"/>
        <v>3647.3444791240308</v>
      </c>
      <c r="Y40" s="130">
        <f t="shared" si="39"/>
        <v>3403.5106382873578</v>
      </c>
      <c r="DA40" s="176" t="s">
        <v>413</v>
      </c>
    </row>
    <row r="41" spans="1:105" ht="11.45" customHeight="1" x14ac:dyDescent="0.25">
      <c r="A41" s="128" t="s">
        <v>27</v>
      </c>
      <c r="B41" s="97">
        <v>349.95564154336427</v>
      </c>
      <c r="C41" s="97">
        <v>352.43602647408829</v>
      </c>
      <c r="D41" s="97">
        <v>599.43958113904819</v>
      </c>
      <c r="E41" s="97">
        <v>574.06712053063529</v>
      </c>
      <c r="F41" s="97">
        <v>639.45116157870279</v>
      </c>
      <c r="G41" s="97">
        <v>735.52424256267545</v>
      </c>
      <c r="H41" s="97">
        <v>834.82910820591474</v>
      </c>
      <c r="I41" s="97">
        <v>904.90212428960922</v>
      </c>
      <c r="J41" s="97">
        <v>1136.6717511949789</v>
      </c>
      <c r="K41" s="97">
        <v>920.58063024691558</v>
      </c>
      <c r="L41" s="97">
        <v>1270.78152075043</v>
      </c>
      <c r="M41" s="97">
        <v>1238.7767210100671</v>
      </c>
      <c r="N41" s="97">
        <v>1159.7317344612798</v>
      </c>
      <c r="O41" s="97">
        <v>1123.9262874873007</v>
      </c>
      <c r="P41" s="97">
        <v>1215.6652499625004</v>
      </c>
      <c r="Q41" s="97">
        <v>1089.9543125086832</v>
      </c>
      <c r="R41" s="97">
        <v>1363.5153512518161</v>
      </c>
      <c r="S41" s="97">
        <v>1539.8575104197932</v>
      </c>
      <c r="T41" s="97">
        <v>1482.9219735018314</v>
      </c>
      <c r="U41" s="97">
        <v>1632.8485872518818</v>
      </c>
      <c r="V41" s="97">
        <v>1539.0811674067663</v>
      </c>
      <c r="W41" s="97">
        <v>1543.2354818864942</v>
      </c>
      <c r="X41" s="97">
        <v>1621.8280722711568</v>
      </c>
      <c r="Y41" s="97">
        <v>1609.9202575502363</v>
      </c>
      <c r="DA41" s="175" t="s">
        <v>767</v>
      </c>
    </row>
    <row r="42" spans="1:105" ht="11.45" customHeight="1" x14ac:dyDescent="0.25">
      <c r="A42" s="138" t="s">
        <v>116</v>
      </c>
      <c r="B42" s="98">
        <v>296.45543384288379</v>
      </c>
      <c r="C42" s="98">
        <v>251.80233439955597</v>
      </c>
      <c r="D42" s="98">
        <v>483.66607236224843</v>
      </c>
      <c r="E42" s="98">
        <v>164.52039819763078</v>
      </c>
      <c r="F42" s="98">
        <v>244.57823031312145</v>
      </c>
      <c r="G42" s="98">
        <v>522.90663475573569</v>
      </c>
      <c r="H42" s="98">
        <v>678.35758193113122</v>
      </c>
      <c r="I42" s="98">
        <v>806.91448562063351</v>
      </c>
      <c r="J42" s="98">
        <v>857.97965655061512</v>
      </c>
      <c r="K42" s="98">
        <v>642.31295416061812</v>
      </c>
      <c r="L42" s="98">
        <v>982.81892974995412</v>
      </c>
      <c r="M42" s="98">
        <v>905.43270230754524</v>
      </c>
      <c r="N42" s="98">
        <v>891.53242303711284</v>
      </c>
      <c r="O42" s="98">
        <v>1023.2728833093768</v>
      </c>
      <c r="P42" s="98">
        <v>932.24654319507454</v>
      </c>
      <c r="Q42" s="98">
        <v>911.10230527602221</v>
      </c>
      <c r="R42" s="98">
        <v>1227.9381647223372</v>
      </c>
      <c r="S42" s="98">
        <v>1922.3255785995691</v>
      </c>
      <c r="T42" s="98">
        <v>2044.6711199866049</v>
      </c>
      <c r="U42" s="98">
        <v>1911.6553001884745</v>
      </c>
      <c r="V42" s="98">
        <v>1658.8592227361555</v>
      </c>
      <c r="W42" s="98">
        <v>2038.3854042964679</v>
      </c>
      <c r="X42" s="98">
        <v>2025.5164068528743</v>
      </c>
      <c r="Y42" s="98">
        <v>1793.5903807371214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3.010596614549168</v>
      </c>
      <c r="C47" s="145">
        <f>IF(C4=0,0,C4/TrRoad_ene!C4)</f>
        <v>2.9319336178300102</v>
      </c>
      <c r="D47" s="145">
        <f>IF(D4=0,0,D4/TrRoad_ene!D4)</f>
        <v>3.006402189345462</v>
      </c>
      <c r="E47" s="145">
        <f>IF(E4=0,0,E4/TrRoad_ene!E4)</f>
        <v>3.0038041009593406</v>
      </c>
      <c r="F47" s="145">
        <f>IF(F4=0,0,F4/TrRoad_ene!F4)</f>
        <v>3.0120448372176347</v>
      </c>
      <c r="G47" s="145">
        <f>IF(G4=0,0,G4/TrRoad_ene!G4)</f>
        <v>2.9983339106109361</v>
      </c>
      <c r="H47" s="145">
        <f>IF(H4=0,0,H4/TrRoad_ene!H4)</f>
        <v>2.9479954922261902</v>
      </c>
      <c r="I47" s="145">
        <f>IF(I4=0,0,I4/TrRoad_ene!I4)</f>
        <v>2.9296919864249937</v>
      </c>
      <c r="J47" s="145">
        <f>IF(J4=0,0,J4/TrRoad_ene!J4)</f>
        <v>2.9216081795587763</v>
      </c>
      <c r="K47" s="145">
        <f>IF(K4=0,0,K4/TrRoad_ene!K4)</f>
        <v>2.890710606152294</v>
      </c>
      <c r="L47" s="145">
        <f>IF(L4=0,0,L4/TrRoad_ene!L4)</f>
        <v>2.8991777892949426</v>
      </c>
      <c r="M47" s="145">
        <f>IF(M4=0,0,M4/TrRoad_ene!M4)</f>
        <v>2.8888806171506012</v>
      </c>
      <c r="N47" s="145">
        <f>IF(N4=0,0,N4/TrRoad_ene!N4)</f>
        <v>2.8939437197125795</v>
      </c>
      <c r="O47" s="145">
        <f>IF(O4=0,0,O4/TrRoad_ene!O4)</f>
        <v>2.8809639992953171</v>
      </c>
      <c r="P47" s="145">
        <f>IF(P4=0,0,P4/TrRoad_ene!P4)</f>
        <v>2.8254325465106715</v>
      </c>
      <c r="Q47" s="145">
        <f>IF(Q4=0,0,Q4/TrRoad_ene!Q4)</f>
        <v>2.8036956824974082</v>
      </c>
      <c r="R47" s="145">
        <f>IF(R4=0,0,R4/TrRoad_ene!R4)</f>
        <v>2.8263718948974228</v>
      </c>
      <c r="S47" s="145">
        <f>IF(S4=0,0,S4/TrRoad_ene!S4)</f>
        <v>2.8559695429390066</v>
      </c>
      <c r="T47" s="145">
        <f>IF(T4=0,0,T4/TrRoad_ene!T4)</f>
        <v>2.8563642082959761</v>
      </c>
      <c r="U47" s="145">
        <f>IF(U4=0,0,U4/TrRoad_ene!U4)</f>
        <v>2.8485866428266915</v>
      </c>
      <c r="V47" s="145">
        <f>IF(V4=0,0,V4/TrRoad_ene!V4)</f>
        <v>2.833266771268657</v>
      </c>
      <c r="W47" s="145">
        <f>IF(W4=0,0,W4/TrRoad_ene!W4)</f>
        <v>2.8392291663459877</v>
      </c>
      <c r="X47" s="145">
        <f>IF(X4=0,0,X4/TrRoad_ene!X4)</f>
        <v>2.832869270555471</v>
      </c>
      <c r="Y47" s="145">
        <f>IF(Y4=0,0,Y4/TrRoad_ene!Y4)</f>
        <v>2.83290534075025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2.896787816085959</v>
      </c>
      <c r="I48" s="97">
        <f>IF(I7=0,0,(I7+I12)/(TrRoad_ene!I7+TrRoad_ene!I12))</f>
        <v>2.8538657949182236</v>
      </c>
      <c r="J48" s="97">
        <f>IF(J7=0,0,(J7+J12)/(TrRoad_ene!J7+TrRoad_ene!J12))</f>
        <v>2.8518976863747016</v>
      </c>
      <c r="K48" s="97">
        <f>IF(K7=0,0,(K7+K12)/(TrRoad_ene!K7+TrRoad_ene!K12))</f>
        <v>2.7878150842615645</v>
      </c>
      <c r="L48" s="97">
        <f>IF(L7=0,0,(L7+L12)/(TrRoad_ene!L7+TrRoad_ene!L12))</f>
        <v>2.7905090273749922</v>
      </c>
      <c r="M48" s="97">
        <f>IF(M7=0,0,(M7+M12)/(TrRoad_ene!M7+TrRoad_ene!M12))</f>
        <v>2.8030783041411089</v>
      </c>
      <c r="N48" s="97">
        <f>IF(N7=0,0,(N7+N12)/(TrRoad_ene!N7+TrRoad_ene!N12))</f>
        <v>2.8112187973988445</v>
      </c>
      <c r="O48" s="97">
        <f>IF(O7=0,0,(O7+O12)/(TrRoad_ene!O7+TrRoad_ene!O12))</f>
        <v>2.8124526541310706</v>
      </c>
      <c r="P48" s="97">
        <f>IF(P7=0,0,(P7+P12)/(TrRoad_ene!P7+TrRoad_ene!P12))</f>
        <v>2.7776731184538139</v>
      </c>
      <c r="Q48" s="97">
        <f>IF(Q7=0,0,(Q7+Q12)/(TrRoad_ene!Q7+TrRoad_ene!Q12))</f>
        <v>2.7905243483665205</v>
      </c>
      <c r="R48" s="97">
        <f>IF(R7=0,0,(R7+R12)/(TrRoad_ene!R7+TrRoad_ene!R12))</f>
        <v>2.8292532241738932</v>
      </c>
      <c r="S48" s="97">
        <f>IF(S7=0,0,(S7+S12)/(TrRoad_ene!S7+TrRoad_ene!S12))</f>
        <v>2.8111826588743831</v>
      </c>
      <c r="T48" s="97">
        <f>IF(T7=0,0,(T7+T12)/(TrRoad_ene!T7+TrRoad_ene!T12))</f>
        <v>2.8148860333271419</v>
      </c>
      <c r="U48" s="97">
        <f>IF(U7=0,0,(U7+U12)/(TrRoad_ene!U7+TrRoad_ene!U12))</f>
        <v>2.8002167631006456</v>
      </c>
      <c r="V48" s="97">
        <f>IF(V7=0,0,(V7+V12)/(TrRoad_ene!V7+TrRoad_ene!V12))</f>
        <v>2.7593086248126837</v>
      </c>
      <c r="W48" s="97">
        <f>IF(W7=0,0,(W7+W12)/(TrRoad_ene!W7+TrRoad_ene!W12))</f>
        <v>2.761089500317182</v>
      </c>
      <c r="X48" s="97">
        <f>IF(X7=0,0,(X7+X12)/(TrRoad_ene!X7+TrRoad_ene!X12))</f>
        <v>2.7578023102080347</v>
      </c>
      <c r="Y48" s="97">
        <f>IF(Y7=0,0,(Y7+Y12)/(TrRoad_ene!Y7+TrRoad_ene!Y12))</f>
        <v>2.7206351411912677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2.9614140472192725</v>
      </c>
      <c r="D49" s="97">
        <f>IF(D8=0,0,(D8+D13+D14)/(TrRoad_ene!D8+TrRoad_ene!D13+TrRoad_ene!D14))</f>
        <v>3.0923160218360293</v>
      </c>
      <c r="E49" s="97">
        <f>IF(E8=0,0,(E8+E13+E14)/(TrRoad_ene!E8+TrRoad_ene!E13+TrRoad_ene!E14))</f>
        <v>3.0947261461564697</v>
      </c>
      <c r="F49" s="97">
        <f>IF(F8=0,0,(F8+F13+F14)/(TrRoad_ene!F8+TrRoad_ene!F13+TrRoad_ene!F14))</f>
        <v>3.0987690905839385</v>
      </c>
      <c r="G49" s="97">
        <f>IF(G8=0,0,(G8+G13+G14)/(TrRoad_ene!G8+TrRoad_ene!G13+TrRoad_ene!G14))</f>
        <v>3.0680007260354611</v>
      </c>
      <c r="H49" s="97">
        <f>IF(H8=0,0,(H8+H13+H14)/(TrRoad_ene!H8+TrRoad_ene!H13+TrRoad_ene!H14))</f>
        <v>2.9802510577231143</v>
      </c>
      <c r="I49" s="97">
        <f>IF(I8=0,0,(I8+I13+I14)/(TrRoad_ene!I8+TrRoad_ene!I13+TrRoad_ene!I14))</f>
        <v>2.9777446303132757</v>
      </c>
      <c r="J49" s="97">
        <f>IF(J8=0,0,(J8+J13+J14)/(TrRoad_ene!J8+TrRoad_ene!J13+TrRoad_ene!J14))</f>
        <v>2.960569847149968</v>
      </c>
      <c r="K49" s="97">
        <f>IF(K8=0,0,(K8+K13+K14)/(TrRoad_ene!K8+TrRoad_ene!K13+TrRoad_ene!K14))</f>
        <v>2.9486590603605349</v>
      </c>
      <c r="L49" s="97">
        <f>IF(L8=0,0,(L8+L13+L14)/(TrRoad_ene!L8+TrRoad_ene!L13+TrRoad_ene!L14))</f>
        <v>2.9507821588271099</v>
      </c>
      <c r="M49" s="97">
        <f>IF(M8=0,0,(M8+M13+M14)/(TrRoad_ene!M8+TrRoad_ene!M13+TrRoad_ene!M14))</f>
        <v>2.9391415448938685</v>
      </c>
      <c r="N49" s="97">
        <f>IF(N8=0,0,(N8+N13+N14)/(TrRoad_ene!N8+TrRoad_ene!N13+TrRoad_ene!N14))</f>
        <v>2.9435251750543459</v>
      </c>
      <c r="O49" s="97">
        <f>IF(O8=0,0,(O8+O13+O14)/(TrRoad_ene!O8+TrRoad_ene!O13+TrRoad_ene!O14))</f>
        <v>2.9247038204739773</v>
      </c>
      <c r="P49" s="97">
        <f>IF(P8=0,0,(P8+P13+P14)/(TrRoad_ene!P8+TrRoad_ene!P13+TrRoad_ene!P14))</f>
        <v>2.8619613102535726</v>
      </c>
      <c r="Q49" s="97">
        <f>IF(Q8=0,0,(Q8+Q13+Q14)/(TrRoad_ene!Q8+TrRoad_ene!Q13+TrRoad_ene!Q14))</f>
        <v>2.828859745747776</v>
      </c>
      <c r="R49" s="97">
        <f>IF(R8=0,0,(R8+R13+R14)/(TrRoad_ene!R8+TrRoad_ene!R13+TrRoad_ene!R14))</f>
        <v>2.844954969281976</v>
      </c>
      <c r="S49" s="97">
        <f>IF(S8=0,0,(S8+S13+S14)/(TrRoad_ene!S8+TrRoad_ene!S13+TrRoad_ene!S14))</f>
        <v>2.8892357532183999</v>
      </c>
      <c r="T49" s="97">
        <f>IF(T8=0,0,(T8+T13+T14)/(TrRoad_ene!T8+TrRoad_ene!T13+TrRoad_ene!T14))</f>
        <v>2.8886201913634917</v>
      </c>
      <c r="U49" s="97">
        <f>IF(U8=0,0,(U8+U13+U14)/(TrRoad_ene!U8+TrRoad_ene!U13+TrRoad_ene!U14))</f>
        <v>2.8828265592496711</v>
      </c>
      <c r="V49" s="97">
        <f>IF(V8=0,0,(V8+V13+V14)/(TrRoad_ene!V8+TrRoad_ene!V13+TrRoad_ene!V14))</f>
        <v>2.8771706241394623</v>
      </c>
      <c r="W49" s="97">
        <f>IF(W8=0,0,(W8+W13+W14)/(TrRoad_ene!W8+TrRoad_ene!W13+TrRoad_ene!W14))</f>
        <v>2.8826472150085931</v>
      </c>
      <c r="X49" s="97">
        <f>IF(X8=0,0,(X8+X13+X14)/(TrRoad_ene!X8+TrRoad_ene!X13+TrRoad_ene!X14))</f>
        <v>2.8755218541627845</v>
      </c>
      <c r="Y49" s="97">
        <f>IF(Y8=0,0,(Y8+Y13+Y14)/(TrRoad_ene!Y8+TrRoad_ene!Y13+TrRoad_ene!Y14))</f>
        <v>2.893305662515723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2.3487947999999998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2.3487948000000007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257.64015182618715</v>
      </c>
      <c r="C54" s="62">
        <f>IF(TrRoad_act!C30=0,0,C17/TrRoad_act!C30*1000
)</f>
        <v>251.22534236658666</v>
      </c>
      <c r="D54" s="62">
        <f>IF(TrRoad_act!D30=0,0,D17/TrRoad_act!D30*1000
)</f>
        <v>303.07970877917421</v>
      </c>
      <c r="E54" s="62">
        <f>IF(TrRoad_act!E30=0,0,E17/TrRoad_act!E30*1000
)</f>
        <v>269.30771776274855</v>
      </c>
      <c r="F54" s="62">
        <f>IF(TrRoad_act!F30=0,0,F17/TrRoad_act!F30*1000
)</f>
        <v>264.30486292521772</v>
      </c>
      <c r="G54" s="62">
        <f>IF(TrRoad_act!G30=0,0,G17/TrRoad_act!G30*1000
)</f>
        <v>289.31022541865832</v>
      </c>
      <c r="H54" s="62">
        <f>IF(TrRoad_act!H30=0,0,H17/TrRoad_act!H30*1000
)</f>
        <v>288.59017475805922</v>
      </c>
      <c r="I54" s="62">
        <f>IF(TrRoad_act!I30=0,0,I17/TrRoad_act!I30*1000
)</f>
        <v>308.52777102014414</v>
      </c>
      <c r="J54" s="62">
        <f>IF(TrRoad_act!J30=0,0,J17/TrRoad_act!J30*1000
)</f>
        <v>317.07366949038845</v>
      </c>
      <c r="K54" s="62">
        <f>IF(TrRoad_act!K30=0,0,K17/TrRoad_act!K30*1000
)</f>
        <v>282.49826991661115</v>
      </c>
      <c r="L54" s="62">
        <f>IF(TrRoad_act!L30=0,0,L17/TrRoad_act!L30*1000
)</f>
        <v>314.41529905848125</v>
      </c>
      <c r="M54" s="62">
        <f>IF(TrRoad_act!M30=0,0,M17/TrRoad_act!M30*1000
)</f>
        <v>307.65750210659803</v>
      </c>
      <c r="N54" s="62">
        <f>IF(TrRoad_act!N30=0,0,N17/TrRoad_act!N30*1000
)</f>
        <v>298.72149478123248</v>
      </c>
      <c r="O54" s="62">
        <f>IF(TrRoad_act!O30=0,0,O17/TrRoad_act!O30*1000
)</f>
        <v>298.13782905993122</v>
      </c>
      <c r="P54" s="62">
        <f>IF(TrRoad_act!P30=0,0,P17/TrRoad_act!P30*1000
)</f>
        <v>289.44307070593635</v>
      </c>
      <c r="Q54" s="62">
        <f>IF(TrRoad_act!Q30=0,0,Q17/TrRoad_act!Q30*1000
)</f>
        <v>279.0785636089492</v>
      </c>
      <c r="R54" s="62">
        <f>IF(TrRoad_act!R30=0,0,R17/TrRoad_act!R30*1000
)</f>
        <v>307.56924636466528</v>
      </c>
      <c r="S54" s="62">
        <f>IF(TrRoad_act!S30=0,0,S17/TrRoad_act!S30*1000
)</f>
        <v>354.6748292611174</v>
      </c>
      <c r="T54" s="62">
        <f>IF(TrRoad_act!T30=0,0,T17/TrRoad_act!T30*1000
)</f>
        <v>352.95817276012144</v>
      </c>
      <c r="U54" s="62">
        <f>IF(TrRoad_act!U30=0,0,U17/TrRoad_act!U30*1000
)</f>
        <v>347.2465590174362</v>
      </c>
      <c r="V54" s="62">
        <f>IF(TrRoad_act!V30=0,0,V17/TrRoad_act!V30*1000
)</f>
        <v>339.20249194946115</v>
      </c>
      <c r="W54" s="62">
        <f>IF(TrRoad_act!W30=0,0,W17/TrRoad_act!W30*1000
)</f>
        <v>354.83318130719141</v>
      </c>
      <c r="X54" s="62">
        <f>IF(TrRoad_act!X30=0,0,X17/TrRoad_act!X30*1000
)</f>
        <v>351.84827278529082</v>
      </c>
      <c r="Y54" s="62">
        <f>IF(TrRoad_act!Y30=0,0,Y17/TrRoad_act!Y30*1000
)</f>
        <v>338.85563033926121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212.62932690007855</v>
      </c>
      <c r="C55" s="29">
        <f>IF(TrRoad_act!C31=0,0,C18/TrRoad_act!C31*1000
)</f>
        <v>210.81264510720013</v>
      </c>
      <c r="D55" s="29">
        <f>IF(TrRoad_act!D31=0,0,D18/TrRoad_act!D31*1000
)</f>
        <v>235.99270081385205</v>
      </c>
      <c r="E55" s="29">
        <f>IF(TrRoad_act!E31=0,0,E18/TrRoad_act!E31*1000
)</f>
        <v>224.81224606949894</v>
      </c>
      <c r="F55" s="29">
        <f>IF(TrRoad_act!F31=0,0,F18/TrRoad_act!F31*1000
)</f>
        <v>210.0653429938759</v>
      </c>
      <c r="G55" s="29">
        <f>IF(TrRoad_act!G31=0,0,G18/TrRoad_act!G31*1000
)</f>
        <v>214.24316708973981</v>
      </c>
      <c r="H55" s="29">
        <f>IF(TrRoad_act!H31=0,0,H18/TrRoad_act!H31*1000
)</f>
        <v>204.04329844358233</v>
      </c>
      <c r="I55" s="29">
        <f>IF(TrRoad_act!I31=0,0,I18/TrRoad_act!I31*1000
)</f>
        <v>216.33612329430102</v>
      </c>
      <c r="J55" s="29">
        <f>IF(TrRoad_act!J31=0,0,J18/TrRoad_act!J31*1000
)</f>
        <v>219.35589947182518</v>
      </c>
      <c r="K55" s="29">
        <f>IF(TrRoad_act!K31=0,0,K18/TrRoad_act!K31*1000
)</f>
        <v>204.68898149590103</v>
      </c>
      <c r="L55" s="29">
        <f>IF(TrRoad_act!L31=0,0,L18/TrRoad_act!L31*1000
)</f>
        <v>201.7569952278709</v>
      </c>
      <c r="M55" s="29">
        <f>IF(TrRoad_act!M31=0,0,M18/TrRoad_act!M31*1000
)</f>
        <v>198.95735725392342</v>
      </c>
      <c r="N55" s="29">
        <f>IF(TrRoad_act!N31=0,0,N18/TrRoad_act!N31*1000
)</f>
        <v>195.52337979020697</v>
      </c>
      <c r="O55" s="29">
        <f>IF(TrRoad_act!O31=0,0,O18/TrRoad_act!O31*1000
)</f>
        <v>191.87944897367186</v>
      </c>
      <c r="P55" s="29">
        <f>IF(TrRoad_act!P31=0,0,P18/TrRoad_act!P31*1000
)</f>
        <v>184.93425020265431</v>
      </c>
      <c r="Q55" s="29">
        <f>IF(TrRoad_act!Q31=0,0,Q18/TrRoad_act!Q31*1000
)</f>
        <v>184.16747478737514</v>
      </c>
      <c r="R55" s="29">
        <f>IF(TrRoad_act!R31=0,0,R18/TrRoad_act!R31*1000
)</f>
        <v>185.88459925728699</v>
      </c>
      <c r="S55" s="29">
        <f>IF(TrRoad_act!S31=0,0,S18/TrRoad_act!S31*1000
)</f>
        <v>190.69651912421634</v>
      </c>
      <c r="T55" s="29">
        <f>IF(TrRoad_act!T31=0,0,T18/TrRoad_act!T31*1000
)</f>
        <v>184.23845557025098</v>
      </c>
      <c r="U55" s="29">
        <f>IF(TrRoad_act!U31=0,0,U18/TrRoad_act!U31*1000
)</f>
        <v>181.60880049687421</v>
      </c>
      <c r="V55" s="29">
        <f>IF(TrRoad_act!V31=0,0,V18/TrRoad_act!V31*1000
)</f>
        <v>178.47299117535974</v>
      </c>
      <c r="W55" s="29">
        <f>IF(TrRoad_act!W31=0,0,W18/TrRoad_act!W31*1000
)</f>
        <v>179.4992989474346</v>
      </c>
      <c r="X55" s="29">
        <f>IF(TrRoad_act!X31=0,0,X18/TrRoad_act!X31*1000
)</f>
        <v>179.7249481108062</v>
      </c>
      <c r="Y55" s="29">
        <f>IF(TrRoad_act!Y31=0,0,Y18/TrRoad_act!Y31*1000
)</f>
        <v>181.92871773991101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113.02803471787027</v>
      </c>
      <c r="C56" s="152">
        <f>IF(TrRoad_act!C32=0,0,C19/TrRoad_act!C32*1000
)</f>
        <v>113.01697642702673</v>
      </c>
      <c r="D56" s="152">
        <f>IF(TrRoad_act!D32=0,0,D19/TrRoad_act!D32*1000
)</f>
        <v>113.01181747371271</v>
      </c>
      <c r="E56" s="152">
        <f>IF(TrRoad_act!E32=0,0,E19/TrRoad_act!E32*1000
)</f>
        <v>112.98647618235123</v>
      </c>
      <c r="F56" s="152">
        <f>IF(TrRoad_act!F32=0,0,F19/TrRoad_act!F32*1000
)</f>
        <v>112.87356314646172</v>
      </c>
      <c r="G56" s="152">
        <f>IF(TrRoad_act!G32=0,0,G19/TrRoad_act!G32*1000
)</f>
        <v>112.8553185866666</v>
      </c>
      <c r="H56" s="152">
        <f>IF(TrRoad_act!H32=0,0,H19/TrRoad_act!H32*1000
)</f>
        <v>112.70807765904047</v>
      </c>
      <c r="I56" s="152">
        <f>IF(TrRoad_act!I32=0,0,I19/TrRoad_act!I32*1000
)</f>
        <v>110.6750982699412</v>
      </c>
      <c r="J56" s="152">
        <f>IF(TrRoad_act!J32=0,0,J19/TrRoad_act!J32*1000
)</f>
        <v>110.01746460249561</v>
      </c>
      <c r="K56" s="152">
        <f>IF(TrRoad_act!K32=0,0,K19/TrRoad_act!K32*1000
)</f>
        <v>106.78039585008781</v>
      </c>
      <c r="L56" s="152">
        <f>IF(TrRoad_act!L32=0,0,L19/TrRoad_act!L32*1000
)</f>
        <v>106.54001165885177</v>
      </c>
      <c r="M56" s="152">
        <f>IF(TrRoad_act!M32=0,0,M19/TrRoad_act!M32*1000
)</f>
        <v>106.6083160692618</v>
      </c>
      <c r="N56" s="152">
        <f>IF(TrRoad_act!N32=0,0,N19/TrRoad_act!N32*1000
)</f>
        <v>106.45754470264453</v>
      </c>
      <c r="O56" s="152">
        <f>IF(TrRoad_act!O32=0,0,O19/TrRoad_act!O32*1000
)</f>
        <v>105.79796402219171</v>
      </c>
      <c r="P56" s="152">
        <f>IF(TrRoad_act!P32=0,0,P19/TrRoad_act!P32*1000
)</f>
        <v>103.80188884725433</v>
      </c>
      <c r="Q56" s="152">
        <f>IF(TrRoad_act!Q32=0,0,Q19/TrRoad_act!Q32*1000
)</f>
        <v>103.38776468894341</v>
      </c>
      <c r="R56" s="152">
        <f>IF(TrRoad_act!R32=0,0,R19/TrRoad_act!R32*1000
)</f>
        <v>104.20133677466897</v>
      </c>
      <c r="S56" s="152">
        <f>IF(TrRoad_act!S32=0,0,S19/TrRoad_act!S32*1000
)</f>
        <v>102.71119519041854</v>
      </c>
      <c r="T56" s="152">
        <f>IF(TrRoad_act!T32=0,0,T19/TrRoad_act!T32*1000
)</f>
        <v>102.12474619917556</v>
      </c>
      <c r="U56" s="152">
        <f>IF(TrRoad_act!U32=0,0,U19/TrRoad_act!U32*1000
)</f>
        <v>101.14783275931065</v>
      </c>
      <c r="V56" s="152">
        <f>IF(TrRoad_act!V32=0,0,V19/TrRoad_act!V32*1000
)</f>
        <v>99.234582164830556</v>
      </c>
      <c r="W56" s="152">
        <f>IF(TrRoad_act!W32=0,0,W19/TrRoad_act!W32*1000
)</f>
        <v>99.053661312159434</v>
      </c>
      <c r="X56" s="152">
        <f>IF(TrRoad_act!X32=0,0,X19/TrRoad_act!X32*1000
)</f>
        <v>98.583280383671479</v>
      </c>
      <c r="Y56" s="152">
        <f>IF(TrRoad_act!Y32=0,0,Y19/TrRoad_act!Y32*1000
)</f>
        <v>96.928484316758997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174.1316088904851</v>
      </c>
      <c r="C57" s="116">
        <f>IF(TrRoad_act!C33=0,0,C20/TrRoad_act!C33*1000
)</f>
        <v>176.5507574871551</v>
      </c>
      <c r="D57" s="116">
        <f>IF(TrRoad_act!D33=0,0,D20/TrRoad_act!D33*1000
)</f>
        <v>202.25306162159023</v>
      </c>
      <c r="E57" s="116">
        <f>IF(TrRoad_act!E33=0,0,E20/TrRoad_act!E33*1000
)</f>
        <v>190.62996524114436</v>
      </c>
      <c r="F57" s="116">
        <f>IF(TrRoad_act!F33=0,0,F20/TrRoad_act!F33*1000
)</f>
        <v>178.1790126211736</v>
      </c>
      <c r="G57" s="116">
        <f>IF(TrRoad_act!G33=0,0,G20/TrRoad_act!G33*1000
)</f>
        <v>184.48432163142243</v>
      </c>
      <c r="H57" s="116">
        <f>IF(TrRoad_act!H33=0,0,H20/TrRoad_act!H33*1000
)</f>
        <v>174.9882943387264</v>
      </c>
      <c r="I57" s="116">
        <f>IF(TrRoad_act!I33=0,0,I20/TrRoad_act!I33*1000
)</f>
        <v>182.00163536834049</v>
      </c>
      <c r="J57" s="116">
        <f>IF(TrRoad_act!J33=0,0,J20/TrRoad_act!J33*1000
)</f>
        <v>186.95922826944317</v>
      </c>
      <c r="K57" s="116">
        <f>IF(TrRoad_act!K33=0,0,K20/TrRoad_act!K33*1000
)</f>
        <v>174.62014369752964</v>
      </c>
      <c r="L57" s="116">
        <f>IF(TrRoad_act!L33=0,0,L20/TrRoad_act!L33*1000
)</f>
        <v>173.15306529537725</v>
      </c>
      <c r="M57" s="116">
        <f>IF(TrRoad_act!M33=0,0,M20/TrRoad_act!M33*1000
)</f>
        <v>172.47156629367461</v>
      </c>
      <c r="N57" s="116">
        <f>IF(TrRoad_act!N33=0,0,N20/TrRoad_act!N33*1000
)</f>
        <v>169.09663344173768</v>
      </c>
      <c r="O57" s="116">
        <f>IF(TrRoad_act!O33=0,0,O20/TrRoad_act!O33*1000
)</f>
        <v>166.74224077111808</v>
      </c>
      <c r="P57" s="116">
        <f>IF(TrRoad_act!P33=0,0,P20/TrRoad_act!P33*1000
)</f>
        <v>160.59714101369883</v>
      </c>
      <c r="Q57" s="116">
        <f>IF(TrRoad_act!Q33=0,0,Q20/TrRoad_act!Q33*1000
)</f>
        <v>160.81548462148714</v>
      </c>
      <c r="R57" s="116">
        <f>IF(TrRoad_act!R33=0,0,R20/TrRoad_act!R33*1000
)</f>
        <v>163.72154644449989</v>
      </c>
      <c r="S57" s="116">
        <f>IF(TrRoad_act!S33=0,0,S20/TrRoad_act!S33*1000
)</f>
        <v>166.73202073383868</v>
      </c>
      <c r="T57" s="116">
        <f>IF(TrRoad_act!T33=0,0,T20/TrRoad_act!T33*1000
)</f>
        <v>159.60114105341546</v>
      </c>
      <c r="U57" s="116">
        <f>IF(TrRoad_act!U33=0,0,U20/TrRoad_act!U33*1000
)</f>
        <v>156.38369628730149</v>
      </c>
      <c r="V57" s="116">
        <f>IF(TrRoad_act!V33=0,0,V20/TrRoad_act!V33*1000
)</f>
        <v>155.48502992766637</v>
      </c>
      <c r="W57" s="116">
        <f>IF(TrRoad_act!W33=0,0,W20/TrRoad_act!W33*1000
)</f>
        <v>157.04637836354385</v>
      </c>
      <c r="X57" s="116">
        <f>IF(TrRoad_act!X33=0,0,X20/TrRoad_act!X33*1000
)</f>
        <v>156.60720586026588</v>
      </c>
      <c r="Y57" s="116">
        <f>IF(TrRoad_act!Y33=0,0,Y20/TrRoad_act!Y33*1000
)</f>
        <v>159.71193861750032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160.84845179050771</v>
      </c>
      <c r="C58" s="87">
        <f>IF(TrRoad_act!C34=0,0,C21/TrRoad_act!C34*1000
)</f>
        <v>168.60646967086029</v>
      </c>
      <c r="D58" s="87">
        <f>IF(TrRoad_act!D34=0,0,D21/TrRoad_act!D34*1000
)</f>
        <v>199.80665911975393</v>
      </c>
      <c r="E58" s="87">
        <f>IF(TrRoad_act!E34=0,0,E21/TrRoad_act!E34*1000
)</f>
        <v>186.44809401772437</v>
      </c>
      <c r="F58" s="87">
        <f>IF(TrRoad_act!F34=0,0,F21/TrRoad_act!F34*1000
)</f>
        <v>168.80135881334709</v>
      </c>
      <c r="G58" s="87">
        <f>IF(TrRoad_act!G34=0,0,G21/TrRoad_act!G34*1000
)</f>
        <v>176.86887265607706</v>
      </c>
      <c r="H58" s="87">
        <f>IF(TrRoad_act!H34=0,0,H21/TrRoad_act!H34*1000
)</f>
        <v>165.96837369680526</v>
      </c>
      <c r="I58" s="87">
        <f>IF(TrRoad_act!I34=0,0,I21/TrRoad_act!I34*1000
)</f>
        <v>174.10056401704904</v>
      </c>
      <c r="J58" s="87">
        <f>IF(TrRoad_act!J34=0,0,J21/TrRoad_act!J34*1000
)</f>
        <v>184.266809255189</v>
      </c>
      <c r="K58" s="87">
        <f>IF(TrRoad_act!K34=0,0,K21/TrRoad_act!K34*1000
)</f>
        <v>166.85289255275808</v>
      </c>
      <c r="L58" s="87">
        <f>IF(TrRoad_act!L34=0,0,L21/TrRoad_act!L34*1000
)</f>
        <v>163.20792230847107</v>
      </c>
      <c r="M58" s="87">
        <f>IF(TrRoad_act!M34=0,0,M21/TrRoad_act!M34*1000
)</f>
        <v>161.8307373027977</v>
      </c>
      <c r="N58" s="87">
        <f>IF(TrRoad_act!N34=0,0,N21/TrRoad_act!N34*1000
)</f>
        <v>157.02819030186703</v>
      </c>
      <c r="O58" s="87">
        <f>IF(TrRoad_act!O34=0,0,O21/TrRoad_act!O34*1000
)</f>
        <v>154.83648470949714</v>
      </c>
      <c r="P58" s="87">
        <f>IF(TrRoad_act!P34=0,0,P21/TrRoad_act!P34*1000
)</f>
        <v>150.19668962889352</v>
      </c>
      <c r="Q58" s="87">
        <f>IF(TrRoad_act!Q34=0,0,Q21/TrRoad_act!Q34*1000
)</f>
        <v>152.29605245673665</v>
      </c>
      <c r="R58" s="87">
        <f>IF(TrRoad_act!R34=0,0,R21/TrRoad_act!R34*1000
)</f>
        <v>156.73714576026563</v>
      </c>
      <c r="S58" s="87">
        <f>IF(TrRoad_act!S34=0,0,S21/TrRoad_act!S34*1000
)</f>
        <v>158.21364772584056</v>
      </c>
      <c r="T58" s="87">
        <f>IF(TrRoad_act!T34=0,0,T21/TrRoad_act!T34*1000
)</f>
        <v>146.55463047942146</v>
      </c>
      <c r="U58" s="87">
        <f>IF(TrRoad_act!U34=0,0,U21/TrRoad_act!U34*1000
)</f>
        <v>142.52827637073023</v>
      </c>
      <c r="V58" s="87">
        <f>IF(TrRoad_act!V34=0,0,V21/TrRoad_act!V34*1000
)</f>
        <v>141.78822000143373</v>
      </c>
      <c r="W58" s="87">
        <f>IF(TrRoad_act!W34=0,0,W21/TrRoad_act!W34*1000
)</f>
        <v>142.69350514282362</v>
      </c>
      <c r="X58" s="87">
        <f>IF(TrRoad_act!X34=0,0,X21/TrRoad_act!X34*1000
)</f>
        <v>144.20445141978533</v>
      </c>
      <c r="Y58" s="87">
        <f>IF(TrRoad_act!Y34=0,0,Y21/TrRoad_act!Y34*1000
)</f>
        <v>150.41401167287677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220.45098751772591</v>
      </c>
      <c r="C59" s="87">
        <f>IF(TrRoad_act!C35=0,0,C22/TrRoad_act!C35*1000
)</f>
        <v>201.55144805415046</v>
      </c>
      <c r="D59" s="87">
        <f>IF(TrRoad_act!D35=0,0,D22/TrRoad_act!D35*1000
)</f>
        <v>209.76277191428511</v>
      </c>
      <c r="E59" s="87">
        <f>IF(TrRoad_act!E35=0,0,E22/TrRoad_act!E35*1000
)</f>
        <v>202.82790867791482</v>
      </c>
      <c r="F59" s="87">
        <f>IF(TrRoad_act!F35=0,0,F22/TrRoad_act!F35*1000
)</f>
        <v>202.40100871573384</v>
      </c>
      <c r="G59" s="87">
        <f>IF(TrRoad_act!G35=0,0,G22/TrRoad_act!G35*1000
)</f>
        <v>202.86728803009416</v>
      </c>
      <c r="H59" s="87">
        <f>IF(TrRoad_act!H35=0,0,H22/TrRoad_act!H35*1000
)</f>
        <v>197.72002662246749</v>
      </c>
      <c r="I59" s="87">
        <f>IF(TrRoad_act!I35=0,0,I22/TrRoad_act!I35*1000
)</f>
        <v>195.98381813327561</v>
      </c>
      <c r="J59" s="87">
        <f>IF(TrRoad_act!J35=0,0,J22/TrRoad_act!J35*1000
)</f>
        <v>194.10993889470834</v>
      </c>
      <c r="K59" s="87">
        <f>IF(TrRoad_act!K35=0,0,K22/TrRoad_act!K35*1000
)</f>
        <v>191.17150475957433</v>
      </c>
      <c r="L59" s="87">
        <f>IF(TrRoad_act!L35=0,0,L22/TrRoad_act!L35*1000
)</f>
        <v>193.60605750775287</v>
      </c>
      <c r="M59" s="87">
        <f>IF(TrRoad_act!M35=0,0,M22/TrRoad_act!M35*1000
)</f>
        <v>191.09052850570606</v>
      </c>
      <c r="N59" s="87">
        <f>IF(TrRoad_act!N35=0,0,N22/TrRoad_act!N35*1000
)</f>
        <v>190.14062410291859</v>
      </c>
      <c r="O59" s="87">
        <f>IF(TrRoad_act!O35=0,0,O22/TrRoad_act!O35*1000
)</f>
        <v>188.32449503935743</v>
      </c>
      <c r="P59" s="87">
        <f>IF(TrRoad_act!P35=0,0,P22/TrRoad_act!P35*1000
)</f>
        <v>181.81976890893725</v>
      </c>
      <c r="Q59" s="87">
        <f>IF(TrRoad_act!Q35=0,0,Q22/TrRoad_act!Q35*1000
)</f>
        <v>177.35732700646028</v>
      </c>
      <c r="R59" s="87">
        <f>IF(TrRoad_act!R35=0,0,R22/TrRoad_act!R35*1000
)</f>
        <v>177.25151497888143</v>
      </c>
      <c r="S59" s="87">
        <f>IF(TrRoad_act!S35=0,0,S22/TrRoad_act!S35*1000
)</f>
        <v>182.95789866282408</v>
      </c>
      <c r="T59" s="87">
        <f>IF(TrRoad_act!T35=0,0,T22/TrRoad_act!T35*1000
)</f>
        <v>183.09245912167461</v>
      </c>
      <c r="U59" s="87">
        <f>IF(TrRoad_act!U35=0,0,U22/TrRoad_act!U35*1000
)</f>
        <v>180.13953304815385</v>
      </c>
      <c r="V59" s="87">
        <f>IF(TrRoad_act!V35=0,0,V22/TrRoad_act!V35*1000
)</f>
        <v>177.24499921826228</v>
      </c>
      <c r="W59" s="87">
        <f>IF(TrRoad_act!W35=0,0,W22/TrRoad_act!W35*1000
)</f>
        <v>178.10948060461172</v>
      </c>
      <c r="X59" s="87">
        <f>IF(TrRoad_act!X35=0,0,X22/TrRoad_act!X35*1000
)</f>
        <v>175.49622386585742</v>
      </c>
      <c r="Y59" s="87">
        <f>IF(TrRoad_act!Y35=0,0,Y22/TrRoad_act!Y35*1000
)</f>
        <v>174.67736709219685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177.75482302011611</v>
      </c>
      <c r="H60" s="87">
        <f>IF(TrRoad_act!H36=0,0,H23/TrRoad_act!H36*1000
)</f>
        <v>179.72546830113211</v>
      </c>
      <c r="I60" s="87">
        <f>IF(TrRoad_act!I36=0,0,I23/TrRoad_act!I36*1000
)</f>
        <v>185.60090536704618</v>
      </c>
      <c r="J60" s="87">
        <f>IF(TrRoad_act!J36=0,0,J23/TrRoad_act!J36*1000
)</f>
        <v>194.55245351550212</v>
      </c>
      <c r="K60" s="87">
        <f>IF(TrRoad_act!K36=0,0,K23/TrRoad_act!K36*1000
)</f>
        <v>204.05439309119959</v>
      </c>
      <c r="L60" s="87">
        <f>IF(TrRoad_act!L36=0,0,L23/TrRoad_act!L36*1000
)</f>
        <v>195.973715307052</v>
      </c>
      <c r="M60" s="87">
        <f>IF(TrRoad_act!M36=0,0,M23/TrRoad_act!M36*1000
)</f>
        <v>188.49425852312422</v>
      </c>
      <c r="N60" s="87">
        <f>IF(TrRoad_act!N36=0,0,N23/TrRoad_act!N36*1000
)</f>
        <v>188.83552687517039</v>
      </c>
      <c r="O60" s="87">
        <f>IF(TrRoad_act!O36=0,0,O23/TrRoad_act!O36*1000
)</f>
        <v>189.16852811797526</v>
      </c>
      <c r="P60" s="87">
        <f>IF(TrRoad_act!P36=0,0,P23/TrRoad_act!P36*1000
)</f>
        <v>154.99738109748708</v>
      </c>
      <c r="Q60" s="87">
        <f>IF(TrRoad_act!Q36=0,0,Q23/TrRoad_act!Q36*1000
)</f>
        <v>171.34466297558319</v>
      </c>
      <c r="R60" s="87">
        <f>IF(TrRoad_act!R36=0,0,R23/TrRoad_act!R36*1000
)</f>
        <v>176.03621941680146</v>
      </c>
      <c r="S60" s="87">
        <f>IF(TrRoad_act!S36=0,0,S23/TrRoad_act!S36*1000
)</f>
        <v>186.29135918259971</v>
      </c>
      <c r="T60" s="87">
        <f>IF(TrRoad_act!T36=0,0,T23/TrRoad_act!T36*1000
)</f>
        <v>204.61503345682459</v>
      </c>
      <c r="U60" s="87">
        <f>IF(TrRoad_act!U36=0,0,U23/TrRoad_act!U36*1000
)</f>
        <v>219.64567670476086</v>
      </c>
      <c r="V60" s="87">
        <f>IF(TrRoad_act!V36=0,0,V23/TrRoad_act!V36*1000
)</f>
        <v>232.2378354356174</v>
      </c>
      <c r="W60" s="87">
        <f>IF(TrRoad_act!W36=0,0,W23/TrRoad_act!W36*1000
)</f>
        <v>263.4283428164041</v>
      </c>
      <c r="X60" s="87">
        <f>IF(TrRoad_act!X36=0,0,X23/TrRoad_act!X36*1000
)</f>
        <v>257.19525897155626</v>
      </c>
      <c r="Y60" s="87">
        <f>IF(TrRoad_act!Y36=0,0,Y23/TrRoad_act!Y36*1000
)</f>
        <v>256.18262136326865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325.85887943034862</v>
      </c>
      <c r="D61" s="87">
        <f>IF(TrRoad_act!D37=0,0,D24/TrRoad_act!D37*1000
)</f>
        <v>137.04392537247566</v>
      </c>
      <c r="E61" s="87">
        <f>IF(TrRoad_act!E37=0,0,E24/TrRoad_act!E37*1000
)</f>
        <v>139.22999073751595</v>
      </c>
      <c r="F61" s="87">
        <f>IF(TrRoad_act!F37=0,0,F24/TrRoad_act!F37*1000
)</f>
        <v>178.2239210535881</v>
      </c>
      <c r="G61" s="87">
        <f>IF(TrRoad_act!G37=0,0,G24/TrRoad_act!G37*1000
)</f>
        <v>231.69305867471914</v>
      </c>
      <c r="H61" s="87">
        <f>IF(TrRoad_act!H37=0,0,H24/TrRoad_act!H37*1000
)</f>
        <v>136.56443339880897</v>
      </c>
      <c r="I61" s="87">
        <f>IF(TrRoad_act!I37=0,0,I24/TrRoad_act!I37*1000
)</f>
        <v>280.02257288142653</v>
      </c>
      <c r="J61" s="87">
        <f>IF(TrRoad_act!J37=0,0,J24/TrRoad_act!J37*1000
)</f>
        <v>134.55572285353369</v>
      </c>
      <c r="K61" s="87">
        <f>IF(TrRoad_act!K37=0,0,K24/TrRoad_act!K37*1000
)</f>
        <v>134.28771017828075</v>
      </c>
      <c r="L61" s="87">
        <f>IF(TrRoad_act!L37=0,0,L24/TrRoad_act!L37*1000
)</f>
        <v>149.8798809659996</v>
      </c>
      <c r="M61" s="87">
        <f>IF(TrRoad_act!M37=0,0,M24/TrRoad_act!M37*1000
)</f>
        <v>178.92475123256722</v>
      </c>
      <c r="N61" s="87">
        <f>IF(TrRoad_act!N37=0,0,N24/TrRoad_act!N37*1000
)</f>
        <v>176.11169778110846</v>
      </c>
      <c r="O61" s="87">
        <f>IF(TrRoad_act!O37=0,0,O24/TrRoad_act!O37*1000
)</f>
        <v>156.40704969095049</v>
      </c>
      <c r="P61" s="87">
        <f>IF(TrRoad_act!P37=0,0,P24/TrRoad_act!P37*1000
)</f>
        <v>166.66329977411766</v>
      </c>
      <c r="Q61" s="87">
        <f>IF(TrRoad_act!Q37=0,0,Q24/TrRoad_act!Q37*1000
)</f>
        <v>153.68315180473417</v>
      </c>
      <c r="R61" s="87">
        <f>IF(TrRoad_act!R37=0,0,R24/TrRoad_act!R37*1000
)</f>
        <v>165.53739120387206</v>
      </c>
      <c r="S61" s="87">
        <f>IF(TrRoad_act!S37=0,0,S24/TrRoad_act!S37*1000
)</f>
        <v>164.93038665582185</v>
      </c>
      <c r="T61" s="87">
        <f>IF(TrRoad_act!T37=0,0,T24/TrRoad_act!T37*1000
)</f>
        <v>163.71734857906316</v>
      </c>
      <c r="U61" s="87">
        <f>IF(TrRoad_act!U37=0,0,U24/TrRoad_act!U37*1000
)</f>
        <v>161.41379734582461</v>
      </c>
      <c r="V61" s="87">
        <f>IF(TrRoad_act!V37=0,0,V24/TrRoad_act!V37*1000
)</f>
        <v>205.75972069574632</v>
      </c>
      <c r="W61" s="87">
        <f>IF(TrRoad_act!W37=0,0,W24/TrRoad_act!W37*1000
)</f>
        <v>196.79427519476621</v>
      </c>
      <c r="X61" s="87">
        <f>IF(TrRoad_act!X37=0,0,X24/TrRoad_act!X37*1000
)</f>
        <v>204.25060813849419</v>
      </c>
      <c r="Y61" s="87">
        <f>IF(TrRoad_act!Y37=0,0,Y24/TrRoad_act!Y37*1000
)</f>
        <v>180.54677411111248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32.682284862955292</v>
      </c>
      <c r="O62" s="87">
        <f>IF(TrRoad_act!O38=0,0,O25/TrRoad_act!O38*1000
)</f>
        <v>32.271357357451805</v>
      </c>
      <c r="P62" s="87">
        <f>IF(TrRoad_act!P38=0,0,P25/TrRoad_act!P38*1000
)</f>
        <v>103.79981661154294</v>
      </c>
      <c r="Q62" s="87">
        <f>IF(TrRoad_act!Q38=0,0,Q25/TrRoad_act!Q38*1000
)</f>
        <v>93.1915951989494</v>
      </c>
      <c r="R62" s="87">
        <f>IF(TrRoad_act!R38=0,0,R25/TrRoad_act!R38*1000
)</f>
        <v>71.038377109056484</v>
      </c>
      <c r="S62" s="87">
        <f>IF(TrRoad_act!S38=0,0,S25/TrRoad_act!S38*1000
)</f>
        <v>84.831277892062516</v>
      </c>
      <c r="T62" s="87">
        <f>IF(TrRoad_act!T38=0,0,T25/TrRoad_act!T38*1000
)</f>
        <v>67.348945080450775</v>
      </c>
      <c r="U62" s="87">
        <f>IF(TrRoad_act!U38=0,0,U25/TrRoad_act!U38*1000
)</f>
        <v>63.524176035303263</v>
      </c>
      <c r="V62" s="87">
        <f>IF(TrRoad_act!V38=0,0,V25/TrRoad_act!V38*1000
)</f>
        <v>53.942388885115314</v>
      </c>
      <c r="W62" s="87">
        <f>IF(TrRoad_act!W38=0,0,W25/TrRoad_act!W38*1000
)</f>
        <v>44.482349453776756</v>
      </c>
      <c r="X62" s="87">
        <f>IF(TrRoad_act!X38=0,0,X25/TrRoad_act!X38*1000
)</f>
        <v>39.688807886694839</v>
      </c>
      <c r="Y62" s="87">
        <f>IF(TrRoad_act!Y38=0,0,Y25/TrRoad_act!Y38*1000
)</f>
        <v>37.056544285438228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1872.3735104596149</v>
      </c>
      <c r="C64" s="116">
        <f>IF(TrRoad_act!C40=0,0,C27/TrRoad_act!C40*1000
)</f>
        <v>1752.339031929981</v>
      </c>
      <c r="D64" s="116">
        <f>IF(TrRoad_act!D40=0,0,D27/TrRoad_act!D40*1000
)</f>
        <v>1837.8902408325266</v>
      </c>
      <c r="E64" s="116">
        <f>IF(TrRoad_act!E40=0,0,E27/TrRoad_act!E40*1000
)</f>
        <v>1792.3336921590792</v>
      </c>
      <c r="F64" s="116">
        <f>IF(TrRoad_act!F40=0,0,F27/TrRoad_act!F40*1000
)</f>
        <v>1771.3416662569364</v>
      </c>
      <c r="G64" s="116">
        <f>IF(TrRoad_act!G40=0,0,G27/TrRoad_act!G40*1000
)</f>
        <v>1762.7871375814254</v>
      </c>
      <c r="H64" s="116">
        <f>IF(TrRoad_act!H40=0,0,H27/TrRoad_act!H40*1000
)</f>
        <v>1695.8106413724315</v>
      </c>
      <c r="I64" s="116">
        <f>IF(TrRoad_act!I40=0,0,I27/TrRoad_act!I40*1000
)</f>
        <v>1664.4522762647896</v>
      </c>
      <c r="J64" s="116">
        <f>IF(TrRoad_act!J40=0,0,J27/TrRoad_act!J40*1000
)</f>
        <v>1637.3198858147589</v>
      </c>
      <c r="K64" s="116">
        <f>IF(TrRoad_act!K40=0,0,K27/TrRoad_act!K40*1000
)</f>
        <v>1588.210635268149</v>
      </c>
      <c r="L64" s="116">
        <f>IF(TrRoad_act!L40=0,0,L27/TrRoad_act!L40*1000
)</f>
        <v>1575.2238529068477</v>
      </c>
      <c r="M64" s="116">
        <f>IF(TrRoad_act!M40=0,0,M27/TrRoad_act!M40*1000
)</f>
        <v>1520.1532933088088</v>
      </c>
      <c r="N64" s="116">
        <f>IF(TrRoad_act!N40=0,0,N27/TrRoad_act!N40*1000
)</f>
        <v>1515.1417705562749</v>
      </c>
      <c r="O64" s="116">
        <f>IF(TrRoad_act!O40=0,0,O27/TrRoad_act!O40*1000
)</f>
        <v>1506.6710917066112</v>
      </c>
      <c r="P64" s="116">
        <f>IF(TrRoad_act!P40=0,0,P27/TrRoad_act!P40*1000
)</f>
        <v>1451.1148508100409</v>
      </c>
      <c r="Q64" s="116">
        <f>IF(TrRoad_act!Q40=0,0,Q27/TrRoad_act!Q40*1000
)</f>
        <v>1410.4060618741489</v>
      </c>
      <c r="R64" s="116">
        <f>IF(TrRoad_act!R40=0,0,R27/TrRoad_act!R40*1000
)</f>
        <v>1360.3906644445278</v>
      </c>
      <c r="S64" s="116">
        <f>IF(TrRoad_act!S40=0,0,S27/TrRoad_act!S40*1000
)</f>
        <v>1408.6337388077752</v>
      </c>
      <c r="T64" s="116">
        <f>IF(TrRoad_act!T40=0,0,T27/TrRoad_act!T40*1000
)</f>
        <v>1405.2408520288702</v>
      </c>
      <c r="U64" s="116">
        <f>IF(TrRoad_act!U40=0,0,U27/TrRoad_act!U40*1000
)</f>
        <v>1419.174973168771</v>
      </c>
      <c r="V64" s="116">
        <f>IF(TrRoad_act!V40=0,0,V27/TrRoad_act!V40*1000
)</f>
        <v>1391.5890587755778</v>
      </c>
      <c r="W64" s="116">
        <f>IF(TrRoad_act!W40=0,0,W27/TrRoad_act!W40*1000
)</f>
        <v>1395.4998424046587</v>
      </c>
      <c r="X64" s="116">
        <f>IF(TrRoad_act!X40=0,0,X27/TrRoad_act!X40*1000
)</f>
        <v>1395.1315996841793</v>
      </c>
      <c r="Y64" s="116">
        <f>IF(TrRoad_act!Y40=0,0,Y27/TrRoad_act!Y40*1000
)</f>
        <v>1366.01095937017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X65" s="101">
        <f>IF(TrRoad_act!X41=0,0,X28/TrRoad_act!X41*1000
)</f>
        <v>0</v>
      </c>
      <c r="Y65" s="101">
        <f>IF(TrRoad_act!Y41=0,0,Y28/TrRoad_act!Y41*1000
)</f>
        <v>0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1872.3735104596149</v>
      </c>
      <c r="C66" s="101">
        <f>IF(TrRoad_act!C42=0,0,C29/TrRoad_act!C42*1000
)</f>
        <v>1752.339031929981</v>
      </c>
      <c r="D66" s="101">
        <f>IF(TrRoad_act!D42=0,0,D29/TrRoad_act!D42*1000
)</f>
        <v>1837.8902408325266</v>
      </c>
      <c r="E66" s="101">
        <f>IF(TrRoad_act!E42=0,0,E29/TrRoad_act!E42*1000
)</f>
        <v>1792.3336921590792</v>
      </c>
      <c r="F66" s="101">
        <f>IF(TrRoad_act!F42=0,0,F29/TrRoad_act!F42*1000
)</f>
        <v>1771.3416662569364</v>
      </c>
      <c r="G66" s="101">
        <f>IF(TrRoad_act!G42=0,0,G29/TrRoad_act!G42*1000
)</f>
        <v>1762.7871375814254</v>
      </c>
      <c r="H66" s="101">
        <f>IF(TrRoad_act!H42=0,0,H29/TrRoad_act!H42*1000
)</f>
        <v>1695.8106413724315</v>
      </c>
      <c r="I66" s="101">
        <f>IF(TrRoad_act!I42=0,0,I29/TrRoad_act!I42*1000
)</f>
        <v>1664.4522762647896</v>
      </c>
      <c r="J66" s="101">
        <f>IF(TrRoad_act!J42=0,0,J29/TrRoad_act!J42*1000
)</f>
        <v>1637.3198858147589</v>
      </c>
      <c r="K66" s="101">
        <f>IF(TrRoad_act!K42=0,0,K29/TrRoad_act!K42*1000
)</f>
        <v>1588.210635268149</v>
      </c>
      <c r="L66" s="101">
        <f>IF(TrRoad_act!L42=0,0,L29/TrRoad_act!L42*1000
)</f>
        <v>1600.9090380186117</v>
      </c>
      <c r="M66" s="101">
        <f>IF(TrRoad_act!M42=0,0,M29/TrRoad_act!M42*1000
)</f>
        <v>1581.2570087585211</v>
      </c>
      <c r="N66" s="101">
        <f>IF(TrRoad_act!N42=0,0,N29/TrRoad_act!N42*1000
)</f>
        <v>1576.5217747981987</v>
      </c>
      <c r="O66" s="101">
        <f>IF(TrRoad_act!O42=0,0,O29/TrRoad_act!O42*1000
)</f>
        <v>1568.7428516385626</v>
      </c>
      <c r="P66" s="101">
        <f>IF(TrRoad_act!P42=0,0,P29/TrRoad_act!P42*1000
)</f>
        <v>1537.2982039572914</v>
      </c>
      <c r="Q66" s="101">
        <f>IF(TrRoad_act!Q42=0,0,Q29/TrRoad_act!Q42*1000
)</f>
        <v>1514.9903071550418</v>
      </c>
      <c r="R66" s="101">
        <f>IF(TrRoad_act!R42=0,0,R29/TrRoad_act!R42*1000
)</f>
        <v>1534.8543504057825</v>
      </c>
      <c r="S66" s="101">
        <f>IF(TrRoad_act!S42=0,0,S29/TrRoad_act!S42*1000
)</f>
        <v>1594.9345589000993</v>
      </c>
      <c r="T66" s="101">
        <f>IF(TrRoad_act!T42=0,0,T29/TrRoad_act!T42*1000
)</f>
        <v>1604.3901437808347</v>
      </c>
      <c r="U66" s="101">
        <f>IF(TrRoad_act!U42=0,0,U29/TrRoad_act!U42*1000
)</f>
        <v>1588.1725660480527</v>
      </c>
      <c r="V66" s="101">
        <f>IF(TrRoad_act!V42=0,0,V29/TrRoad_act!V42*1000
)</f>
        <v>1582.0491061427342</v>
      </c>
      <c r="W66" s="101">
        <f>IF(TrRoad_act!W42=0,0,W29/TrRoad_act!W42*1000
)</f>
        <v>1589.5261164436047</v>
      </c>
      <c r="X66" s="101">
        <f>IF(TrRoad_act!X42=0,0,X29/TrRoad_act!X42*1000
)</f>
        <v>1566.6802841950725</v>
      </c>
      <c r="Y66" s="101">
        <f>IF(TrRoad_act!Y42=0,0,Y29/TrRoad_act!Y42*1000
)</f>
        <v>1535.7899666671944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243.04617780826598</v>
      </c>
      <c r="S68" s="101">
        <f>IF(TrRoad_act!S44=0,0,S31/TrRoad_act!S44*1000
)</f>
        <v>368.8280132099793</v>
      </c>
      <c r="T68" s="101">
        <f>IF(TrRoad_act!T44=0,0,T31/TrRoad_act!T44*1000
)</f>
        <v>265.80269996764821</v>
      </c>
      <c r="U68" s="101">
        <f>IF(TrRoad_act!U44=0,0,U31/TrRoad_act!U44*1000
)</f>
        <v>1085.1188216875285</v>
      </c>
      <c r="V68" s="101">
        <f>IF(TrRoad_act!V44=0,0,V31/TrRoad_act!V44*1000
)</f>
        <v>1435.8579710577012</v>
      </c>
      <c r="W68" s="101">
        <f>IF(TrRoad_act!W44=0,0,W31/TrRoad_act!W44*1000
)</f>
        <v>1404.2213045672606</v>
      </c>
      <c r="X68" s="101">
        <f>IF(TrRoad_act!X44=0,0,X31/TrRoad_act!X44*1000
)</f>
        <v>1501.6702374187103</v>
      </c>
      <c r="Y68" s="101">
        <f>IF(TrRoad_act!Y44=0,0,Y31/TrRoad_act!Y44*1000
)</f>
        <v>1358.1895808903967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513.72499330808876</v>
      </c>
      <c r="C70" s="29">
        <f>IF(TrRoad_act!C46=0,0,C33/TrRoad_act!C46*1000
)</f>
        <v>476.28296616501495</v>
      </c>
      <c r="D70" s="29">
        <f>IF(TrRoad_act!D46=0,0,D33/TrRoad_act!D46*1000
)</f>
        <v>652.26171451879247</v>
      </c>
      <c r="E70" s="29">
        <f>IF(TrRoad_act!E46=0,0,E33/TrRoad_act!E46*1000
)</f>
        <v>500.22457158990477</v>
      </c>
      <c r="F70" s="29">
        <f>IF(TrRoad_act!F46=0,0,F33/TrRoad_act!F46*1000
)</f>
        <v>521.69132525401426</v>
      </c>
      <c r="G70" s="29">
        <f>IF(TrRoad_act!G46=0,0,G33/TrRoad_act!G46*1000
)</f>
        <v>626.8492299306813</v>
      </c>
      <c r="H70" s="29">
        <f>IF(TrRoad_act!H46=0,0,H33/TrRoad_act!H46*1000
)</f>
        <v>660.35393566370192</v>
      </c>
      <c r="I70" s="29">
        <f>IF(TrRoad_act!I46=0,0,I33/TrRoad_act!I46*1000
)</f>
        <v>663.13920420389991</v>
      </c>
      <c r="J70" s="29">
        <f>IF(TrRoad_act!J46=0,0,J33/TrRoad_act!J46*1000
)</f>
        <v>663.424827140758</v>
      </c>
      <c r="K70" s="29">
        <f>IF(TrRoad_act!K46=0,0,K33/TrRoad_act!K46*1000
)</f>
        <v>558.00294417237558</v>
      </c>
      <c r="L70" s="29">
        <f>IF(TrRoad_act!L46=0,0,L33/TrRoad_act!L46*1000
)</f>
        <v>690.54432833769988</v>
      </c>
      <c r="M70" s="29">
        <f>IF(TrRoad_act!M46=0,0,M33/TrRoad_act!M46*1000
)</f>
        <v>659.34046825240307</v>
      </c>
      <c r="N70" s="29">
        <f>IF(TrRoad_act!N46=0,0,N33/TrRoad_act!N46*1000
)</f>
        <v>627.29139599001542</v>
      </c>
      <c r="O70" s="29">
        <f>IF(TrRoad_act!O46=0,0,O33/TrRoad_act!O46*1000
)</f>
        <v>663.21439896441973</v>
      </c>
      <c r="P70" s="29">
        <f>IF(TrRoad_act!P46=0,0,P33/TrRoad_act!P46*1000
)</f>
        <v>666.632748311363</v>
      </c>
      <c r="Q70" s="29">
        <f>IF(TrRoad_act!Q46=0,0,Q33/TrRoad_act!Q46*1000
)</f>
        <v>601.11362540151833</v>
      </c>
      <c r="R70" s="29">
        <f>IF(TrRoad_act!R46=0,0,R33/TrRoad_act!R46*1000
)</f>
        <v>709.29415906006716</v>
      </c>
      <c r="S70" s="29">
        <f>IF(TrRoad_act!S46=0,0,S33/TrRoad_act!S46*1000
)</f>
        <v>883.58098700225139</v>
      </c>
      <c r="T70" s="29">
        <f>IF(TrRoad_act!T46=0,0,T33/TrRoad_act!T46*1000
)</f>
        <v>917.1537188858897</v>
      </c>
      <c r="U70" s="29">
        <f>IF(TrRoad_act!U46=0,0,U33/TrRoad_act!U46*1000
)</f>
        <v>876.10941390761116</v>
      </c>
      <c r="V70" s="29">
        <f>IF(TrRoad_act!V46=0,0,V33/TrRoad_act!V46*1000
)</f>
        <v>817.24266432379432</v>
      </c>
      <c r="W70" s="29">
        <f>IF(TrRoad_act!W46=0,0,W33/TrRoad_act!W46*1000
)</f>
        <v>891.36542086244901</v>
      </c>
      <c r="X70" s="29">
        <f>IF(TrRoad_act!X46=0,0,X33/TrRoad_act!X46*1000
)</f>
        <v>874.24169174227757</v>
      </c>
      <c r="Y70" s="29">
        <f>IF(TrRoad_act!Y46=0,0,Y33/TrRoad_act!Y46*1000
)</f>
        <v>828.32635413383548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321.51398115435785</v>
      </c>
      <c r="C71" s="152">
        <f>IF(TrRoad_act!C47=0,0,C34/TrRoad_act!C47*1000
)</f>
        <v>314.35960790659789</v>
      </c>
      <c r="D71" s="152">
        <f>IF(TrRoad_act!D47=0,0,D34/TrRoad_act!D47*1000
)</f>
        <v>376.67620456280304</v>
      </c>
      <c r="E71" s="152">
        <f>IF(TrRoad_act!E47=0,0,E34/TrRoad_act!E47*1000
)</f>
        <v>353.68072909378435</v>
      </c>
      <c r="F71" s="152">
        <f>IF(TrRoad_act!F47=0,0,F34/TrRoad_act!F47*1000
)</f>
        <v>353.28725334308444</v>
      </c>
      <c r="G71" s="152">
        <f>IF(TrRoad_act!G47=0,0,G34/TrRoad_act!G47*1000
)</f>
        <v>363.61020650221269</v>
      </c>
      <c r="H71" s="152">
        <f>IF(TrRoad_act!H47=0,0,H34/TrRoad_act!H47*1000
)</f>
        <v>329.75116319718347</v>
      </c>
      <c r="I71" s="152">
        <f>IF(TrRoad_act!I47=0,0,I34/TrRoad_act!I47*1000
)</f>
        <v>341.56293324931931</v>
      </c>
      <c r="J71" s="152">
        <f>IF(TrRoad_act!J47=0,0,J34/TrRoad_act!J47*1000
)</f>
        <v>315.4830595616084</v>
      </c>
      <c r="K71" s="152">
        <f>IF(TrRoad_act!K47=0,0,K34/TrRoad_act!K47*1000
)</f>
        <v>285.45968035919907</v>
      </c>
      <c r="L71" s="152">
        <f>IF(TrRoad_act!L47=0,0,L34/TrRoad_act!L47*1000
)</f>
        <v>330.01961346383973</v>
      </c>
      <c r="M71" s="152">
        <f>IF(TrRoad_act!M47=0,0,M34/TrRoad_act!M47*1000
)</f>
        <v>335.28079463502138</v>
      </c>
      <c r="N71" s="152">
        <f>IF(TrRoad_act!N47=0,0,N34/TrRoad_act!N47*1000
)</f>
        <v>312.43156748718047</v>
      </c>
      <c r="O71" s="152">
        <f>IF(TrRoad_act!O47=0,0,O34/TrRoad_act!O47*1000
)</f>
        <v>301.52345999770989</v>
      </c>
      <c r="P71" s="152">
        <f>IF(TrRoad_act!P47=0,0,P34/TrRoad_act!P47*1000
)</f>
        <v>304.16434454682752</v>
      </c>
      <c r="Q71" s="152">
        <f>IF(TrRoad_act!Q47=0,0,Q34/TrRoad_act!Q47*1000
)</f>
        <v>283.10262665260694</v>
      </c>
      <c r="R71" s="152">
        <f>IF(TrRoad_act!R47=0,0,R34/TrRoad_act!R47*1000
)</f>
        <v>305.47326782649986</v>
      </c>
      <c r="S71" s="152">
        <f>IF(TrRoad_act!S47=0,0,S34/TrRoad_act!S47*1000
)</f>
        <v>330.54195347913242</v>
      </c>
      <c r="T71" s="152">
        <f>IF(TrRoad_act!T47=0,0,T34/TrRoad_act!T47*1000
)</f>
        <v>327.84125616999404</v>
      </c>
      <c r="U71" s="152">
        <f>IF(TrRoad_act!U47=0,0,U34/TrRoad_act!U47*1000
)</f>
        <v>326.19752205601509</v>
      </c>
      <c r="V71" s="152">
        <f>IF(TrRoad_act!V47=0,0,V34/TrRoad_act!V47*1000
)</f>
        <v>328.44419653603336</v>
      </c>
      <c r="W71" s="152">
        <f>IF(TrRoad_act!W47=0,0,W34/TrRoad_act!W47*1000
)</f>
        <v>308.53001345635221</v>
      </c>
      <c r="X71" s="152">
        <f>IF(TrRoad_act!X47=0,0,X34/TrRoad_act!X47*1000
)</f>
        <v>317.26295297436064</v>
      </c>
      <c r="Y71" s="152">
        <f>IF(TrRoad_act!Y47=0,0,Y34/TrRoad_act!Y47*1000
)</f>
        <v>323.552405723221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258.87740568652526</v>
      </c>
      <c r="C72" s="87">
        <f>IF(TrRoad_act!C48=0,0,C35/TrRoad_act!C48*1000
)</f>
        <v>254.36395299403182</v>
      </c>
      <c r="D72" s="87">
        <f>IF(TrRoad_act!D48=0,0,D35/TrRoad_act!D48*1000
)</f>
        <v>249.43419154797991</v>
      </c>
      <c r="E72" s="87">
        <f>IF(TrRoad_act!E48=0,0,E35/TrRoad_act!E48*1000
)</f>
        <v>244.21628033965936</v>
      </c>
      <c r="F72" s="87">
        <f>IF(TrRoad_act!F48=0,0,F35/TrRoad_act!F48*1000
)</f>
        <v>228.7201432979985</v>
      </c>
      <c r="G72" s="87">
        <f>IF(TrRoad_act!G48=0,0,G35/TrRoad_act!G48*1000
)</f>
        <v>225.00602469158704</v>
      </c>
      <c r="H72" s="87">
        <f>IF(TrRoad_act!H48=0,0,H35/TrRoad_act!H48*1000
)</f>
        <v>220.97455673976711</v>
      </c>
      <c r="I72" s="87">
        <f>IF(TrRoad_act!I48=0,0,I35/TrRoad_act!I48*1000
)</f>
        <v>214.76227864261202</v>
      </c>
      <c r="J72" s="87">
        <f>IF(TrRoad_act!J48=0,0,J35/TrRoad_act!J48*1000
)</f>
        <v>212.62654255249484</v>
      </c>
      <c r="K72" s="87">
        <f>IF(TrRoad_act!K48=0,0,K35/TrRoad_act!K48*1000
)</f>
        <v>206.58690004132148</v>
      </c>
      <c r="L72" s="87">
        <f>IF(TrRoad_act!L48=0,0,L35/TrRoad_act!L48*1000
)</f>
        <v>200.2060722765271</v>
      </c>
      <c r="M72" s="87">
        <f>IF(TrRoad_act!M48=0,0,M35/TrRoad_act!M48*1000
)</f>
        <v>201.31311278449968</v>
      </c>
      <c r="N72" s="87">
        <f>IF(TrRoad_act!N48=0,0,N35/TrRoad_act!N48*1000
)</f>
        <v>202.12496774685815</v>
      </c>
      <c r="O72" s="87">
        <f>IF(TrRoad_act!O48=0,0,O35/TrRoad_act!O48*1000
)</f>
        <v>203.84228033916389</v>
      </c>
      <c r="P72" s="87">
        <f>IF(TrRoad_act!P48=0,0,P35/TrRoad_act!P48*1000
)</f>
        <v>201.85922016015729</v>
      </c>
      <c r="Q72" s="87">
        <f>IF(TrRoad_act!Q48=0,0,Q35/TrRoad_act!Q48*1000
)</f>
        <v>206.2171439326531</v>
      </c>
      <c r="R72" s="87">
        <f>IF(TrRoad_act!R48=0,0,R35/TrRoad_act!R48*1000
)</f>
        <v>210.8244692743105</v>
      </c>
      <c r="S72" s="87">
        <f>IF(TrRoad_act!S48=0,0,S35/TrRoad_act!S48*1000
)</f>
        <v>210.49841639711602</v>
      </c>
      <c r="T72" s="87">
        <f>IF(TrRoad_act!T48=0,0,T35/TrRoad_act!T48*1000
)</f>
        <v>212.62760327884041</v>
      </c>
      <c r="U72" s="87">
        <f>IF(TrRoad_act!U48=0,0,U35/TrRoad_act!U48*1000
)</f>
        <v>213.97219383966927</v>
      </c>
      <c r="V72" s="87">
        <f>IF(TrRoad_act!V48=0,0,V35/TrRoad_act!V48*1000
)</f>
        <v>210.8548003955685</v>
      </c>
      <c r="W72" s="87">
        <f>IF(TrRoad_act!W48=0,0,W35/TrRoad_act!W48*1000
)</f>
        <v>211.69584353709453</v>
      </c>
      <c r="X72" s="87">
        <f>IF(TrRoad_act!X48=0,0,X35/TrRoad_act!X48*1000
)</f>
        <v>214.12250278839255</v>
      </c>
      <c r="Y72" s="87">
        <f>IF(TrRoad_act!Y48=0,0,Y35/TrRoad_act!Y48*1000
)</f>
        <v>215.7065368557422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353.84430452019888</v>
      </c>
      <c r="C73" s="87">
        <f>IF(TrRoad_act!C49=0,0,C36/TrRoad_act!C49*1000
)</f>
        <v>345.27131205779853</v>
      </c>
      <c r="D73" s="87">
        <f>IF(TrRoad_act!D49=0,0,D36/TrRoad_act!D49*1000
)</f>
        <v>443.38615643572075</v>
      </c>
      <c r="E73" s="87">
        <f>IF(TrRoad_act!E49=0,0,E36/TrRoad_act!E49*1000
)</f>
        <v>411.27810027116897</v>
      </c>
      <c r="F73" s="87">
        <f>IF(TrRoad_act!F49=0,0,F36/TrRoad_act!F49*1000
)</f>
        <v>438.1451644224768</v>
      </c>
      <c r="G73" s="87">
        <f>IF(TrRoad_act!G49=0,0,G36/TrRoad_act!G49*1000
)</f>
        <v>449.47350980713958</v>
      </c>
      <c r="H73" s="87">
        <f>IF(TrRoad_act!H49=0,0,H36/TrRoad_act!H49*1000
)</f>
        <v>399.77001096579068</v>
      </c>
      <c r="I73" s="87">
        <f>IF(TrRoad_act!I49=0,0,I36/TrRoad_act!I49*1000
)</f>
        <v>415.69386974015356</v>
      </c>
      <c r="J73" s="87">
        <f>IF(TrRoad_act!J49=0,0,J36/TrRoad_act!J49*1000
)</f>
        <v>373.31415801236557</v>
      </c>
      <c r="K73" s="87">
        <f>IF(TrRoad_act!K49=0,0,K36/TrRoad_act!K49*1000
)</f>
        <v>324.36437516805512</v>
      </c>
      <c r="L73" s="87">
        <f>IF(TrRoad_act!L49=0,0,L36/TrRoad_act!L49*1000
)</f>
        <v>373.30553149398924</v>
      </c>
      <c r="M73" s="87">
        <f>IF(TrRoad_act!M49=0,0,M36/TrRoad_act!M49*1000
)</f>
        <v>379.60218348648749</v>
      </c>
      <c r="N73" s="87">
        <f>IF(TrRoad_act!N49=0,0,N36/TrRoad_act!N49*1000
)</f>
        <v>347.58361380962486</v>
      </c>
      <c r="O73" s="87">
        <f>IF(TrRoad_act!O49=0,0,O36/TrRoad_act!O49*1000
)</f>
        <v>337.66559251960518</v>
      </c>
      <c r="P73" s="87">
        <f>IF(TrRoad_act!P49=0,0,P36/TrRoad_act!P49*1000
)</f>
        <v>345.45825136139166</v>
      </c>
      <c r="Q73" s="87">
        <f>IF(TrRoad_act!Q49=0,0,Q36/TrRoad_act!Q49*1000
)</f>
        <v>313.65303089080055</v>
      </c>
      <c r="R73" s="87">
        <f>IF(TrRoad_act!R49=0,0,R36/TrRoad_act!R49*1000
)</f>
        <v>354.67116128915075</v>
      </c>
      <c r="S73" s="87">
        <f>IF(TrRoad_act!S49=0,0,S36/TrRoad_act!S49*1000
)</f>
        <v>383.68379437376507</v>
      </c>
      <c r="T73" s="87">
        <f>IF(TrRoad_act!T49=0,0,T36/TrRoad_act!T49*1000
)</f>
        <v>376.67818211501964</v>
      </c>
      <c r="U73" s="87">
        <f>IF(TrRoad_act!U49=0,0,U36/TrRoad_act!U49*1000
)</f>
        <v>364.88332502411293</v>
      </c>
      <c r="V73" s="87">
        <f>IF(TrRoad_act!V49=0,0,V36/TrRoad_act!V49*1000
)</f>
        <v>368.08911251866272</v>
      </c>
      <c r="W73" s="87">
        <f>IF(TrRoad_act!W49=0,0,W36/TrRoad_act!W49*1000
)</f>
        <v>340.24311052210851</v>
      </c>
      <c r="X73" s="87">
        <f>IF(TrRoad_act!X49=0,0,X36/TrRoad_act!X49*1000
)</f>
        <v>350.55627054037001</v>
      </c>
      <c r="Y73" s="87">
        <f>IF(TrRoad_act!Y49=0,0,Y36/TrRoad_act!Y49*1000
)</f>
        <v>358.40346282395882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285.09101739034287</v>
      </c>
      <c r="O74" s="87">
        <f>IF(TrRoad_act!O50=0,0,O37/TrRoad_act!O50*1000
)</f>
        <v>229.80210715200201</v>
      </c>
      <c r="P74" s="87">
        <f>IF(TrRoad_act!P50=0,0,P37/TrRoad_act!P50*1000
)</f>
        <v>332.26636893659901</v>
      </c>
      <c r="Q74" s="87">
        <f>IF(TrRoad_act!Q50=0,0,Q37/TrRoad_act!Q50*1000
)</f>
        <v>331.35588497496002</v>
      </c>
      <c r="R74" s="87">
        <f>IF(TrRoad_act!R50=0,0,R37/TrRoad_act!R50*1000
)</f>
        <v>331.19584075712578</v>
      </c>
      <c r="S74" s="87">
        <f>IF(TrRoad_act!S50=0,0,S37/TrRoad_act!S50*1000
)</f>
        <v>328.27834918911464</v>
      </c>
      <c r="T74" s="87">
        <f>IF(TrRoad_act!T50=0,0,T37/TrRoad_act!T50*1000
)</f>
        <v>322.67945709196857</v>
      </c>
      <c r="U74" s="87">
        <f>IF(TrRoad_act!U50=0,0,U37/TrRoad_act!U50*1000
)</f>
        <v>315.90213166606327</v>
      </c>
      <c r="V74" s="87">
        <f>IF(TrRoad_act!V50=0,0,V37/TrRoad_act!V50*1000
)</f>
        <v>313.10152283048581</v>
      </c>
      <c r="W74" s="87">
        <f>IF(TrRoad_act!W50=0,0,W37/TrRoad_act!W50*1000
)</f>
        <v>312.14516283925008</v>
      </c>
      <c r="X74" s="87">
        <f>IF(TrRoad_act!X50=0,0,X37/TrRoad_act!X50*1000
)</f>
        <v>311.23817362177476</v>
      </c>
      <c r="Y74" s="87">
        <f>IF(TrRoad_act!Y50=0,0,Y37/TrRoad_act!Y50*1000
)</f>
        <v>310.83586605465177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237.9490906949419</v>
      </c>
      <c r="O75" s="87">
        <f>IF(TrRoad_act!O51=0,0,O38/TrRoad_act!O51*1000
)</f>
        <v>244.85038234548676</v>
      </c>
      <c r="P75" s="87">
        <f>IF(TrRoad_act!P51=0,0,P38/TrRoad_act!P51*1000
)</f>
        <v>238.84370880540322</v>
      </c>
      <c r="Q75" s="87">
        <f>IF(TrRoad_act!Q51=0,0,Q38/TrRoad_act!Q51*1000
)</f>
        <v>220.25862932414825</v>
      </c>
      <c r="R75" s="87">
        <f>IF(TrRoad_act!R51=0,0,R38/TrRoad_act!R51*1000
)</f>
        <v>330.3085391531589</v>
      </c>
      <c r="S75" s="87">
        <f>IF(TrRoad_act!S51=0,0,S38/TrRoad_act!S51*1000
)</f>
        <v>325.71104374066567</v>
      </c>
      <c r="T75" s="87">
        <f>IF(TrRoad_act!T51=0,0,T38/TrRoad_act!T51*1000
)</f>
        <v>305.48472285929017</v>
      </c>
      <c r="U75" s="87">
        <f>IF(TrRoad_act!U51=0,0,U38/TrRoad_act!U51*1000
)</f>
        <v>305.98289956238335</v>
      </c>
      <c r="V75" s="87">
        <f>IF(TrRoad_act!V51=0,0,V38/TrRoad_act!V51*1000
)</f>
        <v>366.3567005457034</v>
      </c>
      <c r="W75" s="87">
        <f>IF(TrRoad_act!W51=0,0,W38/TrRoad_act!W51*1000
)</f>
        <v>357.86978362364562</v>
      </c>
      <c r="X75" s="87">
        <f>IF(TrRoad_act!X51=0,0,X38/TrRoad_act!X51*1000
)</f>
        <v>382.07031538239869</v>
      </c>
      <c r="Y75" s="87">
        <f>IF(TrRoad_act!Y51=0,0,Y38/TrRoad_act!Y51*1000
)</f>
        <v>345.51325774763438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1029.8133720394198</v>
      </c>
      <c r="C77" s="116">
        <f>IF(TrRoad_act!C53=0,0,C40/TrRoad_act!C53*1000
)</f>
        <v>888.52759972504498</v>
      </c>
      <c r="D77" s="116">
        <f>IF(TrRoad_act!D53=0,0,D40/TrRoad_act!D53*1000
)</f>
        <v>1180.0214511641434</v>
      </c>
      <c r="E77" s="116">
        <f>IF(TrRoad_act!E53=0,0,E40/TrRoad_act!E53*1000
)</f>
        <v>766.67722563405073</v>
      </c>
      <c r="F77" s="116">
        <f>IF(TrRoad_act!F53=0,0,F40/TrRoad_act!F53*1000
)</f>
        <v>809.86074717530437</v>
      </c>
      <c r="G77" s="116">
        <f>IF(TrRoad_act!G53=0,0,G40/TrRoad_act!G53*1000
)</f>
        <v>1080.6522596573568</v>
      </c>
      <c r="H77" s="116">
        <f>IF(TrRoad_act!H53=0,0,H40/TrRoad_act!H53*1000
)</f>
        <v>1175.0004888597432</v>
      </c>
      <c r="I77" s="116">
        <f>IF(TrRoad_act!I53=0,0,I40/TrRoad_act!I53*1000
)</f>
        <v>1171.0528502413597</v>
      </c>
      <c r="J77" s="116">
        <f>IF(TrRoad_act!J53=0,0,J40/TrRoad_act!J53*1000
)</f>
        <v>1168.1146862707078</v>
      </c>
      <c r="K77" s="116">
        <f>IF(TrRoad_act!K53=0,0,K40/TrRoad_act!K53*1000
)</f>
        <v>1047.9718318112295</v>
      </c>
      <c r="L77" s="116">
        <f>IF(TrRoad_act!L53=0,0,L40/TrRoad_act!L53*1000
)</f>
        <v>1223.4747160413096</v>
      </c>
      <c r="M77" s="116">
        <f>IF(TrRoad_act!M53=0,0,M40/TrRoad_act!M53*1000
)</f>
        <v>1146.3296398950115</v>
      </c>
      <c r="N77" s="116">
        <f>IF(TrRoad_act!N53=0,0,N40/TrRoad_act!N53*1000
)</f>
        <v>1146.6978044021043</v>
      </c>
      <c r="O77" s="116">
        <f>IF(TrRoad_act!O53=0,0,O40/TrRoad_act!O53*1000
)</f>
        <v>1209.8330387827348</v>
      </c>
      <c r="P77" s="116">
        <f>IF(TrRoad_act!P53=0,0,P40/TrRoad_act!P53*1000
)</f>
        <v>1111.8419541237781</v>
      </c>
      <c r="Q77" s="116">
        <f>IF(TrRoad_act!Q53=0,0,Q40/TrRoad_act!Q53*1000
)</f>
        <v>1069.0131985221442</v>
      </c>
      <c r="R77" s="116">
        <f>IF(TrRoad_act!R53=0,0,R40/TrRoad_act!R53*1000
)</f>
        <v>1189.5292972200359</v>
      </c>
      <c r="S77" s="116">
        <f>IF(TrRoad_act!S53=0,0,S40/TrRoad_act!S53*1000
)</f>
        <v>1515.7206856103066</v>
      </c>
      <c r="T77" s="116">
        <f>IF(TrRoad_act!T53=0,0,T40/TrRoad_act!T53*1000
)</f>
        <v>1612.2966509328451</v>
      </c>
      <c r="U77" s="116">
        <f>IF(TrRoad_act!U53=0,0,U40/TrRoad_act!U53*1000
)</f>
        <v>1458.2208402493604</v>
      </c>
      <c r="V77" s="116">
        <f>IF(TrRoad_act!V53=0,0,V40/TrRoad_act!V53*1000
)</f>
        <v>1362.2485016975704</v>
      </c>
      <c r="W77" s="116">
        <f>IF(TrRoad_act!W53=0,0,W40/TrRoad_act!W53*1000
)</f>
        <v>1571.3627182946911</v>
      </c>
      <c r="X77" s="116">
        <f>IF(TrRoad_act!X53=0,0,X40/TrRoad_act!X53*1000
)</f>
        <v>1488.2700694453583</v>
      </c>
      <c r="Y77" s="116">
        <f>IF(TrRoad_act!Y53=0,0,Y40/TrRoad_act!Y53*1000
)</f>
        <v>1397.9059013110766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922.61922445968605</v>
      </c>
      <c r="C78" s="101">
        <f>IF(TrRoad_act!C54=0,0,C41/TrRoad_act!C54*1000
)</f>
        <v>851.83642537787887</v>
      </c>
      <c r="D78" s="101">
        <f>IF(TrRoad_act!D54=0,0,D41/TrRoad_act!D54*1000
)</f>
        <v>939.99420851064804</v>
      </c>
      <c r="E78" s="101">
        <f>IF(TrRoad_act!E54=0,0,E41/TrRoad_act!E54*1000
)</f>
        <v>847.95734199502988</v>
      </c>
      <c r="F78" s="101">
        <f>IF(TrRoad_act!F54=0,0,F41/TrRoad_act!F54*1000
)</f>
        <v>849.20472985219499</v>
      </c>
      <c r="G78" s="101">
        <f>IF(TrRoad_act!G54=0,0,G41/TrRoad_act!G54*1000
)</f>
        <v>903.59243558068238</v>
      </c>
      <c r="H78" s="101">
        <f>IF(TrRoad_act!H54=0,0,H41/TrRoad_act!H54*1000
)</f>
        <v>908.41034625235545</v>
      </c>
      <c r="I78" s="101">
        <f>IF(TrRoad_act!I54=0,0,I41/TrRoad_act!I54*1000
)</f>
        <v>906.71555540041004</v>
      </c>
      <c r="J78" s="101">
        <f>IF(TrRoad_act!J54=0,0,J41/TrRoad_act!J54*1000
)</f>
        <v>908.61051254594634</v>
      </c>
      <c r="K78" s="101">
        <f>IF(TrRoad_act!K54=0,0,K41/TrRoad_act!K54*1000
)</f>
        <v>878.41663191499572</v>
      </c>
      <c r="L78" s="101">
        <f>IF(TrRoad_act!L54=0,0,L41/TrRoad_act!L54*1000
)</f>
        <v>922.19268559537738</v>
      </c>
      <c r="M78" s="101">
        <f>IF(TrRoad_act!M54=0,0,M41/TrRoad_act!M54*1000
)</f>
        <v>902.89848470121512</v>
      </c>
      <c r="N78" s="101">
        <f>IF(TrRoad_act!N54=0,0,N41/TrRoad_act!N54*1000
)</f>
        <v>903.92185071027268</v>
      </c>
      <c r="O78" s="101">
        <f>IF(TrRoad_act!O54=0,0,O41/TrRoad_act!O54*1000
)</f>
        <v>915.99534432542839</v>
      </c>
      <c r="P78" s="101">
        <f>IF(TrRoad_act!P54=0,0,P41/TrRoad_act!P54*1000
)</f>
        <v>884.76364626091731</v>
      </c>
      <c r="Q78" s="101">
        <f>IF(TrRoad_act!Q54=0,0,Q41/TrRoad_act!Q54*1000
)</f>
        <v>867.10764718272321</v>
      </c>
      <c r="R78" s="101">
        <f>IF(TrRoad_act!R54=0,0,R41/TrRoad_act!R54*1000
)</f>
        <v>899.4164586093774</v>
      </c>
      <c r="S78" s="101">
        <f>IF(TrRoad_act!S54=0,0,S41/TrRoad_act!S54*1000
)</f>
        <v>982.05198368609263</v>
      </c>
      <c r="T78" s="101">
        <f>IF(TrRoad_act!T54=0,0,T41/TrRoad_act!T54*1000
)</f>
        <v>1003.3301579850009</v>
      </c>
      <c r="U78" s="101">
        <f>IF(TrRoad_act!U54=0,0,U41/TrRoad_act!U54*1000
)</f>
        <v>967.90076304201648</v>
      </c>
      <c r="V78" s="101">
        <f>IF(TrRoad_act!V54=0,0,V41/TrRoad_act!V54*1000
)</f>
        <v>946.54438339899525</v>
      </c>
      <c r="W78" s="101">
        <f>IF(TrRoad_act!W54=0,0,W41/TrRoad_act!W54*1000
)</f>
        <v>994.35275894748338</v>
      </c>
      <c r="X78" s="101">
        <f>IF(TrRoad_act!X54=0,0,X41/TrRoad_act!X54*1000
)</f>
        <v>976.41666000671694</v>
      </c>
      <c r="Y78" s="101">
        <f>IF(TrRoad_act!Y54=0,0,Y41/TrRoad_act!Y54*1000
)</f>
        <v>962.87096743435188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1193.5049712483394</v>
      </c>
      <c r="C79" s="88">
        <f>IF(TrRoad_act!C55=0,0,C42/TrRoad_act!C55*1000
)</f>
        <v>945.5311339604981</v>
      </c>
      <c r="D79" s="88">
        <f>IF(TrRoad_act!D55=0,0,D42/TrRoad_act!D55*1000
)</f>
        <v>1726.3685955799167</v>
      </c>
      <c r="E79" s="88">
        <f>IF(TrRoad_act!E55=0,0,E42/TrRoad_act!E55*1000
)</f>
        <v>574.51944780880103</v>
      </c>
      <c r="F79" s="88">
        <f>IF(TrRoad_act!F55=0,0,F42/TrRoad_act!F55*1000
)</f>
        <v>722.36046258354349</v>
      </c>
      <c r="G79" s="88">
        <f>IF(TrRoad_act!G55=0,0,G42/TrRoad_act!G55*1000
)</f>
        <v>1491.8430988873497</v>
      </c>
      <c r="H79" s="88">
        <f>IF(TrRoad_act!H55=0,0,H42/TrRoad_act!H55*1000
)</f>
        <v>1839.2749863405727</v>
      </c>
      <c r="I79" s="88">
        <f>IF(TrRoad_act!I55=0,0,I42/TrRoad_act!I55*1000
)</f>
        <v>1739.8808750563414</v>
      </c>
      <c r="J79" s="88">
        <f>IF(TrRoad_act!J55=0,0,J42/TrRoad_act!J55*1000
)</f>
        <v>1879.1366840420408</v>
      </c>
      <c r="K79" s="88">
        <f>IF(TrRoad_act!K55=0,0,K42/TrRoad_act!K55*1000
)</f>
        <v>1448.7692744507337</v>
      </c>
      <c r="L79" s="88">
        <f>IF(TrRoad_act!L55=0,0,L42/TrRoad_act!L55*1000
)</f>
        <v>2118.2934137243424</v>
      </c>
      <c r="M79" s="88">
        <f>IF(TrRoad_act!M55=0,0,M42/TrRoad_act!M55*1000
)</f>
        <v>1816.3148819759222</v>
      </c>
      <c r="N79" s="88">
        <f>IF(TrRoad_act!N55=0,0,N42/TrRoad_act!N55*1000
)</f>
        <v>1762.4631167368395</v>
      </c>
      <c r="O79" s="88">
        <f>IF(TrRoad_act!O55=0,0,O42/TrRoad_act!O55*1000
)</f>
        <v>1868.0032739368723</v>
      </c>
      <c r="P79" s="88">
        <f>IF(TrRoad_act!P55=0,0,P42/TrRoad_act!P55*1000
)</f>
        <v>1671.1421929387329</v>
      </c>
      <c r="Q79" s="88">
        <f>IF(TrRoad_act!Q55=0,0,Q42/TrRoad_act!Q55*1000
)</f>
        <v>1481.7738882698447</v>
      </c>
      <c r="R79" s="88">
        <f>IF(TrRoad_act!R55=0,0,R42/TrRoad_act!R55*1000
)</f>
        <v>1853.3411927318721</v>
      </c>
      <c r="S79" s="88">
        <f>IF(TrRoad_act!S55=0,0,S42/TrRoad_act!S55*1000
)</f>
        <v>2684.127059302245</v>
      </c>
      <c r="T79" s="88">
        <f>IF(TrRoad_act!T55=0,0,T42/TrRoad_act!T55*1000
)</f>
        <v>2880.100213284366</v>
      </c>
      <c r="U79" s="88">
        <f>IF(TrRoad_act!U55=0,0,U42/TrRoad_act!U55*1000
)</f>
        <v>2570.4502598140416</v>
      </c>
      <c r="V79" s="88">
        <f>IF(TrRoad_act!V55=0,0,V42/TrRoad_act!V55*1000
)</f>
        <v>2299.03608044364</v>
      </c>
      <c r="W79" s="88">
        <f>IF(TrRoad_act!W55=0,0,W42/TrRoad_act!W55*1000
)</f>
        <v>2802.6408846492736</v>
      </c>
      <c r="X79" s="88">
        <f>IF(TrRoad_act!X55=0,0,X42/TrRoad_act!X55*1000
)</f>
        <v>2564.8293207835504</v>
      </c>
      <c r="Y79" s="88">
        <f>IF(TrRoad_act!Y55=0,0,Y42/TrRoad_act!Y55*1000
)</f>
        <v>2351.5685860489475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84.013373860401316</v>
      </c>
      <c r="C82" s="29">
        <f>IF(TrRoad_act!C4=0,0,C18/TrRoad_act!C4*1000)</f>
        <v>84.848868277244421</v>
      </c>
      <c r="D82" s="29">
        <f>IF(TrRoad_act!D4=0,0,D18/TrRoad_act!D4*1000)</f>
        <v>95.866643673976881</v>
      </c>
      <c r="E82" s="29">
        <f>IF(TrRoad_act!E4=0,0,E18/TrRoad_act!E4*1000)</f>
        <v>93.014800032268269</v>
      </c>
      <c r="F82" s="29">
        <f>IF(TrRoad_act!F4=0,0,F18/TrRoad_act!F4*1000)</f>
        <v>86.15598641266979</v>
      </c>
      <c r="G82" s="29">
        <f>IF(TrRoad_act!G4=0,0,G18/TrRoad_act!G4*1000)</f>
        <v>88.760144584097503</v>
      </c>
      <c r="H82" s="29">
        <f>IF(TrRoad_act!H4=0,0,H18/TrRoad_act!H4*1000)</f>
        <v>84.178170286034032</v>
      </c>
      <c r="I82" s="29">
        <f>IF(TrRoad_act!I4=0,0,I18/TrRoad_act!I4*1000)</f>
        <v>90.367718215123929</v>
      </c>
      <c r="J82" s="29">
        <f>IF(TrRoad_act!J4=0,0,J18/TrRoad_act!J4*1000)</f>
        <v>95.898687255683996</v>
      </c>
      <c r="K82" s="29">
        <f>IF(TrRoad_act!K4=0,0,K18/TrRoad_act!K4*1000)</f>
        <v>94.899499368387637</v>
      </c>
      <c r="L82" s="29">
        <f>IF(TrRoad_act!L4=0,0,L18/TrRoad_act!L4*1000)</f>
        <v>95.447426992329113</v>
      </c>
      <c r="M82" s="29">
        <f>IF(TrRoad_act!M4=0,0,M18/TrRoad_act!M4*1000)</f>
        <v>92.88410850302779</v>
      </c>
      <c r="N82" s="29">
        <f>IF(TrRoad_act!N4=0,0,N18/TrRoad_act!N4*1000)</f>
        <v>90.903678397665487</v>
      </c>
      <c r="O82" s="29">
        <f>IF(TrRoad_act!O4=0,0,O18/TrRoad_act!O4*1000)</f>
        <v>90.390641686923601</v>
      </c>
      <c r="P82" s="29">
        <f>IF(TrRoad_act!P4=0,0,P18/TrRoad_act!P4*1000)</f>
        <v>87.841366111737017</v>
      </c>
      <c r="Q82" s="29">
        <f>IF(TrRoad_act!Q4=0,0,Q18/TrRoad_act!Q4*1000)</f>
        <v>87.555874183526484</v>
      </c>
      <c r="R82" s="29">
        <f>IF(TrRoad_act!R4=0,0,R18/TrRoad_act!R4*1000)</f>
        <v>86.459949847976517</v>
      </c>
      <c r="S82" s="29">
        <f>IF(TrRoad_act!S4=0,0,S18/TrRoad_act!S4*1000)</f>
        <v>88.130215011424013</v>
      </c>
      <c r="T82" s="29">
        <f>IF(TrRoad_act!T4=0,0,T18/TrRoad_act!T4*1000)</f>
        <v>84.392204741440324</v>
      </c>
      <c r="U82" s="29">
        <f>IF(TrRoad_act!U4=0,0,U18/TrRoad_act!U4*1000)</f>
        <v>83.074777651811857</v>
      </c>
      <c r="V82" s="29">
        <f>IF(TrRoad_act!V4=0,0,V18/TrRoad_act!V4*1000)</f>
        <v>91.891505187775863</v>
      </c>
      <c r="W82" s="29">
        <f>IF(TrRoad_act!W4=0,0,W18/TrRoad_act!W4*1000)</f>
        <v>90.421715237493146</v>
      </c>
      <c r="X82" s="29">
        <f>IF(TrRoad_act!X4=0,0,X18/TrRoad_act!X4*1000)</f>
        <v>85.558488794643495</v>
      </c>
      <c r="Y82" s="29">
        <f>IF(TrRoad_act!Y4=0,0,Y18/TrRoad_act!Y4*1000)</f>
        <v>83.547629154850597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97.864238301672131</v>
      </c>
      <c r="C83" s="152">
        <f>IF(TrRoad_act!C5=0,0,C19/TrRoad_act!C5*1000)</f>
        <v>97.856540497502209</v>
      </c>
      <c r="D83" s="152">
        <f>IF(TrRoad_act!D5=0,0,D19/TrRoad_act!D5*1000)</f>
        <v>97.869079620619033</v>
      </c>
      <c r="E83" s="152">
        <f>IF(TrRoad_act!E5=0,0,E19/TrRoad_act!E5*1000)</f>
        <v>97.806058308028113</v>
      </c>
      <c r="F83" s="152">
        <f>IF(TrRoad_act!F5=0,0,F19/TrRoad_act!F5*1000)</f>
        <v>97.69523265287549</v>
      </c>
      <c r="G83" s="152">
        <f>IF(TrRoad_act!G5=0,0,G19/TrRoad_act!G5*1000)</f>
        <v>97.767972975336392</v>
      </c>
      <c r="H83" s="152">
        <f>IF(TrRoad_act!H5=0,0,H19/TrRoad_act!H5*1000)</f>
        <v>97.613187621848439</v>
      </c>
      <c r="I83" s="152">
        <f>IF(TrRoad_act!I5=0,0,I19/TrRoad_act!I5*1000)</f>
        <v>95.698880093548283</v>
      </c>
      <c r="J83" s="152">
        <f>IF(TrRoad_act!J5=0,0,J19/TrRoad_act!J5*1000)</f>
        <v>95.080197000994914</v>
      </c>
      <c r="K83" s="152">
        <f>IF(TrRoad_act!K5=0,0,K19/TrRoad_act!K5*1000)</f>
        <v>92.23836651176309</v>
      </c>
      <c r="L83" s="152">
        <f>IF(TrRoad_act!L5=0,0,L19/TrRoad_act!L5*1000)</f>
        <v>92.189099443810548</v>
      </c>
      <c r="M83" s="152">
        <f>IF(TrRoad_act!M5=0,0,M19/TrRoad_act!M5*1000)</f>
        <v>92.329083748582207</v>
      </c>
      <c r="N83" s="152">
        <f>IF(TrRoad_act!N5=0,0,N19/TrRoad_act!N5*1000)</f>
        <v>92.771071125277913</v>
      </c>
      <c r="O83" s="152">
        <f>IF(TrRoad_act!O5=0,0,O19/TrRoad_act!O5*1000)</f>
        <v>92.243741611817271</v>
      </c>
      <c r="P83" s="152">
        <f>IF(TrRoad_act!P5=0,0,P19/TrRoad_act!P5*1000)</f>
        <v>90.307309788497932</v>
      </c>
      <c r="Q83" s="152">
        <f>IF(TrRoad_act!Q5=0,0,Q19/TrRoad_act!Q5*1000)</f>
        <v>89.791833639841656</v>
      </c>
      <c r="R83" s="152">
        <f>IF(TrRoad_act!R5=0,0,R19/TrRoad_act!R5*1000)</f>
        <v>90.441146995514444</v>
      </c>
      <c r="S83" s="152">
        <f>IF(TrRoad_act!S5=0,0,S19/TrRoad_act!S5*1000)</f>
        <v>89.189805926200407</v>
      </c>
      <c r="T83" s="152">
        <f>IF(TrRoad_act!T5=0,0,T19/TrRoad_act!T5*1000)</f>
        <v>88.714332968142926</v>
      </c>
      <c r="U83" s="152">
        <f>IF(TrRoad_act!U5=0,0,U19/TrRoad_act!U5*1000)</f>
        <v>87.805155304745242</v>
      </c>
      <c r="V83" s="152">
        <f>IF(TrRoad_act!V5=0,0,V19/TrRoad_act!V5*1000)</f>
        <v>86.233488816836541</v>
      </c>
      <c r="W83" s="152">
        <f>IF(TrRoad_act!W5=0,0,W19/TrRoad_act!W5*1000)</f>
        <v>86.036424382556191</v>
      </c>
      <c r="X83" s="152">
        <f>IF(TrRoad_act!X5=0,0,X19/TrRoad_act!X5*1000)</f>
        <v>85.622394036368021</v>
      </c>
      <c r="Y83" s="152">
        <f>IF(TrRoad_act!Y5=0,0,Y19/TrRoad_act!Y5*1000)</f>
        <v>84.080460263303806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93.201884039442888</v>
      </c>
      <c r="C84" s="116">
        <f>IF(TrRoad_act!C6=0,0,C20/TrRoad_act!C6*1000)</f>
        <v>95.994416077277222</v>
      </c>
      <c r="D84" s="116">
        <f>IF(TrRoad_act!D6=0,0,D20/TrRoad_act!D6*1000)</f>
        <v>110.02848827733129</v>
      </c>
      <c r="E84" s="116">
        <f>IF(TrRoad_act!E6=0,0,E20/TrRoad_act!E6*1000)</f>
        <v>103.82336802039519</v>
      </c>
      <c r="F84" s="116">
        <f>IF(TrRoad_act!F6=0,0,F20/TrRoad_act!F6*1000)</f>
        <v>96.424672479818923</v>
      </c>
      <c r="G84" s="116">
        <f>IF(TrRoad_act!G6=0,0,G20/TrRoad_act!G6*1000)</f>
        <v>99.549685842589312</v>
      </c>
      <c r="H84" s="116">
        <f>IF(TrRoad_act!H6=0,0,H20/TrRoad_act!H6*1000)</f>
        <v>93.931616626750056</v>
      </c>
      <c r="I84" s="116">
        <f>IF(TrRoad_act!I6=0,0,I20/TrRoad_act!I6*1000)</f>
        <v>98.724318298032514</v>
      </c>
      <c r="J84" s="116">
        <f>IF(TrRoad_act!J6=0,0,J20/TrRoad_act!J6*1000)</f>
        <v>102.18344495565437</v>
      </c>
      <c r="K84" s="116">
        <f>IF(TrRoad_act!K6=0,0,K20/TrRoad_act!K6*1000)</f>
        <v>95.142895669479117</v>
      </c>
      <c r="L84" s="116">
        <f>IF(TrRoad_act!L6=0,0,L20/TrRoad_act!L6*1000)</f>
        <v>95.793590531961613</v>
      </c>
      <c r="M84" s="116">
        <f>IF(TrRoad_act!M6=0,0,M20/TrRoad_act!M6*1000)</f>
        <v>94.788770124513221</v>
      </c>
      <c r="N84" s="116">
        <f>IF(TrRoad_act!N6=0,0,N20/TrRoad_act!N6*1000)</f>
        <v>92.354697203539757</v>
      </c>
      <c r="O84" s="116">
        <f>IF(TrRoad_act!O6=0,0,O20/TrRoad_act!O6*1000)</f>
        <v>91.73893716639239</v>
      </c>
      <c r="P84" s="116">
        <f>IF(TrRoad_act!P6=0,0,P20/TrRoad_act!P6*1000)</f>
        <v>89.272279061296643</v>
      </c>
      <c r="Q84" s="116">
        <f>IF(TrRoad_act!Q6=0,0,Q20/TrRoad_act!Q6*1000)</f>
        <v>89.35038578095255</v>
      </c>
      <c r="R84" s="116">
        <f>IF(TrRoad_act!R6=0,0,R20/TrRoad_act!R6*1000)</f>
        <v>90.224787889846084</v>
      </c>
      <c r="S84" s="116">
        <f>IF(TrRoad_act!S6=0,0,S20/TrRoad_act!S6*1000)</f>
        <v>91.166094947678218</v>
      </c>
      <c r="T84" s="116">
        <f>IF(TrRoad_act!T6=0,0,T20/TrRoad_act!T6*1000)</f>
        <v>87.07494045790807</v>
      </c>
      <c r="U84" s="116">
        <f>IF(TrRoad_act!U6=0,0,U20/TrRoad_act!U6*1000)</f>
        <v>84.957434254548033</v>
      </c>
      <c r="V84" s="116">
        <f>IF(TrRoad_act!V6=0,0,V20/TrRoad_act!V6*1000)</f>
        <v>90.128608960419029</v>
      </c>
      <c r="W84" s="116">
        <f>IF(TrRoad_act!W6=0,0,W20/TrRoad_act!W6*1000)</f>
        <v>86.774146040692145</v>
      </c>
      <c r="X84" s="116">
        <f>IF(TrRoad_act!X6=0,0,X20/TrRoad_act!X6*1000)</f>
        <v>84.060268738549865</v>
      </c>
      <c r="Y84" s="116">
        <f>IF(TrRoad_act!Y6=0,0,Y20/TrRoad_act!Y6*1000)</f>
        <v>83.248770418439619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86.75557778718904</v>
      </c>
      <c r="C85" s="87">
        <f>IF(TrRoad_act!C7=0,0,C21/TrRoad_act!C7*1000)</f>
        <v>92.409737836829407</v>
      </c>
      <c r="D85" s="87">
        <f>IF(TrRoad_act!D7=0,0,D21/TrRoad_act!D7*1000)</f>
        <v>109.65693473872324</v>
      </c>
      <c r="E85" s="87">
        <f>IF(TrRoad_act!E7=0,0,E21/TrRoad_act!E7*1000)</f>
        <v>102.48065688671463</v>
      </c>
      <c r="F85" s="87">
        <f>IF(TrRoad_act!F7=0,0,F21/TrRoad_act!F7*1000)</f>
        <v>92.215483030873429</v>
      </c>
      <c r="G85" s="87">
        <f>IF(TrRoad_act!G7=0,0,G21/TrRoad_act!G7*1000)</f>
        <v>96.353115205004244</v>
      </c>
      <c r="H85" s="87">
        <f>IF(TrRoad_act!H7=0,0,H21/TrRoad_act!H7*1000)</f>
        <v>89.967012250825007</v>
      </c>
      <c r="I85" s="87">
        <f>IF(TrRoad_act!I7=0,0,I21/TrRoad_act!I7*1000)</f>
        <v>95.422521347774833</v>
      </c>
      <c r="J85" s="87">
        <f>IF(TrRoad_act!J7=0,0,J21/TrRoad_act!J7*1000)</f>
        <v>101.81180161276808</v>
      </c>
      <c r="K85" s="87">
        <f>IF(TrRoad_act!K7=0,0,K21/TrRoad_act!K7*1000)</f>
        <v>91.9321043024094</v>
      </c>
      <c r="L85" s="87">
        <f>IF(TrRoad_act!L7=0,0,L21/TrRoad_act!L7*1000)</f>
        <v>91.299010121804969</v>
      </c>
      <c r="M85" s="87">
        <f>IF(TrRoad_act!M7=0,0,M21/TrRoad_act!M7*1000)</f>
        <v>89.887230696791306</v>
      </c>
      <c r="N85" s="87">
        <f>IF(TrRoad_act!N7=0,0,N21/TrRoad_act!N7*1000)</f>
        <v>86.668890817442943</v>
      </c>
      <c r="O85" s="87">
        <f>IF(TrRoad_act!O7=0,0,O21/TrRoad_act!O7*1000)</f>
        <v>86.061883339798072</v>
      </c>
      <c r="P85" s="87">
        <f>IF(TrRoad_act!P7=0,0,P21/TrRoad_act!P7*1000)</f>
        <v>84.345306456014583</v>
      </c>
      <c r="Q85" s="87">
        <f>IF(TrRoad_act!Q7=0,0,Q21/TrRoad_act!Q7*1000)</f>
        <v>85.463674805280803</v>
      </c>
      <c r="R85" s="87">
        <f>IF(TrRoad_act!R7=0,0,R21/TrRoad_act!R7*1000)</f>
        <v>87.234737618448619</v>
      </c>
      <c r="S85" s="87">
        <f>IF(TrRoad_act!S7=0,0,S21/TrRoad_act!S7*1000)</f>
        <v>87.387059562071016</v>
      </c>
      <c r="T85" s="87">
        <f>IF(TrRoad_act!T7=0,0,T21/TrRoad_act!T7*1000)</f>
        <v>80.778757398332345</v>
      </c>
      <c r="U85" s="87">
        <f>IF(TrRoad_act!U7=0,0,U21/TrRoad_act!U7*1000)</f>
        <v>78.240329642314933</v>
      </c>
      <c r="V85" s="87">
        <f>IF(TrRoad_act!V7=0,0,V21/TrRoad_act!V7*1000)</f>
        <v>83.063928494698118</v>
      </c>
      <c r="W85" s="87">
        <f>IF(TrRoad_act!W7=0,0,W21/TrRoad_act!W7*1000)</f>
        <v>79.694180814434958</v>
      </c>
      <c r="X85" s="87">
        <f>IF(TrRoad_act!X7=0,0,X21/TrRoad_act!X7*1000)</f>
        <v>78.208076901418607</v>
      </c>
      <c r="Y85" s="87">
        <f>IF(TrRoad_act!Y7=0,0,Y21/TrRoad_act!Y7*1000)</f>
        <v>79.172213451326726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114.92945192031087</v>
      </c>
      <c r="C86" s="87">
        <f>IF(TrRoad_act!C8=0,0,C22/TrRoad_act!C8*1000)</f>
        <v>106.77465856193344</v>
      </c>
      <c r="D86" s="87">
        <f>IF(TrRoad_act!D8=0,0,D22/TrRoad_act!D8*1000)</f>
        <v>111.27390327472764</v>
      </c>
      <c r="E86" s="87">
        <f>IF(TrRoad_act!E8=0,0,E22/TrRoad_act!E8*1000)</f>
        <v>107.75822541601622</v>
      </c>
      <c r="F86" s="87">
        <f>IF(TrRoad_act!F8=0,0,F22/TrRoad_act!F8*1000)</f>
        <v>106.87579181990625</v>
      </c>
      <c r="G86" s="87">
        <f>IF(TrRoad_act!G8=0,0,G22/TrRoad_act!G8*1000)</f>
        <v>106.82309135017205</v>
      </c>
      <c r="H86" s="87">
        <f>IF(TrRoad_act!H8=0,0,H22/TrRoad_act!H8*1000)</f>
        <v>103.59704922413161</v>
      </c>
      <c r="I86" s="87">
        <f>IF(TrRoad_act!I8=0,0,I22/TrRoad_act!I8*1000)</f>
        <v>103.8268527165885</v>
      </c>
      <c r="J86" s="87">
        <f>IF(TrRoad_act!J8=0,0,J22/TrRoad_act!J8*1000)</f>
        <v>103.66628737399779</v>
      </c>
      <c r="K86" s="87">
        <f>IF(TrRoad_act!K8=0,0,K22/TrRoad_act!K8*1000)</f>
        <v>101.81115992270188</v>
      </c>
      <c r="L86" s="87">
        <f>IF(TrRoad_act!L8=0,0,L22/TrRoad_act!L8*1000)</f>
        <v>104.6845377374149</v>
      </c>
      <c r="M86" s="87">
        <f>IF(TrRoad_act!M8=0,0,M22/TrRoad_act!M8*1000)</f>
        <v>102.59233512011053</v>
      </c>
      <c r="N86" s="87">
        <f>IF(TrRoad_act!N8=0,0,N22/TrRoad_act!N8*1000)</f>
        <v>101.43767666779159</v>
      </c>
      <c r="O86" s="87">
        <f>IF(TrRoad_act!O8=0,0,O22/TrRoad_act!O8*1000)</f>
        <v>101.17730800544972</v>
      </c>
      <c r="P86" s="87">
        <f>IF(TrRoad_act!P8=0,0,P22/TrRoad_act!P8*1000)</f>
        <v>98.691653822333137</v>
      </c>
      <c r="Q86" s="87">
        <f>IF(TrRoad_act!Q8=0,0,Q22/TrRoad_act!Q8*1000)</f>
        <v>96.201272514530231</v>
      </c>
      <c r="R86" s="87">
        <f>IF(TrRoad_act!R8=0,0,R22/TrRoad_act!R8*1000)</f>
        <v>95.355609553337388</v>
      </c>
      <c r="S86" s="87">
        <f>IF(TrRoad_act!S8=0,0,S22/TrRoad_act!S8*1000)</f>
        <v>97.677179786361222</v>
      </c>
      <c r="T86" s="87">
        <f>IF(TrRoad_act!T8=0,0,T22/TrRoad_act!T8*1000)</f>
        <v>97.545411860185595</v>
      </c>
      <c r="U86" s="87">
        <f>IF(TrRoad_act!U8=0,0,U22/TrRoad_act!U8*1000)</f>
        <v>95.582291169495406</v>
      </c>
      <c r="V86" s="87">
        <f>IF(TrRoad_act!V8=0,0,V22/TrRoad_act!V8*1000)</f>
        <v>100.36564342799255</v>
      </c>
      <c r="W86" s="87">
        <f>IF(TrRoad_act!W8=0,0,W22/TrRoad_act!W8*1000)</f>
        <v>96.149760639038334</v>
      </c>
      <c r="X86" s="87">
        <f>IF(TrRoad_act!X8=0,0,X22/TrRoad_act!X8*1000)</f>
        <v>91.998232155020531</v>
      </c>
      <c r="Y86" s="87">
        <f>IF(TrRoad_act!Y8=0,0,Y22/TrRoad_act!Y8*1000)</f>
        <v>88.87096484571596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98.884925165993565</v>
      </c>
      <c r="H87" s="87">
        <f>IF(TrRoad_act!H9=0,0,H23/TrRoad_act!H9*1000)</f>
        <v>99.458221408236938</v>
      </c>
      <c r="I87" s="87">
        <f>IF(TrRoad_act!I9=0,0,I23/TrRoad_act!I9*1000)</f>
        <v>103.79040565527434</v>
      </c>
      <c r="J87" s="87">
        <f>IF(TrRoad_act!J9=0,0,J23/TrRoad_act!J9*1000)</f>
        <v>109.6222246428183</v>
      </c>
      <c r="K87" s="87">
        <f>IF(TrRoad_act!K9=0,0,K23/TrRoad_act!K9*1000)</f>
        <v>114.61890063747019</v>
      </c>
      <c r="L87" s="87">
        <f>IF(TrRoad_act!L9=0,0,L23/TrRoad_act!L9*1000)</f>
        <v>111.7718294660726</v>
      </c>
      <c r="M87" s="87">
        <f>IF(TrRoad_act!M9=0,0,M23/TrRoad_act!M9*1000)</f>
        <v>106.7986524548827</v>
      </c>
      <c r="N87" s="87">
        <f>IF(TrRoad_act!N9=0,0,N23/TrRoad_act!N9*1000)</f>
        <v>106.32514840325007</v>
      </c>
      <c r="O87" s="87">
        <f>IF(TrRoad_act!O9=0,0,O23/TrRoad_act!O9*1000)</f>
        <v>107.29641741733869</v>
      </c>
      <c r="P87" s="87">
        <f>IF(TrRoad_act!P9=0,0,P23/TrRoad_act!P9*1000)</f>
        <v>88.824227368609954</v>
      </c>
      <c r="Q87" s="87">
        <f>IF(TrRoad_act!Q9=0,0,Q23/TrRoad_act!Q9*1000)</f>
        <v>98.144827376890589</v>
      </c>
      <c r="R87" s="87">
        <f>IF(TrRoad_act!R9=0,0,R23/TrRoad_act!R9*1000)</f>
        <v>100.01158965967633</v>
      </c>
      <c r="S87" s="87">
        <f>IF(TrRoad_act!S9=0,0,S23/TrRoad_act!S9*1000)</f>
        <v>105.01112611613571</v>
      </c>
      <c r="T87" s="87">
        <f>IF(TrRoad_act!T9=0,0,T23/TrRoad_act!T9*1000)</f>
        <v>115.08613334368853</v>
      </c>
      <c r="U87" s="87">
        <f>IF(TrRoad_act!U9=0,0,U23/TrRoad_act!U9*1000)</f>
        <v>123.01578416116952</v>
      </c>
      <c r="V87" s="87">
        <f>IF(TrRoad_act!V9=0,0,V23/TrRoad_act!V9*1000)</f>
        <v>138.78269841358969</v>
      </c>
      <c r="W87" s="87">
        <f>IF(TrRoad_act!W9=0,0,W23/TrRoad_act!W9*1000)</f>
        <v>150.05593881668054</v>
      </c>
      <c r="X87" s="87">
        <f>IF(TrRoad_act!X9=0,0,X23/TrRoad_act!X9*1000)</f>
        <v>142.32141647665713</v>
      </c>
      <c r="Y87" s="87">
        <f>IF(TrRoad_act!Y9=0,0,Y23/TrRoad_act!Y9*1000)</f>
        <v>137.66336382087331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182.65611298830444</v>
      </c>
      <c r="D88" s="87">
        <f>IF(TrRoad_act!D10=0,0,D24/TrRoad_act!D10*1000)</f>
        <v>76.859595941414256</v>
      </c>
      <c r="E88" s="87">
        <f>IF(TrRoad_act!E10=0,0,E24/TrRoad_act!E10*1000)</f>
        <v>78.174480620985719</v>
      </c>
      <c r="F88" s="87">
        <f>IF(TrRoad_act!F10=0,0,F24/TrRoad_act!F10*1000)</f>
        <v>99.431933463192749</v>
      </c>
      <c r="G88" s="87">
        <f>IF(TrRoad_act!G10=0,0,G24/TrRoad_act!G10*1000)</f>
        <v>128.89074051136703</v>
      </c>
      <c r="H88" s="87">
        <f>IF(TrRoad_act!H10=0,0,H24/TrRoad_act!H10*1000)</f>
        <v>75.573349630735734</v>
      </c>
      <c r="I88" s="87">
        <f>IF(TrRoad_act!I10=0,0,I24/TrRoad_act!I10*1000)</f>
        <v>156.59221260004256</v>
      </c>
      <c r="J88" s="87">
        <f>IF(TrRoad_act!J10=0,0,J24/TrRoad_act!J10*1000)</f>
        <v>75.816559550360807</v>
      </c>
      <c r="K88" s="87">
        <f>IF(TrRoad_act!K10=0,0,K24/TrRoad_act!K10*1000)</f>
        <v>75.430425567356124</v>
      </c>
      <c r="L88" s="87">
        <f>IF(TrRoad_act!L10=0,0,L24/TrRoad_act!L10*1000)</f>
        <v>85.482629491814009</v>
      </c>
      <c r="M88" s="87">
        <f>IF(TrRoad_act!M10=0,0,M24/TrRoad_act!M10*1000)</f>
        <v>101.37668103094521</v>
      </c>
      <c r="N88" s="87">
        <f>IF(TrRoad_act!N10=0,0,N24/TrRoad_act!N10*1000)</f>
        <v>99.160908500564631</v>
      </c>
      <c r="O88" s="87">
        <f>IF(TrRoad_act!O10=0,0,O24/TrRoad_act!O10*1000)</f>
        <v>88.714101957745243</v>
      </c>
      <c r="P88" s="87">
        <f>IF(TrRoad_act!P10=0,0,P24/TrRoad_act!P10*1000)</f>
        <v>95.509606216043579</v>
      </c>
      <c r="Q88" s="87">
        <f>IF(TrRoad_act!Q10=0,0,Q24/TrRoad_act!Q10*1000)</f>
        <v>88.028457628478805</v>
      </c>
      <c r="R88" s="87">
        <f>IF(TrRoad_act!R10=0,0,R24/TrRoad_act!R10*1000)</f>
        <v>94.046882495335169</v>
      </c>
      <c r="S88" s="87">
        <f>IF(TrRoad_act!S10=0,0,S24/TrRoad_act!S10*1000)</f>
        <v>92.970096463364271</v>
      </c>
      <c r="T88" s="87">
        <f>IF(TrRoad_act!T10=0,0,T24/TrRoad_act!T10*1000)</f>
        <v>92.083148979475766</v>
      </c>
      <c r="U88" s="87">
        <f>IF(TrRoad_act!U10=0,0,U24/TrRoad_act!U10*1000)</f>
        <v>90.402165673485925</v>
      </c>
      <c r="V88" s="87">
        <f>IF(TrRoad_act!V10=0,0,V24/TrRoad_act!V10*1000)</f>
        <v>122.95967713193171</v>
      </c>
      <c r="W88" s="87">
        <f>IF(TrRoad_act!W10=0,0,W24/TrRoad_act!W10*1000)</f>
        <v>112.0993641093503</v>
      </c>
      <c r="X88" s="87">
        <f>IF(TrRoad_act!X10=0,0,X24/TrRoad_act!X10*1000)</f>
        <v>113.02399578720053</v>
      </c>
      <c r="Y88" s="87">
        <f>IF(TrRoad_act!Y10=0,0,Y24/TrRoad_act!Y10*1000)</f>
        <v>97.019368913002936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17.849926760830783</v>
      </c>
      <c r="O89" s="87">
        <f>IF(TrRoad_act!O11=0,0,O25/TrRoad_act!O11*1000)</f>
        <v>17.755189154218623</v>
      </c>
      <c r="P89" s="87">
        <f>IF(TrRoad_act!P11=0,0,P25/TrRoad_act!P11*1000)</f>
        <v>57.699944946508445</v>
      </c>
      <c r="Q89" s="87">
        <f>IF(TrRoad_act!Q11=0,0,Q25/TrRoad_act!Q11*1000)</f>
        <v>51.778005097998715</v>
      </c>
      <c r="R89" s="87">
        <f>IF(TrRoad_act!R11=0,0,R25/TrRoad_act!R11*1000)</f>
        <v>39.148313987348352</v>
      </c>
      <c r="S89" s="87">
        <f>IF(TrRoad_act!S11=0,0,S25/TrRoad_act!S11*1000)</f>
        <v>46.384229620693759</v>
      </c>
      <c r="T89" s="87">
        <f>IF(TrRoad_act!T11=0,0,T25/TrRoad_act!T11*1000)</f>
        <v>36.744131928358009</v>
      </c>
      <c r="U89" s="87">
        <f>IF(TrRoad_act!U11=0,0,U25/TrRoad_act!U11*1000)</f>
        <v>34.510317489738476</v>
      </c>
      <c r="V89" s="87">
        <f>IF(TrRoad_act!V11=0,0,V25/TrRoad_act!V11*1000)</f>
        <v>31.268299440011436</v>
      </c>
      <c r="W89" s="87">
        <f>IF(TrRoad_act!W11=0,0,W25/TrRoad_act!W11*1000)</f>
        <v>24.57820376347598</v>
      </c>
      <c r="X89" s="87">
        <f>IF(TrRoad_act!X11=0,0,X25/TrRoad_act!X11*1000)</f>
        <v>21.303310014004367</v>
      </c>
      <c r="Y89" s="87">
        <f>IF(TrRoad_act!Y11=0,0,Y25/TrRoad_act!Y11*1000)</f>
        <v>19.315473686080225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60.326131445535189</v>
      </c>
      <c r="C91" s="116">
        <f>IF(TrRoad_act!C13=0,0,C27/TrRoad_act!C13*1000)</f>
        <v>55.760152699761704</v>
      </c>
      <c r="D91" s="116">
        <f>IF(TrRoad_act!D13=0,0,D27/TrRoad_act!D13*1000)</f>
        <v>57.60801950508349</v>
      </c>
      <c r="E91" s="116">
        <f>IF(TrRoad_act!E13=0,0,E27/TrRoad_act!E13*1000)</f>
        <v>61.910770395033175</v>
      </c>
      <c r="F91" s="116">
        <f>IF(TrRoad_act!F13=0,0,F27/TrRoad_act!F13*1000)</f>
        <v>56.684449837418342</v>
      </c>
      <c r="G91" s="116">
        <f>IF(TrRoad_act!G13=0,0,G27/TrRoad_act!G13*1000)</f>
        <v>56.056324941003126</v>
      </c>
      <c r="H91" s="116">
        <f>IF(TrRoad_act!H13=0,0,H27/TrRoad_act!H13*1000)</f>
        <v>54.485764610620961</v>
      </c>
      <c r="I91" s="116">
        <f>IF(TrRoad_act!I13=0,0,I27/TrRoad_act!I13*1000)</f>
        <v>65.215589261122219</v>
      </c>
      <c r="J91" s="116">
        <f>IF(TrRoad_act!J13=0,0,J27/TrRoad_act!J13*1000)</f>
        <v>73.637146483072101</v>
      </c>
      <c r="K91" s="116">
        <f>IF(TrRoad_act!K13=0,0,K27/TrRoad_act!K13*1000)</f>
        <v>93.738154539748393</v>
      </c>
      <c r="L91" s="116">
        <f>IF(TrRoad_act!L13=0,0,L27/TrRoad_act!L13*1000)</f>
        <v>93.722418149267583</v>
      </c>
      <c r="M91" s="116">
        <f>IF(TrRoad_act!M13=0,0,M27/TrRoad_act!M13*1000)</f>
        <v>83.542094254493222</v>
      </c>
      <c r="N91" s="116">
        <f>IF(TrRoad_act!N13=0,0,N27/TrRoad_act!N13*1000)</f>
        <v>83.677260779626152</v>
      </c>
      <c r="O91" s="116">
        <f>IF(TrRoad_act!O13=0,0,O27/TrRoad_act!O13*1000)</f>
        <v>83.393584663702285</v>
      </c>
      <c r="P91" s="116">
        <f>IF(TrRoad_act!P13=0,0,P27/TrRoad_act!P13*1000)</f>
        <v>80.508930854947508</v>
      </c>
      <c r="Q91" s="116">
        <f>IF(TrRoad_act!Q13=0,0,Q27/TrRoad_act!Q13*1000)</f>
        <v>78.302895542761604</v>
      </c>
      <c r="R91" s="116">
        <f>IF(TrRoad_act!R13=0,0,R27/TrRoad_act!R13*1000)</f>
        <v>68.58594586852854</v>
      </c>
      <c r="S91" s="116">
        <f>IF(TrRoad_act!S13=0,0,S27/TrRoad_act!S13*1000)</f>
        <v>73.700668190786544</v>
      </c>
      <c r="T91" s="116">
        <f>IF(TrRoad_act!T13=0,0,T27/TrRoad_act!T13*1000)</f>
        <v>72.075183947625973</v>
      </c>
      <c r="U91" s="116">
        <f>IF(TrRoad_act!U13=0,0,U27/TrRoad_act!U13*1000)</f>
        <v>74.273291791182828</v>
      </c>
      <c r="V91" s="116">
        <f>IF(TrRoad_act!V13=0,0,V27/TrRoad_act!V13*1000)</f>
        <v>103.75557119144473</v>
      </c>
      <c r="W91" s="116">
        <f>IF(TrRoad_act!W13=0,0,W27/TrRoad_act!W13*1000)</f>
        <v>120.78441182552123</v>
      </c>
      <c r="X91" s="116">
        <f>IF(TrRoad_act!X13=0,0,X27/TrRoad_act!X13*1000)</f>
        <v>95.354882659824</v>
      </c>
      <c r="Y91" s="116">
        <f>IF(TrRoad_act!Y13=0,0,Y27/TrRoad_act!Y13*1000)</f>
        <v>85.39327006567386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X92" s="101">
        <f>IF(TrRoad_act!X14=0,0,X28/TrRoad_act!X14*1000)</f>
        <v>0</v>
      </c>
      <c r="Y92" s="101">
        <f>IF(TrRoad_act!Y14=0,0,Y28/TrRoad_act!Y14*1000)</f>
        <v>0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60.326131445535189</v>
      </c>
      <c r="C93" s="101">
        <f>IF(TrRoad_act!C15=0,0,C29/TrRoad_act!C15*1000)</f>
        <v>55.760152699761704</v>
      </c>
      <c r="D93" s="101">
        <f>IF(TrRoad_act!D15=0,0,D29/TrRoad_act!D15*1000)</f>
        <v>57.60801950508349</v>
      </c>
      <c r="E93" s="101">
        <f>IF(TrRoad_act!E15=0,0,E29/TrRoad_act!E15*1000)</f>
        <v>61.910770395033175</v>
      </c>
      <c r="F93" s="101">
        <f>IF(TrRoad_act!F15=0,0,F29/TrRoad_act!F15*1000)</f>
        <v>56.684449837418342</v>
      </c>
      <c r="G93" s="101">
        <f>IF(TrRoad_act!G15=0,0,G29/TrRoad_act!G15*1000)</f>
        <v>56.056324941003126</v>
      </c>
      <c r="H93" s="101">
        <f>IF(TrRoad_act!H15=0,0,H29/TrRoad_act!H15*1000)</f>
        <v>54.485764610620961</v>
      </c>
      <c r="I93" s="101">
        <f>IF(TrRoad_act!I15=0,0,I29/TrRoad_act!I15*1000)</f>
        <v>65.215589261122219</v>
      </c>
      <c r="J93" s="101">
        <f>IF(TrRoad_act!J15=0,0,J29/TrRoad_act!J15*1000)</f>
        <v>73.637146483072101</v>
      </c>
      <c r="K93" s="101">
        <f>IF(TrRoad_act!K15=0,0,K29/TrRoad_act!K15*1000)</f>
        <v>93.738154539748393</v>
      </c>
      <c r="L93" s="101">
        <f>IF(TrRoad_act!L15=0,0,L29/TrRoad_act!L15*1000)</f>
        <v>95.250631205998403</v>
      </c>
      <c r="M93" s="101">
        <f>IF(TrRoad_act!M15=0,0,M29/TrRoad_act!M15*1000)</f>
        <v>86.900132143085685</v>
      </c>
      <c r="N93" s="101">
        <f>IF(TrRoad_act!N15=0,0,N29/TrRoad_act!N15*1000)</f>
        <v>87.067115591509776</v>
      </c>
      <c r="O93" s="101">
        <f>IF(TrRoad_act!O15=0,0,O29/TrRoad_act!O15*1000)</f>
        <v>86.829229374484456</v>
      </c>
      <c r="P93" s="101">
        <f>IF(TrRoad_act!P15=0,0,P29/TrRoad_act!P15*1000)</f>
        <v>85.290447366549799</v>
      </c>
      <c r="Q93" s="101">
        <f>IF(TrRoad_act!Q15=0,0,Q29/TrRoad_act!Q15*1000)</f>
        <v>84.109201581156256</v>
      </c>
      <c r="R93" s="101">
        <f>IF(TrRoad_act!R15=0,0,R29/TrRoad_act!R15*1000)</f>
        <v>77.381769916798092</v>
      </c>
      <c r="S93" s="101">
        <f>IF(TrRoad_act!S15=0,0,S29/TrRoad_act!S15*1000)</f>
        <v>83.448052870722492</v>
      </c>
      <c r="T93" s="101">
        <f>IF(TrRoad_act!T15=0,0,T29/TrRoad_act!T15*1000)</f>
        <v>82.289605066495767</v>
      </c>
      <c r="U93" s="101">
        <f>IF(TrRoad_act!U15=0,0,U29/TrRoad_act!U15*1000)</f>
        <v>83.117872456175775</v>
      </c>
      <c r="V93" s="101">
        <f>IF(TrRoad_act!V15=0,0,V29/TrRoad_act!V15*1000)</f>
        <v>117.95609316243262</v>
      </c>
      <c r="W93" s="101">
        <f>IF(TrRoad_act!W15=0,0,W29/TrRoad_act!W15*1000)</f>
        <v>137.57792815305362</v>
      </c>
      <c r="X93" s="101">
        <f>IF(TrRoad_act!X15=0,0,X29/TrRoad_act!X15*1000)</f>
        <v>107.07994478707164</v>
      </c>
      <c r="Y93" s="101">
        <f>IF(TrRoad_act!Y15=0,0,Y29/TrRoad_act!Y15*1000)</f>
        <v>96.006643642326154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12.253503666549321</v>
      </c>
      <c r="S95" s="101">
        <f>IF(TrRoad_act!S17=0,0,S31/TrRoad_act!S17*1000)</f>
        <v>19.297330648960944</v>
      </c>
      <c r="T95" s="101">
        <f>IF(TrRoad_act!T17=0,0,T31/TrRoad_act!T17*1000)</f>
        <v>13.633092481110344</v>
      </c>
      <c r="U95" s="101">
        <f>IF(TrRoad_act!U17=0,0,U31/TrRoad_act!U17*1000)</f>
        <v>56.790281956105012</v>
      </c>
      <c r="V95" s="101">
        <f>IF(TrRoad_act!V17=0,0,V31/TrRoad_act!V17*1000)</f>
        <v>107.05621964861002</v>
      </c>
      <c r="W95" s="101">
        <f>IF(TrRoad_act!W17=0,0,W31/TrRoad_act!W17*1000)</f>
        <v>121.53927875245203</v>
      </c>
      <c r="X95" s="101">
        <f>IF(TrRoad_act!X17=0,0,X31/TrRoad_act!X17*1000)</f>
        <v>102.63661816220487</v>
      </c>
      <c r="Y95" s="101">
        <f>IF(TrRoad_act!Y17=0,0,Y31/TrRoad_act!Y17*1000)</f>
        <v>84.904333223529449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135.26139491387175</v>
      </c>
      <c r="C97" s="29">
        <f>IF(TrRoad_act!C19=0,0,C33/TrRoad_act!C19*1000)</f>
        <v>123.44960694195284</v>
      </c>
      <c r="D97" s="29">
        <f>IF(TrRoad_act!D19=0,0,D33/TrRoad_act!D19*1000)</f>
        <v>189.05367970162987</v>
      </c>
      <c r="E97" s="29">
        <f>IF(TrRoad_act!E19=0,0,E33/TrRoad_act!E19*1000)</f>
        <v>143.25974514776829</v>
      </c>
      <c r="F97" s="29">
        <f>IF(TrRoad_act!F19=0,0,F33/TrRoad_act!F19*1000)</f>
        <v>148.96489056690783</v>
      </c>
      <c r="G97" s="29">
        <f>IF(TrRoad_act!G19=0,0,G33/TrRoad_act!G19*1000)</f>
        <v>184.96849332711199</v>
      </c>
      <c r="H97" s="29">
        <f>IF(TrRoad_act!H19=0,0,H33/TrRoad_act!H19*1000)</f>
        <v>204.7047344474517</v>
      </c>
      <c r="I97" s="29">
        <f>IF(TrRoad_act!I19=0,0,I33/TrRoad_act!I19*1000)</f>
        <v>201.32746391761148</v>
      </c>
      <c r="J97" s="29">
        <f>IF(TrRoad_act!J19=0,0,J33/TrRoad_act!J19*1000)</f>
        <v>214.40287857243044</v>
      </c>
      <c r="K97" s="29">
        <f>IF(TrRoad_act!K19=0,0,K33/TrRoad_act!K19*1000)</f>
        <v>195.52174637615309</v>
      </c>
      <c r="L97" s="29">
        <f>IF(TrRoad_act!L19=0,0,L33/TrRoad_act!L19*1000)</f>
        <v>260.75470810445267</v>
      </c>
      <c r="M97" s="29">
        <f>IF(TrRoad_act!M19=0,0,M33/TrRoad_act!M19*1000)</f>
        <v>251.51095380149829</v>
      </c>
      <c r="N97" s="29">
        <f>IF(TrRoad_act!N19=0,0,N33/TrRoad_act!N19*1000)</f>
        <v>237.19990604282259</v>
      </c>
      <c r="O97" s="29">
        <f>IF(TrRoad_act!O19=0,0,O33/TrRoad_act!O19*1000)</f>
        <v>234.68209912562233</v>
      </c>
      <c r="P97" s="29">
        <f>IF(TrRoad_act!P19=0,0,P33/TrRoad_act!P19*1000)</f>
        <v>216.63307033060457</v>
      </c>
      <c r="Q97" s="29">
        <f>IF(TrRoad_act!Q19=0,0,Q33/TrRoad_act!Q19*1000)</f>
        <v>196.33478256219968</v>
      </c>
      <c r="R97" s="29">
        <f>IF(TrRoad_act!R19=0,0,R33/TrRoad_act!R19*1000)</f>
        <v>222.37737380051595</v>
      </c>
      <c r="S97" s="29">
        <f>IF(TrRoad_act!S19=0,0,S33/TrRoad_act!S19*1000)</f>
        <v>259.78995561120217</v>
      </c>
      <c r="T97" s="29">
        <f>IF(TrRoad_act!T19=0,0,T33/TrRoad_act!T19*1000)</f>
        <v>260.27711974394009</v>
      </c>
      <c r="U97" s="29">
        <f>IF(TrRoad_act!U19=0,0,U33/TrRoad_act!U19*1000)</f>
        <v>250.89293274648327</v>
      </c>
      <c r="V97" s="29">
        <f>IF(TrRoad_act!V19=0,0,V33/TrRoad_act!V19*1000)</f>
        <v>241.9870217314963</v>
      </c>
      <c r="W97" s="29">
        <f>IF(TrRoad_act!W19=0,0,W33/TrRoad_act!W19*1000)</f>
        <v>261.96812990958489</v>
      </c>
      <c r="X97" s="29">
        <f>IF(TrRoad_act!X19=0,0,X33/TrRoad_act!X19*1000)</f>
        <v>256.65464582685701</v>
      </c>
      <c r="Y97" s="29">
        <f>IF(TrRoad_act!Y19=0,0,Y33/TrRoad_act!Y19*1000)</f>
        <v>255.58964882765079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2887.3651548224284</v>
      </c>
      <c r="C98" s="152">
        <f>IF(TrRoad_act!C20=0,0,C34/TrRoad_act!C20*1000)</f>
        <v>2837.0713769305148</v>
      </c>
      <c r="D98" s="152">
        <f>IF(TrRoad_act!D20=0,0,D34/TrRoad_act!D20*1000)</f>
        <v>3410.1943910955592</v>
      </c>
      <c r="E98" s="152">
        <f>IF(TrRoad_act!E20=0,0,E34/TrRoad_act!E20*1000)</f>
        <v>3190.5710787879075</v>
      </c>
      <c r="F98" s="152">
        <f>IF(TrRoad_act!F20=0,0,F34/TrRoad_act!F20*1000)</f>
        <v>3225.7149555095743</v>
      </c>
      <c r="G98" s="152">
        <f>IF(TrRoad_act!G20=0,0,G34/TrRoad_act!G20*1000)</f>
        <v>3289.1353599768322</v>
      </c>
      <c r="H98" s="152">
        <f>IF(TrRoad_act!H20=0,0,H34/TrRoad_act!H20*1000)</f>
        <v>2975.3775650364396</v>
      </c>
      <c r="I98" s="152">
        <f>IF(TrRoad_act!I20=0,0,I34/TrRoad_act!I20*1000)</f>
        <v>3076.3930922211089</v>
      </c>
      <c r="J98" s="152">
        <f>IF(TrRoad_act!J20=0,0,J34/TrRoad_act!J20*1000)</f>
        <v>2838.3236770093699</v>
      </c>
      <c r="K98" s="152">
        <f>IF(TrRoad_act!K20=0,0,K34/TrRoad_act!K20*1000)</f>
        <v>2544.1728189491801</v>
      </c>
      <c r="L98" s="152">
        <f>IF(TrRoad_act!L20=0,0,L34/TrRoad_act!L20*1000)</f>
        <v>2877.9433225366597</v>
      </c>
      <c r="M98" s="152">
        <f>IF(TrRoad_act!M20=0,0,M34/TrRoad_act!M20*1000)</f>
        <v>2935.2152906733404</v>
      </c>
      <c r="N98" s="152">
        <f>IF(TrRoad_act!N20=0,0,N34/TrRoad_act!N20*1000)</f>
        <v>2742.4654087781837</v>
      </c>
      <c r="O98" s="152">
        <f>IF(TrRoad_act!O20=0,0,O34/TrRoad_act!O20*1000)</f>
        <v>2670.1516151697579</v>
      </c>
      <c r="P98" s="152">
        <f>IF(TrRoad_act!P20=0,0,P34/TrRoad_act!P20*1000)</f>
        <v>2717.7581511049816</v>
      </c>
      <c r="Q98" s="152">
        <f>IF(TrRoad_act!Q20=0,0,Q34/TrRoad_act!Q20*1000)</f>
        <v>2541.9385099481397</v>
      </c>
      <c r="R98" s="152">
        <f>IF(TrRoad_act!R20=0,0,R34/TrRoad_act!R20*1000)</f>
        <v>2789.0575250588631</v>
      </c>
      <c r="S98" s="152">
        <f>IF(TrRoad_act!S20=0,0,S34/TrRoad_act!S20*1000)</f>
        <v>3000.5229698745256</v>
      </c>
      <c r="T98" s="152">
        <f>IF(TrRoad_act!T20=0,0,T34/TrRoad_act!T20*1000)</f>
        <v>2979.0900704941596</v>
      </c>
      <c r="U98" s="152">
        <f>IF(TrRoad_act!U20=0,0,U34/TrRoad_act!U20*1000)</f>
        <v>2946.2767619952633</v>
      </c>
      <c r="V98" s="152">
        <f>IF(TrRoad_act!V20=0,0,V34/TrRoad_act!V20*1000)</f>
        <v>2974.6543000596266</v>
      </c>
      <c r="W98" s="152">
        <f>IF(TrRoad_act!W20=0,0,W34/TrRoad_act!W20*1000)</f>
        <v>2801.0797397962251</v>
      </c>
      <c r="X98" s="152">
        <f>IF(TrRoad_act!X20=0,0,X34/TrRoad_act!X20*1000)</f>
        <v>2887.4631595014644</v>
      </c>
      <c r="Y98" s="152">
        <f>IF(TrRoad_act!Y20=0,0,Y34/TrRoad_act!Y20*1000)</f>
        <v>2951.8132514961917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2774.271979685258</v>
      </c>
      <c r="C99" s="87">
        <f>IF(TrRoad_act!C21=0,0,C35/TrRoad_act!C21*1000)</f>
        <v>2739.6499136483662</v>
      </c>
      <c r="D99" s="87">
        <f>IF(TrRoad_act!D21=0,0,D35/TrRoad_act!D21*1000)</f>
        <v>2700.1125804872895</v>
      </c>
      <c r="E99" s="87">
        <f>IF(TrRoad_act!E21=0,0,E35/TrRoad_act!E21*1000)</f>
        <v>2641.1623556189252</v>
      </c>
      <c r="F99" s="87">
        <f>IF(TrRoad_act!F21=0,0,F35/TrRoad_act!F21*1000)</f>
        <v>2471.7984618052692</v>
      </c>
      <c r="G99" s="87">
        <f>IF(TrRoad_act!G21=0,0,G35/TrRoad_act!G21*1000)</f>
        <v>2429.9149131331469</v>
      </c>
      <c r="H99" s="87">
        <f>IF(TrRoad_act!H21=0,0,H35/TrRoad_act!H21*1000)</f>
        <v>2374.7035711811477</v>
      </c>
      <c r="I99" s="87">
        <f>IF(TrRoad_act!I21=0,0,I35/TrRoad_act!I21*1000)</f>
        <v>2311.1458875828166</v>
      </c>
      <c r="J99" s="87">
        <f>IF(TrRoad_act!J21=0,0,J35/TrRoad_act!J21*1000)</f>
        <v>2290.9447846693947</v>
      </c>
      <c r="K99" s="87">
        <f>IF(TrRoad_act!K21=0,0,K35/TrRoad_act!K21*1000)</f>
        <v>2215.4043244285331</v>
      </c>
      <c r="L99" s="87">
        <f>IF(TrRoad_act!L21=0,0,L35/TrRoad_act!L21*1000)</f>
        <v>2136.4310589108313</v>
      </c>
      <c r="M99" s="87">
        <f>IF(TrRoad_act!M21=0,0,M35/TrRoad_act!M21*1000)</f>
        <v>2150.5240907214566</v>
      </c>
      <c r="N99" s="87">
        <f>IF(TrRoad_act!N21=0,0,N35/TrRoad_act!N21*1000)</f>
        <v>2161.589254970796</v>
      </c>
      <c r="O99" s="87">
        <f>IF(TrRoad_act!O21=0,0,O35/TrRoad_act!O21*1000)</f>
        <v>2181.5337538278636</v>
      </c>
      <c r="P99" s="87">
        <f>IF(TrRoad_act!P21=0,0,P35/TrRoad_act!P21*1000)</f>
        <v>2170.2782254558142</v>
      </c>
      <c r="Q99" s="87">
        <f>IF(TrRoad_act!Q21=0,0,Q35/TrRoad_act!Q21*1000)</f>
        <v>2229.1278496056566</v>
      </c>
      <c r="R99" s="87">
        <f>IF(TrRoad_act!R21=0,0,R35/TrRoad_act!R21*1000)</f>
        <v>2279.0192420958556</v>
      </c>
      <c r="S99" s="87">
        <f>IF(TrRoad_act!S21=0,0,S35/TrRoad_act!S21*1000)</f>
        <v>2275.8410480312305</v>
      </c>
      <c r="T99" s="87">
        <f>IF(TrRoad_act!T21=0,0,T35/TrRoad_act!T21*1000)</f>
        <v>2299.1394156768465</v>
      </c>
      <c r="U99" s="87">
        <f>IF(TrRoad_act!U21=0,0,U35/TrRoad_act!U21*1000)</f>
        <v>2313.9609372758573</v>
      </c>
      <c r="V99" s="87">
        <f>IF(TrRoad_act!V21=0,0,V35/TrRoad_act!V21*1000)</f>
        <v>2280.6676466510917</v>
      </c>
      <c r="W99" s="87">
        <f>IF(TrRoad_act!W21=0,0,W35/TrRoad_act!W21*1000)</f>
        <v>2290.1761172952138</v>
      </c>
      <c r="X99" s="87">
        <f>IF(TrRoad_act!X21=0,0,X35/TrRoad_act!X21*1000)</f>
        <v>2316.8439957704782</v>
      </c>
      <c r="Y99" s="87">
        <f>IF(TrRoad_act!Y21=0,0,Y35/TrRoad_act!Y21*1000)</f>
        <v>2334.4090355838866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2932.5081711142507</v>
      </c>
      <c r="C100" s="87">
        <f>IF(TrRoad_act!C22=0,0,C36/TrRoad_act!C22*1000)</f>
        <v>2875.8890887686816</v>
      </c>
      <c r="D100" s="87">
        <f>IF(TrRoad_act!D22=0,0,D36/TrRoad_act!D22*1000)</f>
        <v>3696.9443615234009</v>
      </c>
      <c r="E100" s="87">
        <f>IF(TrRoad_act!E22=0,0,E36/TrRoad_act!E22*1000)</f>
        <v>3412.3512835813117</v>
      </c>
      <c r="F100" s="87">
        <f>IF(TrRoad_act!F22=0,0,F36/TrRoad_act!F22*1000)</f>
        <v>3618.1543693648459</v>
      </c>
      <c r="G100" s="87">
        <f>IF(TrRoad_act!G22=0,0,G36/TrRoad_act!G22*1000)</f>
        <v>3694.2323838194966</v>
      </c>
      <c r="H100" s="87">
        <f>IF(TrRoad_act!H22=0,0,H36/TrRoad_act!H22*1000)</f>
        <v>3269.6445053693915</v>
      </c>
      <c r="I100" s="87">
        <f>IF(TrRoad_act!I22=0,0,I36/TrRoad_act!I22*1000)</f>
        <v>3418.2467009578436</v>
      </c>
      <c r="J100" s="87">
        <f>IF(TrRoad_act!J22=0,0,J36/TrRoad_act!J22*1000)</f>
        <v>3073.4916089314997</v>
      </c>
      <c r="K100" s="87">
        <f>IF(TrRoad_act!K22=0,0,K36/TrRoad_act!K22*1000)</f>
        <v>2668.5849466171335</v>
      </c>
      <c r="L100" s="87">
        <f>IF(TrRoad_act!L22=0,0,L36/TrRoad_act!L22*1000)</f>
        <v>3068.3928376369618</v>
      </c>
      <c r="M100" s="87">
        <f>IF(TrRoad_act!M22=0,0,M36/TrRoad_act!M22*1000)</f>
        <v>3135.9785483627761</v>
      </c>
      <c r="N100" s="87">
        <f>IF(TrRoad_act!N22=0,0,N36/TrRoad_act!N22*1000)</f>
        <v>2886.1697654230938</v>
      </c>
      <c r="O100" s="87">
        <f>IF(TrRoad_act!O22=0,0,O36/TrRoad_act!O22*1000)</f>
        <v>2810.761036368513</v>
      </c>
      <c r="P100" s="87">
        <f>IF(TrRoad_act!P22=0,0,P36/TrRoad_act!P22*1000)</f>
        <v>2877.362664426269</v>
      </c>
      <c r="Q100" s="87">
        <f>IF(TrRoad_act!Q22=0,0,Q36/TrRoad_act!Q22*1000)</f>
        <v>2626.5877250844619</v>
      </c>
      <c r="R100" s="87">
        <f>IF(TrRoad_act!R22=0,0,R36/TrRoad_act!R22*1000)</f>
        <v>2982.1006729032083</v>
      </c>
      <c r="S100" s="87">
        <f>IF(TrRoad_act!S22=0,0,S36/TrRoad_act!S22*1000)</f>
        <v>3239.4645593357927</v>
      </c>
      <c r="T100" s="87">
        <f>IF(TrRoad_act!T22=0,0,T36/TrRoad_act!T22*1000)</f>
        <v>3193.4494649249336</v>
      </c>
      <c r="U100" s="87">
        <f>IF(TrRoad_act!U22=0,0,U36/TrRoad_act!U22*1000)</f>
        <v>3106.2317575315833</v>
      </c>
      <c r="V100" s="87">
        <f>IF(TrRoad_act!V22=0,0,V36/TrRoad_act!V22*1000)</f>
        <v>3146.6603787752333</v>
      </c>
      <c r="W100" s="87">
        <f>IF(TrRoad_act!W22=0,0,W36/TrRoad_act!W22*1000)</f>
        <v>2920.7979628948174</v>
      </c>
      <c r="X100" s="87">
        <f>IF(TrRoad_act!X22=0,0,X36/TrRoad_act!X22*1000)</f>
        <v>3021.9347520802639</v>
      </c>
      <c r="Y100" s="87">
        <f>IF(TrRoad_act!Y22=0,0,Y36/TrRoad_act!Y22*1000)</f>
        <v>3102.5296787856764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3235.4694554307116</v>
      </c>
      <c r="O101" s="87">
        <f>IF(TrRoad_act!O23=0,0,O37/TrRoad_act!O23*1000)</f>
        <v>2618.2182846866299</v>
      </c>
      <c r="P101" s="87">
        <f>IF(TrRoad_act!P23=0,0,P37/TrRoad_act!P23*1000)</f>
        <v>3800.1393861258166</v>
      </c>
      <c r="Q101" s="87">
        <f>IF(TrRoad_act!Q23=0,0,Q37/TrRoad_act!Q23*1000)</f>
        <v>3806.3620016545083</v>
      </c>
      <c r="R101" s="87">
        <f>IF(TrRoad_act!R23=0,0,R37/TrRoad_act!R23*1000)</f>
        <v>3804.3161352382235</v>
      </c>
      <c r="S101" s="87">
        <f>IF(TrRoad_act!S23=0,0,S37/TrRoad_act!S23*1000)</f>
        <v>3771.0075123434431</v>
      </c>
      <c r="T101" s="87">
        <f>IF(TrRoad_act!T23=0,0,T37/TrRoad_act!T23*1000)</f>
        <v>3706.7813939542239</v>
      </c>
      <c r="U101" s="87">
        <f>IF(TrRoad_act!U23=0,0,U37/TrRoad_act!U23*1000)</f>
        <v>3629.0181808571297</v>
      </c>
      <c r="V101" s="87">
        <f>IF(TrRoad_act!V23=0,0,V37/TrRoad_act!V23*1000)</f>
        <v>3597.1478135557404</v>
      </c>
      <c r="W101" s="87">
        <f>IF(TrRoad_act!W23=0,0,W37/TrRoad_act!W23*1000)</f>
        <v>3586.4479098768229</v>
      </c>
      <c r="X101" s="87">
        <f>IF(TrRoad_act!X23=0,0,X37/TrRoad_act!X23*1000)</f>
        <v>3576.3126951140903</v>
      </c>
      <c r="Y101" s="87">
        <f>IF(TrRoad_act!Y23=0,0,Y37/TrRoad_act!Y23*1000)</f>
        <v>3571.9851162420528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2727.6007481582187</v>
      </c>
      <c r="O102" s="87">
        <f>IF(TrRoad_act!O24=0,0,O38/TrRoad_act!O24*1000)</f>
        <v>2817.7055825801049</v>
      </c>
      <c r="P102" s="87">
        <f>IF(TrRoad_act!P24=0,0,P38/TrRoad_act!P24*1000)</f>
        <v>2759.1158014660568</v>
      </c>
      <c r="Q102" s="87">
        <f>IF(TrRoad_act!Q24=0,0,Q38/TrRoad_act!Q24*1000)</f>
        <v>2555.5907898995661</v>
      </c>
      <c r="R102" s="87">
        <f>IF(TrRoad_act!R24=0,0,R38/TrRoad_act!R24*1000)</f>
        <v>3832.2559513136539</v>
      </c>
      <c r="S102" s="87">
        <f>IF(TrRoad_act!S24=0,0,S38/TrRoad_act!S24*1000)</f>
        <v>3779.1194738826862</v>
      </c>
      <c r="T102" s="87">
        <f>IF(TrRoad_act!T24=0,0,T38/TrRoad_act!T24*1000)</f>
        <v>3544.5257370152258</v>
      </c>
      <c r="U102" s="87">
        <f>IF(TrRoad_act!U24=0,0,U38/TrRoad_act!U24*1000)</f>
        <v>3550.3954169545168</v>
      </c>
      <c r="V102" s="87">
        <f>IF(TrRoad_act!V24=0,0,V38/TrRoad_act!V24*1000)</f>
        <v>4251.2850382692486</v>
      </c>
      <c r="W102" s="87">
        <f>IF(TrRoad_act!W24=0,0,W38/TrRoad_act!W24*1000)</f>
        <v>4153.1338676460082</v>
      </c>
      <c r="X102" s="87">
        <f>IF(TrRoad_act!X24=0,0,X38/TrRoad_act!X24*1000)</f>
        <v>4434.339129820436</v>
      </c>
      <c r="Y102" s="87">
        <f>IF(TrRoad_act!Y24=0,0,Y38/TrRoad_act!Y24*1000)</f>
        <v>4010.3863515038843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75.186723617787223</v>
      </c>
      <c r="C104" s="116">
        <f>IF(TrRoad_act!C26=0,0,C40/TrRoad_act!C26*1000)</f>
        <v>66.315501278962955</v>
      </c>
      <c r="D104" s="116">
        <f>IF(TrRoad_act!D26=0,0,D40/TrRoad_act!D26*1000)</f>
        <v>119.8502453824845</v>
      </c>
      <c r="E104" s="116">
        <f>IF(TrRoad_act!E26=0,0,E40/TrRoad_act!E26*1000)</f>
        <v>79.539081981428879</v>
      </c>
      <c r="F104" s="116">
        <f>IF(TrRoad_act!F26=0,0,F40/TrRoad_act!F26*1000)</f>
        <v>87.012272213592624</v>
      </c>
      <c r="G104" s="116">
        <f>IF(TrRoad_act!G26=0,0,G40/TrRoad_act!G26*1000)</f>
        <v>119.53251604927024</v>
      </c>
      <c r="H104" s="116">
        <f>IF(TrRoad_act!H26=0,0,H40/TrRoad_act!H26*1000)</f>
        <v>145.50963258920996</v>
      </c>
      <c r="I104" s="116">
        <f>IF(TrRoad_act!I26=0,0,I40/TrRoad_act!I26*1000)</f>
        <v>140.73601770097073</v>
      </c>
      <c r="J104" s="116">
        <f>IF(TrRoad_act!J26=0,0,J40/TrRoad_act!J26*1000)</f>
        <v>157.39948783769773</v>
      </c>
      <c r="K104" s="116">
        <f>IF(TrRoad_act!K26=0,0,K40/TrRoad_act!K26*1000)</f>
        <v>134.65089717582271</v>
      </c>
      <c r="L104" s="116">
        <f>IF(TrRoad_act!L26=0,0,L40/TrRoad_act!L26*1000)</f>
        <v>191.36494963196037</v>
      </c>
      <c r="M104" s="116">
        <f>IF(TrRoad_act!M26=0,0,M40/TrRoad_act!M26*1000)</f>
        <v>179.41073271828054</v>
      </c>
      <c r="N104" s="116">
        <f>IF(TrRoad_act!N26=0,0,N40/TrRoad_act!N26*1000)</f>
        <v>168.15649693356781</v>
      </c>
      <c r="O104" s="116">
        <f>IF(TrRoad_act!O26=0,0,O40/TrRoad_act!O26*1000)</f>
        <v>174.67321348423306</v>
      </c>
      <c r="P104" s="116">
        <f>IF(TrRoad_act!P26=0,0,P40/TrRoad_act!P26*1000)</f>
        <v>165.46581578077453</v>
      </c>
      <c r="Q104" s="116">
        <f>IF(TrRoad_act!Q26=0,0,Q40/TrRoad_act!Q26*1000)</f>
        <v>144.41144893488294</v>
      </c>
      <c r="R104" s="116">
        <f>IF(TrRoad_act!R26=0,0,R40/TrRoad_act!R26*1000)</f>
        <v>173.59045939185378</v>
      </c>
      <c r="S104" s="116">
        <f>IF(TrRoad_act!S26=0,0,S40/TrRoad_act!S26*1000)</f>
        <v>211.6096151349831</v>
      </c>
      <c r="T104" s="116">
        <f>IF(TrRoad_act!T26=0,0,T40/TrRoad_act!T26*1000)</f>
        <v>213.53469088913053</v>
      </c>
      <c r="U104" s="116">
        <f>IF(TrRoad_act!U26=0,0,U40/TrRoad_act!U26*1000)</f>
        <v>206.21968160579218</v>
      </c>
      <c r="V104" s="116">
        <f>IF(TrRoad_act!V26=0,0,V40/TrRoad_act!V26*1000)</f>
        <v>194.06155653516123</v>
      </c>
      <c r="W104" s="116">
        <f>IF(TrRoad_act!W26=0,0,W40/TrRoad_act!W26*1000)</f>
        <v>216.92331695130287</v>
      </c>
      <c r="X104" s="116">
        <f>IF(TrRoad_act!X26=0,0,X40/TrRoad_act!X26*1000)</f>
        <v>211.39124140048861</v>
      </c>
      <c r="Y104" s="116">
        <f>IF(TrRoad_act!Y26=0,0,Y40/TrRoad_act!Y26*1000)</f>
        <v>206.36091907399245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69.215910115380581</v>
      </c>
      <c r="C105" s="101">
        <f>IF(TrRoad_act!C27=0,0,C41/TrRoad_act!C27*1000)</f>
        <v>66.272287791291518</v>
      </c>
      <c r="D105" s="101">
        <f>IF(TrRoad_act!D27=0,0,D41/TrRoad_act!D27*1000)</f>
        <v>119.41027512730044</v>
      </c>
      <c r="E105" s="101">
        <f>IF(TrRoad_act!E27=0,0,E41/TrRoad_act!E27*1000)</f>
        <v>110.31266728105982</v>
      </c>
      <c r="F105" s="101">
        <f>IF(TrRoad_act!F27=0,0,F41/TrRoad_act!F27*1000)</f>
        <v>117.9364001436191</v>
      </c>
      <c r="G105" s="101">
        <f>IF(TrRoad_act!G27=0,0,G41/TrRoad_act!G27*1000)</f>
        <v>130.85291630718297</v>
      </c>
      <c r="H105" s="101">
        <f>IF(TrRoad_act!H27=0,0,H41/TrRoad_act!H27*1000)</f>
        <v>160.45149110242451</v>
      </c>
      <c r="I105" s="101">
        <f>IF(TrRoad_act!I27=0,0,I41/TrRoad_act!I27*1000)</f>
        <v>161.10060962962601</v>
      </c>
      <c r="J105" s="101">
        <f>IF(TrRoad_act!J27=0,0,J41/TrRoad_act!J27*1000)</f>
        <v>179.88158746557667</v>
      </c>
      <c r="K105" s="101">
        <f>IF(TrRoad_act!K27=0,0,K41/TrRoad_act!K27*1000)</f>
        <v>166.80207107209921</v>
      </c>
      <c r="L105" s="101">
        <f>IF(TrRoad_act!L27=0,0,L41/TrRoad_act!L27*1000)</f>
        <v>244.47509056376109</v>
      </c>
      <c r="M105" s="101">
        <f>IF(TrRoad_act!M27=0,0,M41/TrRoad_act!M27*1000)</f>
        <v>252.50238911742096</v>
      </c>
      <c r="N105" s="101">
        <f>IF(TrRoad_act!N27=0,0,N41/TrRoad_act!N27*1000)</f>
        <v>228.60866044969046</v>
      </c>
      <c r="O105" s="101">
        <f>IF(TrRoad_act!O27=0,0,O41/TrRoad_act!O27*1000)</f>
        <v>246.15117991399487</v>
      </c>
      <c r="P105" s="101">
        <f>IF(TrRoad_act!P27=0,0,P41/TrRoad_act!P27*1000)</f>
        <v>238.64649587014142</v>
      </c>
      <c r="Q105" s="101">
        <f>IF(TrRoad_act!Q27=0,0,Q41/TrRoad_act!Q27*1000)</f>
        <v>207.8082578662885</v>
      </c>
      <c r="R105" s="101">
        <f>IF(TrRoad_act!R27=0,0,R41/TrRoad_act!R27*1000)</f>
        <v>239.33918751128945</v>
      </c>
      <c r="S105" s="101">
        <f>IF(TrRoad_act!S27=0,0,S41/TrRoad_act!S27*1000)</f>
        <v>243.41724793231003</v>
      </c>
      <c r="T105" s="101">
        <f>IF(TrRoad_act!T27=0,0,T41/TrRoad_act!T27*1000)</f>
        <v>228.95197985206602</v>
      </c>
      <c r="U105" s="101">
        <f>IF(TrRoad_act!U27=0,0,U41/TrRoad_act!U27*1000)</f>
        <v>242.62237552033906</v>
      </c>
      <c r="V105" s="101">
        <f>IF(TrRoad_act!V27=0,0,V41/TrRoad_act!V27*1000)</f>
        <v>237.62253626783487</v>
      </c>
      <c r="W105" s="101">
        <f>IF(TrRoad_act!W27=0,0,W41/TrRoad_act!W27*1000)</f>
        <v>245.15257853637721</v>
      </c>
      <c r="X105" s="101">
        <f>IF(TrRoad_act!X27=0,0,X41/TrRoad_act!X27*1000)</f>
        <v>261.45866069178732</v>
      </c>
      <c r="Y105" s="101">
        <f>IF(TrRoad_act!Y27=0,0,Y41/TrRoad_act!Y27*1000)</f>
        <v>271.07598207614689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83.711134704953153</v>
      </c>
      <c r="C106" s="88">
        <f>IF(TrRoad_act!C28=0,0,C42/TrRoad_act!C28*1000)</f>
        <v>66.376079916249239</v>
      </c>
      <c r="D106" s="88">
        <f>IF(TrRoad_act!D28=0,0,D42/TrRoad_act!D28*1000)</f>
        <v>120.40004961057298</v>
      </c>
      <c r="E106" s="88">
        <f>IF(TrRoad_act!E28=0,0,E42/TrRoad_act!E28*1000)</f>
        <v>40.30540911095413</v>
      </c>
      <c r="F106" s="88">
        <f>IF(TrRoad_act!F28=0,0,F42/TrRoad_act!F28*1000)</f>
        <v>51.622478638507864</v>
      </c>
      <c r="G106" s="88">
        <f>IF(TrRoad_act!G28=0,0,G42/TrRoad_act!G28*1000)</f>
        <v>106.56476013757629</v>
      </c>
      <c r="H106" s="88">
        <f>IF(TrRoad_act!H28=0,0,H42/TrRoad_act!H28*1000)</f>
        <v>130.54827819170833</v>
      </c>
      <c r="I106" s="88">
        <f>IF(TrRoad_act!I28=0,0,I42/TrRoad_act!I28*1000)</f>
        <v>123.26238542128458</v>
      </c>
      <c r="J106" s="88">
        <f>IF(TrRoad_act!J28=0,0,J42/TrRoad_act!J28*1000)</f>
        <v>135.03961081821822</v>
      </c>
      <c r="K106" s="88">
        <f>IF(TrRoad_act!K28=0,0,K42/TrRoad_act!K28*1000)</f>
        <v>105.50467602969516</v>
      </c>
      <c r="L106" s="88">
        <f>IF(TrRoad_act!L28=0,0,L42/TrRoad_act!L28*1000)</f>
        <v>149.39969012852185</v>
      </c>
      <c r="M106" s="88">
        <f>IF(TrRoad_act!M28=0,0,M42/TrRoad_act!M28*1000)</f>
        <v>128.51402444391545</v>
      </c>
      <c r="N106" s="88">
        <f>IF(TrRoad_act!N28=0,0,N42/TrRoad_act!N28*1000)</f>
        <v>125.11783287851023</v>
      </c>
      <c r="O106" s="88">
        <f>IF(TrRoad_act!O28=0,0,O42/TrRoad_act!O28*1000)</f>
        <v>132.43397761228013</v>
      </c>
      <c r="P106" s="88">
        <f>IF(TrRoad_act!P28=0,0,P42/TrRoad_act!P28*1000)</f>
        <v>118.20039504087507</v>
      </c>
      <c r="Q106" s="88">
        <f>IF(TrRoad_act!Q28=0,0,Q42/TrRoad_act!Q28*1000)</f>
        <v>105.79900252823732</v>
      </c>
      <c r="R106" s="88">
        <f>IF(TrRoad_act!R28=0,0,R42/TrRoad_act!R28*1000)</f>
        <v>133.01541156470816</v>
      </c>
      <c r="S106" s="88">
        <f>IF(TrRoad_act!S28=0,0,S42/TrRoad_act!S28*1000)</f>
        <v>191.55864674968012</v>
      </c>
      <c r="T106" s="88">
        <f>IF(TrRoad_act!T28=0,0,T42/TrRoad_act!T28*1000)</f>
        <v>203.59166782700439</v>
      </c>
      <c r="U106" s="88">
        <f>IF(TrRoad_act!U28=0,0,U42/TrRoad_act!U28*1000)</f>
        <v>182.79358387726853</v>
      </c>
      <c r="V106" s="88">
        <f>IF(TrRoad_act!V28=0,0,V42/TrRoad_act!V28*1000)</f>
        <v>165.8527517232709</v>
      </c>
      <c r="W106" s="88">
        <f>IF(TrRoad_act!W28=0,0,W42/TrRoad_act!W28*1000)</f>
        <v>199.52872007600507</v>
      </c>
      <c r="X106" s="88">
        <f>IF(TrRoad_act!X28=0,0,X42/TrRoad_act!X28*1000)</f>
        <v>183.28806504867202</v>
      </c>
      <c r="Y106" s="88">
        <f>IF(TrRoad_act!Y28=0,0,Y42/TrRoad_act!Y28*1000)</f>
        <v>169.94413309997361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128.96192580852536</v>
      </c>
      <c r="C110" s="152">
        <f>IF(C19=0,0,1000000*C19/TrRoad_act!C59)</f>
        <v>133.19688563771467</v>
      </c>
      <c r="D110" s="152">
        <f>IF(D19=0,0,1000000*D19/TrRoad_act!D59)</f>
        <v>113.63058819602784</v>
      </c>
      <c r="E110" s="152">
        <f>IF(E19=0,0,1000000*E19/TrRoad_act!E59)</f>
        <v>113.68348966708565</v>
      </c>
      <c r="F110" s="152">
        <f>IF(F19=0,0,1000000*F19/TrRoad_act!F59)</f>
        <v>112.35335354709606</v>
      </c>
      <c r="G110" s="152">
        <f>IF(G19=0,0,1000000*G19/TrRoad_act!G59)</f>
        <v>113.41303775579176</v>
      </c>
      <c r="H110" s="152">
        <f>IF(H19=0,0,1000000*H19/TrRoad_act!H59)</f>
        <v>113.91112413875916</v>
      </c>
      <c r="I110" s="152">
        <f>IF(I19=0,0,1000000*I19/TrRoad_act!I59)</f>
        <v>111.33885902505217</v>
      </c>
      <c r="J110" s="152">
        <f>IF(J19=0,0,1000000*J19/TrRoad_act!J59)</f>
        <v>109.51679395405459</v>
      </c>
      <c r="K110" s="152">
        <f>IF(K19=0,0,1000000*K19/TrRoad_act!K59)</f>
        <v>80.018133982902896</v>
      </c>
      <c r="L110" s="152">
        <f>IF(L19=0,0,1000000*L19/TrRoad_act!L59)</f>
        <v>68.363930712789482</v>
      </c>
      <c r="M110" s="152">
        <f>IF(M19=0,0,1000000*M19/TrRoad_act!M59)</f>
        <v>77.578316616982775</v>
      </c>
      <c r="N110" s="152">
        <f>IF(N19=0,0,1000000*N19/TrRoad_act!N59)</f>
        <v>85.563354661762233</v>
      </c>
      <c r="O110" s="152">
        <f>IF(O19=0,0,1000000*O19/TrRoad_act!O59)</f>
        <v>81.799131500369057</v>
      </c>
      <c r="P110" s="152">
        <f>IF(P19=0,0,1000000*P19/TrRoad_act!P59)</f>
        <v>83.917410643234646</v>
      </c>
      <c r="Q110" s="152">
        <f>IF(Q19=0,0,1000000*Q19/TrRoad_act!Q59)</f>
        <v>87.181992439270815</v>
      </c>
      <c r="R110" s="152">
        <f>IF(R19=0,0,1000000*R19/TrRoad_act!R59)</f>
        <v>89.468589277333351</v>
      </c>
      <c r="S110" s="152">
        <f>IF(S19=0,0,1000000*S19/TrRoad_act!S59)</f>
        <v>79.635239197906898</v>
      </c>
      <c r="T110" s="152">
        <f>IF(T19=0,0,1000000*T19/TrRoad_act!T59)</f>
        <v>72.374414976314299</v>
      </c>
      <c r="U110" s="152">
        <f>IF(U19=0,0,1000000*U19/TrRoad_act!U59)</f>
        <v>73.077498050515118</v>
      </c>
      <c r="V110" s="152">
        <f>IF(V19=0,0,1000000*V19/TrRoad_act!V59)</f>
        <v>61.80222103574399</v>
      </c>
      <c r="W110" s="152">
        <f>IF(W19=0,0,1000000*W19/TrRoad_act!W59)</f>
        <v>61.516259844720118</v>
      </c>
      <c r="X110" s="152">
        <f>IF(X19=0,0,1000000*X19/TrRoad_act!X59)</f>
        <v>59.434413116239433</v>
      </c>
      <c r="Y110" s="152">
        <f>IF(Y19=0,0,1000000*Y19/TrRoad_act!Y59)</f>
        <v>60.676652084998125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1750.2965650445999</v>
      </c>
      <c r="C111" s="116">
        <f>IF(C20=0,0,1000000*C20/TrRoad_act!C60)</f>
        <v>1786.2327298537912</v>
      </c>
      <c r="D111" s="116">
        <f>IF(D20=0,0,1000000*D20/TrRoad_act!D60)</f>
        <v>2071.2122844156911</v>
      </c>
      <c r="E111" s="116">
        <f>IF(E20=0,0,1000000*E20/TrRoad_act!E60)</f>
        <v>1931.0135930883707</v>
      </c>
      <c r="F111" s="116">
        <f>IF(F20=0,0,1000000*F20/TrRoad_act!F60)</f>
        <v>1866.1585101922922</v>
      </c>
      <c r="G111" s="116">
        <f>IF(G20=0,0,1000000*G20/TrRoad_act!G60)</f>
        <v>1971.8978289542922</v>
      </c>
      <c r="H111" s="116">
        <f>IF(H20=0,0,1000000*H20/TrRoad_act!H60)</f>
        <v>1855.1816310129193</v>
      </c>
      <c r="I111" s="116">
        <f>IF(I20=0,0,1000000*I20/TrRoad_act!I60)</f>
        <v>1789.6599474722248</v>
      </c>
      <c r="J111" s="116">
        <f>IF(J20=0,0,1000000*J20/TrRoad_act!J60)</f>
        <v>1745.8430835144663</v>
      </c>
      <c r="K111" s="116">
        <f>IF(K20=0,0,1000000*K20/TrRoad_act!K60)</f>
        <v>1581.8789810651174</v>
      </c>
      <c r="L111" s="116">
        <f>IF(L20=0,0,1000000*L20/TrRoad_act!L60)</f>
        <v>1542.6816330751624</v>
      </c>
      <c r="M111" s="116">
        <f>IF(M20=0,0,1000000*M20/TrRoad_act!M60)</f>
        <v>1456.9174311654874</v>
      </c>
      <c r="N111" s="116">
        <f>IF(N20=0,0,1000000*N20/TrRoad_act!N60)</f>
        <v>1363.6593606901383</v>
      </c>
      <c r="O111" s="116">
        <f>IF(O20=0,0,1000000*O20/TrRoad_act!O60)</f>
        <v>1325.231853789438</v>
      </c>
      <c r="P111" s="116">
        <f>IF(P20=0,0,1000000*P20/TrRoad_act!P60)</f>
        <v>1248.1447215121823</v>
      </c>
      <c r="Q111" s="116">
        <f>IF(Q20=0,0,1000000*Q20/TrRoad_act!Q60)</f>
        <v>1209.0518560324688</v>
      </c>
      <c r="R111" s="116">
        <f>IF(R20=0,0,1000000*R20/TrRoad_act!R60)</f>
        <v>1183.6779957251599</v>
      </c>
      <c r="S111" s="116">
        <f>IF(S20=0,0,1000000*S20/TrRoad_act!S60)</f>
        <v>1153.1514490369655</v>
      </c>
      <c r="T111" s="116">
        <f>IF(T20=0,0,1000000*T20/TrRoad_act!T60)</f>
        <v>1067.4294736372651</v>
      </c>
      <c r="U111" s="116">
        <f>IF(U20=0,0,1000000*U20/TrRoad_act!U60)</f>
        <v>1015.6940589870918</v>
      </c>
      <c r="V111" s="116">
        <f>IF(V20=0,0,1000000*V20/TrRoad_act!V60)</f>
        <v>917.09809034396392</v>
      </c>
      <c r="W111" s="116">
        <f>IF(W20=0,0,1000000*W20/TrRoad_act!W60)</f>
        <v>928.0354963075747</v>
      </c>
      <c r="X111" s="116">
        <f>IF(X20=0,0,1000000*X20/TrRoad_act!X60)</f>
        <v>933.84333622275199</v>
      </c>
      <c r="Y111" s="116">
        <f>IF(Y20=0,0,1000000*Y20/TrRoad_act!Y60)</f>
        <v>951.13453570729666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1541.1886954634258</v>
      </c>
      <c r="C112" s="87">
        <f>IF(C21=0,0,1000000*C21/TrRoad_act!C61)</f>
        <v>1624.6421406941179</v>
      </c>
      <c r="D112" s="87">
        <f>IF(D21=0,0,1000000*D21/TrRoad_act!D61)</f>
        <v>1939.6581404517369</v>
      </c>
      <c r="E112" s="87">
        <f>IF(E21=0,0,1000000*E21/TrRoad_act!E61)</f>
        <v>1778.8341663884562</v>
      </c>
      <c r="F112" s="87">
        <f>IF(F21=0,0,1000000*F21/TrRoad_act!F61)</f>
        <v>1671.2448815973528</v>
      </c>
      <c r="G112" s="87">
        <f>IF(G21=0,0,1000000*G21/TrRoad_act!G61)</f>
        <v>1785.8990913790503</v>
      </c>
      <c r="H112" s="87">
        <f>IF(H21=0,0,1000000*H21/TrRoad_act!H61)</f>
        <v>1654.1546230155136</v>
      </c>
      <c r="I112" s="87">
        <f>IF(I21=0,0,1000000*I21/TrRoad_act!I61)</f>
        <v>1570.1454761438329</v>
      </c>
      <c r="J112" s="87">
        <f>IF(J21=0,0,1000000*J21/TrRoad_act!J61)</f>
        <v>1546.171493897546</v>
      </c>
      <c r="K112" s="87">
        <f>IF(K21=0,0,1000000*K21/TrRoad_act!K61)</f>
        <v>1347.1121329292369</v>
      </c>
      <c r="L112" s="87">
        <f>IF(L21=0,0,1000000*L21/TrRoad_act!L61)</f>
        <v>1292.8584061630283</v>
      </c>
      <c r="M112" s="87">
        <f>IF(M21=0,0,1000000*M21/TrRoad_act!M61)</f>
        <v>1198.6985289105819</v>
      </c>
      <c r="N112" s="87">
        <f>IF(N21=0,0,1000000*N21/TrRoad_act!N61)</f>
        <v>1110.7434216582594</v>
      </c>
      <c r="O112" s="87">
        <f>IF(O21=0,0,1000000*O21/TrRoad_act!O61)</f>
        <v>1088.5431186680346</v>
      </c>
      <c r="P112" s="87">
        <f>IF(P21=0,0,1000000*P21/TrRoad_act!P61)</f>
        <v>1037.6930415970703</v>
      </c>
      <c r="Q112" s="87">
        <f>IF(Q21=0,0,1000000*Q21/TrRoad_act!Q61)</f>
        <v>1024.511720943281</v>
      </c>
      <c r="R112" s="87">
        <f>IF(R21=0,0,1000000*R21/TrRoad_act!R61)</f>
        <v>1011.6376648749747</v>
      </c>
      <c r="S112" s="87">
        <f>IF(S21=0,0,1000000*S21/TrRoad_act!S61)</f>
        <v>971.9006224182466</v>
      </c>
      <c r="T112" s="87">
        <f>IF(T21=0,0,1000000*T21/TrRoad_act!T61)</f>
        <v>865.15805071995408</v>
      </c>
      <c r="U112" s="87">
        <f>IF(U21=0,0,1000000*U21/TrRoad_act!U61)</f>
        <v>811.8068390188173</v>
      </c>
      <c r="V112" s="87">
        <f>IF(V21=0,0,1000000*V21/TrRoad_act!V61)</f>
        <v>727.26743564186233</v>
      </c>
      <c r="W112" s="87">
        <f>IF(W21=0,0,1000000*W21/TrRoad_act!W61)</f>
        <v>727.26839374707788</v>
      </c>
      <c r="X112" s="87">
        <f>IF(X21=0,0,1000000*X21/TrRoad_act!X61)</f>
        <v>740.00064088781016</v>
      </c>
      <c r="Y112" s="87">
        <f>IF(Y21=0,0,1000000*Y21/TrRoad_act!Y61)</f>
        <v>769.19121745481846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2673.057224837868</v>
      </c>
      <c r="C113" s="87">
        <f>IF(C22=0,0,1000000*C22/TrRoad_act!C62)</f>
        <v>2441.6598494422897</v>
      </c>
      <c r="D113" s="87">
        <f>IF(D22=0,0,1000000*D22/TrRoad_act!D62)</f>
        <v>2555.6034914530637</v>
      </c>
      <c r="E113" s="87">
        <f>IF(E22=0,0,1000000*E22/TrRoad_act!E62)</f>
        <v>2468.6997453710319</v>
      </c>
      <c r="F113" s="87">
        <f>IF(F22=0,0,1000000*F22/TrRoad_act!F62)</f>
        <v>2495.9097365671123</v>
      </c>
      <c r="G113" s="87">
        <f>IF(G22=0,0,1000000*G22/TrRoad_act!G62)</f>
        <v>2547.6855601593084</v>
      </c>
      <c r="H113" s="87">
        <f>IF(H22=0,0,1000000*H22/TrRoad_act!H62)</f>
        <v>2482.4950027955224</v>
      </c>
      <c r="I113" s="87">
        <f>IF(I22=0,0,1000000*I22/TrRoad_act!I62)</f>
        <v>2410.9878656340948</v>
      </c>
      <c r="J113" s="87">
        <f>IF(J22=0,0,1000000*J22/TrRoad_act!J62)</f>
        <v>2370.9306523732366</v>
      </c>
      <c r="K113" s="87">
        <f>IF(K22=0,0,1000000*K22/TrRoad_act!K62)</f>
        <v>2292.133337264072</v>
      </c>
      <c r="L113" s="87">
        <f>IF(L22=0,0,1000000*L22/TrRoad_act!L62)</f>
        <v>2300.1337373648412</v>
      </c>
      <c r="M113" s="87">
        <f>IF(M22=0,0,1000000*M22/TrRoad_act!M62)</f>
        <v>2187.7978482076501</v>
      </c>
      <c r="N113" s="87">
        <f>IF(N22=0,0,1000000*N22/TrRoad_act!N62)</f>
        <v>2078.8832927948006</v>
      </c>
      <c r="O113" s="87">
        <f>IF(O22=0,0,1000000*O22/TrRoad_act!O62)</f>
        <v>2005.912736832528</v>
      </c>
      <c r="P113" s="87">
        <f>IF(P22=0,0,1000000*P22/TrRoad_act!P62)</f>
        <v>1865.5047383994315</v>
      </c>
      <c r="Q113" s="87">
        <f>IF(Q22=0,0,1000000*Q22/TrRoad_act!Q62)</f>
        <v>1736.7525763701842</v>
      </c>
      <c r="R113" s="87">
        <f>IF(R22=0,0,1000000*R22/TrRoad_act!R62)</f>
        <v>1698.9857009244213</v>
      </c>
      <c r="S113" s="87">
        <f>IF(S22=0,0,1000000*S22/TrRoad_act!S62)</f>
        <v>1702.7934493216464</v>
      </c>
      <c r="T113" s="87">
        <f>IF(T22=0,0,1000000*T22/TrRoad_act!T62)</f>
        <v>1670.6498503666194</v>
      </c>
      <c r="U113" s="87">
        <f>IF(U22=0,0,1000000*U22/TrRoad_act!U62)</f>
        <v>1617.9531954857869</v>
      </c>
      <c r="V113" s="87">
        <f>IF(V22=0,0,1000000*V22/TrRoad_act!V62)</f>
        <v>1462.5792591691365</v>
      </c>
      <c r="W113" s="87">
        <f>IF(W22=0,0,1000000*W22/TrRoad_act!W62)</f>
        <v>1489.8932491570549</v>
      </c>
      <c r="X113" s="87">
        <f>IF(X22=0,0,1000000*X22/TrRoad_act!X62)</f>
        <v>1507.9432299246314</v>
      </c>
      <c r="Y113" s="87">
        <f>IF(Y22=0,0,1000000*Y22/TrRoad_act!Y62)</f>
        <v>1525.9230215910391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2322.1203839999989</v>
      </c>
      <c r="H114" s="87">
        <f>IF(H23=0,0,1000000*H23/TrRoad_act!H63)</f>
        <v>2320.2641726618695</v>
      </c>
      <c r="I114" s="87">
        <f>IF(I23=0,0,1000000*I23/TrRoad_act!I63)</f>
        <v>2146.9308284023659</v>
      </c>
      <c r="J114" s="87">
        <f>IF(J23=0,0,1000000*J23/TrRoad_act!J63)</f>
        <v>2073.3217714285706</v>
      </c>
      <c r="K114" s="87">
        <f>IF(K23=0,0,1000000*K23/TrRoad_act!K63)</f>
        <v>2071.8418843683075</v>
      </c>
      <c r="L114" s="87">
        <f>IF(L23=0,0,1000000*L23/TrRoad_act!L63)</f>
        <v>1933.1671528471529</v>
      </c>
      <c r="M114" s="87">
        <f>IF(M23=0,0,1000000*M23/TrRoad_act!M63)</f>
        <v>1721.5916259663761</v>
      </c>
      <c r="N114" s="87">
        <f>IF(N23=0,0,1000000*N23/TrRoad_act!N63)</f>
        <v>1647.1542470386225</v>
      </c>
      <c r="O114" s="87">
        <f>IF(O23=0,0,1000000*O23/TrRoad_act!O63)</f>
        <v>1609.5558519323567</v>
      </c>
      <c r="P114" s="87">
        <f>IF(P23=0,0,1000000*P23/TrRoad_act!P63)</f>
        <v>1305.8564180657477</v>
      </c>
      <c r="Q114" s="87">
        <f>IF(Q23=0,0,1000000*Q23/TrRoad_act!Q63)</f>
        <v>1419.9416864635152</v>
      </c>
      <c r="R114" s="87">
        <f>IF(R23=0,0,1000000*R23/TrRoad_act!R63)</f>
        <v>1385.5353592831818</v>
      </c>
      <c r="S114" s="87">
        <f>IF(S23=0,0,1000000*S23/TrRoad_act!S63)</f>
        <v>1381.4145724591685</v>
      </c>
      <c r="T114" s="87">
        <f>IF(T23=0,0,1000000*T23/TrRoad_act!T63)</f>
        <v>1502.2832669014192</v>
      </c>
      <c r="U114" s="87">
        <f>IF(U23=0,0,1000000*U23/TrRoad_act!U63)</f>
        <v>1603.0892114614596</v>
      </c>
      <c r="V114" s="87">
        <f>IF(V23=0,0,1000000*V23/TrRoad_act!V63)</f>
        <v>1572.6616737782383</v>
      </c>
      <c r="W114" s="87">
        <f>IF(W23=0,0,1000000*W23/TrRoad_act!W63)</f>
        <v>1826.2756196283867</v>
      </c>
      <c r="X114" s="87">
        <f>IF(X23=0,0,1000000*X23/TrRoad_act!X63)</f>
        <v>1849.6718142788757</v>
      </c>
      <c r="Y114" s="87">
        <f>IF(Y23=0,0,1000000*Y23/TrRoad_act!Y63)</f>
        <v>1891.6420333157835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3050.4375000000005</v>
      </c>
      <c r="D115" s="87">
        <f>IF(D24=0,0,1000000*D24/TrRoad_act!D64)</f>
        <v>1304.3249999999996</v>
      </c>
      <c r="E115" s="87">
        <f>IF(E24=0,0,1000000*E24/TrRoad_act!E64)</f>
        <v>1315.8174309313586</v>
      </c>
      <c r="F115" s="87">
        <f>IF(F24=0,0,1000000*F24/TrRoad_act!F64)</f>
        <v>1761.4285714285716</v>
      </c>
      <c r="G115" s="87">
        <f>IF(G24=0,0,1000000*G24/TrRoad_act!G64)</f>
        <v>2355.3870598703443</v>
      </c>
      <c r="H115" s="87">
        <f>IF(H24=0,0,1000000*H24/TrRoad_act!H64)</f>
        <v>1384.2578423871464</v>
      </c>
      <c r="I115" s="87">
        <f>IF(I24=0,0,1000000*I24/TrRoad_act!I64)</f>
        <v>2605.2185608607933</v>
      </c>
      <c r="J115" s="87">
        <f>IF(J24=0,0,1000000*J24/TrRoad_act!J64)</f>
        <v>1179.8630136986303</v>
      </c>
      <c r="K115" s="87">
        <f>IF(K24=0,0,1000000*K24/TrRoad_act!K64)</f>
        <v>1145.8767451872809</v>
      </c>
      <c r="L115" s="87">
        <f>IF(L24=0,0,1000000*L24/TrRoad_act!L64)</f>
        <v>1267.9252110977081</v>
      </c>
      <c r="M115" s="87">
        <f>IF(M24=0,0,1000000*M24/TrRoad_act!M64)</f>
        <v>1433.3892863178046</v>
      </c>
      <c r="N115" s="87">
        <f>IF(N24=0,0,1000000*N24/TrRoad_act!N64)</f>
        <v>1363.131289426907</v>
      </c>
      <c r="O115" s="87">
        <f>IF(O24=0,0,1000000*O24/TrRoad_act!O64)</f>
        <v>1192.0978539727341</v>
      </c>
      <c r="P115" s="87">
        <f>IF(P24=0,0,1000000*P24/TrRoad_act!P64)</f>
        <v>1237.4708890997804</v>
      </c>
      <c r="Q115" s="87">
        <f>IF(Q24=0,0,1000000*Q24/TrRoad_act!Q64)</f>
        <v>1101.8830389942718</v>
      </c>
      <c r="R115" s="87">
        <f>IF(R24=0,0,1000000*R24/TrRoad_act!R64)</f>
        <v>1151.974958763037</v>
      </c>
      <c r="S115" s="87">
        <f>IF(S24=0,0,1000000*S24/TrRoad_act!S64)</f>
        <v>1105.4829592284161</v>
      </c>
      <c r="T115" s="87">
        <f>IF(T24=0,0,1000000*T24/TrRoad_act!T64)</f>
        <v>1066.7041389269464</v>
      </c>
      <c r="U115" s="87">
        <f>IF(U24=0,0,1000000*U24/TrRoad_act!U64)</f>
        <v>1026.2256262411843</v>
      </c>
      <c r="V115" s="87">
        <f>IF(V24=0,0,1000000*V24/TrRoad_act!V64)</f>
        <v>1195.3315845537929</v>
      </c>
      <c r="W115" s="87">
        <f>IF(W24=0,0,1000000*W24/TrRoad_act!W64)</f>
        <v>1147.2698018458</v>
      </c>
      <c r="X115" s="87">
        <f>IF(X24=0,0,1000000*X24/TrRoad_act!X64)</f>
        <v>1210.027519054652</v>
      </c>
      <c r="Y115" s="87">
        <f>IF(Y24=0,0,1000000*Y24/TrRoad_act!Y64)</f>
        <v>1076.3238265915152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289.08444672151012</v>
      </c>
      <c r="O116" s="87">
        <f>IF(O25=0,0,1000000*O25/TrRoad_act!O65)</f>
        <v>295.64963481495187</v>
      </c>
      <c r="P116" s="87">
        <f>IF(P25=0,0,1000000*P25/TrRoad_act!P65)</f>
        <v>973.87787566554925</v>
      </c>
      <c r="Q116" s="87">
        <f>IF(Q25=0,0,1000000*Q25/TrRoad_act!Q65)</f>
        <v>887.18867575416004</v>
      </c>
      <c r="R116" s="87">
        <f>IF(R25=0,0,1000000*R25/TrRoad_act!R65)</f>
        <v>622.65210080539634</v>
      </c>
      <c r="S116" s="87">
        <f>IF(S25=0,0,1000000*S25/TrRoad_act!S65)</f>
        <v>679.08119837362312</v>
      </c>
      <c r="T116" s="87">
        <f>IF(T25=0,0,1000000*T25/TrRoad_act!T65)</f>
        <v>497.1676906055028</v>
      </c>
      <c r="U116" s="87">
        <f>IF(U25=0,0,1000000*U25/TrRoad_act!U65)</f>
        <v>434.16550477252468</v>
      </c>
      <c r="V116" s="87">
        <f>IF(V25=0,0,1000000*V25/TrRoad_act!V65)</f>
        <v>318.59369710275286</v>
      </c>
      <c r="W116" s="87">
        <f>IF(W25=0,0,1000000*W25/TrRoad_act!W65)</f>
        <v>250.50687468873352</v>
      </c>
      <c r="X116" s="87">
        <f>IF(X25=0,0,1000000*X25/TrRoad_act!X65)</f>
        <v>226.36749205523247</v>
      </c>
      <c r="Y116" s="87">
        <f>IF(Y25=0,0,1000000*Y25/TrRoad_act!Y65)</f>
        <v>218.84872366751503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50415.869390974658</v>
      </c>
      <c r="C118" s="116">
        <f>IF(C27=0,0,1000000*C27/TrRoad_act!C67)</f>
        <v>47344.856570281969</v>
      </c>
      <c r="D118" s="116">
        <f>IF(D27=0,0,1000000*D27/TrRoad_act!D67)</f>
        <v>49178.916449819953</v>
      </c>
      <c r="E118" s="116">
        <f>IF(E27=0,0,1000000*E27/TrRoad_act!E67)</f>
        <v>50055.727307934649</v>
      </c>
      <c r="F118" s="116">
        <f>IF(F27=0,0,1000000*F27/TrRoad_act!F67)</f>
        <v>54514.666364264755</v>
      </c>
      <c r="G118" s="116">
        <f>IF(G27=0,0,1000000*G27/TrRoad_act!G67)</f>
        <v>50957.911824250106</v>
      </c>
      <c r="H118" s="116">
        <f>IF(H27=0,0,1000000*H27/TrRoad_act!H67)</f>
        <v>52164.406719174018</v>
      </c>
      <c r="I118" s="116">
        <f>IF(I27=0,0,1000000*I27/TrRoad_act!I67)</f>
        <v>52444.402049796787</v>
      </c>
      <c r="J118" s="116">
        <f>IF(J27=0,0,1000000*J27/TrRoad_act!J67)</f>
        <v>50768.434075152189</v>
      </c>
      <c r="K118" s="116">
        <f>IF(K27=0,0,1000000*K27/TrRoad_act!K67)</f>
        <v>52113.418175965329</v>
      </c>
      <c r="L118" s="116">
        <f>IF(L27=0,0,1000000*L27/TrRoad_act!L67)</f>
        <v>51371.693039890546</v>
      </c>
      <c r="M118" s="116">
        <f>IF(M27=0,0,1000000*M27/TrRoad_act!M67)</f>
        <v>48979.462779485271</v>
      </c>
      <c r="N118" s="116">
        <f>IF(N27=0,0,1000000*N27/TrRoad_act!N67)</f>
        <v>49267.562450344943</v>
      </c>
      <c r="O118" s="116">
        <f>IF(O27=0,0,1000000*O27/TrRoad_act!O67)</f>
        <v>48334.393968319237</v>
      </c>
      <c r="P118" s="116">
        <f>IF(P27=0,0,1000000*P27/TrRoad_act!P67)</f>
        <v>47055.476655811995</v>
      </c>
      <c r="Q118" s="116">
        <f>IF(Q27=0,0,1000000*Q27/TrRoad_act!Q67)</f>
        <v>45339.914394659805</v>
      </c>
      <c r="R118" s="116">
        <f>IF(R27=0,0,1000000*R27/TrRoad_act!R67)</f>
        <v>44443.518572216999</v>
      </c>
      <c r="S118" s="116">
        <f>IF(S27=0,0,1000000*S27/TrRoad_act!S67)</f>
        <v>47254.242942366662</v>
      </c>
      <c r="T118" s="116">
        <f>IF(T27=0,0,1000000*T27/TrRoad_act!T67)</f>
        <v>48027.029013055479</v>
      </c>
      <c r="U118" s="116">
        <f>IF(U27=0,0,1000000*U27/TrRoad_act!U67)</f>
        <v>49614.430610240568</v>
      </c>
      <c r="V118" s="116">
        <f>IF(V27=0,0,1000000*V27/TrRoad_act!V67)</f>
        <v>47556.754948356953</v>
      </c>
      <c r="W118" s="116">
        <f>IF(W27=0,0,1000000*W27/TrRoad_act!W67)</f>
        <v>46466.643497990248</v>
      </c>
      <c r="X118" s="116">
        <f>IF(X27=0,0,1000000*X27/TrRoad_act!X67)</f>
        <v>47660.972438260906</v>
      </c>
      <c r="Y118" s="116">
        <f>IF(Y27=0,0,1000000*Y27/TrRoad_act!Y67)</f>
        <v>46121.295602274622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X119" s="101">
        <f>IF(X28=0,0,1000000*X28/TrRoad_act!X68)</f>
        <v>0</v>
      </c>
      <c r="Y119" s="101">
        <f>IF(Y28=0,0,1000000*Y28/TrRoad_act!Y68)</f>
        <v>0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50415.869390974658</v>
      </c>
      <c r="C120" s="101">
        <f>IF(C29=0,0,1000000*C29/TrRoad_act!C69)</f>
        <v>47344.856570281969</v>
      </c>
      <c r="D120" s="101">
        <f>IF(D29=0,0,1000000*D29/TrRoad_act!D69)</f>
        <v>49178.916449819953</v>
      </c>
      <c r="E120" s="101">
        <f>IF(E29=0,0,1000000*E29/TrRoad_act!E69)</f>
        <v>50055.727307934649</v>
      </c>
      <c r="F120" s="101">
        <f>IF(F29=0,0,1000000*F29/TrRoad_act!F69)</f>
        <v>54514.666364264755</v>
      </c>
      <c r="G120" s="101">
        <f>IF(G29=0,0,1000000*G29/TrRoad_act!G69)</f>
        <v>50957.911824250106</v>
      </c>
      <c r="H120" s="101">
        <f>IF(H29=0,0,1000000*H29/TrRoad_act!H69)</f>
        <v>52164.406719174018</v>
      </c>
      <c r="I120" s="101">
        <f>IF(I29=0,0,1000000*I29/TrRoad_act!I69)</f>
        <v>52444.402049796787</v>
      </c>
      <c r="J120" s="101">
        <f>IF(J29=0,0,1000000*J29/TrRoad_act!J69)</f>
        <v>50768.434075152189</v>
      </c>
      <c r="K120" s="101">
        <f>IF(K29=0,0,1000000*K29/TrRoad_act!K69)</f>
        <v>52113.418175965329</v>
      </c>
      <c r="L120" s="101">
        <f>IF(L29=0,0,1000000*L29/TrRoad_act!L69)</f>
        <v>51998.968449640786</v>
      </c>
      <c r="M120" s="101">
        <f>IF(M29=0,0,1000000*M29/TrRoad_act!M69)</f>
        <v>50426.068027986716</v>
      </c>
      <c r="N120" s="101">
        <f>IF(N29=0,0,1000000*N29/TrRoad_act!N69)</f>
        <v>50747.184455384886</v>
      </c>
      <c r="O120" s="101">
        <f>IF(O29=0,0,1000000*O29/TrRoad_act!O69)</f>
        <v>49788.926605339977</v>
      </c>
      <c r="P120" s="101">
        <f>IF(P29=0,0,1000000*P29/TrRoad_act!P69)</f>
        <v>49109.060014879455</v>
      </c>
      <c r="Q120" s="101">
        <f>IF(Q29=0,0,1000000*Q29/TrRoad_act!Q69)</f>
        <v>47777.765879106104</v>
      </c>
      <c r="R120" s="101">
        <f>IF(R29=0,0,1000000*R29/TrRoad_act!R69)</f>
        <v>50101.73519537106</v>
      </c>
      <c r="S120" s="101">
        <f>IF(S29=0,0,1000000*S29/TrRoad_act!S69)</f>
        <v>53462.419612066944</v>
      </c>
      <c r="T120" s="101">
        <f>IF(T29=0,0,1000000*T29/TrRoad_act!T69)</f>
        <v>54738.613876235664</v>
      </c>
      <c r="U120" s="101">
        <f>IF(U29=0,0,1000000*U29/TrRoad_act!U69)</f>
        <v>54898.63907104954</v>
      </c>
      <c r="V120" s="101">
        <f>IF(V29=0,0,1000000*V29/TrRoad_act!V69)</f>
        <v>53251.319741581414</v>
      </c>
      <c r="W120" s="101">
        <f>IF(W29=0,0,1000000*W29/TrRoad_act!W69)</f>
        <v>51853.070785197146</v>
      </c>
      <c r="X120" s="101">
        <f>IF(X29=0,0,1000000*X29/TrRoad_act!X69)</f>
        <v>52681.083698222727</v>
      </c>
      <c r="Y120" s="101">
        <f>IF(Y29=0,0,1000000*Y29/TrRoad_act!Y69)</f>
        <v>50951.748693189045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5176.4083137736543</v>
      </c>
      <c r="S122" s="101">
        <f>IF(S31=0,0,1000000*S31/TrRoad_act!S71)</f>
        <v>7915.2116797481331</v>
      </c>
      <c r="T122" s="101">
        <f>IF(T31=0,0,1000000*T31/TrRoad_act!T71)</f>
        <v>5700.6048953630207</v>
      </c>
      <c r="U122" s="101">
        <f>IF(U31=0,0,1000000*U31/TrRoad_act!U71)</f>
        <v>23710.680142721187</v>
      </c>
      <c r="V122" s="101">
        <f>IF(V31=0,0,1000000*V31/TrRoad_act!V71)</f>
        <v>31247.405772302314</v>
      </c>
      <c r="W122" s="101">
        <f>IF(W31=0,0,1000000*W31/TrRoad_act!W71)</f>
        <v>30330.811627896437</v>
      </c>
      <c r="X122" s="101">
        <f>IF(X31=0,0,1000000*X31/TrRoad_act!X71)</f>
        <v>33987.266942161106</v>
      </c>
      <c r="Y122" s="101">
        <f>IF(Y31=0,0,1000000*Y31/TrRoad_act!Y71)</f>
        <v>30970.399432233862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5063.505470087036</v>
      </c>
      <c r="C125" s="152">
        <f>IF(C34=0,0,1000000*C34/TrRoad_act!C74)</f>
        <v>5077.2317413243709</v>
      </c>
      <c r="D125" s="152">
        <f>IF(D34=0,0,1000000*D34/TrRoad_act!D74)</f>
        <v>6157.7142337114119</v>
      </c>
      <c r="E125" s="152">
        <f>IF(E34=0,0,1000000*E34/TrRoad_act!E74)</f>
        <v>5682.3395175288606</v>
      </c>
      <c r="F125" s="152">
        <f>IF(F34=0,0,1000000*F34/TrRoad_act!F74)</f>
        <v>5555.8554063794145</v>
      </c>
      <c r="G125" s="152">
        <f>IF(G34=0,0,1000000*G34/TrRoad_act!G74)</f>
        <v>5640.6011560675779</v>
      </c>
      <c r="H125" s="152">
        <f>IF(H34=0,0,1000000*H34/TrRoad_act!H74)</f>
        <v>4988.5207519986834</v>
      </c>
      <c r="I125" s="152">
        <f>IF(I34=0,0,1000000*I34/TrRoad_act!I74)</f>
        <v>5275.1352495953834</v>
      </c>
      <c r="J125" s="152">
        <f>IF(J34=0,0,1000000*J34/TrRoad_act!J74)</f>
        <v>4905.8199729729295</v>
      </c>
      <c r="K125" s="152">
        <f>IF(K34=0,0,1000000*K34/TrRoad_act!K74)</f>
        <v>4403.2452092913727</v>
      </c>
      <c r="L125" s="152">
        <f>IF(L34=0,0,1000000*L34/TrRoad_act!L74)</f>
        <v>5082.8153522285365</v>
      </c>
      <c r="M125" s="152">
        <f>IF(M34=0,0,1000000*M34/TrRoad_act!M74)</f>
        <v>5268.1731417134815</v>
      </c>
      <c r="N125" s="152">
        <f>IF(N34=0,0,1000000*N34/TrRoad_act!N74)</f>
        <v>5014.0127511729852</v>
      </c>
      <c r="O125" s="152">
        <f>IF(O34=0,0,1000000*O34/TrRoad_act!O74)</f>
        <v>4862.5322731445776</v>
      </c>
      <c r="P125" s="152">
        <f>IF(P34=0,0,1000000*P34/TrRoad_act!P74)</f>
        <v>4906.6673441530247</v>
      </c>
      <c r="Q125" s="152">
        <f>IF(Q34=0,0,1000000*Q34/TrRoad_act!Q74)</f>
        <v>4695.1273474140016</v>
      </c>
      <c r="R125" s="152">
        <f>IF(R34=0,0,1000000*R34/TrRoad_act!R74)</f>
        <v>5079.7131495564408</v>
      </c>
      <c r="S125" s="152">
        <f>IF(S34=0,0,1000000*S34/TrRoad_act!S74)</f>
        <v>5607.0051415296884</v>
      </c>
      <c r="T125" s="152">
        <f>IF(T34=0,0,1000000*T34/TrRoad_act!T74)</f>
        <v>5643.9535460066145</v>
      </c>
      <c r="U125" s="152">
        <f>IF(U34=0,0,1000000*U34/TrRoad_act!U74)</f>
        <v>5745.3990973911978</v>
      </c>
      <c r="V125" s="152">
        <f>IF(V34=0,0,1000000*V34/TrRoad_act!V74)</f>
        <v>5872.1074417749505</v>
      </c>
      <c r="W125" s="152">
        <f>IF(W34=0,0,1000000*W34/TrRoad_act!W74)</f>
        <v>5602.4553153100733</v>
      </c>
      <c r="X125" s="152">
        <f>IF(X34=0,0,1000000*X34/TrRoad_act!X74)</f>
        <v>5851.8715687664744</v>
      </c>
      <c r="Y125" s="152">
        <f>IF(Y34=0,0,1000000*Y34/TrRoad_act!Y74)</f>
        <v>6059.4469657352038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3716.1554088390735</v>
      </c>
      <c r="C126" s="87">
        <f>IF(C35=0,0,1000000*C35/TrRoad_act!C75)</f>
        <v>3744.3666532962557</v>
      </c>
      <c r="D126" s="87">
        <f>IF(D35=0,0,1000000*D35/TrRoad_act!D75)</f>
        <v>3765.3964064136167</v>
      </c>
      <c r="E126" s="87">
        <f>IF(E35=0,0,1000000*E35/TrRoad_act!E75)</f>
        <v>3669.4614171589301</v>
      </c>
      <c r="F126" s="87">
        <f>IF(F35=0,0,1000000*F35/TrRoad_act!F75)</f>
        <v>3424.3087186271155</v>
      </c>
      <c r="G126" s="87">
        <f>IF(G35=0,0,1000000*G35/TrRoad_act!G75)</f>
        <v>3356.6342846985644</v>
      </c>
      <c r="H126" s="87">
        <f>IF(H35=0,0,1000000*H35/TrRoad_act!H75)</f>
        <v>3216.6456593135426</v>
      </c>
      <c r="I126" s="87">
        <f>IF(I35=0,0,1000000*I35/TrRoad_act!I75)</f>
        <v>3147.9662747170987</v>
      </c>
      <c r="J126" s="87">
        <f>IF(J35=0,0,1000000*J35/TrRoad_act!J75)</f>
        <v>3135.6565098549599</v>
      </c>
      <c r="K126" s="87">
        <f>IF(K35=0,0,1000000*K35/TrRoad_act!K75)</f>
        <v>2975.6315948384868</v>
      </c>
      <c r="L126" s="87">
        <f>IF(L35=0,0,1000000*L35/TrRoad_act!L75)</f>
        <v>2813.5893668026406</v>
      </c>
      <c r="M126" s="87">
        <f>IF(M35=0,0,1000000*M35/TrRoad_act!M75)</f>
        <v>2844.1898656772346</v>
      </c>
      <c r="N126" s="87">
        <f>IF(N35=0,0,1000000*N35/TrRoad_act!N75)</f>
        <v>2871.5163337482404</v>
      </c>
      <c r="O126" s="87">
        <f>IF(O35=0,0,1000000*O35/TrRoad_act!O75)</f>
        <v>2906.4167653331738</v>
      </c>
      <c r="P126" s="87">
        <f>IF(P35=0,0,1000000*P35/TrRoad_act!P75)</f>
        <v>2945.1538214874022</v>
      </c>
      <c r="Q126" s="87">
        <f>IF(Q35=0,0,1000000*Q35/TrRoad_act!Q75)</f>
        <v>3091.0149053443834</v>
      </c>
      <c r="R126" s="87">
        <f>IF(R35=0,0,1000000*R35/TrRoad_act!R75)</f>
        <v>3160.6847306282634</v>
      </c>
      <c r="S126" s="87">
        <f>IF(S35=0,0,1000000*S35/TrRoad_act!S75)</f>
        <v>3158.1996480112598</v>
      </c>
      <c r="T126" s="87">
        <f>IF(T35=0,0,1000000*T35/TrRoad_act!T75)</f>
        <v>3192.0761268793585</v>
      </c>
      <c r="U126" s="87">
        <f>IF(U35=0,0,1000000*U35/TrRoad_act!U75)</f>
        <v>3214.2232578467665</v>
      </c>
      <c r="V126" s="87">
        <f>IF(V35=0,0,1000000*V35/TrRoad_act!V75)</f>
        <v>3170.3069941823674</v>
      </c>
      <c r="W126" s="87">
        <f>IF(W35=0,0,1000000*W35/TrRoad_act!W75)</f>
        <v>3185.8136130905787</v>
      </c>
      <c r="X126" s="87">
        <f>IF(X35=0,0,1000000*X35/TrRoad_act!X75)</f>
        <v>3225.2248347092436</v>
      </c>
      <c r="Y126" s="87">
        <f>IF(Y35=0,0,1000000*Y35/TrRoad_act!Y75)</f>
        <v>3252.0471493469645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5866.7507821622248</v>
      </c>
      <c r="C127" s="87">
        <f>IF(C36=0,0,1000000*C36/TrRoad_act!C76)</f>
        <v>5870.4177639645177</v>
      </c>
      <c r="D127" s="87">
        <f>IF(D36=0,0,1000000*D36/TrRoad_act!D76)</f>
        <v>7577.6820585839823</v>
      </c>
      <c r="E127" s="87">
        <f>IF(E36=0,0,1000000*E36/TrRoad_act!E76)</f>
        <v>6857.6710679489815</v>
      </c>
      <c r="F127" s="87">
        <f>IF(F36=0,0,1000000*F36/TrRoad_act!F76)</f>
        <v>7135.3239097571895</v>
      </c>
      <c r="G127" s="87">
        <f>IF(G36=0,0,1000000*G36/TrRoad_act!G76)</f>
        <v>7149.1592964485544</v>
      </c>
      <c r="H127" s="87">
        <f>IF(H36=0,0,1000000*H36/TrRoad_act!H76)</f>
        <v>6204.576684170469</v>
      </c>
      <c r="I127" s="87">
        <f>IF(I36=0,0,1000000*I36/TrRoad_act!I76)</f>
        <v>6627.8528905763969</v>
      </c>
      <c r="J127" s="87">
        <f>IF(J36=0,0,1000000*J36/TrRoad_act!J76)</f>
        <v>5988.4253323256771</v>
      </c>
      <c r="K127" s="87">
        <f>IF(K36=0,0,1000000*K36/TrRoad_act!K76)</f>
        <v>5184.6910705036289</v>
      </c>
      <c r="L127" s="87">
        <f>IF(L36=0,0,1000000*L36/TrRoad_act!L76)</f>
        <v>5939.4663294677175</v>
      </c>
      <c r="M127" s="87">
        <f>IF(M36=0,0,1000000*M36/TrRoad_act!M76)</f>
        <v>6194.4240520688136</v>
      </c>
      <c r="N127" s="87">
        <f>IF(N36=0,0,1000000*N36/TrRoad_act!N76)</f>
        <v>5818.653704058479</v>
      </c>
      <c r="O127" s="87">
        <f>IF(O36=0,0,1000000*O36/TrRoad_act!O76)</f>
        <v>5722.9863522062669</v>
      </c>
      <c r="P127" s="87">
        <f>IF(P36=0,0,1000000*P36/TrRoad_act!P76)</f>
        <v>5872.7439014272586</v>
      </c>
      <c r="Q127" s="87">
        <f>IF(Q36=0,0,1000000*Q36/TrRoad_act!Q76)</f>
        <v>5477.8725190091527</v>
      </c>
      <c r="R127" s="87">
        <f>IF(R36=0,0,1000000*R36/TrRoad_act!R76)</f>
        <v>6320.6001874713156</v>
      </c>
      <c r="S127" s="87">
        <f>IF(S36=0,0,1000000*S36/TrRoad_act!S76)</f>
        <v>6981.0807818010089</v>
      </c>
      <c r="T127" s="87">
        <f>IF(T36=0,0,1000000*T36/TrRoad_act!T76)</f>
        <v>6996.304460914128</v>
      </c>
      <c r="U127" s="87">
        <f>IF(U36=0,0,1000000*U36/TrRoad_act!U76)</f>
        <v>6918.366010282989</v>
      </c>
      <c r="V127" s="87">
        <f>IF(V36=0,0,1000000*V36/TrRoad_act!V76)</f>
        <v>7126.6887980499632</v>
      </c>
      <c r="W127" s="87">
        <f>IF(W36=0,0,1000000*W36/TrRoad_act!W76)</f>
        <v>6726.6766029341679</v>
      </c>
      <c r="X127" s="87">
        <f>IF(X36=0,0,1000000*X36/TrRoad_act!X76)</f>
        <v>7076.9280364802662</v>
      </c>
      <c r="Y127" s="87">
        <f>IF(Y36=0,0,1000000*Y36/TrRoad_act!Y76)</f>
        <v>7388.2444919717273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3035.0797122312201</v>
      </c>
      <c r="O128" s="87">
        <f>IF(O37=0,0,1000000*O37/TrRoad_act!O77)</f>
        <v>2494.7724937985449</v>
      </c>
      <c r="P128" s="87">
        <f>IF(P37=0,0,1000000*P37/TrRoad_act!P77)</f>
        <v>3676.7983041465768</v>
      </c>
      <c r="Q128" s="87">
        <f>IF(Q37=0,0,1000000*Q37/TrRoad_act!Q77)</f>
        <v>3747.912208312257</v>
      </c>
      <c r="R128" s="87">
        <f>IF(R37=0,0,1000000*R37/TrRoad_act!R77)</f>
        <v>3745.0810031551327</v>
      </c>
      <c r="S128" s="87">
        <f>IF(S37=0,0,1000000*S37/TrRoad_act!S77)</f>
        <v>3713.0922621504742</v>
      </c>
      <c r="T128" s="87">
        <f>IF(T37=0,0,1000000*T37/TrRoad_act!T77)</f>
        <v>3650.2055230724909</v>
      </c>
      <c r="U128" s="87">
        <f>IF(U37=0,0,1000000*U37/TrRoad_act!U77)</f>
        <v>3573.9889868621281</v>
      </c>
      <c r="V128" s="87">
        <f>IF(V37=0,0,1000000*V37/TrRoad_act!V77)</f>
        <v>3543.7935816450508</v>
      </c>
      <c r="W128" s="87">
        <f>IF(W37=0,0,1000000*W37/TrRoad_act!W77)</f>
        <v>3534.3854951988301</v>
      </c>
      <c r="X128" s="87">
        <f>IF(X37=0,0,1000000*X37/TrRoad_act!X77)</f>
        <v>3525.5242404388164</v>
      </c>
      <c r="Y128" s="87">
        <f>IF(Y37=0,0,1000000*Y37/TrRoad_act!Y77)</f>
        <v>3522.4222943552786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2944.6802885837797</v>
      </c>
      <c r="O129" s="87">
        <f>IF(O38=0,0,1000000*O38/TrRoad_act!O78)</f>
        <v>3089.9059371110943</v>
      </c>
      <c r="P129" s="87">
        <f>IF(P38=0,0,1000000*P38/TrRoad_act!P78)</f>
        <v>3072.308054662185</v>
      </c>
      <c r="Q129" s="87">
        <f>IF(Q38=0,0,1000000*Q38/TrRoad_act!Q78)</f>
        <v>2895.9775128936617</v>
      </c>
      <c r="R129" s="87">
        <f>IF(R38=0,0,1000000*R38/TrRoad_act!R78)</f>
        <v>4341.7386184951192</v>
      </c>
      <c r="S129" s="87">
        <f>IF(S38=0,0,1000000*S38/TrRoad_act!S78)</f>
        <v>4282.4619791973746</v>
      </c>
      <c r="T129" s="87">
        <f>IF(T38=0,0,1000000*T38/TrRoad_act!T78)</f>
        <v>4017.0110687478027</v>
      </c>
      <c r="U129" s="87">
        <f>IF(U38=0,0,1000000*U38/TrRoad_act!U78)</f>
        <v>4024.0682788028007</v>
      </c>
      <c r="V129" s="87">
        <f>IF(V38=0,0,1000000*V38/TrRoad_act!V78)</f>
        <v>4820.0873454746297</v>
      </c>
      <c r="W129" s="87">
        <f>IF(W38=0,0,1000000*W38/TrRoad_act!W78)</f>
        <v>4710.3141125593829</v>
      </c>
      <c r="X129" s="87">
        <f>IF(X38=0,0,1000000*X38/TrRoad_act!X78)</f>
        <v>5030.8535569810447</v>
      </c>
      <c r="Y129" s="87">
        <f>IF(Y38=0,0,1000000*Y38/TrRoad_act!Y78)</f>
        <v>4551.374217765414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58828.820111598849</v>
      </c>
      <c r="C131" s="116">
        <f>IF(C40=0,0,1000000*C40/TrRoad_act!C80)</f>
        <v>41760.893003914876</v>
      </c>
      <c r="D131" s="116">
        <f>IF(D40=0,0,1000000*D40/TrRoad_act!D80)</f>
        <v>47751.770280455727</v>
      </c>
      <c r="E131" s="116">
        <f>IF(E40=0,0,1000000*E40/TrRoad_act!E80)</f>
        <v>22988.188824061319</v>
      </c>
      <c r="F131" s="116">
        <f>IF(F40=0,0,1000000*F40/TrRoad_act!F80)</f>
        <v>38246.490953180939</v>
      </c>
      <c r="G131" s="116">
        <f>IF(G40=0,0,1000000*G40/TrRoad_act!G80)</f>
        <v>40068.484010520304</v>
      </c>
      <c r="H131" s="116">
        <f>IF(H40=0,0,1000000*H40/TrRoad_act!H80)</f>
        <v>34466.589757808026</v>
      </c>
      <c r="I131" s="116">
        <f>IF(I40=0,0,1000000*I40/TrRoad_act!I80)</f>
        <v>32967.098890905014</v>
      </c>
      <c r="J131" s="116">
        <f>IF(J40=0,0,1000000*J40/TrRoad_act!J80)</f>
        <v>27770.99070999783</v>
      </c>
      <c r="K131" s="116">
        <f>IF(K40=0,0,1000000*K40/TrRoad_act!K80)</f>
        <v>19991.731384007235</v>
      </c>
      <c r="L131" s="116">
        <f>IF(L40=0,0,1000000*L40/TrRoad_act!L80)</f>
        <v>27443.10635176249</v>
      </c>
      <c r="M131" s="116">
        <f>IF(M40=0,0,1000000*M40/TrRoad_act!M80)</f>
        <v>25178.006896475097</v>
      </c>
      <c r="N131" s="116">
        <f>IF(N40=0,0,1000000*N40/TrRoad_act!N80)</f>
        <v>24141.039866992971</v>
      </c>
      <c r="O131" s="116">
        <f>IF(O40=0,0,1000000*O40/TrRoad_act!O80)</f>
        <v>20304.675890993552</v>
      </c>
      <c r="P131" s="116">
        <f>IF(P40=0,0,1000000*P40/TrRoad_act!P80)</f>
        <v>16755.950581626788</v>
      </c>
      <c r="Q131" s="116">
        <f>IF(Q40=0,0,1000000*Q40/TrRoad_act!Q80)</f>
        <v>16730.962841630619</v>
      </c>
      <c r="R131" s="116">
        <f>IF(R40=0,0,1000000*R40/TrRoad_act!R80)</f>
        <v>19397.978322186278</v>
      </c>
      <c r="S131" s="116">
        <f>IF(S40=0,0,1000000*S40/TrRoad_act!S80)</f>
        <v>24621.019129842785</v>
      </c>
      <c r="T131" s="116">
        <f>IF(T40=0,0,1000000*T40/TrRoad_act!T80)</f>
        <v>26035.626672534974</v>
      </c>
      <c r="U131" s="116">
        <f>IF(U40=0,0,1000000*U40/TrRoad_act!U80)</f>
        <v>23372.923754964431</v>
      </c>
      <c r="V131" s="116">
        <f>IF(V40=0,0,1000000*V40/TrRoad_act!V80)</f>
        <v>20896.517771146337</v>
      </c>
      <c r="W131" s="116">
        <f>IF(W40=0,0,1000000*W40/TrRoad_act!W80)</f>
        <v>24250.280215736333</v>
      </c>
      <c r="X131" s="116">
        <f>IF(X40=0,0,1000000*X40/TrRoad_act!X80)</f>
        <v>24330.065699808762</v>
      </c>
      <c r="Y131" s="116">
        <f>IF(Y40=0,0,1000000*Y40/TrRoad_act!Y80)</f>
        <v>21050.516370226665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43386.516432353616</v>
      </c>
      <c r="C132" s="101">
        <f>IF(C41=0,0,1000000*C41/TrRoad_act!C81)</f>
        <v>31089.981163910401</v>
      </c>
      <c r="D132" s="101">
        <f>IF(D41=0,0,1000000*D41/TrRoad_act!D81)</f>
        <v>30921.261794029106</v>
      </c>
      <c r="E132" s="101">
        <f>IF(E41=0,0,1000000*E41/TrRoad_act!E81)</f>
        <v>19960.609197866317</v>
      </c>
      <c r="F132" s="101">
        <f>IF(F41=0,0,1000000*F41/TrRoad_act!F81)</f>
        <v>33424.868620495676</v>
      </c>
      <c r="G132" s="101">
        <f>IF(G41=0,0,1000000*G41/TrRoad_act!G81)</f>
        <v>26959.067645151761</v>
      </c>
      <c r="H132" s="101">
        <f>IF(H41=0,0,1000000*H41/TrRoad_act!H81)</f>
        <v>21100.725614344221</v>
      </c>
      <c r="I132" s="101">
        <f>IF(I41=0,0,1000000*I41/TrRoad_act!I81)</f>
        <v>19473.242899343848</v>
      </c>
      <c r="J132" s="101">
        <f>IF(J41=0,0,1000000*J41/TrRoad_act!J81)</f>
        <v>17104.897464297759</v>
      </c>
      <c r="K132" s="101">
        <f>IF(K41=0,0,1000000*K41/TrRoad_act!K81)</f>
        <v>12617.434386136643</v>
      </c>
      <c r="L132" s="101">
        <f>IF(L41=0,0,1000000*L41/TrRoad_act!L81)</f>
        <v>16576.636369867731</v>
      </c>
      <c r="M132" s="101">
        <f>IF(M41=0,0,1000000*M41/TrRoad_act!M81)</f>
        <v>15621.987225368768</v>
      </c>
      <c r="N132" s="101">
        <f>IF(N41=0,0,1000000*N41/TrRoad_act!N81)</f>
        <v>14676.618717792935</v>
      </c>
      <c r="O132" s="101">
        <f>IF(O41=0,0,1000000*O41/TrRoad_act!O81)</f>
        <v>11318.036408274598</v>
      </c>
      <c r="P132" s="101">
        <f>IF(P41=0,0,1000000*P41/TrRoad_act!P81)</f>
        <v>9995.1921887975368</v>
      </c>
      <c r="Q132" s="101">
        <f>IF(Q41=0,0,1000000*Q41/TrRoad_act!Q81)</f>
        <v>9699.8639515581235</v>
      </c>
      <c r="R132" s="101">
        <f>IF(R41=0,0,1000000*R41/TrRoad_act!R81)</f>
        <v>10838.84093873414</v>
      </c>
      <c r="S132" s="101">
        <f>IF(S41=0,0,1000000*S41/TrRoad_act!S81)</f>
        <v>11648.555599916735</v>
      </c>
      <c r="T132" s="101">
        <f>IF(T41=0,0,1000000*T41/TrRoad_act!T81)</f>
        <v>11663.785097427473</v>
      </c>
      <c r="U132" s="101">
        <f>IF(U41=0,0,1000000*U41/TrRoad_act!U81)</f>
        <v>11426.432196078977</v>
      </c>
      <c r="V132" s="101">
        <f>IF(V41=0,0,1000000*V41/TrRoad_act!V81)</f>
        <v>10647.543842922534</v>
      </c>
      <c r="W132" s="101">
        <f>IF(W41=0,0,1000000*W41/TrRoad_act!W81)</f>
        <v>11091.481646768971</v>
      </c>
      <c r="X132" s="101">
        <f>IF(X41=0,0,1000000*X41/TrRoad_act!X81)</f>
        <v>11533.409701828736</v>
      </c>
      <c r="Y132" s="101">
        <f>IF(Y41=0,0,1000000*Y41/TrRoad_act!Y81)</f>
        <v>10542.336831577737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101456.34286204098</v>
      </c>
      <c r="C133" s="88">
        <f>IF(C42=0,0,1000000*C42/TrRoad_act!C82)</f>
        <v>80370.997254885413</v>
      </c>
      <c r="D133" s="88">
        <f>IF(D42=0,0,1000000*D42/TrRoad_act!D82)</f>
        <v>146743.34719728411</v>
      </c>
      <c r="E133" s="88">
        <f>IF(E42=0,0,1000000*E42/TrRoad_act!E82)</f>
        <v>48833.599939931963</v>
      </c>
      <c r="F133" s="88">
        <f>IF(F42=0,0,1000000*F42/TrRoad_act!F82)</f>
        <v>61405.531085393282</v>
      </c>
      <c r="G133" s="88">
        <f>IF(G42=0,0,1000000*G42/TrRoad_act!G82)</f>
        <v>126795.98320944124</v>
      </c>
      <c r="H133" s="88">
        <f>IF(H42=0,0,1000000*H42/TrRoad_act!H82)</f>
        <v>156339.61325907611</v>
      </c>
      <c r="I133" s="88">
        <f>IF(I42=0,0,1000000*I42/TrRoad_act!I82)</f>
        <v>147894.88372812196</v>
      </c>
      <c r="J133" s="88">
        <f>IF(J42=0,0,1000000*J42/TrRoad_act!J82)</f>
        <v>159713.26443607875</v>
      </c>
      <c r="K133" s="88">
        <f>IF(K42=0,0,1000000*K42/TrRoad_act!K82)</f>
        <v>123142.82096637617</v>
      </c>
      <c r="L133" s="88">
        <f>IF(L42=0,0,1000000*L42/TrRoad_act!L82)</f>
        <v>180069.42648405168</v>
      </c>
      <c r="M133" s="88">
        <f>IF(M42=0,0,1000000*M42/TrRoad_act!M82)</f>
        <v>154378.97737554053</v>
      </c>
      <c r="N133" s="88">
        <f>IF(N42=0,0,1000000*N42/TrRoad_act!N82)</f>
        <v>149812.20350144728</v>
      </c>
      <c r="O133" s="88">
        <f>IF(O42=0,0,1000000*O42/TrRoad_act!O82)</f>
        <v>158770.03620005844</v>
      </c>
      <c r="P133" s="88">
        <f>IF(P42=0,0,1000000*P42/TrRoad_act!P82)</f>
        <v>142045.79356926322</v>
      </c>
      <c r="Q133" s="88">
        <f>IF(Q42=0,0,1000000*Q42/TrRoad_act!Q82)</f>
        <v>125947.23600719134</v>
      </c>
      <c r="R133" s="88">
        <f>IF(R42=0,0,1000000*R42/TrRoad_act!R82)</f>
        <v>157528.94993230753</v>
      </c>
      <c r="S133" s="88">
        <f>IF(S42=0,0,1000000*S42/TrRoad_act!S82)</f>
        <v>228142.12895793605</v>
      </c>
      <c r="T133" s="88">
        <f>IF(T42=0,0,1000000*T42/TrRoad_act!T82)</f>
        <v>244812.15517080997</v>
      </c>
      <c r="U133" s="88">
        <f>IF(U42=0,0,1000000*U42/TrRoad_act!U82)</f>
        <v>218499.86286301</v>
      </c>
      <c r="V133" s="88">
        <f>IF(V42=0,0,1000000*V42/TrRoad_act!V82)</f>
        <v>195412.79570457715</v>
      </c>
      <c r="W133" s="88">
        <f>IF(W42=0,0,1000000*W42/TrRoad_act!W82)</f>
        <v>238212.62174786348</v>
      </c>
      <c r="X133" s="88">
        <f>IF(X42=0,0,1000000*X42/TrRoad_act!X82)</f>
        <v>218008.4390111801</v>
      </c>
      <c r="Y133" s="88">
        <f>IF(Y42=0,0,1000000*Y42/TrRoad_act!Y82)</f>
        <v>199887.48252949084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0.7019222108930584</v>
      </c>
      <c r="C136" s="46">
        <f t="shared" si="40"/>
        <v>0.71139525621229416</v>
      </c>
      <c r="D136" s="46">
        <f t="shared" si="40"/>
        <v>0.65315984991006293</v>
      </c>
      <c r="E136" s="46">
        <f t="shared" si="40"/>
        <v>0.69991197575790898</v>
      </c>
      <c r="F136" s="46">
        <f t="shared" si="40"/>
        <v>0.65644945797377852</v>
      </c>
      <c r="G136" s="46">
        <f t="shared" si="40"/>
        <v>0.60580319026419316</v>
      </c>
      <c r="H136" s="46">
        <f t="shared" si="40"/>
        <v>0.5760328544047858</v>
      </c>
      <c r="I136" s="46">
        <f t="shared" si="40"/>
        <v>0.55650792847002017</v>
      </c>
      <c r="J136" s="46">
        <f t="shared" si="40"/>
        <v>0.5395794461686283</v>
      </c>
      <c r="K136" s="46">
        <f t="shared" si="40"/>
        <v>0.56499791271085076</v>
      </c>
      <c r="L136" s="46">
        <f t="shared" si="41"/>
        <v>0.49378948963412428</v>
      </c>
      <c r="M136" s="46">
        <f t="shared" si="40"/>
        <v>0.49399715103938768</v>
      </c>
      <c r="N136" s="46">
        <f t="shared" si="40"/>
        <v>0.4980919592604785</v>
      </c>
      <c r="O136" s="46">
        <f t="shared" si="40"/>
        <v>0.49850061100016124</v>
      </c>
      <c r="P136" s="46">
        <f t="shared" si="40"/>
        <v>0.50030944384132858</v>
      </c>
      <c r="Q136" s="46">
        <f t="shared" si="40"/>
        <v>0.50969414413436887</v>
      </c>
      <c r="R136" s="46">
        <f t="shared" si="40"/>
        <v>0.46386073894011454</v>
      </c>
      <c r="S136" s="46">
        <f t="shared" si="40"/>
        <v>0.41042158632999176</v>
      </c>
      <c r="T136" s="46">
        <f t="shared" si="40"/>
        <v>0.40182127667168538</v>
      </c>
      <c r="U136" s="46">
        <f t="shared" si="40"/>
        <v>0.39826245865690535</v>
      </c>
      <c r="V136" s="46">
        <f t="shared" si="40"/>
        <v>0.39376179272237111</v>
      </c>
      <c r="W136" s="46">
        <f t="shared" si="42"/>
        <v>0.38127298095329137</v>
      </c>
      <c r="X136" s="46">
        <f t="shared" si="42"/>
        <v>0.38420934183065875</v>
      </c>
      <c r="Y136" s="46">
        <f t="shared" si="42"/>
        <v>0.4065495770309529</v>
      </c>
      <c r="DA136" s="211"/>
    </row>
    <row r="137" spans="1:105" ht="11.45" customHeight="1" x14ac:dyDescent="0.25">
      <c r="A137" s="153" t="s">
        <v>173</v>
      </c>
      <c r="B137" s="154">
        <f t="shared" si="40"/>
        <v>1.4766712059792486E-3</v>
      </c>
      <c r="C137" s="154">
        <f t="shared" si="40"/>
        <v>1.5622814296886963E-3</v>
      </c>
      <c r="D137" s="154">
        <f t="shared" si="40"/>
        <v>1.081711573074594E-3</v>
      </c>
      <c r="E137" s="154">
        <f t="shared" si="40"/>
        <v>1.2235509507199011E-3</v>
      </c>
      <c r="F137" s="154">
        <f t="shared" si="40"/>
        <v>1.299450709169606E-3</v>
      </c>
      <c r="G137" s="154">
        <f t="shared" si="40"/>
        <v>1.2673379857383777E-3</v>
      </c>
      <c r="H137" s="154">
        <f t="shared" si="40"/>
        <v>1.2905426765563038E-3</v>
      </c>
      <c r="I137" s="154">
        <f t="shared" si="40"/>
        <v>1.2618290862173151E-3</v>
      </c>
      <c r="J137" s="154">
        <f t="shared" si="40"/>
        <v>1.2772438444263539E-3</v>
      </c>
      <c r="K137" s="154">
        <f t="shared" si="40"/>
        <v>1.2244359048452875E-3</v>
      </c>
      <c r="L137" s="154">
        <f t="shared" si="41"/>
        <v>9.6501904077138725E-4</v>
      </c>
      <c r="M137" s="154">
        <f t="shared" si="40"/>
        <v>1.1929073686970072E-3</v>
      </c>
      <c r="N137" s="154">
        <f t="shared" si="40"/>
        <v>1.4371618591927258E-3</v>
      </c>
      <c r="O137" s="154">
        <f t="shared" si="40"/>
        <v>1.4696636705313986E-3</v>
      </c>
      <c r="P137" s="154">
        <f t="shared" si="40"/>
        <v>1.6468316870320518E-3</v>
      </c>
      <c r="Q137" s="154">
        <f t="shared" si="40"/>
        <v>1.8542305172463069E-3</v>
      </c>
      <c r="R137" s="154">
        <f t="shared" si="40"/>
        <v>1.7884386172911475E-3</v>
      </c>
      <c r="S137" s="154">
        <f t="shared" si="40"/>
        <v>1.4471083649022463E-3</v>
      </c>
      <c r="T137" s="154">
        <f t="shared" si="40"/>
        <v>1.3902365642044208E-3</v>
      </c>
      <c r="U137" s="154">
        <f t="shared" si="40"/>
        <v>1.4795312552438144E-3</v>
      </c>
      <c r="V137" s="154">
        <f t="shared" si="40"/>
        <v>1.4260924571731994E-3</v>
      </c>
      <c r="W137" s="154">
        <f t="shared" si="42"/>
        <v>1.4019538600362239E-3</v>
      </c>
      <c r="X137" s="154">
        <f t="shared" si="42"/>
        <v>1.384525138007334E-3</v>
      </c>
      <c r="Y137" s="154">
        <f t="shared" si="42"/>
        <v>1.4976203784515083E-3</v>
      </c>
      <c r="DA137" s="212"/>
    </row>
    <row r="138" spans="1:105" ht="11.45" customHeight="1" x14ac:dyDescent="0.25">
      <c r="A138" s="155" t="s">
        <v>20</v>
      </c>
      <c r="B138" s="156">
        <f t="shared" si="40"/>
        <v>0.55944744871640006</v>
      </c>
      <c r="C138" s="156">
        <f t="shared" si="40"/>
        <v>0.58028447982409714</v>
      </c>
      <c r="D138" s="156">
        <f t="shared" si="40"/>
        <v>0.54618971176552744</v>
      </c>
      <c r="E138" s="156">
        <f t="shared" si="40"/>
        <v>0.57866140858504678</v>
      </c>
      <c r="F138" s="156">
        <f t="shared" si="40"/>
        <v>0.5435258614136399</v>
      </c>
      <c r="G138" s="156">
        <f t="shared" si="40"/>
        <v>0.50965426103543399</v>
      </c>
      <c r="H138" s="156">
        <f t="shared" si="40"/>
        <v>0.48248427996771748</v>
      </c>
      <c r="I138" s="156">
        <f t="shared" si="40"/>
        <v>0.45516677958457069</v>
      </c>
      <c r="J138" s="156">
        <f t="shared" si="40"/>
        <v>0.44733079142546772</v>
      </c>
      <c r="K138" s="156">
        <f t="shared" si="40"/>
        <v>0.46964847153729439</v>
      </c>
      <c r="L138" s="156">
        <f t="shared" si="41"/>
        <v>0.41349431326503366</v>
      </c>
      <c r="M138" s="156">
        <f t="shared" si="40"/>
        <v>0.41779454658422815</v>
      </c>
      <c r="N138" s="156">
        <f t="shared" si="40"/>
        <v>0.41992406833372892</v>
      </c>
      <c r="O138" s="156">
        <f t="shared" si="40"/>
        <v>0.42264605296065583</v>
      </c>
      <c r="P138" s="156">
        <f t="shared" si="40"/>
        <v>0.42361593634138539</v>
      </c>
      <c r="Q138" s="156">
        <f t="shared" si="40"/>
        <v>0.43373216180152008</v>
      </c>
      <c r="R138" s="156">
        <f t="shared" si="40"/>
        <v>0.39803809378700405</v>
      </c>
      <c r="S138" s="156">
        <f t="shared" si="40"/>
        <v>0.34944993433036081</v>
      </c>
      <c r="T138" s="156">
        <f t="shared" si="40"/>
        <v>0.33892997433127409</v>
      </c>
      <c r="U138" s="156">
        <f t="shared" si="40"/>
        <v>0.33370649367140542</v>
      </c>
      <c r="V138" s="156">
        <f t="shared" si="40"/>
        <v>0.33432809248668222</v>
      </c>
      <c r="W138" s="156">
        <f t="shared" si="42"/>
        <v>0.32520632351910389</v>
      </c>
      <c r="X138" s="156">
        <f t="shared" si="42"/>
        <v>0.32623759751543546</v>
      </c>
      <c r="Y138" s="156">
        <f t="shared" si="42"/>
        <v>0.34773324754038393</v>
      </c>
      <c r="DA138" s="213"/>
    </row>
    <row r="139" spans="1:105" ht="11.45" customHeight="1" x14ac:dyDescent="0.25">
      <c r="A139" s="157" t="s">
        <v>110</v>
      </c>
      <c r="B139" s="103">
        <f t="shared" si="40"/>
        <v>0.40160263900682358</v>
      </c>
      <c r="C139" s="103">
        <f t="shared" si="40"/>
        <v>0.4241327173911858</v>
      </c>
      <c r="D139" s="103">
        <f t="shared" si="40"/>
        <v>0.40037251421099401</v>
      </c>
      <c r="E139" s="103">
        <f t="shared" si="40"/>
        <v>0.41085692866419066</v>
      </c>
      <c r="F139" s="103">
        <f t="shared" si="40"/>
        <v>0.36910786128035594</v>
      </c>
      <c r="G139" s="103">
        <f t="shared" si="40"/>
        <v>0.3480468503258996</v>
      </c>
      <c r="H139" s="103">
        <f t="shared" si="40"/>
        <v>0.32236546003739031</v>
      </c>
      <c r="I139" s="103">
        <f t="shared" si="40"/>
        <v>0.29601837719287216</v>
      </c>
      <c r="J139" s="103">
        <f t="shared" si="40"/>
        <v>0.29415411462897278</v>
      </c>
      <c r="K139" s="103">
        <f t="shared" si="40"/>
        <v>0.29554499789696781</v>
      </c>
      <c r="L139" s="103">
        <f t="shared" si="41"/>
        <v>0.25647859239077769</v>
      </c>
      <c r="M139" s="103">
        <f t="shared" si="40"/>
        <v>0.24680845369648102</v>
      </c>
      <c r="N139" s="103">
        <f t="shared" si="40"/>
        <v>0.24593999560730839</v>
      </c>
      <c r="O139" s="103">
        <f t="shared" si="40"/>
        <v>0.25046525381271978</v>
      </c>
      <c r="P139" s="103">
        <f t="shared" si="40"/>
        <v>0.2531450350561123</v>
      </c>
      <c r="Q139" s="103">
        <f t="shared" si="40"/>
        <v>0.26458737512448782</v>
      </c>
      <c r="R139" s="103">
        <f t="shared" si="40"/>
        <v>0.24897688106138313</v>
      </c>
      <c r="S139" s="103">
        <f t="shared" si="40"/>
        <v>0.21682465416558708</v>
      </c>
      <c r="T139" s="103">
        <f t="shared" si="40"/>
        <v>0.20320441054264665</v>
      </c>
      <c r="U139" s="103">
        <f t="shared" si="40"/>
        <v>0.19815386700403795</v>
      </c>
      <c r="V139" s="103">
        <f t="shared" si="40"/>
        <v>0.1965545081334997</v>
      </c>
      <c r="W139" s="103">
        <f t="shared" si="42"/>
        <v>0.18856564985815011</v>
      </c>
      <c r="X139" s="103">
        <f t="shared" si="42"/>
        <v>0.19349704964518405</v>
      </c>
      <c r="Y139" s="103">
        <f t="shared" si="42"/>
        <v>0.21257913669907197</v>
      </c>
      <c r="DA139" s="191"/>
    </row>
    <row r="140" spans="1:105" ht="11.45" customHeight="1" x14ac:dyDescent="0.25">
      <c r="A140" s="157" t="s">
        <v>111</v>
      </c>
      <c r="B140" s="103">
        <f t="shared" si="40"/>
        <v>0.15784480970957648</v>
      </c>
      <c r="C140" s="103">
        <f t="shared" si="40"/>
        <v>0.15431207118690499</v>
      </c>
      <c r="D140" s="103">
        <f t="shared" si="40"/>
        <v>0.1451950723905806</v>
      </c>
      <c r="E140" s="103">
        <f t="shared" si="40"/>
        <v>0.16576287403399384</v>
      </c>
      <c r="F140" s="103">
        <f t="shared" si="40"/>
        <v>0.17133964660075571</v>
      </c>
      <c r="G140" s="103">
        <f t="shared" si="40"/>
        <v>0.15735843068343175</v>
      </c>
      <c r="H140" s="103">
        <f t="shared" si="40"/>
        <v>0.15743608387622005</v>
      </c>
      <c r="I140" s="103">
        <f t="shared" si="40"/>
        <v>0.15107531978465866</v>
      </c>
      <c r="J140" s="103">
        <f t="shared" si="40"/>
        <v>0.1495382691604554</v>
      </c>
      <c r="K140" s="103">
        <f t="shared" si="40"/>
        <v>0.17008021861335207</v>
      </c>
      <c r="L140" s="103">
        <f t="shared" si="41"/>
        <v>0.15236988111071531</v>
      </c>
      <c r="M140" s="103">
        <f t="shared" si="40"/>
        <v>0.1530154721434481</v>
      </c>
      <c r="N140" s="103">
        <f t="shared" si="40"/>
        <v>0.15519510491928964</v>
      </c>
      <c r="O140" s="103">
        <f t="shared" si="40"/>
        <v>0.15302413730407935</v>
      </c>
      <c r="P140" s="103">
        <f t="shared" si="40"/>
        <v>0.15350024621630345</v>
      </c>
      <c r="Q140" s="103">
        <f t="shared" si="40"/>
        <v>0.15030061472593315</v>
      </c>
      <c r="R140" s="103">
        <f t="shared" si="40"/>
        <v>0.13348300949699371</v>
      </c>
      <c r="S140" s="103">
        <f t="shared" si="40"/>
        <v>0.12024395062147814</v>
      </c>
      <c r="T140" s="103">
        <f t="shared" si="40"/>
        <v>0.1231022247077467</v>
      </c>
      <c r="U140" s="103">
        <f t="shared" si="40"/>
        <v>0.12324481982640809</v>
      </c>
      <c r="V140" s="103">
        <f t="shared" si="40"/>
        <v>0.12491746538548586</v>
      </c>
      <c r="W140" s="103">
        <f t="shared" si="42"/>
        <v>0.12333018726614049</v>
      </c>
      <c r="X140" s="103">
        <f t="shared" si="42"/>
        <v>0.11963668000658978</v>
      </c>
      <c r="Y140" s="103">
        <f t="shared" si="42"/>
        <v>0.12146871173283273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5.7544920774737867E-4</v>
      </c>
      <c r="H141" s="103">
        <f t="shared" si="40"/>
        <v>5.6600122281485002E-4</v>
      </c>
      <c r="I141" s="103">
        <f t="shared" si="40"/>
        <v>5.1483497543585756E-4</v>
      </c>
      <c r="J141" s="103">
        <f t="shared" si="40"/>
        <v>4.8141689846763457E-4</v>
      </c>
      <c r="K141" s="103">
        <f t="shared" si="40"/>
        <v>5.4232356875740179E-4</v>
      </c>
      <c r="L141" s="103">
        <f t="shared" si="41"/>
        <v>9.3227646670287795E-4</v>
      </c>
      <c r="M141" s="103">
        <f t="shared" si="40"/>
        <v>1.3799051676695149E-2</v>
      </c>
      <c r="N141" s="103">
        <f t="shared" si="40"/>
        <v>1.5185916482619887E-2</v>
      </c>
      <c r="O141" s="103">
        <f t="shared" si="40"/>
        <v>1.6248685013491922E-2</v>
      </c>
      <c r="P141" s="103">
        <f t="shared" si="40"/>
        <v>1.3498240954557815E-2</v>
      </c>
      <c r="Q141" s="103">
        <f t="shared" si="40"/>
        <v>1.5682616903626448E-2</v>
      </c>
      <c r="R141" s="103">
        <f t="shared" si="40"/>
        <v>1.3479658471291175E-2</v>
      </c>
      <c r="S141" s="103">
        <f t="shared" si="40"/>
        <v>1.0750106411970542E-2</v>
      </c>
      <c r="T141" s="103">
        <f t="shared" si="40"/>
        <v>1.1143288414306715E-2</v>
      </c>
      <c r="U141" s="103">
        <f t="shared" si="40"/>
        <v>1.1130549798896376E-2</v>
      </c>
      <c r="V141" s="103">
        <f t="shared" si="40"/>
        <v>1.16435058680274E-2</v>
      </c>
      <c r="W141" s="103">
        <f t="shared" si="42"/>
        <v>1.2181926935201195E-2</v>
      </c>
      <c r="X141" s="103">
        <f t="shared" si="42"/>
        <v>1.1852564429304272E-2</v>
      </c>
      <c r="Y141" s="103">
        <f t="shared" si="42"/>
        <v>1.2400472470146391E-2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1.8396912460063204E-3</v>
      </c>
      <c r="D142" s="103">
        <f t="shared" si="40"/>
        <v>6.2212516395281211E-4</v>
      </c>
      <c r="E142" s="103">
        <f t="shared" si="40"/>
        <v>2.0416058868623485E-3</v>
      </c>
      <c r="F142" s="103">
        <f t="shared" si="40"/>
        <v>3.0783535325281824E-3</v>
      </c>
      <c r="G142" s="103">
        <f t="shared" si="40"/>
        <v>3.6735308183552346E-3</v>
      </c>
      <c r="H142" s="103">
        <f t="shared" si="40"/>
        <v>2.1167348312922558E-3</v>
      </c>
      <c r="I142" s="103">
        <f t="shared" si="40"/>
        <v>7.5582476316040812E-3</v>
      </c>
      <c r="J142" s="103">
        <f t="shared" si="40"/>
        <v>3.1569907375719733E-3</v>
      </c>
      <c r="K142" s="103">
        <f t="shared" si="40"/>
        <v>3.4809314582171444E-3</v>
      </c>
      <c r="L142" s="103">
        <f t="shared" si="41"/>
        <v>3.7135632968378208E-3</v>
      </c>
      <c r="M142" s="103">
        <f t="shared" si="40"/>
        <v>4.1715690676038504E-3</v>
      </c>
      <c r="N142" s="103">
        <f t="shared" si="40"/>
        <v>3.6028073246777122E-3</v>
      </c>
      <c r="O142" s="103">
        <f t="shared" si="40"/>
        <v>2.9077260343349839E-3</v>
      </c>
      <c r="P142" s="103">
        <f t="shared" si="40"/>
        <v>3.4690224902592798E-3</v>
      </c>
      <c r="Q142" s="103">
        <f t="shared" si="40"/>
        <v>3.1557671487618885E-3</v>
      </c>
      <c r="R142" s="103">
        <f t="shared" si="40"/>
        <v>2.083150384651687E-3</v>
      </c>
      <c r="S142" s="103">
        <f t="shared" si="40"/>
        <v>1.5992873830887469E-3</v>
      </c>
      <c r="T142" s="103">
        <f t="shared" si="40"/>
        <v>1.4378930078563876E-3</v>
      </c>
      <c r="U142" s="103">
        <f t="shared" si="40"/>
        <v>1.1280315909405873E-3</v>
      </c>
      <c r="V142" s="103">
        <f t="shared" si="40"/>
        <v>1.1344063043831135E-3</v>
      </c>
      <c r="W142" s="103">
        <f t="shared" si="42"/>
        <v>1.0350782311113532E-3</v>
      </c>
      <c r="X142" s="103">
        <f t="shared" si="42"/>
        <v>1.1208674954741404E-3</v>
      </c>
      <c r="Y142" s="103">
        <f t="shared" si="42"/>
        <v>1.0687395396393091E-3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2.4399983321790541E-7</v>
      </c>
      <c r="O143" s="103">
        <f t="shared" si="40"/>
        <v>2.5079602986266467E-7</v>
      </c>
      <c r="P143" s="103">
        <f t="shared" si="40"/>
        <v>3.3916241525912466E-6</v>
      </c>
      <c r="Q143" s="103">
        <f t="shared" si="40"/>
        <v>5.7878987106895296E-6</v>
      </c>
      <c r="R143" s="103">
        <f t="shared" si="40"/>
        <v>1.5394372684353029E-5</v>
      </c>
      <c r="S143" s="103">
        <f t="shared" si="40"/>
        <v>3.1935748236312297E-5</v>
      </c>
      <c r="T143" s="103">
        <f t="shared" si="40"/>
        <v>4.2157658717597751E-5</v>
      </c>
      <c r="U143" s="103">
        <f t="shared" si="40"/>
        <v>4.9225451122422218E-5</v>
      </c>
      <c r="V143" s="103">
        <f t="shared" si="40"/>
        <v>7.8206795286145779E-5</v>
      </c>
      <c r="W143" s="103">
        <f t="shared" si="42"/>
        <v>9.3481228500741923E-5</v>
      </c>
      <c r="X143" s="103">
        <f t="shared" si="42"/>
        <v>1.304359388832653E-4</v>
      </c>
      <c r="Y143" s="103">
        <f t="shared" si="42"/>
        <v>2.1618709869353334E-4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0.14099809097067909</v>
      </c>
      <c r="C145" s="156">
        <f t="shared" si="40"/>
        <v>0.12954849495850831</v>
      </c>
      <c r="D145" s="156">
        <f t="shared" si="40"/>
        <v>0.105888426571461</v>
      </c>
      <c r="E145" s="156">
        <f t="shared" si="40"/>
        <v>0.12002701622214229</v>
      </c>
      <c r="F145" s="156">
        <f t="shared" si="40"/>
        <v>0.11162414585096905</v>
      </c>
      <c r="G145" s="156">
        <f t="shared" si="40"/>
        <v>9.4881591243020771E-2</v>
      </c>
      <c r="H145" s="156">
        <f t="shared" si="40"/>
        <v>9.2258031760512074E-2</v>
      </c>
      <c r="I145" s="156">
        <f t="shared" si="40"/>
        <v>0.10007931979923218</v>
      </c>
      <c r="J145" s="156">
        <f t="shared" si="40"/>
        <v>9.0971410898734256E-2</v>
      </c>
      <c r="K145" s="156">
        <f t="shared" si="40"/>
        <v>9.4125005268711093E-2</v>
      </c>
      <c r="L145" s="156">
        <f t="shared" si="41"/>
        <v>7.9330157328319217E-2</v>
      </c>
      <c r="M145" s="156">
        <f t="shared" si="40"/>
        <v>7.500969708646256E-2</v>
      </c>
      <c r="N145" s="156">
        <f t="shared" si="40"/>
        <v>7.6730729067556888E-2</v>
      </c>
      <c r="O145" s="156">
        <f t="shared" si="40"/>
        <v>7.4384894368973997E-2</v>
      </c>
      <c r="P145" s="156">
        <f t="shared" si="40"/>
        <v>7.5046675812911079E-2</v>
      </c>
      <c r="Q145" s="156">
        <f t="shared" si="40"/>
        <v>7.410775181560246E-2</v>
      </c>
      <c r="R145" s="156">
        <f t="shared" si="40"/>
        <v>6.4034206535819344E-2</v>
      </c>
      <c r="S145" s="156">
        <f t="shared" si="40"/>
        <v>5.9524543634728672E-2</v>
      </c>
      <c r="T145" s="156">
        <f t="shared" si="40"/>
        <v>6.1501065776206842E-2</v>
      </c>
      <c r="U145" s="156">
        <f t="shared" si="40"/>
        <v>6.3076433730256121E-2</v>
      </c>
      <c r="V145" s="156">
        <f t="shared" si="40"/>
        <v>5.8007607778515671E-2</v>
      </c>
      <c r="W145" s="156">
        <f t="shared" si="42"/>
        <v>5.4664703574151291E-2</v>
      </c>
      <c r="X145" s="156">
        <f t="shared" si="42"/>
        <v>5.6587219177215924E-2</v>
      </c>
      <c r="Y145" s="156">
        <f t="shared" si="42"/>
        <v>5.731870911211745E-2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X146" s="103">
        <f t="shared" si="42"/>
        <v>0</v>
      </c>
      <c r="Y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0.14099809097067909</v>
      </c>
      <c r="C147" s="103">
        <f t="shared" si="40"/>
        <v>0.12954849495850831</v>
      </c>
      <c r="D147" s="103">
        <f t="shared" si="40"/>
        <v>0.105888426571461</v>
      </c>
      <c r="E147" s="103">
        <f t="shared" si="40"/>
        <v>0.12002701622214229</v>
      </c>
      <c r="F147" s="103">
        <f t="shared" si="40"/>
        <v>0.11162414585096905</v>
      </c>
      <c r="G147" s="103">
        <f t="shared" si="40"/>
        <v>9.4881591243020771E-2</v>
      </c>
      <c r="H147" s="103">
        <f t="shared" si="40"/>
        <v>9.2258031760512074E-2</v>
      </c>
      <c r="I147" s="103">
        <f t="shared" si="40"/>
        <v>0.10007931979923218</v>
      </c>
      <c r="J147" s="103">
        <f t="shared" si="40"/>
        <v>9.0971410898734256E-2</v>
      </c>
      <c r="K147" s="103">
        <f t="shared" si="40"/>
        <v>9.4125005268711093E-2</v>
      </c>
      <c r="L147" s="103">
        <f t="shared" si="41"/>
        <v>7.9330157328319217E-2</v>
      </c>
      <c r="M147" s="103">
        <f t="shared" si="40"/>
        <v>7.500969708646256E-2</v>
      </c>
      <c r="N147" s="103">
        <f t="shared" si="40"/>
        <v>7.6730729067556888E-2</v>
      </c>
      <c r="O147" s="103">
        <f t="shared" si="40"/>
        <v>7.4384894368973997E-2</v>
      </c>
      <c r="P147" s="103">
        <f t="shared" si="40"/>
        <v>7.5046675812911079E-2</v>
      </c>
      <c r="Q147" s="103">
        <f t="shared" si="40"/>
        <v>7.410775181560246E-2</v>
      </c>
      <c r="R147" s="103">
        <f t="shared" ref="R147:V147" si="43">IF(R29=0,0,R29/R$17)</f>
        <v>6.3610885190318975E-2</v>
      </c>
      <c r="S147" s="103">
        <f t="shared" si="43"/>
        <v>5.8978598066213167E-2</v>
      </c>
      <c r="T147" s="103">
        <f t="shared" si="43"/>
        <v>6.1126831057516762E-2</v>
      </c>
      <c r="U147" s="103">
        <f t="shared" si="43"/>
        <v>6.2311601436958471E-2</v>
      </c>
      <c r="V147" s="103">
        <f t="shared" si="43"/>
        <v>5.6933837076563514E-2</v>
      </c>
      <c r="W147" s="103">
        <f t="shared" ref="W147:Y147" si="44">IF(W29=0,0,W29/W$17)</f>
        <v>5.3684193399190325E-2</v>
      </c>
      <c r="X147" s="103">
        <f t="shared" si="44"/>
        <v>5.5518583402582082E-2</v>
      </c>
      <c r="Y147" s="103">
        <f t="shared" si="44"/>
        <v>5.633388615345488E-2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4.2332134550037087E-4</v>
      </c>
      <c r="S149" s="103">
        <f t="shared" si="50"/>
        <v>5.459455685155087E-4</v>
      </c>
      <c r="T149" s="103">
        <f t="shared" si="50"/>
        <v>3.7423471869007944E-4</v>
      </c>
      <c r="U149" s="103">
        <f t="shared" si="50"/>
        <v>7.6483229329764627E-4</v>
      </c>
      <c r="V149" s="103">
        <f t="shared" si="50"/>
        <v>1.0737707019521654E-3</v>
      </c>
      <c r="W149" s="103">
        <f t="shared" ref="W149:Y149" si="51">IF(W31=0,0,W31/W$17)</f>
        <v>9.8051017496096084E-4</v>
      </c>
      <c r="X149" s="103">
        <f t="shared" si="51"/>
        <v>1.0686357746338485E-3</v>
      </c>
      <c r="Y149" s="103">
        <f t="shared" si="51"/>
        <v>9.8482295866256426E-4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0.29807778910694166</v>
      </c>
      <c r="C151" s="46">
        <f t="shared" si="55"/>
        <v>0.2886047437877059</v>
      </c>
      <c r="D151" s="46">
        <f t="shared" si="55"/>
        <v>0.34684015008993713</v>
      </c>
      <c r="E151" s="46">
        <f t="shared" si="55"/>
        <v>0.30008802424209102</v>
      </c>
      <c r="F151" s="46">
        <f t="shared" si="55"/>
        <v>0.34355054202622148</v>
      </c>
      <c r="G151" s="46">
        <f t="shared" si="55"/>
        <v>0.39419680973580673</v>
      </c>
      <c r="H151" s="46">
        <f t="shared" si="55"/>
        <v>0.42396714559521409</v>
      </c>
      <c r="I151" s="46">
        <f t="shared" si="55"/>
        <v>0.44349207152997977</v>
      </c>
      <c r="J151" s="46">
        <f t="shared" si="55"/>
        <v>0.4604205538313717</v>
      </c>
      <c r="K151" s="46">
        <f t="shared" si="55"/>
        <v>0.43500208728914924</v>
      </c>
      <c r="L151" s="46">
        <f t="shared" ref="L151" si="56">IF(L33=0,0,L33/L$17)</f>
        <v>0.50621051036587561</v>
      </c>
      <c r="M151" s="46">
        <f t="shared" ref="M151:V151" si="57">IF(M33=0,0,M33/M$17)</f>
        <v>0.50600284896061221</v>
      </c>
      <c r="N151" s="46">
        <f t="shared" si="57"/>
        <v>0.50190804073952155</v>
      </c>
      <c r="O151" s="46">
        <f t="shared" si="57"/>
        <v>0.50149938899983881</v>
      </c>
      <c r="P151" s="46">
        <f t="shared" si="57"/>
        <v>0.49969055615867153</v>
      </c>
      <c r="Q151" s="46">
        <f t="shared" si="57"/>
        <v>0.49030585586563108</v>
      </c>
      <c r="R151" s="46">
        <f t="shared" si="57"/>
        <v>0.53613926105988541</v>
      </c>
      <c r="S151" s="46">
        <f t="shared" si="57"/>
        <v>0.58957841367000829</v>
      </c>
      <c r="T151" s="46">
        <f t="shared" si="57"/>
        <v>0.59817872332831468</v>
      </c>
      <c r="U151" s="46">
        <f t="shared" si="57"/>
        <v>0.60173754134309465</v>
      </c>
      <c r="V151" s="46">
        <f t="shared" si="57"/>
        <v>0.60623820727762889</v>
      </c>
      <c r="W151" s="46">
        <f t="shared" ref="W151:Y151" si="58">IF(W33=0,0,W33/W$17)</f>
        <v>0.61872701904670857</v>
      </c>
      <c r="X151" s="46">
        <f t="shared" si="58"/>
        <v>0.61579065816934131</v>
      </c>
      <c r="Y151" s="46">
        <f t="shared" si="58"/>
        <v>0.59345042296904715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0.13592708259203184</v>
      </c>
      <c r="C152" s="154">
        <f t="shared" si="59"/>
        <v>0.13676695781432074</v>
      </c>
      <c r="D152" s="154">
        <f t="shared" si="59"/>
        <v>0.13158600130841155</v>
      </c>
      <c r="E152" s="154">
        <f t="shared" si="59"/>
        <v>0.13688905434395798</v>
      </c>
      <c r="F152" s="154">
        <f t="shared" si="59"/>
        <v>0.14683926138027889</v>
      </c>
      <c r="G152" s="154">
        <f t="shared" si="59"/>
        <v>0.144713430201348</v>
      </c>
      <c r="H152" s="154">
        <f t="shared" si="59"/>
        <v>0.12890388432211586</v>
      </c>
      <c r="I152" s="154">
        <f t="shared" si="59"/>
        <v>0.13987196005385291</v>
      </c>
      <c r="J152" s="154">
        <f t="shared" si="59"/>
        <v>0.12959915426658994</v>
      </c>
      <c r="K152" s="154">
        <f t="shared" si="59"/>
        <v>0.14299516736403947</v>
      </c>
      <c r="L152" s="154">
        <f t="shared" ref="L152" si="60">IF(L34=0,0,L34/L$17)</f>
        <v>0.14430357740429633</v>
      </c>
      <c r="M152" s="154">
        <f t="shared" ref="M152:V152" si="61">IF(M34=0,0,M34/M$17)</f>
        <v>0.15449847654141374</v>
      </c>
      <c r="N152" s="154">
        <f t="shared" si="61"/>
        <v>0.15563682622645561</v>
      </c>
      <c r="O152" s="154">
        <f t="shared" si="61"/>
        <v>0.13721074193469568</v>
      </c>
      <c r="P152" s="154">
        <f t="shared" si="61"/>
        <v>0.12567499951968897</v>
      </c>
      <c r="Q152" s="154">
        <f t="shared" si="61"/>
        <v>0.13747822774179036</v>
      </c>
      <c r="R152" s="154">
        <f t="shared" si="61"/>
        <v>0.12542917967842349</v>
      </c>
      <c r="S152" s="154">
        <f t="shared" si="61"/>
        <v>0.11763891683672253</v>
      </c>
      <c r="T152" s="154">
        <f t="shared" si="61"/>
        <v>0.11571975872917151</v>
      </c>
      <c r="U152" s="154">
        <f t="shared" si="61"/>
        <v>0.11520734526995408</v>
      </c>
      <c r="V152" s="154">
        <f t="shared" si="61"/>
        <v>0.12844484607799517</v>
      </c>
      <c r="W152" s="154">
        <f t="shared" ref="W152:Y152" si="62">IF(W34=0,0,W34/W$17)</f>
        <v>0.11531932277564891</v>
      </c>
      <c r="X152" s="154">
        <f t="shared" si="62"/>
        <v>0.11717901769589141</v>
      </c>
      <c r="Y152" s="154">
        <f t="shared" si="62"/>
        <v>0.12289516093403574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3.7259590070227451E-2</v>
      </c>
      <c r="C153" s="103">
        <f t="shared" si="63"/>
        <v>3.7629974225883829E-2</v>
      </c>
      <c r="D153" s="103">
        <f t="shared" si="63"/>
        <v>2.9970496125176629E-2</v>
      </c>
      <c r="E153" s="103">
        <f t="shared" si="63"/>
        <v>3.2587976333501863E-2</v>
      </c>
      <c r="F153" s="103">
        <f t="shared" si="63"/>
        <v>3.8519656547109288E-2</v>
      </c>
      <c r="G153" s="103">
        <f t="shared" si="63"/>
        <v>3.425477119799808E-2</v>
      </c>
      <c r="H153" s="103">
        <f t="shared" si="63"/>
        <v>3.3828319706127249E-2</v>
      </c>
      <c r="I153" s="103">
        <f t="shared" si="63"/>
        <v>3.2446599845265447E-2</v>
      </c>
      <c r="J153" s="103">
        <f t="shared" si="63"/>
        <v>3.1435663855801974E-2</v>
      </c>
      <c r="K153" s="103">
        <f t="shared" si="63"/>
        <v>3.4183705402895746E-2</v>
      </c>
      <c r="L153" s="103">
        <f t="shared" ref="L153" si="64">IF(L35=0,0,L35/L$17)</f>
        <v>2.1890995596288418E-2</v>
      </c>
      <c r="M153" s="103">
        <f t="shared" ref="M153:V153" si="65">IF(M35=0,0,M35/M$17)</f>
        <v>2.3060898696382892E-2</v>
      </c>
      <c r="N153" s="103">
        <f t="shared" si="65"/>
        <v>2.4329914964247489E-2</v>
      </c>
      <c r="O153" s="103">
        <f t="shared" si="65"/>
        <v>2.5045808780357313E-2</v>
      </c>
      <c r="P153" s="103">
        <f t="shared" si="65"/>
        <v>2.3884972472716651E-2</v>
      </c>
      <c r="Q153" s="103">
        <f t="shared" si="65"/>
        <v>2.8641354760124995E-2</v>
      </c>
      <c r="R153" s="103">
        <f t="shared" si="65"/>
        <v>2.9404325371348843E-2</v>
      </c>
      <c r="S153" s="103">
        <f t="shared" si="65"/>
        <v>2.2631526712215692E-2</v>
      </c>
      <c r="T153" s="103">
        <f t="shared" si="65"/>
        <v>2.1887499857234871E-2</v>
      </c>
      <c r="U153" s="103">
        <f t="shared" si="65"/>
        <v>1.8887108050015141E-2</v>
      </c>
      <c r="V153" s="103">
        <f t="shared" si="65"/>
        <v>2.0277114274358739E-2</v>
      </c>
      <c r="W153" s="103">
        <f t="shared" ref="W153:Y153" si="66">IF(W35=0,0,W35/W$17)</f>
        <v>1.9168833434627334E-2</v>
      </c>
      <c r="X153" s="103">
        <f t="shared" si="66"/>
        <v>1.8874728297008286E-2</v>
      </c>
      <c r="Y153" s="103">
        <f t="shared" si="66"/>
        <v>1.9247549201235628E-2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9.8667492521804373E-2</v>
      </c>
      <c r="C154" s="103">
        <f t="shared" si="67"/>
        <v>9.9136983588436894E-2</v>
      </c>
      <c r="D154" s="103">
        <f t="shared" si="67"/>
        <v>0.10161550518323494</v>
      </c>
      <c r="E154" s="103">
        <f t="shared" si="67"/>
        <v>0.10430107801045614</v>
      </c>
      <c r="F154" s="103">
        <f t="shared" si="67"/>
        <v>0.10831960483316959</v>
      </c>
      <c r="G154" s="103">
        <f t="shared" si="67"/>
        <v>0.11045865900334993</v>
      </c>
      <c r="H154" s="103">
        <f t="shared" si="67"/>
        <v>9.5075564615988609E-2</v>
      </c>
      <c r="I154" s="103">
        <f t="shared" si="67"/>
        <v>0.10742536020858746</v>
      </c>
      <c r="J154" s="103">
        <f t="shared" si="67"/>
        <v>9.8163490410787979E-2</v>
      </c>
      <c r="K154" s="103">
        <f t="shared" si="67"/>
        <v>0.10881146196114372</v>
      </c>
      <c r="L154" s="103">
        <f t="shared" ref="L154" si="68">IF(L36=0,0,L36/L$17)</f>
        <v>0.12241258180800792</v>
      </c>
      <c r="M154" s="103">
        <f t="shared" ref="M154:V154" si="69">IF(M36=0,0,M36/M$17)</f>
        <v>0.13143757784503085</v>
      </c>
      <c r="N154" s="103">
        <f t="shared" si="69"/>
        <v>0.13130083938929962</v>
      </c>
      <c r="O154" s="103">
        <f t="shared" si="69"/>
        <v>0.11215809883474541</v>
      </c>
      <c r="P154" s="103">
        <f t="shared" si="69"/>
        <v>0.10012165731417397</v>
      </c>
      <c r="Q154" s="103">
        <f t="shared" si="69"/>
        <v>0.10711410805241278</v>
      </c>
      <c r="R154" s="103">
        <f t="shared" si="69"/>
        <v>9.4189575523009397E-2</v>
      </c>
      <c r="S154" s="103">
        <f t="shared" si="69"/>
        <v>9.3372916369375461E-2</v>
      </c>
      <c r="T154" s="103">
        <f t="shared" si="69"/>
        <v>9.2088672344751127E-2</v>
      </c>
      <c r="U154" s="103">
        <f t="shared" si="69"/>
        <v>9.4480389033857637E-2</v>
      </c>
      <c r="V154" s="103">
        <f t="shared" si="69"/>
        <v>0.10593545536050129</v>
      </c>
      <c r="W154" s="103">
        <f t="shared" ref="W154:Y154" si="70">IF(W36=0,0,W36/W$17)</f>
        <v>9.4064246663003906E-2</v>
      </c>
      <c r="X154" s="103">
        <f t="shared" si="70"/>
        <v>9.6252984792196322E-2</v>
      </c>
      <c r="Y154" s="103">
        <f t="shared" si="70"/>
        <v>0.10162687624403717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3.5864348040184892E-6</v>
      </c>
      <c r="O155" s="103">
        <f t="shared" si="73"/>
        <v>2.1162855054661881E-6</v>
      </c>
      <c r="P155" s="103">
        <f t="shared" si="73"/>
        <v>1.6646248690305437E-3</v>
      </c>
      <c r="Q155" s="103">
        <f t="shared" si="73"/>
        <v>1.718169343195182E-3</v>
      </c>
      <c r="R155" s="103">
        <f t="shared" si="73"/>
        <v>1.7010980306703977E-3</v>
      </c>
      <c r="S155" s="103">
        <f t="shared" si="73"/>
        <v>1.5153879553513909E-3</v>
      </c>
      <c r="T155" s="103">
        <f t="shared" si="73"/>
        <v>1.5600885031269488E-3</v>
      </c>
      <c r="U155" s="103">
        <f t="shared" si="73"/>
        <v>1.6189054769326357E-3</v>
      </c>
      <c r="V155" s="103">
        <f t="shared" si="73"/>
        <v>1.8001847616575175E-3</v>
      </c>
      <c r="W155" s="103">
        <f t="shared" ref="W155:Y155" si="74">IF(W37=0,0,W37/W$17)</f>
        <v>1.6890133031392553E-3</v>
      </c>
      <c r="X155" s="103">
        <f t="shared" si="74"/>
        <v>1.6386577356190368E-3</v>
      </c>
      <c r="Y155" s="103">
        <f t="shared" si="74"/>
        <v>1.6450707798151276E-3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2.4854381044811627E-6</v>
      </c>
      <c r="O156" s="103">
        <f t="shared" si="77"/>
        <v>4.7180340875131928E-6</v>
      </c>
      <c r="P156" s="103">
        <f t="shared" si="77"/>
        <v>3.7448637677954456E-6</v>
      </c>
      <c r="Q156" s="103">
        <f t="shared" si="77"/>
        <v>4.5955860574044271E-6</v>
      </c>
      <c r="R156" s="103">
        <f t="shared" si="77"/>
        <v>1.3418075339484718E-4</v>
      </c>
      <c r="S156" s="103">
        <f t="shared" si="77"/>
        <v>1.1908579978001033E-4</v>
      </c>
      <c r="T156" s="103">
        <f t="shared" si="77"/>
        <v>1.8349802405857247E-4</v>
      </c>
      <c r="U156" s="103">
        <f t="shared" si="77"/>
        <v>2.2094270914866661E-4</v>
      </c>
      <c r="V156" s="103">
        <f t="shared" si="77"/>
        <v>4.3209168147763095E-4</v>
      </c>
      <c r="W156" s="103">
        <f t="shared" ref="W156:Y156" si="78">IF(W38=0,0,W38/W$17)</f>
        <v>3.9722937487841924E-4</v>
      </c>
      <c r="X156" s="103">
        <f t="shared" si="78"/>
        <v>4.126468710677614E-4</v>
      </c>
      <c r="Y156" s="103">
        <f t="shared" si="78"/>
        <v>3.7566470894781717E-4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0.16215070651490981</v>
      </c>
      <c r="C158" s="156">
        <f t="shared" si="83"/>
        <v>0.15183778597338513</v>
      </c>
      <c r="D158" s="156">
        <f t="shared" si="83"/>
        <v>0.21525414878152557</v>
      </c>
      <c r="E158" s="156">
        <f t="shared" si="83"/>
        <v>0.16319896989813304</v>
      </c>
      <c r="F158" s="156">
        <f t="shared" si="83"/>
        <v>0.19671128064594259</v>
      </c>
      <c r="G158" s="156">
        <f t="shared" si="83"/>
        <v>0.24948337953445868</v>
      </c>
      <c r="H158" s="156">
        <f t="shared" si="83"/>
        <v>0.29506326127309818</v>
      </c>
      <c r="I158" s="156">
        <f t="shared" si="83"/>
        <v>0.30362011147612683</v>
      </c>
      <c r="J158" s="156">
        <f t="shared" si="83"/>
        <v>0.33082139956478168</v>
      </c>
      <c r="K158" s="156">
        <f t="shared" si="83"/>
        <v>0.2920069199251098</v>
      </c>
      <c r="L158" s="156">
        <f t="shared" ref="L158" si="84">IF(L40=0,0,L40/L$17)</f>
        <v>0.36190693296157928</v>
      </c>
      <c r="M158" s="156">
        <f t="shared" ref="M158:V158" si="85">IF(M40=0,0,M40/M$17)</f>
        <v>0.35150437241919846</v>
      </c>
      <c r="N158" s="156">
        <f t="shared" si="85"/>
        <v>0.34627121451306597</v>
      </c>
      <c r="O158" s="156">
        <f t="shared" si="85"/>
        <v>0.36428864706514319</v>
      </c>
      <c r="P158" s="156">
        <f t="shared" si="85"/>
        <v>0.37401555663898256</v>
      </c>
      <c r="Q158" s="156">
        <f t="shared" si="85"/>
        <v>0.35282762812384078</v>
      </c>
      <c r="R158" s="156">
        <f t="shared" si="85"/>
        <v>0.41071008138146198</v>
      </c>
      <c r="S158" s="156">
        <f t="shared" si="85"/>
        <v>0.47193949683328568</v>
      </c>
      <c r="T158" s="156">
        <f t="shared" si="85"/>
        <v>0.48245896459914323</v>
      </c>
      <c r="U158" s="156">
        <f t="shared" si="85"/>
        <v>0.48653019607314058</v>
      </c>
      <c r="V158" s="156">
        <f t="shared" si="85"/>
        <v>0.47779336119963378</v>
      </c>
      <c r="W158" s="156">
        <f t="shared" ref="W158:Y158" si="86">IF(W40=0,0,W40/W$17)</f>
        <v>0.50340769627105963</v>
      </c>
      <c r="X158" s="156">
        <f t="shared" si="86"/>
        <v>0.49861164047344986</v>
      </c>
      <c r="Y158" s="156">
        <f t="shared" si="86"/>
        <v>0.47055526203501141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8.7785554248475769E-2</v>
      </c>
      <c r="C159" s="103">
        <f t="shared" si="87"/>
        <v>8.8562907326357812E-2</v>
      </c>
      <c r="D159" s="103">
        <f t="shared" si="87"/>
        <v>0.11913136670178555</v>
      </c>
      <c r="E159" s="103">
        <f t="shared" si="87"/>
        <v>0.1268463930778331</v>
      </c>
      <c r="F159" s="103">
        <f t="shared" si="87"/>
        <v>0.14228854612570885</v>
      </c>
      <c r="G159" s="103">
        <f t="shared" si="87"/>
        <v>0.14581736436337403</v>
      </c>
      <c r="H159" s="103">
        <f t="shared" si="87"/>
        <v>0.16278718341795623</v>
      </c>
      <c r="I159" s="103">
        <f t="shared" si="87"/>
        <v>0.16049995207500714</v>
      </c>
      <c r="J159" s="103">
        <f t="shared" si="87"/>
        <v>0.1885218329959113</v>
      </c>
      <c r="K159" s="103">
        <f t="shared" si="87"/>
        <v>0.17199885971956416</v>
      </c>
      <c r="L159" s="103">
        <f t="shared" ref="L159" si="88">IF(L41=0,0,L41/L$17)</f>
        <v>0.20407550173187247</v>
      </c>
      <c r="M159" s="103">
        <f t="shared" ref="M159:V159" si="89">IF(M41=0,0,M41/M$17)</f>
        <v>0.20307504908379326</v>
      </c>
      <c r="N159" s="103">
        <f t="shared" si="89"/>
        <v>0.19577279441717468</v>
      </c>
      <c r="O159" s="103">
        <f t="shared" si="89"/>
        <v>0.19068263076768299</v>
      </c>
      <c r="P159" s="103">
        <f t="shared" si="89"/>
        <v>0.21168360665452918</v>
      </c>
      <c r="Q159" s="103">
        <f t="shared" si="89"/>
        <v>0.19218146624533231</v>
      </c>
      <c r="R159" s="103">
        <f t="shared" si="89"/>
        <v>0.2160986093038188</v>
      </c>
      <c r="S159" s="103">
        <f t="shared" si="89"/>
        <v>0.20990212244041406</v>
      </c>
      <c r="T159" s="103">
        <f t="shared" si="89"/>
        <v>0.20281505858418161</v>
      </c>
      <c r="U159" s="103">
        <f t="shared" si="89"/>
        <v>0.22413013740185284</v>
      </c>
      <c r="V159" s="103">
        <f t="shared" si="89"/>
        <v>0.22994886533875336</v>
      </c>
      <c r="W159" s="103">
        <f t="shared" ref="W159:Y159" si="90">IF(W41=0,0,W41/W$17)</f>
        <v>0.21690643522245562</v>
      </c>
      <c r="X159" s="103">
        <f t="shared" si="90"/>
        <v>0.22171263512659151</v>
      </c>
      <c r="Y159" s="103">
        <f t="shared" si="90"/>
        <v>0.22258089636183009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7.4365152266434045E-2</v>
      </c>
      <c r="C160" s="105">
        <f t="shared" si="91"/>
        <v>6.3274878647027299E-2</v>
      </c>
      <c r="D160" s="105">
        <f t="shared" si="91"/>
        <v>9.612278207974001E-2</v>
      </c>
      <c r="E160" s="105">
        <f t="shared" si="91"/>
        <v>3.635257682029993E-2</v>
      </c>
      <c r="F160" s="105">
        <f t="shared" si="91"/>
        <v>5.4422734520233731E-2</v>
      </c>
      <c r="G160" s="105">
        <f t="shared" si="91"/>
        <v>0.10366601517108465</v>
      </c>
      <c r="H160" s="105">
        <f t="shared" si="91"/>
        <v>0.13227607785514198</v>
      </c>
      <c r="I160" s="105">
        <f t="shared" si="91"/>
        <v>0.14312015940111972</v>
      </c>
      <c r="J160" s="105">
        <f t="shared" si="91"/>
        <v>0.14229956656887038</v>
      </c>
      <c r="K160" s="105">
        <f t="shared" si="91"/>
        <v>0.12000806020554566</v>
      </c>
      <c r="L160" s="105">
        <f t="shared" ref="L160" si="92">IF(L42=0,0,L42/L$17)</f>
        <v>0.15783143122970686</v>
      </c>
      <c r="M160" s="105">
        <f t="shared" ref="M160:V160" si="93">IF(M42=0,0,M42/M$17)</f>
        <v>0.14842932333540521</v>
      </c>
      <c r="N160" s="105">
        <f t="shared" si="93"/>
        <v>0.15049842009589126</v>
      </c>
      <c r="O160" s="105">
        <f t="shared" si="93"/>
        <v>0.1736060162974602</v>
      </c>
      <c r="P160" s="105">
        <f t="shared" si="93"/>
        <v>0.16233194998445344</v>
      </c>
      <c r="Q160" s="105">
        <f t="shared" si="93"/>
        <v>0.16064616187850847</v>
      </c>
      <c r="R160" s="105">
        <f t="shared" si="93"/>
        <v>0.19461147207764318</v>
      </c>
      <c r="S160" s="105">
        <f t="shared" si="93"/>
        <v>0.26203737439287161</v>
      </c>
      <c r="T160" s="105">
        <f t="shared" si="93"/>
        <v>0.27964390601496159</v>
      </c>
      <c r="U160" s="105">
        <f t="shared" si="93"/>
        <v>0.26240005867128774</v>
      </c>
      <c r="V160" s="105">
        <f t="shared" si="93"/>
        <v>0.24784449586088042</v>
      </c>
      <c r="W160" s="105">
        <f t="shared" ref="W160:Y160" si="94">IF(W42=0,0,W42/W$17)</f>
        <v>0.28650126104860407</v>
      </c>
      <c r="X160" s="105">
        <f t="shared" si="94"/>
        <v>0.27689900534685835</v>
      </c>
      <c r="Y160" s="105">
        <f t="shared" si="94"/>
        <v>0.24797436567318135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1448999</v>
      </c>
      <c r="C3" s="54">
        <f>TrRoad_act!C57</f>
        <v>1472031</v>
      </c>
      <c r="D3" s="54">
        <f>TrRoad_act!D57</f>
        <v>1515841</v>
      </c>
      <c r="E3" s="54">
        <f>TrRoad_act!E57</f>
        <v>1556915</v>
      </c>
      <c r="F3" s="54">
        <f>TrRoad_act!F57</f>
        <v>1511977</v>
      </c>
      <c r="G3" s="54">
        <f>TrRoad_act!G57</f>
        <v>1530280</v>
      </c>
      <c r="H3" s="54">
        <f>TrRoad_act!H57</f>
        <v>1577340</v>
      </c>
      <c r="I3" s="54">
        <f>TrRoad_act!I57</f>
        <v>1710001</v>
      </c>
      <c r="J3" s="54">
        <f>TrRoad_act!J57</f>
        <v>1857116</v>
      </c>
      <c r="K3" s="54">
        <f>TrRoad_act!K57</f>
        <v>1932602</v>
      </c>
      <c r="L3" s="54">
        <f>TrRoad_act!L57</f>
        <v>2025488</v>
      </c>
      <c r="M3" s="54">
        <f>TrRoad_act!M57</f>
        <v>2116500</v>
      </c>
      <c r="N3" s="54">
        <f>TrRoad_act!N57</f>
        <v>2201765</v>
      </c>
      <c r="O3" s="54">
        <f>TrRoad_act!O57</f>
        <v>2266843</v>
      </c>
      <c r="P3" s="54">
        <f>TrRoad_act!P57</f>
        <v>2346239</v>
      </c>
      <c r="Q3" s="54">
        <f>TrRoad_act!Q57</f>
        <v>2450137</v>
      </c>
      <c r="R3" s="54">
        <f>TrRoad_act!R57</f>
        <v>2546387</v>
      </c>
      <c r="S3" s="54">
        <f>TrRoad_act!S57</f>
        <v>2660202</v>
      </c>
      <c r="T3" s="54">
        <f>TrRoad_act!T57</f>
        <v>2756826</v>
      </c>
      <c r="U3" s="54">
        <f>TrRoad_act!U57</f>
        <v>2848072</v>
      </c>
      <c r="V3" s="54">
        <f>TrRoad_act!V57</f>
        <v>2902036</v>
      </c>
      <c r="W3" s="54">
        <f>TrRoad_act!W57</f>
        <v>2957840</v>
      </c>
      <c r="X3" s="54">
        <f>TrRoad_act!X57</f>
        <v>3030967</v>
      </c>
      <c r="Y3" s="54">
        <f>TrRoad_act!Y57</f>
        <v>3140253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1330996</v>
      </c>
      <c r="C4" s="28">
        <f>TrRoad_act!C58</f>
        <v>1350365</v>
      </c>
      <c r="D4" s="28">
        <f>TrRoad_act!D58</f>
        <v>1385634</v>
      </c>
      <c r="E4" s="28">
        <f>TrRoad_act!E58</f>
        <v>1415761</v>
      </c>
      <c r="F4" s="28">
        <f>TrRoad_act!F58</f>
        <v>1370087</v>
      </c>
      <c r="G4" s="28">
        <f>TrRoad_act!G58</f>
        <v>1369462</v>
      </c>
      <c r="H4" s="28">
        <f>TrRoad_act!H58</f>
        <v>1400920</v>
      </c>
      <c r="I4" s="28">
        <f>TrRoad_act!I58</f>
        <v>1508582</v>
      </c>
      <c r="J4" s="28">
        <f>TrRoad_act!J58</f>
        <v>1626010</v>
      </c>
      <c r="K4" s="28">
        <f>TrRoad_act!K58</f>
        <v>1680611</v>
      </c>
      <c r="L4" s="28">
        <f>TrRoad_act!L58</f>
        <v>1766581</v>
      </c>
      <c r="M4" s="28">
        <f>TrRoad_act!M58</f>
        <v>1852442</v>
      </c>
      <c r="N4" s="28">
        <f>TrRoad_act!N58</f>
        <v>1932916</v>
      </c>
      <c r="O4" s="28">
        <f>TrRoad_act!O58</f>
        <v>1994771</v>
      </c>
      <c r="P4" s="28">
        <f>TrRoad_act!P58</f>
        <v>2070959</v>
      </c>
      <c r="Q4" s="28">
        <f>TrRoad_act!Q58</f>
        <v>2164468</v>
      </c>
      <c r="R4" s="28">
        <f>TrRoad_act!R58</f>
        <v>2256993</v>
      </c>
      <c r="S4" s="28">
        <f>TrRoad_act!S58</f>
        <v>2365667</v>
      </c>
      <c r="T4" s="28">
        <f>TrRoad_act!T58</f>
        <v>2471421</v>
      </c>
      <c r="U4" s="28">
        <f>TrRoad_act!U58</f>
        <v>2550337</v>
      </c>
      <c r="V4" s="28">
        <f>TrRoad_act!V58</f>
        <v>2602595</v>
      </c>
      <c r="W4" s="28">
        <f>TrRoad_act!W58</f>
        <v>2663698</v>
      </c>
      <c r="X4" s="28">
        <f>TrRoad_act!X58</f>
        <v>2734579</v>
      </c>
      <c r="Y4" s="28">
        <f>TrRoad_act!Y58</f>
        <v>2831874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45647</v>
      </c>
      <c r="C5" s="137">
        <f>TrRoad_act!C59</f>
        <v>46676</v>
      </c>
      <c r="D5" s="137">
        <f>TrRoad_act!D59</f>
        <v>47900</v>
      </c>
      <c r="E5" s="137">
        <f>TrRoad_act!E59</f>
        <v>48709</v>
      </c>
      <c r="F5" s="137">
        <f>TrRoad_act!F59</f>
        <v>51977</v>
      </c>
      <c r="G5" s="137">
        <f>TrRoad_act!G59</f>
        <v>56366</v>
      </c>
      <c r="H5" s="137">
        <f>TrRoad_act!H59</f>
        <v>58101</v>
      </c>
      <c r="I5" s="137">
        <f>TrRoad_act!I59</f>
        <v>63897</v>
      </c>
      <c r="J5" s="137">
        <f>TrRoad_act!J59</f>
        <v>70318</v>
      </c>
      <c r="K5" s="137">
        <f>TrRoad_act!K59</f>
        <v>81900</v>
      </c>
      <c r="L5" s="137">
        <f>TrRoad_act!L59</f>
        <v>87900</v>
      </c>
      <c r="M5" s="137">
        <f>TrRoad_act!M59</f>
        <v>93800</v>
      </c>
      <c r="N5" s="137">
        <f>TrRoad_act!N59</f>
        <v>99500</v>
      </c>
      <c r="O5" s="137">
        <f>TrRoad_act!O59</f>
        <v>105900</v>
      </c>
      <c r="P5" s="137">
        <f>TrRoad_act!P59</f>
        <v>112700</v>
      </c>
      <c r="Q5" s="137">
        <f>TrRoad_act!Q59</f>
        <v>120624</v>
      </c>
      <c r="R5" s="137">
        <f>TrRoad_act!R59</f>
        <v>126128</v>
      </c>
      <c r="S5" s="137">
        <f>TrRoad_act!S59</f>
        <v>133309</v>
      </c>
      <c r="T5" s="137">
        <f>TrRoad_act!T59</f>
        <v>140450</v>
      </c>
      <c r="U5" s="137">
        <f>TrRoad_act!U59</f>
        <v>147498</v>
      </c>
      <c r="V5" s="137">
        <f>TrRoad_act!V59</f>
        <v>154445</v>
      </c>
      <c r="W5" s="137">
        <f>TrRoad_act!W59</f>
        <v>162145</v>
      </c>
      <c r="X5" s="137">
        <f>TrRoad_act!X59</f>
        <v>170403</v>
      </c>
      <c r="Y5" s="137">
        <f>TrRoad_act!Y59</f>
        <v>178524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1274200</v>
      </c>
      <c r="C6" s="110">
        <f>TrRoad_act!C60</f>
        <v>1292800</v>
      </c>
      <c r="D6" s="110">
        <f>TrRoad_act!D60</f>
        <v>1326900</v>
      </c>
      <c r="E6" s="110">
        <f>TrRoad_act!E60</f>
        <v>1356200</v>
      </c>
      <c r="F6" s="110">
        <f>TrRoad_act!F60</f>
        <v>1308908</v>
      </c>
      <c r="G6" s="110">
        <f>TrRoad_act!G60</f>
        <v>1303704</v>
      </c>
      <c r="H6" s="110">
        <f>TrRoad_act!H60</f>
        <v>1333749</v>
      </c>
      <c r="I6" s="110">
        <f>TrRoad_act!I60</f>
        <v>1433926</v>
      </c>
      <c r="J6" s="110">
        <f>TrRoad_act!J60</f>
        <v>1544888</v>
      </c>
      <c r="K6" s="110">
        <f>TrRoad_act!K60</f>
        <v>1589044</v>
      </c>
      <c r="L6" s="110">
        <f>TrRoad_act!L60</f>
        <v>1669065</v>
      </c>
      <c r="M6" s="110">
        <f>TrRoad_act!M60</f>
        <v>1749300</v>
      </c>
      <c r="N6" s="110">
        <f>TrRoad_act!N60</f>
        <v>1824190</v>
      </c>
      <c r="O6" s="110">
        <f>TrRoad_act!O60</f>
        <v>1879800</v>
      </c>
      <c r="P6" s="110">
        <f>TrRoad_act!P60</f>
        <v>1949100</v>
      </c>
      <c r="Q6" s="110">
        <f>TrRoad_act!Q60</f>
        <v>2034574</v>
      </c>
      <c r="R6" s="110">
        <f>TrRoad_act!R60</f>
        <v>2121774</v>
      </c>
      <c r="S6" s="110">
        <f>TrRoad_act!S60</f>
        <v>2223117</v>
      </c>
      <c r="T6" s="110">
        <f>TrRoad_act!T60</f>
        <v>2321608</v>
      </c>
      <c r="U6" s="110">
        <f>TrRoad_act!U60</f>
        <v>2393577</v>
      </c>
      <c r="V6" s="110">
        <f>TrRoad_act!V60</f>
        <v>2439986</v>
      </c>
      <c r="W6" s="110">
        <f>TrRoad_act!W60</f>
        <v>2493183</v>
      </c>
      <c r="X6" s="110">
        <f>TrRoad_act!X60</f>
        <v>2555491</v>
      </c>
      <c r="Y6" s="110">
        <f>TrRoad_act!Y60</f>
        <v>2644361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1038797</v>
      </c>
      <c r="C7" s="84">
        <f>TrRoad_act!C61</f>
        <v>1038897</v>
      </c>
      <c r="D7" s="84">
        <f>TrRoad_act!D61</f>
        <v>1038624</v>
      </c>
      <c r="E7" s="84">
        <f>TrRoad_act!E61</f>
        <v>1045297</v>
      </c>
      <c r="F7" s="84">
        <f>TrRoad_act!F61</f>
        <v>992546</v>
      </c>
      <c r="G7" s="84">
        <f>TrRoad_act!G61</f>
        <v>983034</v>
      </c>
      <c r="H7" s="84">
        <f>TrRoad_act!H61</f>
        <v>999424</v>
      </c>
      <c r="I7" s="84">
        <f>TrRoad_act!I61</f>
        <v>1062932</v>
      </c>
      <c r="J7" s="84">
        <f>TrRoad_act!J61</f>
        <v>1147072</v>
      </c>
      <c r="K7" s="84">
        <f>TrRoad_act!K61</f>
        <v>1174238</v>
      </c>
      <c r="L7" s="84">
        <f>TrRoad_act!L61</f>
        <v>1235322</v>
      </c>
      <c r="M7" s="84">
        <f>TrRoad_act!M61</f>
        <v>1255991</v>
      </c>
      <c r="N7" s="84">
        <f>TrRoad_act!N61</f>
        <v>1311658</v>
      </c>
      <c r="O7" s="84">
        <f>TrRoad_act!O61</f>
        <v>1356215</v>
      </c>
      <c r="P7" s="84">
        <f>TrRoad_act!P61</f>
        <v>1400965</v>
      </c>
      <c r="Q7" s="84">
        <f>TrRoad_act!Q61</f>
        <v>1464701</v>
      </c>
      <c r="R7" s="84">
        <f>TrRoad_act!R61</f>
        <v>1552895</v>
      </c>
      <c r="S7" s="84">
        <f>TrRoad_act!S61</f>
        <v>1636630</v>
      </c>
      <c r="T7" s="84">
        <f>TrRoad_act!T61</f>
        <v>1717338</v>
      </c>
      <c r="U7" s="84">
        <f>TrRoad_act!U61</f>
        <v>1778261</v>
      </c>
      <c r="V7" s="84">
        <f>TrRoad_act!V61</f>
        <v>1808919</v>
      </c>
      <c r="W7" s="84">
        <f>TrRoad_act!W61</f>
        <v>1844708</v>
      </c>
      <c r="X7" s="84">
        <f>TrRoad_act!X61</f>
        <v>1912743</v>
      </c>
      <c r="Y7" s="84">
        <f>TrRoad_act!Y61</f>
        <v>1998954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235403</v>
      </c>
      <c r="C8" s="84">
        <f>TrRoad_act!C62</f>
        <v>251503</v>
      </c>
      <c r="D8" s="84">
        <f>TrRoad_act!D62</f>
        <v>285876</v>
      </c>
      <c r="E8" s="84">
        <f>TrRoad_act!E62</f>
        <v>303881</v>
      </c>
      <c r="F8" s="84">
        <f>TrRoad_act!F62</f>
        <v>308508</v>
      </c>
      <c r="G8" s="84">
        <f>TrRoad_act!G62</f>
        <v>311553</v>
      </c>
      <c r="H8" s="84">
        <f>TrRoad_act!H62</f>
        <v>325232</v>
      </c>
      <c r="I8" s="84">
        <f>TrRoad_act!I62</f>
        <v>353285</v>
      </c>
      <c r="J8" s="84">
        <f>TrRoad_act!J62</f>
        <v>380283</v>
      </c>
      <c r="K8" s="84">
        <f>TrRoad_act!K62</f>
        <v>397146</v>
      </c>
      <c r="L8" s="84">
        <f>TrRoad_act!L62</f>
        <v>412502</v>
      </c>
      <c r="M8" s="84">
        <f>TrRoad_act!M62</f>
        <v>426643</v>
      </c>
      <c r="N8" s="84">
        <f>TrRoad_act!N62</f>
        <v>442235</v>
      </c>
      <c r="O8" s="84">
        <f>TrRoad_act!O62</f>
        <v>449650</v>
      </c>
      <c r="P8" s="84">
        <f>TrRoad_act!P62</f>
        <v>472541</v>
      </c>
      <c r="Q8" s="84">
        <f>TrRoad_act!Q62</f>
        <v>490817</v>
      </c>
      <c r="R8" s="84">
        <f>TrRoad_act!R62</f>
        <v>495729</v>
      </c>
      <c r="S8" s="84">
        <f>TrRoad_act!S62</f>
        <v>518042</v>
      </c>
      <c r="T8" s="84">
        <f>TrRoad_act!T62</f>
        <v>538764</v>
      </c>
      <c r="U8" s="84">
        <f>TrRoad_act!U62</f>
        <v>554943</v>
      </c>
      <c r="V8" s="84">
        <f>TrRoad_act!V62</f>
        <v>571655</v>
      </c>
      <c r="W8" s="84">
        <f>TrRoad_act!W62</f>
        <v>588944</v>
      </c>
      <c r="X8" s="84">
        <f>TrRoad_act!X62</f>
        <v>580355</v>
      </c>
      <c r="Y8" s="84">
        <f>TrRoad_act!Y62</f>
        <v>575769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1250</v>
      </c>
      <c r="H9" s="84">
        <f>TrRoad_act!H63</f>
        <v>1251</v>
      </c>
      <c r="I9" s="84">
        <f>TrRoad_act!I63</f>
        <v>1352</v>
      </c>
      <c r="J9" s="84">
        <f>TrRoad_act!J63</f>
        <v>1400</v>
      </c>
      <c r="K9" s="84">
        <f>TrRoad_act!K63</f>
        <v>1401</v>
      </c>
      <c r="L9" s="84">
        <f>TrRoad_act!L63</f>
        <v>3003</v>
      </c>
      <c r="M9" s="84">
        <f>TrRoad_act!M63</f>
        <v>48894</v>
      </c>
      <c r="N9" s="84">
        <f>TrRoad_act!N63</f>
        <v>54615</v>
      </c>
      <c r="O9" s="84">
        <f>TrRoad_act!O63</f>
        <v>59503</v>
      </c>
      <c r="P9" s="84">
        <f>TrRoad_act!P63</f>
        <v>59362</v>
      </c>
      <c r="Q9" s="84">
        <f>TrRoad_act!Q63</f>
        <v>62639</v>
      </c>
      <c r="R9" s="84">
        <f>TrRoad_act!R63</f>
        <v>61386</v>
      </c>
      <c r="S9" s="84">
        <f>TrRoad_act!S63</f>
        <v>57089</v>
      </c>
      <c r="T9" s="84">
        <f>TrRoad_act!T63</f>
        <v>54235</v>
      </c>
      <c r="U9" s="84">
        <f>TrRoad_act!U63</f>
        <v>50583</v>
      </c>
      <c r="V9" s="84">
        <f>TrRoad_act!V63</f>
        <v>49554</v>
      </c>
      <c r="W9" s="84">
        <f>TrRoad_act!W63</f>
        <v>47458</v>
      </c>
      <c r="X9" s="84">
        <f>TrRoad_act!X63</f>
        <v>46874</v>
      </c>
      <c r="Y9" s="84">
        <f>TrRoad_act!Y63</f>
        <v>47415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2400</v>
      </c>
      <c r="D10" s="84">
        <f>TrRoad_act!D64</f>
        <v>2400</v>
      </c>
      <c r="E10" s="84">
        <f>TrRoad_act!E64</f>
        <v>7022</v>
      </c>
      <c r="F10" s="84">
        <f>TrRoad_act!F64</f>
        <v>7854</v>
      </c>
      <c r="G10" s="84">
        <f>TrRoad_act!G64</f>
        <v>7867</v>
      </c>
      <c r="H10" s="84">
        <f>TrRoad_act!H64</f>
        <v>7842</v>
      </c>
      <c r="I10" s="84">
        <f>TrRoad_act!I64</f>
        <v>16357</v>
      </c>
      <c r="J10" s="84">
        <f>TrRoad_act!J64</f>
        <v>16133</v>
      </c>
      <c r="K10" s="84">
        <f>TrRoad_act!K64</f>
        <v>16259</v>
      </c>
      <c r="L10" s="84">
        <f>TrRoad_act!L64</f>
        <v>18238</v>
      </c>
      <c r="M10" s="84">
        <f>TrRoad_act!M64</f>
        <v>17753</v>
      </c>
      <c r="N10" s="84">
        <f>TrRoad_act!N64</f>
        <v>15657</v>
      </c>
      <c r="O10" s="84">
        <f>TrRoad_act!O64</f>
        <v>14377</v>
      </c>
      <c r="P10" s="84">
        <f>TrRoad_act!P64</f>
        <v>16099</v>
      </c>
      <c r="Q10" s="84">
        <f>TrRoad_act!Q64</f>
        <v>16243</v>
      </c>
      <c r="R10" s="84">
        <f>TrRoad_act!R64</f>
        <v>11410</v>
      </c>
      <c r="S10" s="84">
        <f>TrRoad_act!S64</f>
        <v>10613</v>
      </c>
      <c r="T10" s="84">
        <f>TrRoad_act!T64</f>
        <v>9856</v>
      </c>
      <c r="U10" s="84">
        <f>TrRoad_act!U64</f>
        <v>8008</v>
      </c>
      <c r="V10" s="84">
        <f>TrRoad_act!V64</f>
        <v>6352</v>
      </c>
      <c r="W10" s="84">
        <f>TrRoad_act!W64</f>
        <v>6419</v>
      </c>
      <c r="X10" s="84">
        <f>TrRoad_act!X64</f>
        <v>6776</v>
      </c>
      <c r="Y10" s="84">
        <f>TrRoad_act!Y64</f>
        <v>7182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5</v>
      </c>
      <c r="O11" s="84">
        <f>TrRoad_act!O65</f>
        <v>5</v>
      </c>
      <c r="P11" s="84">
        <f>TrRoad_act!P65</f>
        <v>20</v>
      </c>
      <c r="Q11" s="84">
        <f>TrRoad_act!Q65</f>
        <v>37</v>
      </c>
      <c r="R11" s="84">
        <f>TrRoad_act!R65</f>
        <v>156</v>
      </c>
      <c r="S11" s="84">
        <f>TrRoad_act!S65</f>
        <v>345</v>
      </c>
      <c r="T11" s="84">
        <f>TrRoad_act!T65</f>
        <v>620</v>
      </c>
      <c r="U11" s="84">
        <f>TrRoad_act!U65</f>
        <v>826</v>
      </c>
      <c r="V11" s="84">
        <f>TrRoad_act!V65</f>
        <v>1643</v>
      </c>
      <c r="W11" s="84">
        <f>TrRoad_act!W65</f>
        <v>2655</v>
      </c>
      <c r="X11" s="84">
        <f>TrRoad_act!X65</f>
        <v>4215</v>
      </c>
      <c r="Y11" s="84">
        <f>TrRoad_act!Y65</f>
        <v>7145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19</v>
      </c>
      <c r="N12" s="84">
        <f>TrRoad_act!N66</f>
        <v>20</v>
      </c>
      <c r="O12" s="84">
        <f>TrRoad_act!O66</f>
        <v>50</v>
      </c>
      <c r="P12" s="84">
        <f>TrRoad_act!P66</f>
        <v>113</v>
      </c>
      <c r="Q12" s="84">
        <f>TrRoad_act!Q66</f>
        <v>137</v>
      </c>
      <c r="R12" s="84">
        <f>TrRoad_act!R66</f>
        <v>198</v>
      </c>
      <c r="S12" s="84">
        <f>TrRoad_act!S66</f>
        <v>398</v>
      </c>
      <c r="T12" s="84">
        <f>TrRoad_act!T66</f>
        <v>795</v>
      </c>
      <c r="U12" s="84">
        <f>TrRoad_act!U66</f>
        <v>956</v>
      </c>
      <c r="V12" s="84">
        <f>TrRoad_act!V66</f>
        <v>1863</v>
      </c>
      <c r="W12" s="84">
        <f>TrRoad_act!W66</f>
        <v>2999</v>
      </c>
      <c r="X12" s="84">
        <f>TrRoad_act!X66</f>
        <v>4528</v>
      </c>
      <c r="Y12" s="84">
        <f>TrRoad_act!Y66</f>
        <v>7896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11149</v>
      </c>
      <c r="C13" s="110">
        <f>TrRoad_act!C67</f>
        <v>10889</v>
      </c>
      <c r="D13" s="110">
        <f>TrRoad_act!D67</f>
        <v>10834</v>
      </c>
      <c r="E13" s="110">
        <f>TrRoad_act!E67</f>
        <v>10852</v>
      </c>
      <c r="F13" s="110">
        <f>TrRoad_act!F67</f>
        <v>9202</v>
      </c>
      <c r="G13" s="110">
        <f>TrRoad_act!G67</f>
        <v>9392</v>
      </c>
      <c r="H13" s="110">
        <f>TrRoad_act!H67</f>
        <v>9070</v>
      </c>
      <c r="I13" s="110">
        <f>TrRoad_act!I67</f>
        <v>10759</v>
      </c>
      <c r="J13" s="110">
        <f>TrRoad_act!J67</f>
        <v>10804</v>
      </c>
      <c r="K13" s="110">
        <f>TrRoad_act!K67</f>
        <v>9667</v>
      </c>
      <c r="L13" s="110">
        <f>TrRoad_act!L67</f>
        <v>9616</v>
      </c>
      <c r="M13" s="110">
        <f>TrRoad_act!M67</f>
        <v>9342</v>
      </c>
      <c r="N13" s="110">
        <f>TrRoad_act!N67</f>
        <v>9226</v>
      </c>
      <c r="O13" s="110">
        <f>TrRoad_act!O67</f>
        <v>9071</v>
      </c>
      <c r="P13" s="110">
        <f>TrRoad_act!P67</f>
        <v>9159</v>
      </c>
      <c r="Q13" s="110">
        <f>TrRoad_act!Q67</f>
        <v>9270</v>
      </c>
      <c r="R13" s="110">
        <f>TrRoad_act!R67</f>
        <v>9091</v>
      </c>
      <c r="S13" s="110">
        <f>TrRoad_act!S67</f>
        <v>9241</v>
      </c>
      <c r="T13" s="110">
        <f>TrRoad_act!T67</f>
        <v>9363</v>
      </c>
      <c r="U13" s="110">
        <f>TrRoad_act!U67</f>
        <v>9262</v>
      </c>
      <c r="V13" s="110">
        <f>TrRoad_act!V67</f>
        <v>8164</v>
      </c>
      <c r="W13" s="110">
        <f>TrRoad_act!W67</f>
        <v>8370</v>
      </c>
      <c r="X13" s="110">
        <f>TrRoad_act!X67</f>
        <v>8685</v>
      </c>
      <c r="Y13" s="110">
        <f>TrRoad_act!Y67</f>
        <v>8989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X14" s="102">
        <f>TrRoad_act!X68</f>
        <v>0</v>
      </c>
      <c r="Y14" s="102">
        <f>TrRoad_act!Y68</f>
        <v>0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11149</v>
      </c>
      <c r="C15" s="102">
        <f>TrRoad_act!C69</f>
        <v>10889</v>
      </c>
      <c r="D15" s="102">
        <f>TrRoad_act!D69</f>
        <v>10834</v>
      </c>
      <c r="E15" s="102">
        <f>TrRoad_act!E69</f>
        <v>10852</v>
      </c>
      <c r="F15" s="102">
        <f>TrRoad_act!F69</f>
        <v>9202</v>
      </c>
      <c r="G15" s="102">
        <f>TrRoad_act!G69</f>
        <v>9392</v>
      </c>
      <c r="H15" s="102">
        <f>TrRoad_act!H69</f>
        <v>9070</v>
      </c>
      <c r="I15" s="102">
        <f>TrRoad_act!I69</f>
        <v>10759</v>
      </c>
      <c r="J15" s="102">
        <f>TrRoad_act!J69</f>
        <v>10804</v>
      </c>
      <c r="K15" s="102">
        <f>TrRoad_act!K69</f>
        <v>9667</v>
      </c>
      <c r="L15" s="102">
        <f>TrRoad_act!L69</f>
        <v>9500</v>
      </c>
      <c r="M15" s="102">
        <f>TrRoad_act!M69</f>
        <v>9074</v>
      </c>
      <c r="N15" s="102">
        <f>TrRoad_act!N69</f>
        <v>8957</v>
      </c>
      <c r="O15" s="102">
        <f>TrRoad_act!O69</f>
        <v>8806</v>
      </c>
      <c r="P15" s="102">
        <f>TrRoad_act!P69</f>
        <v>8776</v>
      </c>
      <c r="Q15" s="102">
        <f>TrRoad_act!Q69</f>
        <v>8797</v>
      </c>
      <c r="R15" s="102">
        <f>TrRoad_act!R69</f>
        <v>8011</v>
      </c>
      <c r="S15" s="102">
        <f>TrRoad_act!S69</f>
        <v>8093</v>
      </c>
      <c r="T15" s="102">
        <f>TrRoad_act!T69</f>
        <v>8165</v>
      </c>
      <c r="U15" s="102">
        <f>TrRoad_act!U69</f>
        <v>8269</v>
      </c>
      <c r="V15" s="102">
        <f>TrRoad_act!V69</f>
        <v>7156</v>
      </c>
      <c r="W15" s="102">
        <f>TrRoad_act!W69</f>
        <v>7366</v>
      </c>
      <c r="X15" s="102">
        <f>TrRoad_act!X69</f>
        <v>7709</v>
      </c>
      <c r="Y15" s="102">
        <f>TrRoad_act!Y69</f>
        <v>7997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516</v>
      </c>
      <c r="S17" s="102">
        <f>TrRoad_act!S71</f>
        <v>506</v>
      </c>
      <c r="T17" s="102">
        <f>TrRoad_act!T71</f>
        <v>480</v>
      </c>
      <c r="U17" s="102">
        <f>TrRoad_act!U71</f>
        <v>235</v>
      </c>
      <c r="V17" s="102">
        <f>TrRoad_act!V71</f>
        <v>230</v>
      </c>
      <c r="W17" s="102">
        <f>TrRoad_act!W71</f>
        <v>230</v>
      </c>
      <c r="X17" s="102">
        <f>TrRoad_act!X71</f>
        <v>230</v>
      </c>
      <c r="Y17" s="102">
        <f>TrRoad_act!Y71</f>
        <v>230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116</v>
      </c>
      <c r="M18" s="102">
        <f>TrRoad_act!M72</f>
        <v>268</v>
      </c>
      <c r="N18" s="102">
        <f>TrRoad_act!N72</f>
        <v>269</v>
      </c>
      <c r="O18" s="102">
        <f>TrRoad_act!O72</f>
        <v>265</v>
      </c>
      <c r="P18" s="102">
        <f>TrRoad_act!P72</f>
        <v>383</v>
      </c>
      <c r="Q18" s="102">
        <f>TrRoad_act!Q72</f>
        <v>473</v>
      </c>
      <c r="R18" s="102">
        <f>TrRoad_act!R72</f>
        <v>564</v>
      </c>
      <c r="S18" s="102">
        <f>TrRoad_act!S72</f>
        <v>642</v>
      </c>
      <c r="T18" s="102">
        <f>TrRoad_act!T72</f>
        <v>718</v>
      </c>
      <c r="U18" s="102">
        <f>TrRoad_act!U72</f>
        <v>758</v>
      </c>
      <c r="V18" s="102">
        <f>TrRoad_act!V72</f>
        <v>778</v>
      </c>
      <c r="W18" s="102">
        <f>TrRoad_act!W72</f>
        <v>774</v>
      </c>
      <c r="X18" s="102">
        <f>TrRoad_act!X72</f>
        <v>746</v>
      </c>
      <c r="Y18" s="102">
        <f>TrRoad_act!Y72</f>
        <v>762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118003</v>
      </c>
      <c r="C19" s="28">
        <f>TrRoad_act!C73</f>
        <v>121666</v>
      </c>
      <c r="D19" s="28">
        <f>TrRoad_act!D73</f>
        <v>130207</v>
      </c>
      <c r="E19" s="28">
        <f>TrRoad_act!E73</f>
        <v>141154</v>
      </c>
      <c r="F19" s="28">
        <f>TrRoad_act!F73</f>
        <v>141890</v>
      </c>
      <c r="G19" s="28">
        <f>TrRoad_act!G73</f>
        <v>160818</v>
      </c>
      <c r="H19" s="28">
        <f>TrRoad_act!H73</f>
        <v>176420</v>
      </c>
      <c r="I19" s="28">
        <f>TrRoad_act!I73</f>
        <v>201419</v>
      </c>
      <c r="J19" s="28">
        <f>TrRoad_act!J73</f>
        <v>231106</v>
      </c>
      <c r="K19" s="28">
        <f>TrRoad_act!K73</f>
        <v>251991</v>
      </c>
      <c r="L19" s="28">
        <f>TrRoad_act!L73</f>
        <v>258907</v>
      </c>
      <c r="M19" s="28">
        <f>TrRoad_act!M73</f>
        <v>264058</v>
      </c>
      <c r="N19" s="28">
        <f>TrRoad_act!N73</f>
        <v>268849</v>
      </c>
      <c r="O19" s="28">
        <f>TrRoad_act!O73</f>
        <v>272072</v>
      </c>
      <c r="P19" s="28">
        <f>TrRoad_act!P73</f>
        <v>275280</v>
      </c>
      <c r="Q19" s="28">
        <f>TrRoad_act!Q73</f>
        <v>285669</v>
      </c>
      <c r="R19" s="28">
        <f>TrRoad_act!R73</f>
        <v>289394</v>
      </c>
      <c r="S19" s="28">
        <f>TrRoad_act!S73</f>
        <v>294535</v>
      </c>
      <c r="T19" s="28">
        <f>TrRoad_act!T73</f>
        <v>285405</v>
      </c>
      <c r="U19" s="28">
        <f>TrRoad_act!U73</f>
        <v>297735</v>
      </c>
      <c r="V19" s="28">
        <f>TrRoad_act!V73</f>
        <v>299441</v>
      </c>
      <c r="W19" s="28">
        <f>TrRoad_act!W73</f>
        <v>294142</v>
      </c>
      <c r="X19" s="28">
        <f>TrRoad_act!X73</f>
        <v>296388</v>
      </c>
      <c r="Y19" s="28">
        <f>TrRoad_act!Y73</f>
        <v>308379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107015</v>
      </c>
      <c r="C20" s="137">
        <f>TrRoad_act!C74</f>
        <v>107197</v>
      </c>
      <c r="D20" s="137">
        <f>TrRoad_act!D74</f>
        <v>107525</v>
      </c>
      <c r="E20" s="137">
        <f>TrRoad_act!E74</f>
        <v>109025</v>
      </c>
      <c r="F20" s="137">
        <f>TrRoad_act!F74</f>
        <v>118776</v>
      </c>
      <c r="G20" s="137">
        <f>TrRoad_act!G74</f>
        <v>129411</v>
      </c>
      <c r="H20" s="137">
        <f>TrRoad_act!H74</f>
        <v>132517</v>
      </c>
      <c r="I20" s="137">
        <f>TrRoad_act!I74</f>
        <v>149494</v>
      </c>
      <c r="J20" s="137">
        <f>TrRoad_act!J74</f>
        <v>159281</v>
      </c>
      <c r="K20" s="137">
        <f>TrRoad_act!K74</f>
        <v>173814</v>
      </c>
      <c r="L20" s="137">
        <f>TrRoad_act!L74</f>
        <v>176788</v>
      </c>
      <c r="M20" s="137">
        <f>TrRoad_act!M74</f>
        <v>178896</v>
      </c>
      <c r="N20" s="137">
        <f>TrRoad_act!N74</f>
        <v>183879</v>
      </c>
      <c r="O20" s="137">
        <f>TrRoad_act!O74</f>
        <v>166323</v>
      </c>
      <c r="P20" s="137">
        <f>TrRoad_act!P74</f>
        <v>147092</v>
      </c>
      <c r="Q20" s="137">
        <f>TrRoad_act!Q74</f>
        <v>166067</v>
      </c>
      <c r="R20" s="137">
        <f>TrRoad_act!R74</f>
        <v>155800</v>
      </c>
      <c r="S20" s="137">
        <f>TrRoad_act!S74</f>
        <v>153916</v>
      </c>
      <c r="T20" s="137">
        <f>TrRoad_act!T74</f>
        <v>149914</v>
      </c>
      <c r="U20" s="137">
        <f>TrRoad_act!U74</f>
        <v>146085</v>
      </c>
      <c r="V20" s="137">
        <f>TrRoad_act!V74</f>
        <v>146404</v>
      </c>
      <c r="W20" s="137">
        <f>TrRoad_act!W74</f>
        <v>146448</v>
      </c>
      <c r="X20" s="137">
        <f>TrRoad_act!X74</f>
        <v>146477</v>
      </c>
      <c r="Y20" s="137">
        <f>TrRoad_act!Y74</f>
        <v>146696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39970</v>
      </c>
      <c r="C21" s="84">
        <f>TrRoad_act!C75</f>
        <v>39993</v>
      </c>
      <c r="D21" s="84">
        <f>TrRoad_act!D75</f>
        <v>40050</v>
      </c>
      <c r="E21" s="84">
        <f>TrRoad_act!E75</f>
        <v>40192</v>
      </c>
      <c r="F21" s="84">
        <f>TrRoad_act!F75</f>
        <v>50553</v>
      </c>
      <c r="G21" s="84">
        <f>TrRoad_act!G75</f>
        <v>51476</v>
      </c>
      <c r="H21" s="84">
        <f>TrRoad_act!H75</f>
        <v>53933</v>
      </c>
      <c r="I21" s="84">
        <f>TrRoad_act!I75</f>
        <v>58112</v>
      </c>
      <c r="J21" s="84">
        <f>TrRoad_act!J75</f>
        <v>60446</v>
      </c>
      <c r="K21" s="84">
        <f>TrRoad_act!K75</f>
        <v>61486</v>
      </c>
      <c r="L21" s="84">
        <f>TrRoad_act!L75</f>
        <v>48449</v>
      </c>
      <c r="M21" s="84">
        <f>TrRoad_act!M75</f>
        <v>49460</v>
      </c>
      <c r="N21" s="84">
        <f>TrRoad_act!N75</f>
        <v>50192</v>
      </c>
      <c r="O21" s="84">
        <f>TrRoad_act!O75</f>
        <v>50793</v>
      </c>
      <c r="P21" s="84">
        <f>TrRoad_act!P75</f>
        <v>46574</v>
      </c>
      <c r="Q21" s="84">
        <f>TrRoad_act!Q75</f>
        <v>52552</v>
      </c>
      <c r="R21" s="84">
        <f>TrRoad_act!R75</f>
        <v>58700</v>
      </c>
      <c r="S21" s="84">
        <f>TrRoad_act!S75</f>
        <v>52570</v>
      </c>
      <c r="T21" s="84">
        <f>TrRoad_act!T75</f>
        <v>50135</v>
      </c>
      <c r="U21" s="84">
        <f>TrRoad_act!U75</f>
        <v>42809</v>
      </c>
      <c r="V21" s="84">
        <f>TrRoad_act!V75</f>
        <v>42809</v>
      </c>
      <c r="W21" s="84">
        <f>TrRoad_act!W75</f>
        <v>42809</v>
      </c>
      <c r="X21" s="84">
        <f>TrRoad_act!X75</f>
        <v>42809</v>
      </c>
      <c r="Y21" s="84">
        <f>TrRoad_act!Y75</f>
        <v>42809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67045</v>
      </c>
      <c r="C22" s="84">
        <f>TrRoad_act!C76</f>
        <v>67204</v>
      </c>
      <c r="D22" s="84">
        <f>TrRoad_act!D76</f>
        <v>67475</v>
      </c>
      <c r="E22" s="84">
        <f>TrRoad_act!E76</f>
        <v>68833</v>
      </c>
      <c r="F22" s="84">
        <f>TrRoad_act!F76</f>
        <v>68223</v>
      </c>
      <c r="G22" s="84">
        <f>TrRoad_act!G76</f>
        <v>77935</v>
      </c>
      <c r="H22" s="84">
        <f>TrRoad_act!H76</f>
        <v>78584</v>
      </c>
      <c r="I22" s="84">
        <f>TrRoad_act!I76</f>
        <v>91382</v>
      </c>
      <c r="J22" s="84">
        <f>TrRoad_act!J76</f>
        <v>98835</v>
      </c>
      <c r="K22" s="84">
        <f>TrRoad_act!K76</f>
        <v>112328</v>
      </c>
      <c r="L22" s="84">
        <f>TrRoad_act!L76</f>
        <v>128339</v>
      </c>
      <c r="M22" s="84">
        <f>TrRoad_act!M76</f>
        <v>129436</v>
      </c>
      <c r="N22" s="84">
        <f>TrRoad_act!N76</f>
        <v>133675</v>
      </c>
      <c r="O22" s="84">
        <f>TrRoad_act!O76</f>
        <v>115514</v>
      </c>
      <c r="P22" s="84">
        <f>TrRoad_act!P76</f>
        <v>97907</v>
      </c>
      <c r="Q22" s="84">
        <f>TrRoad_act!Q76</f>
        <v>110900</v>
      </c>
      <c r="R22" s="84">
        <f>TrRoad_act!R76</f>
        <v>94027</v>
      </c>
      <c r="S22" s="84">
        <f>TrRoad_act!S76</f>
        <v>98121</v>
      </c>
      <c r="T22" s="84">
        <f>TrRoad_act!T76</f>
        <v>96240</v>
      </c>
      <c r="U22" s="84">
        <f>TrRoad_act!U76</f>
        <v>99491</v>
      </c>
      <c r="V22" s="84">
        <f>TrRoad_act!V76</f>
        <v>99491</v>
      </c>
      <c r="W22" s="84">
        <f>TrRoad_act!W76</f>
        <v>99491</v>
      </c>
      <c r="X22" s="84">
        <f>TrRoad_act!X76</f>
        <v>99491</v>
      </c>
      <c r="Y22" s="84">
        <f>TrRoad_act!Y76</f>
        <v>99491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7</v>
      </c>
      <c r="O23" s="84">
        <f>TrRoad_act!O77</f>
        <v>5</v>
      </c>
      <c r="P23" s="84">
        <f>TrRoad_act!P77</f>
        <v>2600</v>
      </c>
      <c r="Q23" s="84">
        <f>TrRoad_act!Q77</f>
        <v>2600</v>
      </c>
      <c r="R23" s="84">
        <f>TrRoad_act!R77</f>
        <v>2866</v>
      </c>
      <c r="S23" s="84">
        <f>TrRoad_act!S77</f>
        <v>2994</v>
      </c>
      <c r="T23" s="84">
        <f>TrRoad_act!T77</f>
        <v>3125</v>
      </c>
      <c r="U23" s="84">
        <f>TrRoad_act!U77</f>
        <v>3300</v>
      </c>
      <c r="V23" s="84">
        <f>TrRoad_act!V77</f>
        <v>3400</v>
      </c>
      <c r="W23" s="84">
        <f>TrRoad_act!W77</f>
        <v>3400</v>
      </c>
      <c r="X23" s="84">
        <f>TrRoad_act!X77</f>
        <v>3400</v>
      </c>
      <c r="Y23" s="84">
        <f>TrRoad_act!Y77</f>
        <v>3378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5</v>
      </c>
      <c r="O24" s="84">
        <f>TrRoad_act!O78</f>
        <v>9</v>
      </c>
      <c r="P24" s="84">
        <f>TrRoad_act!P78</f>
        <v>7</v>
      </c>
      <c r="Q24" s="84">
        <f>TrRoad_act!Q78</f>
        <v>9</v>
      </c>
      <c r="R24" s="84">
        <f>TrRoad_act!R78</f>
        <v>195</v>
      </c>
      <c r="S24" s="84">
        <f>TrRoad_act!S78</f>
        <v>204</v>
      </c>
      <c r="T24" s="84">
        <f>TrRoad_act!T78</f>
        <v>334</v>
      </c>
      <c r="U24" s="84">
        <f>TrRoad_act!U78</f>
        <v>400</v>
      </c>
      <c r="V24" s="84">
        <f>TrRoad_act!V78</f>
        <v>600</v>
      </c>
      <c r="W24" s="84">
        <f>TrRoad_act!W78</f>
        <v>600</v>
      </c>
      <c r="X24" s="84">
        <f>TrRoad_act!X78</f>
        <v>600</v>
      </c>
      <c r="Y24" s="84">
        <f>TrRoad_act!Y78</f>
        <v>597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2</v>
      </c>
      <c r="P25" s="84">
        <f>TrRoad_act!P79</f>
        <v>4</v>
      </c>
      <c r="Q25" s="84">
        <f>TrRoad_act!Q79</f>
        <v>6</v>
      </c>
      <c r="R25" s="84">
        <f>TrRoad_act!R79</f>
        <v>12</v>
      </c>
      <c r="S25" s="84">
        <f>TrRoad_act!S79</f>
        <v>27</v>
      </c>
      <c r="T25" s="84">
        <f>TrRoad_act!T79</f>
        <v>80</v>
      </c>
      <c r="U25" s="84">
        <f>TrRoad_act!U79</f>
        <v>85</v>
      </c>
      <c r="V25" s="84">
        <f>TrRoad_act!V79</f>
        <v>104</v>
      </c>
      <c r="W25" s="84">
        <f>TrRoad_act!W79</f>
        <v>148</v>
      </c>
      <c r="X25" s="84">
        <f>TrRoad_act!X79</f>
        <v>177</v>
      </c>
      <c r="Y25" s="84">
        <f>TrRoad_act!Y79</f>
        <v>421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10988</v>
      </c>
      <c r="C26" s="110">
        <f>TrRoad_act!C80</f>
        <v>14469</v>
      </c>
      <c r="D26" s="110">
        <f>TrRoad_act!D80</f>
        <v>22682</v>
      </c>
      <c r="E26" s="110">
        <f>TrRoad_act!E80</f>
        <v>32129</v>
      </c>
      <c r="F26" s="110">
        <f>TrRoad_act!F80</f>
        <v>23114</v>
      </c>
      <c r="G26" s="110">
        <f>TrRoad_act!G80</f>
        <v>31407</v>
      </c>
      <c r="H26" s="110">
        <f>TrRoad_act!H80</f>
        <v>43903</v>
      </c>
      <c r="I26" s="110">
        <f>TrRoad_act!I80</f>
        <v>51925</v>
      </c>
      <c r="J26" s="110">
        <f>TrRoad_act!J80</f>
        <v>71825</v>
      </c>
      <c r="K26" s="110">
        <f>TrRoad_act!K80</f>
        <v>78177</v>
      </c>
      <c r="L26" s="110">
        <f>TrRoad_act!L80</f>
        <v>82119</v>
      </c>
      <c r="M26" s="110">
        <f>TrRoad_act!M80</f>
        <v>85162</v>
      </c>
      <c r="N26" s="110">
        <f>TrRoad_act!N80</f>
        <v>84970</v>
      </c>
      <c r="O26" s="110">
        <f>TrRoad_act!O80</f>
        <v>105749</v>
      </c>
      <c r="P26" s="110">
        <f>TrRoad_act!P80</f>
        <v>128188</v>
      </c>
      <c r="Q26" s="110">
        <f>TrRoad_act!Q80</f>
        <v>119602</v>
      </c>
      <c r="R26" s="110">
        <f>TrRoad_act!R80</f>
        <v>133594</v>
      </c>
      <c r="S26" s="110">
        <f>TrRoad_act!S80</f>
        <v>140619</v>
      </c>
      <c r="T26" s="110">
        <f>TrRoad_act!T80</f>
        <v>135491</v>
      </c>
      <c r="U26" s="110">
        <f>TrRoad_act!U80</f>
        <v>151650</v>
      </c>
      <c r="V26" s="110">
        <f>TrRoad_act!V80</f>
        <v>153037</v>
      </c>
      <c r="W26" s="110">
        <f>TrRoad_act!W80</f>
        <v>147694</v>
      </c>
      <c r="X26" s="110">
        <f>TrRoad_act!X80</f>
        <v>149911</v>
      </c>
      <c r="Y26" s="110">
        <f>TrRoad_act!Y80</f>
        <v>161683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8066</v>
      </c>
      <c r="C27" s="102">
        <f>TrRoad_act!C81</f>
        <v>11336</v>
      </c>
      <c r="D27" s="102">
        <f>TrRoad_act!D81</f>
        <v>19386</v>
      </c>
      <c r="E27" s="102">
        <f>TrRoad_act!E81</f>
        <v>28760</v>
      </c>
      <c r="F27" s="102">
        <f>TrRoad_act!F81</f>
        <v>19131</v>
      </c>
      <c r="G27" s="102">
        <f>TrRoad_act!G81</f>
        <v>27283</v>
      </c>
      <c r="H27" s="102">
        <f>TrRoad_act!H81</f>
        <v>39564</v>
      </c>
      <c r="I27" s="102">
        <f>TrRoad_act!I81</f>
        <v>46469</v>
      </c>
      <c r="J27" s="102">
        <f>TrRoad_act!J81</f>
        <v>66453</v>
      </c>
      <c r="K27" s="102">
        <f>TrRoad_act!K81</f>
        <v>72961</v>
      </c>
      <c r="L27" s="102">
        <f>TrRoad_act!L81</f>
        <v>76661</v>
      </c>
      <c r="M27" s="102">
        <f>TrRoad_act!M81</f>
        <v>79297</v>
      </c>
      <c r="N27" s="102">
        <f>TrRoad_act!N81</f>
        <v>79019</v>
      </c>
      <c r="O27" s="102">
        <f>TrRoad_act!O81</f>
        <v>99304</v>
      </c>
      <c r="P27" s="102">
        <f>TrRoad_act!P81</f>
        <v>121625</v>
      </c>
      <c r="Q27" s="102">
        <f>TrRoad_act!Q81</f>
        <v>112368</v>
      </c>
      <c r="R27" s="102">
        <f>TrRoad_act!R81</f>
        <v>125799</v>
      </c>
      <c r="S27" s="102">
        <f>TrRoad_act!S81</f>
        <v>132193</v>
      </c>
      <c r="T27" s="102">
        <f>TrRoad_act!T81</f>
        <v>127139</v>
      </c>
      <c r="U27" s="102">
        <f>TrRoad_act!U81</f>
        <v>142901</v>
      </c>
      <c r="V27" s="102">
        <f>TrRoad_act!V81</f>
        <v>144548</v>
      </c>
      <c r="W27" s="102">
        <f>TrRoad_act!W81</f>
        <v>139137</v>
      </c>
      <c r="X27" s="102">
        <f>TrRoad_act!X81</f>
        <v>140620</v>
      </c>
      <c r="Y27" s="102">
        <f>TrRoad_act!Y81</f>
        <v>152710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2922</v>
      </c>
      <c r="C28" s="86">
        <f>TrRoad_act!C82</f>
        <v>3133</v>
      </c>
      <c r="D28" s="86">
        <f>TrRoad_act!D82</f>
        <v>3296</v>
      </c>
      <c r="E28" s="86">
        <f>TrRoad_act!E82</f>
        <v>3369</v>
      </c>
      <c r="F28" s="86">
        <f>TrRoad_act!F82</f>
        <v>3983</v>
      </c>
      <c r="G28" s="86">
        <f>TrRoad_act!G82</f>
        <v>4124</v>
      </c>
      <c r="H28" s="86">
        <f>TrRoad_act!H82</f>
        <v>4339</v>
      </c>
      <c r="I28" s="86">
        <f>TrRoad_act!I82</f>
        <v>5456</v>
      </c>
      <c r="J28" s="86">
        <f>TrRoad_act!J82</f>
        <v>5372</v>
      </c>
      <c r="K28" s="86">
        <f>TrRoad_act!K82</f>
        <v>5216</v>
      </c>
      <c r="L28" s="86">
        <f>TrRoad_act!L82</f>
        <v>5458</v>
      </c>
      <c r="M28" s="86">
        <f>TrRoad_act!M82</f>
        <v>5865</v>
      </c>
      <c r="N28" s="86">
        <f>TrRoad_act!N82</f>
        <v>5951</v>
      </c>
      <c r="O28" s="86">
        <f>TrRoad_act!O82</f>
        <v>6445</v>
      </c>
      <c r="P28" s="86">
        <f>TrRoad_act!P82</f>
        <v>6563</v>
      </c>
      <c r="Q28" s="86">
        <f>TrRoad_act!Q82</f>
        <v>7234</v>
      </c>
      <c r="R28" s="86">
        <f>TrRoad_act!R82</f>
        <v>7795</v>
      </c>
      <c r="S28" s="86">
        <f>TrRoad_act!S82</f>
        <v>8426</v>
      </c>
      <c r="T28" s="86">
        <f>TrRoad_act!T82</f>
        <v>8352</v>
      </c>
      <c r="U28" s="86">
        <f>TrRoad_act!U82</f>
        <v>8749</v>
      </c>
      <c r="V28" s="86">
        <f>TrRoad_act!V82</f>
        <v>8489</v>
      </c>
      <c r="W28" s="86">
        <f>TrRoad_act!W82</f>
        <v>8557</v>
      </c>
      <c r="X28" s="86">
        <f>TrRoad_act!X82</f>
        <v>9291</v>
      </c>
      <c r="Y28" s="86">
        <f>TrRoad_act!Y82</f>
        <v>8973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82511</v>
      </c>
      <c r="C30" s="54">
        <f>TrRoad_act!C111</f>
        <v>103464</v>
      </c>
      <c r="D30" s="54">
        <f>TrRoad_act!D111</f>
        <v>99788</v>
      </c>
      <c r="E30" s="54">
        <f>TrRoad_act!E111</f>
        <v>104331</v>
      </c>
      <c r="F30" s="54">
        <f>TrRoad_act!F111</f>
        <v>40652</v>
      </c>
      <c r="G30" s="54">
        <f>TrRoad_act!G111</f>
        <v>94127</v>
      </c>
      <c r="H30" s="54">
        <f>TrRoad_act!H111</f>
        <v>131555</v>
      </c>
      <c r="I30" s="54">
        <f>TrRoad_act!I111</f>
        <v>223214</v>
      </c>
      <c r="J30" s="54">
        <f>TrRoad_act!J111</f>
        <v>243907</v>
      </c>
      <c r="K30" s="54">
        <f>TrRoad_act!K111</f>
        <v>176054</v>
      </c>
      <c r="L30" s="54">
        <f>TrRoad_act!L111</f>
        <v>209643</v>
      </c>
      <c r="M30" s="54">
        <f>TrRoad_act!M111</f>
        <v>200013</v>
      </c>
      <c r="N30" s="54">
        <f>TrRoad_act!N111</f>
        <v>199026</v>
      </c>
      <c r="O30" s="54">
        <f>TrRoad_act!O111</f>
        <v>197231</v>
      </c>
      <c r="P30" s="54">
        <f>TrRoad_act!P111</f>
        <v>215496</v>
      </c>
      <c r="Q30" s="54">
        <f>TrRoad_act!Q111</f>
        <v>228505</v>
      </c>
      <c r="R30" s="54">
        <f>TrRoad_act!R111</f>
        <v>243916</v>
      </c>
      <c r="S30" s="54">
        <f>TrRoad_act!S111</f>
        <v>213409</v>
      </c>
      <c r="T30" s="54">
        <f>TrRoad_act!T111</f>
        <v>204172</v>
      </c>
      <c r="U30" s="54">
        <f>TrRoad_act!U111</f>
        <v>204583</v>
      </c>
      <c r="V30" s="54">
        <f>TrRoad_act!V111</f>
        <v>170069</v>
      </c>
      <c r="W30" s="54">
        <f>TrRoad_act!W111</f>
        <v>229844</v>
      </c>
      <c r="X30" s="54">
        <f>TrRoad_act!X111</f>
        <v>254110</v>
      </c>
      <c r="Y30" s="54">
        <f>TrRoad_act!Y111</f>
        <v>283509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82219</v>
      </c>
      <c r="C31" s="28">
        <f>TrRoad_act!C112</f>
        <v>94501</v>
      </c>
      <c r="D31" s="28">
        <f>TrRoad_act!D112</f>
        <v>85181</v>
      </c>
      <c r="E31" s="28">
        <f>TrRoad_act!E112</f>
        <v>86604</v>
      </c>
      <c r="F31" s="28">
        <f>TrRoad_act!F112</f>
        <v>22565</v>
      </c>
      <c r="G31" s="28">
        <f>TrRoad_act!G112</f>
        <v>67158</v>
      </c>
      <c r="H31" s="28">
        <f>TrRoad_act!H112</f>
        <v>107339</v>
      </c>
      <c r="I31" s="28">
        <f>TrRoad_act!I112</f>
        <v>189087</v>
      </c>
      <c r="J31" s="28">
        <f>TrRoad_act!J112</f>
        <v>204611</v>
      </c>
      <c r="K31" s="28">
        <f>TrRoad_act!K112</f>
        <v>145105</v>
      </c>
      <c r="L31" s="28">
        <f>TrRoad_act!L112</f>
        <v>181711</v>
      </c>
      <c r="M31" s="28">
        <f>TrRoad_act!M112</f>
        <v>185226</v>
      </c>
      <c r="N31" s="28">
        <f>TrRoad_act!N112</f>
        <v>184370</v>
      </c>
      <c r="O31" s="28">
        <f>TrRoad_act!O112</f>
        <v>167748</v>
      </c>
      <c r="P31" s="28">
        <f>TrRoad_act!P112</f>
        <v>183413</v>
      </c>
      <c r="Q31" s="28">
        <f>TrRoad_act!Q112</f>
        <v>203462</v>
      </c>
      <c r="R31" s="28">
        <f>TrRoad_act!R112</f>
        <v>210760</v>
      </c>
      <c r="S31" s="28">
        <f>TrRoad_act!S112</f>
        <v>192078</v>
      </c>
      <c r="T31" s="28">
        <f>TrRoad_act!T112</f>
        <v>193575</v>
      </c>
      <c r="U31" s="28">
        <f>TrRoad_act!U112</f>
        <v>176666</v>
      </c>
      <c r="V31" s="28">
        <f>TrRoad_act!V112</f>
        <v>156767</v>
      </c>
      <c r="W31" s="28">
        <f>TrRoad_act!W112</f>
        <v>218569</v>
      </c>
      <c r="X31" s="28">
        <f>TrRoad_act!X112</f>
        <v>230482</v>
      </c>
      <c r="Y31" s="28">
        <f>TrRoad_act!Y112</f>
        <v>255789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0</v>
      </c>
      <c r="C32" s="137">
        <f>TrRoad_act!C113</f>
        <v>2280</v>
      </c>
      <c r="D32" s="137">
        <f>TrRoad_act!D113</f>
        <v>2559</v>
      </c>
      <c r="E32" s="137">
        <f>TrRoad_act!E113</f>
        <v>2032</v>
      </c>
      <c r="F32" s="137">
        <f>TrRoad_act!F113</f>
        <v>5319</v>
      </c>
      <c r="G32" s="137">
        <f>TrRoad_act!G113</f>
        <v>6875</v>
      </c>
      <c r="H32" s="137">
        <f>TrRoad_act!H113</f>
        <v>3431</v>
      </c>
      <c r="I32" s="137">
        <f>TrRoad_act!I113</f>
        <v>8868</v>
      </c>
      <c r="J32" s="137">
        <f>TrRoad_act!J113</f>
        <v>9814</v>
      </c>
      <c r="K32" s="137">
        <f>TrRoad_act!K113</f>
        <v>12637</v>
      </c>
      <c r="L32" s="137">
        <f>TrRoad_act!L113</f>
        <v>9615</v>
      </c>
      <c r="M32" s="137">
        <f>TrRoad_act!M113</f>
        <v>9600</v>
      </c>
      <c r="N32" s="137">
        <f>TrRoad_act!N113</f>
        <v>9452</v>
      </c>
      <c r="O32" s="137">
        <f>TrRoad_act!O113</f>
        <v>10498</v>
      </c>
      <c r="P32" s="137">
        <f>TrRoad_act!P113</f>
        <v>11156</v>
      </c>
      <c r="Q32" s="137">
        <f>TrRoad_act!Q113</f>
        <v>12787</v>
      </c>
      <c r="R32" s="137">
        <f>TrRoad_act!R113</f>
        <v>9726</v>
      </c>
      <c r="S32" s="137">
        <f>TrRoad_act!S113</f>
        <v>12067</v>
      </c>
      <c r="T32" s="137">
        <f>TrRoad_act!T113</f>
        <v>12158</v>
      </c>
      <c r="U32" s="137">
        <f>TrRoad_act!U113</f>
        <v>12176</v>
      </c>
      <c r="V32" s="137">
        <f>TrRoad_act!V113</f>
        <v>12181</v>
      </c>
      <c r="W32" s="137">
        <f>TrRoad_act!W113</f>
        <v>13323</v>
      </c>
      <c r="X32" s="137">
        <f>TrRoad_act!X113</f>
        <v>14218</v>
      </c>
      <c r="Y32" s="137">
        <f>TrRoad_act!Y113</f>
        <v>14200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81947</v>
      </c>
      <c r="C33" s="110">
        <f>TrRoad_act!C114</f>
        <v>91895</v>
      </c>
      <c r="D33" s="110">
        <f>TrRoad_act!D114</f>
        <v>82271</v>
      </c>
      <c r="E33" s="110">
        <f>TrRoad_act!E114</f>
        <v>84240</v>
      </c>
      <c r="F33" s="110">
        <f>TrRoad_act!F114</f>
        <v>16914</v>
      </c>
      <c r="G33" s="110">
        <f>TrRoad_act!G114</f>
        <v>59925</v>
      </c>
      <c r="H33" s="110">
        <f>TrRoad_act!H114</f>
        <v>103388</v>
      </c>
      <c r="I33" s="110">
        <f>TrRoad_act!I114</f>
        <v>178530</v>
      </c>
      <c r="J33" s="110">
        <f>TrRoad_act!J114</f>
        <v>193931</v>
      </c>
      <c r="K33" s="110">
        <f>TrRoad_act!K114</f>
        <v>131458</v>
      </c>
      <c r="L33" s="110">
        <f>TrRoad_act!L114</f>
        <v>171278</v>
      </c>
      <c r="M33" s="110">
        <f>TrRoad_act!M114</f>
        <v>175019</v>
      </c>
      <c r="N33" s="110">
        <f>TrRoad_act!N114</f>
        <v>174348</v>
      </c>
      <c r="O33" s="110">
        <f>TrRoad_act!O114</f>
        <v>156956</v>
      </c>
      <c r="P33" s="110">
        <f>TrRoad_act!P114</f>
        <v>171804</v>
      </c>
      <c r="Q33" s="110">
        <f>TrRoad_act!Q114</f>
        <v>190300</v>
      </c>
      <c r="R33" s="110">
        <f>TrRoad_act!R114</f>
        <v>200427</v>
      </c>
      <c r="S33" s="110">
        <f>TrRoad_act!S114</f>
        <v>179610</v>
      </c>
      <c r="T33" s="110">
        <f>TrRoad_act!T114</f>
        <v>181061</v>
      </c>
      <c r="U33" s="110">
        <f>TrRoad_act!U114</f>
        <v>164182</v>
      </c>
      <c r="V33" s="110">
        <f>TrRoad_act!V114</f>
        <v>144289</v>
      </c>
      <c r="W33" s="110">
        <f>TrRoad_act!W114</f>
        <v>204713</v>
      </c>
      <c r="X33" s="110">
        <f>TrRoad_act!X114</f>
        <v>215858</v>
      </c>
      <c r="Y33" s="110">
        <f>TrRoad_act!Y114</f>
        <v>240742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53880</v>
      </c>
      <c r="C34" s="84">
        <f>TrRoad_act!C115</f>
        <v>62874</v>
      </c>
      <c r="D34" s="84">
        <f>TrRoad_act!D115</f>
        <v>39300</v>
      </c>
      <c r="E34" s="84">
        <f>TrRoad_act!E115</f>
        <v>51630</v>
      </c>
      <c r="F34" s="84">
        <f>TrRoad_act!F115</f>
        <v>0</v>
      </c>
      <c r="G34" s="84">
        <f>TrRoad_act!G115</f>
        <v>42677</v>
      </c>
      <c r="H34" s="84">
        <f>TrRoad_act!H115</f>
        <v>75362</v>
      </c>
      <c r="I34" s="84">
        <f>TrRoad_act!I115</f>
        <v>126113</v>
      </c>
      <c r="J34" s="84">
        <f>TrRoad_act!J115</f>
        <v>149974</v>
      </c>
      <c r="K34" s="84">
        <f>TrRoad_act!K115</f>
        <v>95947</v>
      </c>
      <c r="L34" s="84">
        <f>TrRoad_act!L115</f>
        <v>132441</v>
      </c>
      <c r="M34" s="84">
        <f>TrRoad_act!M115</f>
        <v>94187</v>
      </c>
      <c r="N34" s="84">
        <f>TrRoad_act!N115</f>
        <v>130956</v>
      </c>
      <c r="O34" s="84">
        <f>TrRoad_act!O115</f>
        <v>121266</v>
      </c>
      <c r="P34" s="84">
        <f>TrRoad_act!P115</f>
        <v>122645</v>
      </c>
      <c r="Q34" s="84">
        <f>TrRoad_act!Q115</f>
        <v>142677</v>
      </c>
      <c r="R34" s="84">
        <f>TrRoad_act!R115</f>
        <v>129782</v>
      </c>
      <c r="S34" s="84">
        <f>TrRoad_act!S115</f>
        <v>131362</v>
      </c>
      <c r="T34" s="84">
        <f>TrRoad_act!T115</f>
        <v>134580</v>
      </c>
      <c r="U34" s="84">
        <f>TrRoad_act!U115</f>
        <v>121173</v>
      </c>
      <c r="V34" s="84">
        <f>TrRoad_act!V115</f>
        <v>97309</v>
      </c>
      <c r="W34" s="84">
        <f>TrRoad_act!W115</f>
        <v>147098</v>
      </c>
      <c r="X34" s="84">
        <f>TrRoad_act!X115</f>
        <v>180554</v>
      </c>
      <c r="Y34" s="84">
        <f>TrRoad_act!Y115</f>
        <v>199870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28067</v>
      </c>
      <c r="C35" s="84">
        <f>TrRoad_act!C116</f>
        <v>26621</v>
      </c>
      <c r="D35" s="84">
        <f>TrRoad_act!D116</f>
        <v>42966</v>
      </c>
      <c r="E35" s="84">
        <f>TrRoad_act!E116</f>
        <v>27971</v>
      </c>
      <c r="F35" s="84">
        <f>TrRoad_act!F116</f>
        <v>16043</v>
      </c>
      <c r="G35" s="84">
        <f>TrRoad_act!G116</f>
        <v>15909</v>
      </c>
      <c r="H35" s="84">
        <f>TrRoad_act!H116</f>
        <v>27932</v>
      </c>
      <c r="I35" s="84">
        <f>TrRoad_act!I116</f>
        <v>43636</v>
      </c>
      <c r="J35" s="84">
        <f>TrRoad_act!J116</f>
        <v>43894</v>
      </c>
      <c r="K35" s="84">
        <f>TrRoad_act!K116</f>
        <v>35070</v>
      </c>
      <c r="L35" s="84">
        <f>TrRoad_act!L116</f>
        <v>34844</v>
      </c>
      <c r="M35" s="84">
        <f>TrRoad_act!M116</f>
        <v>34846</v>
      </c>
      <c r="N35" s="84">
        <f>TrRoad_act!N116</f>
        <v>37441</v>
      </c>
      <c r="O35" s="84">
        <f>TrRoad_act!O116</f>
        <v>30339</v>
      </c>
      <c r="P35" s="84">
        <f>TrRoad_act!P116</f>
        <v>46814</v>
      </c>
      <c r="Q35" s="84">
        <f>TrRoad_act!Q116</f>
        <v>43143</v>
      </c>
      <c r="R35" s="84">
        <f>TrRoad_act!R116</f>
        <v>69834</v>
      </c>
      <c r="S35" s="84">
        <f>TrRoad_act!S116</f>
        <v>46954</v>
      </c>
      <c r="T35" s="84">
        <f>TrRoad_act!T116</f>
        <v>44963</v>
      </c>
      <c r="U35" s="84">
        <f>TrRoad_act!U116</f>
        <v>42103</v>
      </c>
      <c r="V35" s="84">
        <f>TrRoad_act!V116</f>
        <v>44194</v>
      </c>
      <c r="W35" s="84">
        <f>TrRoad_act!W116</f>
        <v>54146</v>
      </c>
      <c r="X35" s="84">
        <f>TrRoad_act!X116</f>
        <v>30058</v>
      </c>
      <c r="Y35" s="84">
        <f>TrRoad_act!Y116</f>
        <v>32083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1250</v>
      </c>
      <c r="H36" s="84">
        <f>TrRoad_act!H117</f>
        <v>4</v>
      </c>
      <c r="I36" s="84">
        <f>TrRoad_act!I117</f>
        <v>110</v>
      </c>
      <c r="J36" s="84">
        <f>TrRoad_act!J117</f>
        <v>63</v>
      </c>
      <c r="K36" s="84">
        <f>TrRoad_act!K117</f>
        <v>23</v>
      </c>
      <c r="L36" s="84">
        <f>TrRoad_act!L117</f>
        <v>1632</v>
      </c>
      <c r="M36" s="84">
        <f>TrRoad_act!M117</f>
        <v>45931</v>
      </c>
      <c r="N36" s="84">
        <f>TrRoad_act!N117</f>
        <v>5881</v>
      </c>
      <c r="O36" s="84">
        <f>TrRoad_act!O117</f>
        <v>5294</v>
      </c>
      <c r="P36" s="84">
        <f>TrRoad_act!P117</f>
        <v>545</v>
      </c>
      <c r="Q36" s="84">
        <f>TrRoad_act!Q117</f>
        <v>4267</v>
      </c>
      <c r="R36" s="84">
        <f>TrRoad_act!R117</f>
        <v>441</v>
      </c>
      <c r="S36" s="84">
        <f>TrRoad_act!S117</f>
        <v>646</v>
      </c>
      <c r="T36" s="84">
        <f>TrRoad_act!T117</f>
        <v>650</v>
      </c>
      <c r="U36" s="84">
        <f>TrRoad_act!U117</f>
        <v>374</v>
      </c>
      <c r="V36" s="84">
        <f>TrRoad_act!V117</f>
        <v>561</v>
      </c>
      <c r="W36" s="84">
        <f>TrRoad_act!W117</f>
        <v>969</v>
      </c>
      <c r="X36" s="84">
        <f>TrRoad_act!X117</f>
        <v>1432</v>
      </c>
      <c r="Y36" s="84">
        <f>TrRoad_act!Y117</f>
        <v>1733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2400</v>
      </c>
      <c r="D37" s="84">
        <f>TrRoad_act!D118</f>
        <v>5</v>
      </c>
      <c r="E37" s="84">
        <f>TrRoad_act!E118</f>
        <v>4639</v>
      </c>
      <c r="F37" s="84">
        <f>TrRoad_act!F118</f>
        <v>871</v>
      </c>
      <c r="G37" s="84">
        <f>TrRoad_act!G118</f>
        <v>89</v>
      </c>
      <c r="H37" s="84">
        <f>TrRoad_act!H118</f>
        <v>90</v>
      </c>
      <c r="I37" s="84">
        <f>TrRoad_act!I118</f>
        <v>8671</v>
      </c>
      <c r="J37" s="84">
        <f>TrRoad_act!J118</f>
        <v>0</v>
      </c>
      <c r="K37" s="84">
        <f>TrRoad_act!K118</f>
        <v>418</v>
      </c>
      <c r="L37" s="84">
        <f>TrRoad_act!L118</f>
        <v>2361</v>
      </c>
      <c r="M37" s="84">
        <f>TrRoad_act!M118</f>
        <v>36</v>
      </c>
      <c r="N37" s="84">
        <f>TrRoad_act!N118</f>
        <v>64</v>
      </c>
      <c r="O37" s="84">
        <f>TrRoad_act!O118</f>
        <v>27</v>
      </c>
      <c r="P37" s="84">
        <f>TrRoad_act!P118</f>
        <v>1722</v>
      </c>
      <c r="Q37" s="84">
        <f>TrRoad_act!Q118</f>
        <v>144</v>
      </c>
      <c r="R37" s="84">
        <f>TrRoad_act!R118</f>
        <v>188</v>
      </c>
      <c r="S37" s="84">
        <f>TrRoad_act!S118</f>
        <v>119</v>
      </c>
      <c r="T37" s="84">
        <f>TrRoad_act!T118</f>
        <v>189</v>
      </c>
      <c r="U37" s="84">
        <f>TrRoad_act!U118</f>
        <v>152</v>
      </c>
      <c r="V37" s="84">
        <f>TrRoad_act!V118</f>
        <v>407</v>
      </c>
      <c r="W37" s="84">
        <f>TrRoad_act!W118</f>
        <v>343</v>
      </c>
      <c r="X37" s="84">
        <f>TrRoad_act!X118</f>
        <v>633</v>
      </c>
      <c r="Y37" s="84">
        <f>TrRoad_act!Y118</f>
        <v>679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5</v>
      </c>
      <c r="O38" s="84">
        <f>TrRoad_act!O119</f>
        <v>0</v>
      </c>
      <c r="P38" s="84">
        <f>TrRoad_act!P119</f>
        <v>15</v>
      </c>
      <c r="Q38" s="84">
        <f>TrRoad_act!Q119</f>
        <v>17</v>
      </c>
      <c r="R38" s="84">
        <f>TrRoad_act!R119</f>
        <v>119</v>
      </c>
      <c r="S38" s="84">
        <f>TrRoad_act!S119</f>
        <v>315</v>
      </c>
      <c r="T38" s="84">
        <f>TrRoad_act!T119</f>
        <v>281</v>
      </c>
      <c r="U38" s="84">
        <f>TrRoad_act!U119</f>
        <v>209</v>
      </c>
      <c r="V38" s="84">
        <f>TrRoad_act!V119</f>
        <v>899</v>
      </c>
      <c r="W38" s="84">
        <f>TrRoad_act!W119</f>
        <v>1016</v>
      </c>
      <c r="X38" s="84">
        <f>TrRoad_act!X119</f>
        <v>1644</v>
      </c>
      <c r="Y38" s="84">
        <f>TrRoad_act!Y119</f>
        <v>2997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19</v>
      </c>
      <c r="N39" s="84">
        <f>TrRoad_act!N120</f>
        <v>1</v>
      </c>
      <c r="O39" s="84">
        <f>TrRoad_act!O120</f>
        <v>30</v>
      </c>
      <c r="P39" s="84">
        <f>TrRoad_act!P120</f>
        <v>63</v>
      </c>
      <c r="Q39" s="84">
        <f>TrRoad_act!Q120</f>
        <v>52</v>
      </c>
      <c r="R39" s="84">
        <f>TrRoad_act!R120</f>
        <v>63</v>
      </c>
      <c r="S39" s="84">
        <f>TrRoad_act!S120</f>
        <v>214</v>
      </c>
      <c r="T39" s="84">
        <f>TrRoad_act!T120</f>
        <v>398</v>
      </c>
      <c r="U39" s="84">
        <f>TrRoad_act!U120</f>
        <v>171</v>
      </c>
      <c r="V39" s="84">
        <f>TrRoad_act!V120</f>
        <v>919</v>
      </c>
      <c r="W39" s="84">
        <f>TrRoad_act!W120</f>
        <v>1141</v>
      </c>
      <c r="X39" s="84">
        <f>TrRoad_act!X120</f>
        <v>1537</v>
      </c>
      <c r="Y39" s="84">
        <f>TrRoad_act!Y120</f>
        <v>3380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272</v>
      </c>
      <c r="C40" s="110">
        <f>TrRoad_act!C121</f>
        <v>326</v>
      </c>
      <c r="D40" s="110">
        <f>TrRoad_act!D121</f>
        <v>351</v>
      </c>
      <c r="E40" s="110">
        <f>TrRoad_act!E121</f>
        <v>332</v>
      </c>
      <c r="F40" s="110">
        <f>TrRoad_act!F121</f>
        <v>332</v>
      </c>
      <c r="G40" s="110">
        <f>TrRoad_act!G121</f>
        <v>358</v>
      </c>
      <c r="H40" s="110">
        <f>TrRoad_act!H121</f>
        <v>520</v>
      </c>
      <c r="I40" s="110">
        <f>TrRoad_act!I121</f>
        <v>1689</v>
      </c>
      <c r="J40" s="110">
        <f>TrRoad_act!J121</f>
        <v>866</v>
      </c>
      <c r="K40" s="110">
        <f>TrRoad_act!K121</f>
        <v>1010</v>
      </c>
      <c r="L40" s="110">
        <f>TrRoad_act!L121</f>
        <v>818</v>
      </c>
      <c r="M40" s="110">
        <f>TrRoad_act!M121</f>
        <v>607</v>
      </c>
      <c r="N40" s="110">
        <f>TrRoad_act!N121</f>
        <v>570</v>
      </c>
      <c r="O40" s="110">
        <f>TrRoad_act!O121</f>
        <v>294</v>
      </c>
      <c r="P40" s="110">
        <f>TrRoad_act!P121</f>
        <v>453</v>
      </c>
      <c r="Q40" s="110">
        <f>TrRoad_act!Q121</f>
        <v>375</v>
      </c>
      <c r="R40" s="110">
        <f>TrRoad_act!R121</f>
        <v>607</v>
      </c>
      <c r="S40" s="110">
        <f>TrRoad_act!S121</f>
        <v>401</v>
      </c>
      <c r="T40" s="110">
        <f>TrRoad_act!T121</f>
        <v>356</v>
      </c>
      <c r="U40" s="110">
        <f>TrRoad_act!U121</f>
        <v>308</v>
      </c>
      <c r="V40" s="110">
        <f>TrRoad_act!V121</f>
        <v>297</v>
      </c>
      <c r="W40" s="110">
        <f>TrRoad_act!W121</f>
        <v>533</v>
      </c>
      <c r="X40" s="110">
        <f>TrRoad_act!X121</f>
        <v>406</v>
      </c>
      <c r="Y40" s="110">
        <f>TrRoad_act!Y121</f>
        <v>847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272</v>
      </c>
      <c r="C42" s="102">
        <f>TrRoad_act!C123</f>
        <v>326</v>
      </c>
      <c r="D42" s="102">
        <f>TrRoad_act!D123</f>
        <v>351</v>
      </c>
      <c r="E42" s="102">
        <f>TrRoad_act!E123</f>
        <v>332</v>
      </c>
      <c r="F42" s="102">
        <f>TrRoad_act!F123</f>
        <v>332</v>
      </c>
      <c r="G42" s="102">
        <f>TrRoad_act!G123</f>
        <v>358</v>
      </c>
      <c r="H42" s="102">
        <f>TrRoad_act!H123</f>
        <v>520</v>
      </c>
      <c r="I42" s="102">
        <f>TrRoad_act!I123</f>
        <v>1689</v>
      </c>
      <c r="J42" s="102">
        <f>TrRoad_act!J123</f>
        <v>866</v>
      </c>
      <c r="K42" s="102">
        <f>TrRoad_act!K123</f>
        <v>1010</v>
      </c>
      <c r="L42" s="102">
        <f>TrRoad_act!L123</f>
        <v>702</v>
      </c>
      <c r="M42" s="102">
        <f>TrRoad_act!M123</f>
        <v>455</v>
      </c>
      <c r="N42" s="102">
        <f>TrRoad_act!N123</f>
        <v>569</v>
      </c>
      <c r="O42" s="102">
        <f>TrRoad_act!O123</f>
        <v>294</v>
      </c>
      <c r="P42" s="102">
        <f>TrRoad_act!P123</f>
        <v>335</v>
      </c>
      <c r="Q42" s="102">
        <f>TrRoad_act!Q123</f>
        <v>285</v>
      </c>
      <c r="R42" s="102">
        <f>TrRoad_act!R123</f>
        <v>0</v>
      </c>
      <c r="S42" s="102">
        <f>TrRoad_act!S123</f>
        <v>323</v>
      </c>
      <c r="T42" s="102">
        <f>TrRoad_act!T123</f>
        <v>280</v>
      </c>
      <c r="U42" s="102">
        <f>TrRoad_act!U123</f>
        <v>268</v>
      </c>
      <c r="V42" s="102">
        <f>TrRoad_act!V123</f>
        <v>277</v>
      </c>
      <c r="W42" s="102">
        <f>TrRoad_act!W123</f>
        <v>529</v>
      </c>
      <c r="X42" s="102">
        <f>TrRoad_act!X123</f>
        <v>401</v>
      </c>
      <c r="Y42" s="102">
        <f>TrRoad_act!Y123</f>
        <v>789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516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3</v>
      </c>
      <c r="X44" s="102">
        <f>TrRoad_act!X125</f>
        <v>4</v>
      </c>
      <c r="Y44" s="102">
        <f>TrRoad_act!Y125</f>
        <v>11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116</v>
      </c>
      <c r="M45" s="102">
        <f>TrRoad_act!M126</f>
        <v>152</v>
      </c>
      <c r="N45" s="102">
        <f>TrRoad_act!N126</f>
        <v>1</v>
      </c>
      <c r="O45" s="102">
        <f>TrRoad_act!O126</f>
        <v>0</v>
      </c>
      <c r="P45" s="102">
        <f>TrRoad_act!P126</f>
        <v>118</v>
      </c>
      <c r="Q45" s="102">
        <f>TrRoad_act!Q126</f>
        <v>90</v>
      </c>
      <c r="R45" s="102">
        <f>TrRoad_act!R126</f>
        <v>91</v>
      </c>
      <c r="S45" s="102">
        <f>TrRoad_act!S126</f>
        <v>78</v>
      </c>
      <c r="T45" s="102">
        <f>TrRoad_act!T126</f>
        <v>76</v>
      </c>
      <c r="U45" s="102">
        <f>TrRoad_act!U126</f>
        <v>40</v>
      </c>
      <c r="V45" s="102">
        <f>TrRoad_act!V126</f>
        <v>20</v>
      </c>
      <c r="W45" s="102">
        <f>TrRoad_act!W126</f>
        <v>1</v>
      </c>
      <c r="X45" s="102">
        <f>TrRoad_act!X126</f>
        <v>1</v>
      </c>
      <c r="Y45" s="102">
        <f>TrRoad_act!Y126</f>
        <v>47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292</v>
      </c>
      <c r="C46" s="28">
        <f>TrRoad_act!C127</f>
        <v>8963</v>
      </c>
      <c r="D46" s="28">
        <f>TrRoad_act!D127</f>
        <v>14607</v>
      </c>
      <c r="E46" s="28">
        <f>TrRoad_act!E127</f>
        <v>17727</v>
      </c>
      <c r="F46" s="28">
        <f>TrRoad_act!F127</f>
        <v>18087</v>
      </c>
      <c r="G46" s="28">
        <f>TrRoad_act!G127</f>
        <v>26969</v>
      </c>
      <c r="H46" s="28">
        <f>TrRoad_act!H127</f>
        <v>24216</v>
      </c>
      <c r="I46" s="28">
        <f>TrRoad_act!I127</f>
        <v>34127</v>
      </c>
      <c r="J46" s="28">
        <f>TrRoad_act!J127</f>
        <v>39296</v>
      </c>
      <c r="K46" s="28">
        <f>TrRoad_act!K127</f>
        <v>30949</v>
      </c>
      <c r="L46" s="28">
        <f>TrRoad_act!L127</f>
        <v>27932</v>
      </c>
      <c r="M46" s="28">
        <f>TrRoad_act!M127</f>
        <v>14787</v>
      </c>
      <c r="N46" s="28">
        <f>TrRoad_act!N127</f>
        <v>14656</v>
      </c>
      <c r="O46" s="28">
        <f>TrRoad_act!O127</f>
        <v>29483</v>
      </c>
      <c r="P46" s="28">
        <f>TrRoad_act!P127</f>
        <v>32083</v>
      </c>
      <c r="Q46" s="28">
        <f>TrRoad_act!Q127</f>
        <v>25043</v>
      </c>
      <c r="R46" s="28">
        <f>TrRoad_act!R127</f>
        <v>33156</v>
      </c>
      <c r="S46" s="28">
        <f>TrRoad_act!S127</f>
        <v>21331</v>
      </c>
      <c r="T46" s="28">
        <f>TrRoad_act!T127</f>
        <v>10597</v>
      </c>
      <c r="U46" s="28">
        <f>TrRoad_act!U127</f>
        <v>27917</v>
      </c>
      <c r="V46" s="28">
        <f>TrRoad_act!V127</f>
        <v>13302</v>
      </c>
      <c r="W46" s="28">
        <f>TrRoad_act!W127</f>
        <v>11275</v>
      </c>
      <c r="X46" s="28">
        <f>TrRoad_act!X127</f>
        <v>23628</v>
      </c>
      <c r="Y46" s="28">
        <f>TrRoad_act!Y127</f>
        <v>27720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5355</v>
      </c>
      <c r="D47" s="137">
        <f>TrRoad_act!D128</f>
        <v>6239</v>
      </c>
      <c r="E47" s="137">
        <f>TrRoad_act!E128</f>
        <v>8097</v>
      </c>
      <c r="F47" s="137">
        <f>TrRoad_act!F128</f>
        <v>16975</v>
      </c>
      <c r="G47" s="137">
        <f>TrRoad_act!G128</f>
        <v>18435</v>
      </c>
      <c r="H47" s="137">
        <f>TrRoad_act!H128</f>
        <v>11451</v>
      </c>
      <c r="I47" s="137">
        <f>TrRoad_act!I128</f>
        <v>25809</v>
      </c>
      <c r="J47" s="137">
        <f>TrRoad_act!J128</f>
        <v>19065</v>
      </c>
      <c r="K47" s="137">
        <f>TrRoad_act!K128</f>
        <v>24237</v>
      </c>
      <c r="L47" s="137">
        <f>TrRoad_act!L128</f>
        <v>22244</v>
      </c>
      <c r="M47" s="137">
        <f>TrRoad_act!M128</f>
        <v>8647</v>
      </c>
      <c r="N47" s="137">
        <f>TrRoad_act!N128</f>
        <v>11849</v>
      </c>
      <c r="O47" s="137">
        <f>TrRoad_act!O128</f>
        <v>8260</v>
      </c>
      <c r="P47" s="137">
        <f>TrRoad_act!P128</f>
        <v>8013</v>
      </c>
      <c r="Q47" s="137">
        <f>TrRoad_act!Q128</f>
        <v>22705</v>
      </c>
      <c r="R47" s="137">
        <f>TrRoad_act!R128</f>
        <v>17440</v>
      </c>
      <c r="S47" s="137">
        <f>TrRoad_act!S128</f>
        <v>7375</v>
      </c>
      <c r="T47" s="137">
        <f>TrRoad_act!T128</f>
        <v>8804</v>
      </c>
      <c r="U47" s="137">
        <f>TrRoad_act!U128</f>
        <v>8170</v>
      </c>
      <c r="V47" s="137">
        <f>TrRoad_act!V128</f>
        <v>6136</v>
      </c>
      <c r="W47" s="137">
        <f>TrRoad_act!W128</f>
        <v>9128</v>
      </c>
      <c r="X47" s="137">
        <f>TrRoad_act!X128</f>
        <v>10912</v>
      </c>
      <c r="Y47" s="137">
        <f>TrRoad_act!Y128</f>
        <v>12032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1955</v>
      </c>
      <c r="D48" s="84">
        <f>TrRoad_act!D129</f>
        <v>2265</v>
      </c>
      <c r="E48" s="84">
        <f>TrRoad_act!E129</f>
        <v>2605</v>
      </c>
      <c r="F48" s="84">
        <f>TrRoad_act!F129</f>
        <v>13057</v>
      </c>
      <c r="G48" s="84">
        <f>TrRoad_act!G129</f>
        <v>3850</v>
      </c>
      <c r="H48" s="84">
        <f>TrRoad_act!H129</f>
        <v>5618</v>
      </c>
      <c r="I48" s="84">
        <f>TrRoad_act!I129</f>
        <v>7547</v>
      </c>
      <c r="J48" s="84">
        <f>TrRoad_act!J129</f>
        <v>5893</v>
      </c>
      <c r="K48" s="84">
        <f>TrRoad_act!K129</f>
        <v>4772</v>
      </c>
      <c r="L48" s="84">
        <f>TrRoad_act!L129</f>
        <v>0</v>
      </c>
      <c r="M48" s="84">
        <f>TrRoad_act!M129</f>
        <v>1011</v>
      </c>
      <c r="N48" s="84">
        <f>TrRoad_act!N129</f>
        <v>732</v>
      </c>
      <c r="O48" s="84">
        <f>TrRoad_act!O129</f>
        <v>3563</v>
      </c>
      <c r="P48" s="84">
        <f>TrRoad_act!P129</f>
        <v>182</v>
      </c>
      <c r="Q48" s="84">
        <f>TrRoad_act!Q129</f>
        <v>9673</v>
      </c>
      <c r="R48" s="84">
        <f>TrRoad_act!R129</f>
        <v>10144</v>
      </c>
      <c r="S48" s="84">
        <f>TrRoad_act!S129</f>
        <v>285</v>
      </c>
      <c r="T48" s="84">
        <f>TrRoad_act!T129</f>
        <v>951</v>
      </c>
      <c r="U48" s="84">
        <f>TrRoad_act!U129</f>
        <v>350</v>
      </c>
      <c r="V48" s="84">
        <f>TrRoad_act!V129</f>
        <v>160</v>
      </c>
      <c r="W48" s="84">
        <f>TrRoad_act!W129</f>
        <v>1695</v>
      </c>
      <c r="X48" s="84">
        <f>TrRoad_act!X129</f>
        <v>4061</v>
      </c>
      <c r="Y48" s="84">
        <f>TrRoad_act!Y129</f>
        <v>3927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3400</v>
      </c>
      <c r="D49" s="84">
        <f>TrRoad_act!D130</f>
        <v>3974</v>
      </c>
      <c r="E49" s="84">
        <f>TrRoad_act!E130</f>
        <v>5492</v>
      </c>
      <c r="F49" s="84">
        <f>TrRoad_act!F130</f>
        <v>3918</v>
      </c>
      <c r="G49" s="84">
        <f>TrRoad_act!G130</f>
        <v>14585</v>
      </c>
      <c r="H49" s="84">
        <f>TrRoad_act!H130</f>
        <v>5833</v>
      </c>
      <c r="I49" s="84">
        <f>TrRoad_act!I130</f>
        <v>18262</v>
      </c>
      <c r="J49" s="84">
        <f>TrRoad_act!J130</f>
        <v>13172</v>
      </c>
      <c r="K49" s="84">
        <f>TrRoad_act!K130</f>
        <v>19465</v>
      </c>
      <c r="L49" s="84">
        <f>TrRoad_act!L130</f>
        <v>22244</v>
      </c>
      <c r="M49" s="84">
        <f>TrRoad_act!M130</f>
        <v>7636</v>
      </c>
      <c r="N49" s="84">
        <f>TrRoad_act!N130</f>
        <v>11105</v>
      </c>
      <c r="O49" s="84">
        <f>TrRoad_act!O130</f>
        <v>4684</v>
      </c>
      <c r="P49" s="84">
        <f>TrRoad_act!P130</f>
        <v>5231</v>
      </c>
      <c r="Q49" s="84">
        <f>TrRoad_act!Q130</f>
        <v>12993</v>
      </c>
      <c r="R49" s="84">
        <f>TrRoad_act!R130</f>
        <v>6826</v>
      </c>
      <c r="S49" s="84">
        <f>TrRoad_act!S130</f>
        <v>6915</v>
      </c>
      <c r="T49" s="84">
        <f>TrRoad_act!T130</f>
        <v>7522</v>
      </c>
      <c r="U49" s="84">
        <f>TrRoad_act!U130</f>
        <v>7534</v>
      </c>
      <c r="V49" s="84">
        <f>TrRoad_act!V130</f>
        <v>5618</v>
      </c>
      <c r="W49" s="84">
        <f>TrRoad_act!W130</f>
        <v>7349</v>
      </c>
      <c r="X49" s="84">
        <f>TrRoad_act!X130</f>
        <v>6694</v>
      </c>
      <c r="Y49" s="84">
        <f>TrRoad_act!Y130</f>
        <v>7821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7</v>
      </c>
      <c r="O50" s="84">
        <f>TrRoad_act!O131</f>
        <v>5</v>
      </c>
      <c r="P50" s="84">
        <f>TrRoad_act!P131</f>
        <v>2595</v>
      </c>
      <c r="Q50" s="84">
        <f>TrRoad_act!Q131</f>
        <v>31</v>
      </c>
      <c r="R50" s="84">
        <f>TrRoad_act!R131</f>
        <v>272</v>
      </c>
      <c r="S50" s="84">
        <f>TrRoad_act!S131</f>
        <v>139</v>
      </c>
      <c r="T50" s="84">
        <f>TrRoad_act!T131</f>
        <v>147</v>
      </c>
      <c r="U50" s="84">
        <f>TrRoad_act!U131</f>
        <v>196</v>
      </c>
      <c r="V50" s="84">
        <f>TrRoad_act!V131</f>
        <v>127</v>
      </c>
      <c r="W50" s="84">
        <f>TrRoad_act!W131</f>
        <v>32</v>
      </c>
      <c r="X50" s="84">
        <f>TrRoad_act!X131</f>
        <v>38</v>
      </c>
      <c r="Y50" s="84">
        <f>TrRoad_act!Y131</f>
        <v>21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5</v>
      </c>
      <c r="O51" s="84">
        <f>TrRoad_act!O132</f>
        <v>6</v>
      </c>
      <c r="P51" s="84">
        <f>TrRoad_act!P132</f>
        <v>1</v>
      </c>
      <c r="Q51" s="84">
        <f>TrRoad_act!Q132</f>
        <v>3</v>
      </c>
      <c r="R51" s="84">
        <f>TrRoad_act!R132</f>
        <v>186</v>
      </c>
      <c r="S51" s="84">
        <f>TrRoad_act!S132</f>
        <v>9</v>
      </c>
      <c r="T51" s="84">
        <f>TrRoad_act!T132</f>
        <v>131</v>
      </c>
      <c r="U51" s="84">
        <f>TrRoad_act!U132</f>
        <v>67</v>
      </c>
      <c r="V51" s="84">
        <f>TrRoad_act!V132</f>
        <v>202</v>
      </c>
      <c r="W51" s="84">
        <f>TrRoad_act!W132</f>
        <v>3</v>
      </c>
      <c r="X51" s="84">
        <f>TrRoad_act!X132</f>
        <v>3</v>
      </c>
      <c r="Y51" s="84">
        <f>TrRoad_act!Y132</f>
        <v>2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2</v>
      </c>
      <c r="P52" s="84">
        <f>TrRoad_act!P133</f>
        <v>4</v>
      </c>
      <c r="Q52" s="84">
        <f>TrRoad_act!Q133</f>
        <v>5</v>
      </c>
      <c r="R52" s="84">
        <f>TrRoad_act!R133</f>
        <v>12</v>
      </c>
      <c r="S52" s="84">
        <f>TrRoad_act!S133</f>
        <v>27</v>
      </c>
      <c r="T52" s="84">
        <f>TrRoad_act!T133</f>
        <v>53</v>
      </c>
      <c r="U52" s="84">
        <f>TrRoad_act!U133</f>
        <v>23</v>
      </c>
      <c r="V52" s="84">
        <f>TrRoad_act!V133</f>
        <v>29</v>
      </c>
      <c r="W52" s="84">
        <f>TrRoad_act!W133</f>
        <v>49</v>
      </c>
      <c r="X52" s="84">
        <f>TrRoad_act!X133</f>
        <v>116</v>
      </c>
      <c r="Y52" s="84">
        <f>TrRoad_act!Y133</f>
        <v>261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292</v>
      </c>
      <c r="C53" s="110">
        <f>TrRoad_act!C134</f>
        <v>3608</v>
      </c>
      <c r="D53" s="110">
        <f>TrRoad_act!D134</f>
        <v>8368</v>
      </c>
      <c r="E53" s="110">
        <f>TrRoad_act!E134</f>
        <v>9630</v>
      </c>
      <c r="F53" s="110">
        <f>TrRoad_act!F134</f>
        <v>1112</v>
      </c>
      <c r="G53" s="110">
        <f>TrRoad_act!G134</f>
        <v>8534</v>
      </c>
      <c r="H53" s="110">
        <f>TrRoad_act!H134</f>
        <v>12765</v>
      </c>
      <c r="I53" s="110">
        <f>TrRoad_act!I134</f>
        <v>8318</v>
      </c>
      <c r="J53" s="110">
        <f>TrRoad_act!J134</f>
        <v>20231</v>
      </c>
      <c r="K53" s="110">
        <f>TrRoad_act!K134</f>
        <v>6712</v>
      </c>
      <c r="L53" s="110">
        <f>TrRoad_act!L134</f>
        <v>5688</v>
      </c>
      <c r="M53" s="110">
        <f>TrRoad_act!M134</f>
        <v>6140</v>
      </c>
      <c r="N53" s="110">
        <f>TrRoad_act!N134</f>
        <v>2807</v>
      </c>
      <c r="O53" s="110">
        <f>TrRoad_act!O134</f>
        <v>21223</v>
      </c>
      <c r="P53" s="110">
        <f>TrRoad_act!P134</f>
        <v>24070</v>
      </c>
      <c r="Q53" s="110">
        <f>TrRoad_act!Q134</f>
        <v>2338</v>
      </c>
      <c r="R53" s="110">
        <f>TrRoad_act!R134</f>
        <v>15716</v>
      </c>
      <c r="S53" s="110">
        <f>TrRoad_act!S134</f>
        <v>13956</v>
      </c>
      <c r="T53" s="110">
        <f>TrRoad_act!T134</f>
        <v>1793</v>
      </c>
      <c r="U53" s="110">
        <f>TrRoad_act!U134</f>
        <v>19747</v>
      </c>
      <c r="V53" s="110">
        <f>TrRoad_act!V134</f>
        <v>7166</v>
      </c>
      <c r="W53" s="110">
        <f>TrRoad_act!W134</f>
        <v>2147</v>
      </c>
      <c r="X53" s="110">
        <f>TrRoad_act!X134</f>
        <v>12716</v>
      </c>
      <c r="Y53" s="110">
        <f>TrRoad_act!Y134</f>
        <v>15688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3270</v>
      </c>
      <c r="D54" s="102">
        <f>TrRoad_act!D135</f>
        <v>8050</v>
      </c>
      <c r="E54" s="102">
        <f>TrRoad_act!E135</f>
        <v>9374</v>
      </c>
      <c r="F54" s="102">
        <f>TrRoad_act!F135</f>
        <v>288</v>
      </c>
      <c r="G54" s="102">
        <f>TrRoad_act!G135</f>
        <v>8152</v>
      </c>
      <c r="H54" s="102">
        <f>TrRoad_act!H135</f>
        <v>12281</v>
      </c>
      <c r="I54" s="102">
        <f>TrRoad_act!I135</f>
        <v>6905</v>
      </c>
      <c r="J54" s="102">
        <f>TrRoad_act!J135</f>
        <v>19984</v>
      </c>
      <c r="K54" s="102">
        <f>TrRoad_act!K135</f>
        <v>6508</v>
      </c>
      <c r="L54" s="102">
        <f>TrRoad_act!L135</f>
        <v>5067</v>
      </c>
      <c r="M54" s="102">
        <f>TrRoad_act!M135</f>
        <v>5336</v>
      </c>
      <c r="N54" s="102">
        <f>TrRoad_act!N135</f>
        <v>2309</v>
      </c>
      <c r="O54" s="102">
        <f>TrRoad_act!O135</f>
        <v>20307</v>
      </c>
      <c r="P54" s="102">
        <f>TrRoad_act!P135</f>
        <v>23527</v>
      </c>
      <c r="Q54" s="102">
        <f>TrRoad_act!Q135</f>
        <v>1216</v>
      </c>
      <c r="R54" s="102">
        <f>TrRoad_act!R135</f>
        <v>14677</v>
      </c>
      <c r="S54" s="102">
        <f>TrRoad_act!S135</f>
        <v>12815</v>
      </c>
      <c r="T54" s="102">
        <f>TrRoad_act!T135</f>
        <v>1322</v>
      </c>
      <c r="U54" s="102">
        <f>TrRoad_act!U135</f>
        <v>18773</v>
      </c>
      <c r="V54" s="102">
        <f>TrRoad_act!V135</f>
        <v>6818</v>
      </c>
      <c r="W54" s="102">
        <f>TrRoad_act!W135</f>
        <v>1445</v>
      </c>
      <c r="X54" s="102">
        <f>TrRoad_act!X135</f>
        <v>11325</v>
      </c>
      <c r="Y54" s="102">
        <f>TrRoad_act!Y135</f>
        <v>15329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292</v>
      </c>
      <c r="C55" s="86">
        <f>TrRoad_act!C136</f>
        <v>338</v>
      </c>
      <c r="D55" s="86">
        <f>TrRoad_act!D136</f>
        <v>318</v>
      </c>
      <c r="E55" s="86">
        <f>TrRoad_act!E136</f>
        <v>256</v>
      </c>
      <c r="F55" s="86">
        <f>TrRoad_act!F136</f>
        <v>824</v>
      </c>
      <c r="G55" s="86">
        <f>TrRoad_act!G136</f>
        <v>382</v>
      </c>
      <c r="H55" s="86">
        <f>TrRoad_act!H136</f>
        <v>484</v>
      </c>
      <c r="I55" s="86">
        <f>TrRoad_act!I136</f>
        <v>1413</v>
      </c>
      <c r="J55" s="86">
        <f>TrRoad_act!J136</f>
        <v>247</v>
      </c>
      <c r="K55" s="86">
        <f>TrRoad_act!K136</f>
        <v>204</v>
      </c>
      <c r="L55" s="86">
        <f>TrRoad_act!L136</f>
        <v>621</v>
      </c>
      <c r="M55" s="86">
        <f>TrRoad_act!M136</f>
        <v>804</v>
      </c>
      <c r="N55" s="86">
        <f>TrRoad_act!N136</f>
        <v>498</v>
      </c>
      <c r="O55" s="86">
        <f>TrRoad_act!O136</f>
        <v>916</v>
      </c>
      <c r="P55" s="86">
        <f>TrRoad_act!P136</f>
        <v>543</v>
      </c>
      <c r="Q55" s="86">
        <f>TrRoad_act!Q136</f>
        <v>1122</v>
      </c>
      <c r="R55" s="86">
        <f>TrRoad_act!R136</f>
        <v>1039</v>
      </c>
      <c r="S55" s="86">
        <f>TrRoad_act!S136</f>
        <v>1141</v>
      </c>
      <c r="T55" s="86">
        <f>TrRoad_act!T136</f>
        <v>471</v>
      </c>
      <c r="U55" s="86">
        <f>TrRoad_act!U136</f>
        <v>974</v>
      </c>
      <c r="V55" s="86">
        <f>TrRoad_act!V136</f>
        <v>348</v>
      </c>
      <c r="W55" s="86">
        <f>TrRoad_act!W136</f>
        <v>702</v>
      </c>
      <c r="X55" s="86">
        <f>TrRoad_act!X136</f>
        <v>1391</v>
      </c>
      <c r="Y55" s="86">
        <f>TrRoad_act!Y136</f>
        <v>359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0</v>
      </c>
      <c r="C59" s="54">
        <f t="shared" si="0"/>
        <v>0</v>
      </c>
      <c r="D59" s="54">
        <f t="shared" si="0"/>
        <v>0</v>
      </c>
      <c r="E59" s="54">
        <f t="shared" si="0"/>
        <v>418</v>
      </c>
      <c r="F59" s="54">
        <f t="shared" si="0"/>
        <v>2923</v>
      </c>
      <c r="G59" s="54">
        <f t="shared" si="0"/>
        <v>3954</v>
      </c>
      <c r="H59" s="54">
        <f t="shared" si="0"/>
        <v>12624</v>
      </c>
      <c r="I59" s="54">
        <f t="shared" si="0"/>
        <v>96321</v>
      </c>
      <c r="J59" s="54">
        <f t="shared" si="0"/>
        <v>132021</v>
      </c>
      <c r="K59" s="54">
        <f t="shared" si="0"/>
        <v>103486</v>
      </c>
      <c r="L59" s="54">
        <f t="shared" ref="L59" si="1">L60+L75</f>
        <v>143983</v>
      </c>
      <c r="M59" s="54">
        <f t="shared" ref="M59:V59" si="2">M60+M75</f>
        <v>142803</v>
      </c>
      <c r="N59" s="54">
        <f t="shared" si="2"/>
        <v>159919</v>
      </c>
      <c r="O59" s="54">
        <f t="shared" si="2"/>
        <v>169490</v>
      </c>
      <c r="P59" s="54">
        <f t="shared" si="2"/>
        <v>192249</v>
      </c>
      <c r="Q59" s="54">
        <f t="shared" si="2"/>
        <v>208841</v>
      </c>
      <c r="R59" s="54">
        <f t="shared" si="2"/>
        <v>227973</v>
      </c>
      <c r="S59" s="54">
        <f t="shared" si="2"/>
        <v>205595</v>
      </c>
      <c r="T59" s="54">
        <f t="shared" si="2"/>
        <v>199651</v>
      </c>
      <c r="U59" s="54">
        <f t="shared" si="2"/>
        <v>202264</v>
      </c>
      <c r="V59" s="54">
        <f t="shared" si="2"/>
        <v>168977</v>
      </c>
      <c r="W59" s="54">
        <f t="shared" ref="W59:Y59" si="3">W60+W75</f>
        <v>229269</v>
      </c>
      <c r="X59" s="54">
        <f t="shared" si="3"/>
        <v>253983</v>
      </c>
      <c r="Y59" s="54">
        <f t="shared" si="3"/>
        <v>283509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0</v>
      </c>
      <c r="D60" s="28">
        <f t="shared" si="4"/>
        <v>0</v>
      </c>
      <c r="E60" s="28">
        <f t="shared" si="4"/>
        <v>418</v>
      </c>
      <c r="F60" s="28">
        <f t="shared" si="4"/>
        <v>1947</v>
      </c>
      <c r="G60" s="28">
        <f t="shared" si="4"/>
        <v>2997</v>
      </c>
      <c r="H60" s="28">
        <f t="shared" si="4"/>
        <v>10715</v>
      </c>
      <c r="I60" s="28">
        <f t="shared" si="4"/>
        <v>90924</v>
      </c>
      <c r="J60" s="28">
        <f t="shared" si="4"/>
        <v>118748</v>
      </c>
      <c r="K60" s="28">
        <f t="shared" si="4"/>
        <v>93492</v>
      </c>
      <c r="L60" s="28">
        <f t="shared" ref="L60" si="5">L61+L62+L69</f>
        <v>128132</v>
      </c>
      <c r="M60" s="28">
        <f t="shared" ref="M60:V60" si="6">M61+M62+M69</f>
        <v>132702</v>
      </c>
      <c r="N60" s="28">
        <f t="shared" si="6"/>
        <v>149699</v>
      </c>
      <c r="O60" s="28">
        <f t="shared" si="6"/>
        <v>144131</v>
      </c>
      <c r="P60" s="28">
        <f t="shared" si="6"/>
        <v>162837</v>
      </c>
      <c r="Q60" s="28">
        <f t="shared" si="6"/>
        <v>187957</v>
      </c>
      <c r="R60" s="28">
        <f t="shared" si="6"/>
        <v>197506</v>
      </c>
      <c r="S60" s="28">
        <f t="shared" si="6"/>
        <v>185191</v>
      </c>
      <c r="T60" s="28">
        <f t="shared" si="6"/>
        <v>189628</v>
      </c>
      <c r="U60" s="28">
        <f t="shared" si="6"/>
        <v>174745</v>
      </c>
      <c r="V60" s="28">
        <f t="shared" si="6"/>
        <v>155813</v>
      </c>
      <c r="W60" s="28">
        <f t="shared" ref="W60:Y60" si="7">W61+W62+W69</f>
        <v>218086</v>
      </c>
      <c r="X60" s="28">
        <f t="shared" si="7"/>
        <v>230417</v>
      </c>
      <c r="Y60" s="28">
        <f t="shared" si="7"/>
        <v>255789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0</v>
      </c>
      <c r="E61" s="137">
        <v>372</v>
      </c>
      <c r="F61" s="137">
        <v>1854</v>
      </c>
      <c r="G61" s="137">
        <v>2857</v>
      </c>
      <c r="H61" s="137">
        <v>1656</v>
      </c>
      <c r="I61" s="137">
        <v>4869</v>
      </c>
      <c r="J61" s="137">
        <v>6016</v>
      </c>
      <c r="K61" s="137">
        <v>8513</v>
      </c>
      <c r="L61" s="137">
        <v>7019</v>
      </c>
      <c r="M61" s="137">
        <v>7501</v>
      </c>
      <c r="N61" s="137">
        <v>7820</v>
      </c>
      <c r="O61" s="137">
        <v>9109</v>
      </c>
      <c r="P61" s="137">
        <v>10064</v>
      </c>
      <c r="Q61" s="137">
        <v>11902</v>
      </c>
      <c r="R61" s="137">
        <v>9278</v>
      </c>
      <c r="S61" s="137">
        <v>11725</v>
      </c>
      <c r="T61" s="137">
        <v>11973</v>
      </c>
      <c r="U61" s="137">
        <v>12096</v>
      </c>
      <c r="V61" s="137">
        <v>12160</v>
      </c>
      <c r="W61" s="137">
        <v>13322</v>
      </c>
      <c r="X61" s="137">
        <v>14218</v>
      </c>
      <c r="Y61" s="137">
        <v>14200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0</v>
      </c>
      <c r="F62" s="110">
        <f t="shared" si="8"/>
        <v>0</v>
      </c>
      <c r="G62" s="110">
        <f t="shared" si="8"/>
        <v>0</v>
      </c>
      <c r="H62" s="110">
        <f t="shared" si="8"/>
        <v>8805</v>
      </c>
      <c r="I62" s="110">
        <f t="shared" si="8"/>
        <v>85076</v>
      </c>
      <c r="J62" s="110">
        <f t="shared" si="8"/>
        <v>112160</v>
      </c>
      <c r="K62" s="110">
        <f t="shared" si="8"/>
        <v>84241</v>
      </c>
      <c r="L62" s="110">
        <f t="shared" ref="L62" si="9">SUM(L63:L68)</f>
        <v>120466</v>
      </c>
      <c r="M62" s="110">
        <f t="shared" ref="M62:V62" si="10">SUM(M63:M68)</f>
        <v>124690</v>
      </c>
      <c r="N62" s="110">
        <f t="shared" si="10"/>
        <v>141373</v>
      </c>
      <c r="O62" s="110">
        <f t="shared" si="10"/>
        <v>134751</v>
      </c>
      <c r="P62" s="110">
        <f t="shared" si="10"/>
        <v>152345</v>
      </c>
      <c r="Q62" s="110">
        <f t="shared" si="10"/>
        <v>175694</v>
      </c>
      <c r="R62" s="110">
        <f t="shared" si="10"/>
        <v>187928</v>
      </c>
      <c r="S62" s="110">
        <f t="shared" si="10"/>
        <v>173069</v>
      </c>
      <c r="T62" s="110">
        <f t="shared" si="10"/>
        <v>177300</v>
      </c>
      <c r="U62" s="110">
        <f t="shared" si="10"/>
        <v>162341</v>
      </c>
      <c r="V62" s="110">
        <f t="shared" si="10"/>
        <v>143356</v>
      </c>
      <c r="W62" s="110">
        <f t="shared" ref="W62:Y62" si="11">SUM(W63:W68)</f>
        <v>204231</v>
      </c>
      <c r="X62" s="110">
        <f t="shared" si="11"/>
        <v>215793</v>
      </c>
      <c r="Y62" s="110">
        <f t="shared" si="11"/>
        <v>240742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5850</v>
      </c>
      <c r="I63" s="84">
        <v>67390</v>
      </c>
      <c r="J63" s="84">
        <v>91153</v>
      </c>
      <c r="K63" s="84">
        <v>64850</v>
      </c>
      <c r="L63" s="84">
        <v>97722</v>
      </c>
      <c r="M63" s="84">
        <v>74700</v>
      </c>
      <c r="N63" s="84">
        <v>110176</v>
      </c>
      <c r="O63" s="84">
        <v>107007</v>
      </c>
      <c r="P63" s="84">
        <v>112408</v>
      </c>
      <c r="Q63" s="84">
        <v>134680</v>
      </c>
      <c r="R63" s="84">
        <v>125255</v>
      </c>
      <c r="S63" s="84">
        <v>128811</v>
      </c>
      <c r="T63" s="84">
        <v>133370</v>
      </c>
      <c r="U63" s="84">
        <v>120821</v>
      </c>
      <c r="V63" s="84">
        <v>97256</v>
      </c>
      <c r="W63" s="84">
        <v>147082</v>
      </c>
      <c r="X63" s="84">
        <v>180553</v>
      </c>
      <c r="Y63" s="84">
        <v>199870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2955</v>
      </c>
      <c r="I64" s="84">
        <v>16545</v>
      </c>
      <c r="J64" s="84">
        <v>21007</v>
      </c>
      <c r="K64" s="84">
        <v>19154</v>
      </c>
      <c r="L64" s="84">
        <v>21065</v>
      </c>
      <c r="M64" s="84">
        <v>23034</v>
      </c>
      <c r="N64" s="84">
        <v>26758</v>
      </c>
      <c r="O64" s="84">
        <v>23202</v>
      </c>
      <c r="P64" s="84">
        <v>37949</v>
      </c>
      <c r="Q64" s="84">
        <v>36749</v>
      </c>
      <c r="R64" s="84">
        <v>62009</v>
      </c>
      <c r="S64" s="84">
        <v>43145</v>
      </c>
      <c r="T64" s="84">
        <v>42466</v>
      </c>
      <c r="U64" s="84">
        <v>40628</v>
      </c>
      <c r="V64" s="84">
        <v>43337</v>
      </c>
      <c r="W64" s="84">
        <v>53687</v>
      </c>
      <c r="X64" s="84">
        <v>29996</v>
      </c>
      <c r="Y64" s="84">
        <v>32083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191</v>
      </c>
      <c r="M65" s="84">
        <v>26931</v>
      </c>
      <c r="N65" s="84">
        <v>4392</v>
      </c>
      <c r="O65" s="84">
        <v>4516</v>
      </c>
      <c r="P65" s="84">
        <v>503</v>
      </c>
      <c r="Q65" s="84">
        <v>4092</v>
      </c>
      <c r="R65" s="84">
        <v>433</v>
      </c>
      <c r="S65" s="84">
        <v>641</v>
      </c>
      <c r="T65" s="84">
        <v>647</v>
      </c>
      <c r="U65" s="84">
        <v>374</v>
      </c>
      <c r="V65" s="84">
        <v>561</v>
      </c>
      <c r="W65" s="84">
        <v>969</v>
      </c>
      <c r="X65" s="84">
        <v>1432</v>
      </c>
      <c r="Y65" s="84">
        <v>1733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1141</v>
      </c>
      <c r="J66" s="84">
        <v>0</v>
      </c>
      <c r="K66" s="84">
        <v>237</v>
      </c>
      <c r="L66" s="84">
        <v>1488</v>
      </c>
      <c r="M66" s="84">
        <v>25</v>
      </c>
      <c r="N66" s="84">
        <v>47</v>
      </c>
      <c r="O66" s="84">
        <v>21</v>
      </c>
      <c r="P66" s="84">
        <v>1436</v>
      </c>
      <c r="Q66" s="84">
        <v>125</v>
      </c>
      <c r="R66" s="84">
        <v>170</v>
      </c>
      <c r="S66" s="84">
        <v>111</v>
      </c>
      <c r="T66" s="84">
        <v>180</v>
      </c>
      <c r="U66" s="84">
        <v>148</v>
      </c>
      <c r="V66" s="84">
        <v>401</v>
      </c>
      <c r="W66" s="84">
        <v>341</v>
      </c>
      <c r="X66" s="84">
        <v>632</v>
      </c>
      <c r="Y66" s="84">
        <v>679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154</v>
      </c>
      <c r="T67" s="84">
        <v>247</v>
      </c>
      <c r="U67" s="84">
        <v>201</v>
      </c>
      <c r="V67" s="84">
        <v>888</v>
      </c>
      <c r="W67" s="84">
        <v>1014</v>
      </c>
      <c r="X67" s="84">
        <v>1644</v>
      </c>
      <c r="Y67" s="84">
        <v>2997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5</v>
      </c>
      <c r="P68" s="84">
        <v>49</v>
      </c>
      <c r="Q68" s="84">
        <v>48</v>
      </c>
      <c r="R68" s="84">
        <v>61</v>
      </c>
      <c r="S68" s="84">
        <v>207</v>
      </c>
      <c r="T68" s="84">
        <v>390</v>
      </c>
      <c r="U68" s="84">
        <v>169</v>
      </c>
      <c r="V68" s="84">
        <v>913</v>
      </c>
      <c r="W68" s="84">
        <v>1138</v>
      </c>
      <c r="X68" s="84">
        <v>1536</v>
      </c>
      <c r="Y68" s="84">
        <v>3380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46</v>
      </c>
      <c r="F69" s="110">
        <f t="shared" si="12"/>
        <v>93</v>
      </c>
      <c r="G69" s="110">
        <f t="shared" si="12"/>
        <v>140</v>
      </c>
      <c r="H69" s="110">
        <f t="shared" si="12"/>
        <v>254</v>
      </c>
      <c r="I69" s="110">
        <f t="shared" si="12"/>
        <v>979</v>
      </c>
      <c r="J69" s="110">
        <f t="shared" si="12"/>
        <v>572</v>
      </c>
      <c r="K69" s="110">
        <f t="shared" si="12"/>
        <v>738</v>
      </c>
      <c r="L69" s="110">
        <f t="shared" ref="L69" si="13">SUM(L70:L74)</f>
        <v>647</v>
      </c>
      <c r="M69" s="110">
        <f t="shared" ref="M69:V69" si="14">SUM(M70:M74)</f>
        <v>511</v>
      </c>
      <c r="N69" s="110">
        <f t="shared" si="14"/>
        <v>506</v>
      </c>
      <c r="O69" s="110">
        <f t="shared" si="14"/>
        <v>271</v>
      </c>
      <c r="P69" s="110">
        <f t="shared" si="14"/>
        <v>428</v>
      </c>
      <c r="Q69" s="110">
        <f t="shared" si="14"/>
        <v>361</v>
      </c>
      <c r="R69" s="110">
        <f t="shared" si="14"/>
        <v>300</v>
      </c>
      <c r="S69" s="110">
        <f t="shared" si="14"/>
        <v>397</v>
      </c>
      <c r="T69" s="110">
        <f t="shared" si="14"/>
        <v>355</v>
      </c>
      <c r="U69" s="110">
        <f t="shared" si="14"/>
        <v>308</v>
      </c>
      <c r="V69" s="110">
        <f t="shared" si="14"/>
        <v>297</v>
      </c>
      <c r="W69" s="110">
        <f t="shared" ref="W69:Y69" si="15">SUM(W70:W74)</f>
        <v>533</v>
      </c>
      <c r="X69" s="110">
        <f t="shared" si="15"/>
        <v>406</v>
      </c>
      <c r="Y69" s="110">
        <f t="shared" si="15"/>
        <v>847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46</v>
      </c>
      <c r="F71" s="102">
        <v>93</v>
      </c>
      <c r="G71" s="102">
        <v>140</v>
      </c>
      <c r="H71" s="102">
        <v>254</v>
      </c>
      <c r="I71" s="102">
        <v>979</v>
      </c>
      <c r="J71" s="102">
        <v>572</v>
      </c>
      <c r="K71" s="102">
        <v>738</v>
      </c>
      <c r="L71" s="102">
        <v>555</v>
      </c>
      <c r="M71" s="102">
        <v>384</v>
      </c>
      <c r="N71" s="102">
        <v>505</v>
      </c>
      <c r="O71" s="102">
        <v>271</v>
      </c>
      <c r="P71" s="102">
        <v>319</v>
      </c>
      <c r="Q71" s="102">
        <v>276</v>
      </c>
      <c r="R71" s="102">
        <v>0</v>
      </c>
      <c r="S71" s="102">
        <v>321</v>
      </c>
      <c r="T71" s="102">
        <v>280</v>
      </c>
      <c r="U71" s="102">
        <v>268</v>
      </c>
      <c r="V71" s="102">
        <v>277</v>
      </c>
      <c r="W71" s="102">
        <v>529</v>
      </c>
      <c r="X71" s="102">
        <v>401</v>
      </c>
      <c r="Y71" s="102">
        <v>789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212</v>
      </c>
      <c r="S73" s="102">
        <v>0</v>
      </c>
      <c r="T73" s="102">
        <v>0</v>
      </c>
      <c r="U73" s="102">
        <v>0</v>
      </c>
      <c r="V73" s="102">
        <v>0</v>
      </c>
      <c r="W73" s="102">
        <v>3</v>
      </c>
      <c r="X73" s="102">
        <v>4</v>
      </c>
      <c r="Y73" s="102">
        <v>11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92</v>
      </c>
      <c r="M74" s="102">
        <v>127</v>
      </c>
      <c r="N74" s="102">
        <v>1</v>
      </c>
      <c r="O74" s="102">
        <v>0</v>
      </c>
      <c r="P74" s="102">
        <v>109</v>
      </c>
      <c r="Q74" s="102">
        <v>85</v>
      </c>
      <c r="R74" s="102">
        <v>88</v>
      </c>
      <c r="S74" s="102">
        <v>76</v>
      </c>
      <c r="T74" s="102">
        <v>75</v>
      </c>
      <c r="U74" s="102">
        <v>40</v>
      </c>
      <c r="V74" s="102">
        <v>20</v>
      </c>
      <c r="W74" s="102">
        <v>1</v>
      </c>
      <c r="X74" s="102">
        <v>1</v>
      </c>
      <c r="Y74" s="102">
        <v>47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976</v>
      </c>
      <c r="G75" s="28">
        <f t="shared" si="16"/>
        <v>957</v>
      </c>
      <c r="H75" s="28">
        <f t="shared" si="16"/>
        <v>1909</v>
      </c>
      <c r="I75" s="28">
        <f t="shared" si="16"/>
        <v>5397</v>
      </c>
      <c r="J75" s="28">
        <f t="shared" si="16"/>
        <v>13273</v>
      </c>
      <c r="K75" s="28">
        <f t="shared" si="16"/>
        <v>9994</v>
      </c>
      <c r="L75" s="28">
        <f t="shared" ref="L75" si="17">L76+L82</f>
        <v>15851</v>
      </c>
      <c r="M75" s="28">
        <f t="shared" ref="M75:V75" si="18">M76+M82</f>
        <v>10101</v>
      </c>
      <c r="N75" s="28">
        <f t="shared" si="18"/>
        <v>10220</v>
      </c>
      <c r="O75" s="28">
        <f t="shared" si="18"/>
        <v>25359</v>
      </c>
      <c r="P75" s="28">
        <f t="shared" si="18"/>
        <v>29412</v>
      </c>
      <c r="Q75" s="28">
        <f t="shared" si="18"/>
        <v>20884</v>
      </c>
      <c r="R75" s="28">
        <f t="shared" si="18"/>
        <v>30467</v>
      </c>
      <c r="S75" s="28">
        <f t="shared" si="18"/>
        <v>20404</v>
      </c>
      <c r="T75" s="28">
        <f t="shared" si="18"/>
        <v>10023</v>
      </c>
      <c r="U75" s="28">
        <f t="shared" si="18"/>
        <v>27519</v>
      </c>
      <c r="V75" s="28">
        <f t="shared" si="18"/>
        <v>13164</v>
      </c>
      <c r="W75" s="28">
        <f t="shared" ref="W75:Y75" si="19">W76+W82</f>
        <v>11183</v>
      </c>
      <c r="X75" s="28">
        <f t="shared" si="19"/>
        <v>23566</v>
      </c>
      <c r="Y75" s="28">
        <f t="shared" si="19"/>
        <v>27720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976</v>
      </c>
      <c r="G76" s="137">
        <f t="shared" si="20"/>
        <v>957</v>
      </c>
      <c r="H76" s="137">
        <f t="shared" si="20"/>
        <v>1693</v>
      </c>
      <c r="I76" s="137">
        <f t="shared" si="20"/>
        <v>2701</v>
      </c>
      <c r="J76" s="137">
        <f t="shared" si="20"/>
        <v>2459</v>
      </c>
      <c r="K76" s="137">
        <f t="shared" si="20"/>
        <v>5609</v>
      </c>
      <c r="L76" s="137">
        <f t="shared" ref="L76" si="21">SUM(L77:L81)</f>
        <v>11609</v>
      </c>
      <c r="M76" s="137">
        <f t="shared" ref="M76:V76" si="22">SUM(M77:M81)</f>
        <v>5136</v>
      </c>
      <c r="N76" s="137">
        <f t="shared" si="22"/>
        <v>7832</v>
      </c>
      <c r="O76" s="137">
        <f t="shared" si="22"/>
        <v>5965</v>
      </c>
      <c r="P76" s="137">
        <f t="shared" si="22"/>
        <v>6639</v>
      </c>
      <c r="Q76" s="137">
        <f t="shared" si="22"/>
        <v>18842</v>
      </c>
      <c r="R76" s="137">
        <f t="shared" si="22"/>
        <v>15211</v>
      </c>
      <c r="S76" s="137">
        <f t="shared" si="22"/>
        <v>6770</v>
      </c>
      <c r="T76" s="137">
        <f t="shared" si="22"/>
        <v>8311</v>
      </c>
      <c r="U76" s="137">
        <f t="shared" si="22"/>
        <v>7929</v>
      </c>
      <c r="V76" s="137">
        <f t="shared" si="22"/>
        <v>6037</v>
      </c>
      <c r="W76" s="137">
        <f t="shared" ref="W76:Y76" si="23">SUM(W77:W81)</f>
        <v>9086</v>
      </c>
      <c r="X76" s="137">
        <f t="shared" si="23"/>
        <v>10902</v>
      </c>
      <c r="Y76" s="137">
        <f t="shared" si="23"/>
        <v>12032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976</v>
      </c>
      <c r="G77" s="84">
        <v>957</v>
      </c>
      <c r="H77" s="84">
        <v>1693</v>
      </c>
      <c r="I77" s="84">
        <v>2701</v>
      </c>
      <c r="J77" s="84">
        <v>2459</v>
      </c>
      <c r="K77" s="84">
        <v>2284</v>
      </c>
      <c r="L77" s="84">
        <v>0</v>
      </c>
      <c r="M77" s="84">
        <v>608</v>
      </c>
      <c r="N77" s="84">
        <v>484</v>
      </c>
      <c r="O77" s="84">
        <v>2556</v>
      </c>
      <c r="P77" s="84">
        <v>140</v>
      </c>
      <c r="Q77" s="84">
        <v>7919</v>
      </c>
      <c r="R77" s="84">
        <v>8743</v>
      </c>
      <c r="S77" s="84">
        <v>256</v>
      </c>
      <c r="T77" s="84">
        <v>886</v>
      </c>
      <c r="U77" s="84">
        <v>335</v>
      </c>
      <c r="V77" s="84">
        <v>156</v>
      </c>
      <c r="W77" s="84">
        <v>1678</v>
      </c>
      <c r="X77" s="84">
        <v>4051</v>
      </c>
      <c r="Y77" s="84">
        <v>3927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3325</v>
      </c>
      <c r="L78" s="84">
        <v>11609</v>
      </c>
      <c r="M78" s="84">
        <v>4528</v>
      </c>
      <c r="N78" s="84">
        <v>7348</v>
      </c>
      <c r="O78" s="84">
        <v>3403</v>
      </c>
      <c r="P78" s="84">
        <v>4109</v>
      </c>
      <c r="Q78" s="84">
        <v>10889</v>
      </c>
      <c r="R78" s="84">
        <v>6030</v>
      </c>
      <c r="S78" s="84">
        <v>6369</v>
      </c>
      <c r="T78" s="84">
        <v>7152</v>
      </c>
      <c r="U78" s="84">
        <v>7332</v>
      </c>
      <c r="V78" s="84">
        <v>5553</v>
      </c>
      <c r="W78" s="84">
        <v>7329</v>
      </c>
      <c r="X78" s="84">
        <v>6694</v>
      </c>
      <c r="Y78" s="84">
        <v>7821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2389</v>
      </c>
      <c r="Q79" s="84">
        <v>31</v>
      </c>
      <c r="R79" s="84">
        <v>262</v>
      </c>
      <c r="S79" s="84">
        <v>136</v>
      </c>
      <c r="T79" s="84">
        <v>145</v>
      </c>
      <c r="U79" s="84">
        <v>195</v>
      </c>
      <c r="V79" s="84">
        <v>127</v>
      </c>
      <c r="W79" s="84">
        <v>32</v>
      </c>
      <c r="X79" s="84">
        <v>38</v>
      </c>
      <c r="Y79" s="84">
        <v>21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4</v>
      </c>
      <c r="P80" s="84">
        <v>1</v>
      </c>
      <c r="Q80" s="84">
        <v>3</v>
      </c>
      <c r="R80" s="84">
        <v>176</v>
      </c>
      <c r="S80" s="84">
        <v>9</v>
      </c>
      <c r="T80" s="84">
        <v>128</v>
      </c>
      <c r="U80" s="84">
        <v>67</v>
      </c>
      <c r="V80" s="84">
        <v>201</v>
      </c>
      <c r="W80" s="84">
        <v>3</v>
      </c>
      <c r="X80" s="84">
        <v>3</v>
      </c>
      <c r="Y80" s="84">
        <v>2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44</v>
      </c>
      <c r="X81" s="84">
        <v>116</v>
      </c>
      <c r="Y81" s="84">
        <v>261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216</v>
      </c>
      <c r="I82" s="110">
        <f t="shared" si="24"/>
        <v>2696</v>
      </c>
      <c r="J82" s="110">
        <f t="shared" si="24"/>
        <v>10814</v>
      </c>
      <c r="K82" s="110">
        <f t="shared" si="24"/>
        <v>4385</v>
      </c>
      <c r="L82" s="110">
        <f t="shared" ref="L82" si="25">SUM(L83:L84)</f>
        <v>4242</v>
      </c>
      <c r="M82" s="110">
        <f t="shared" ref="M82:V82" si="26">SUM(M83:M84)</f>
        <v>4965</v>
      </c>
      <c r="N82" s="110">
        <f t="shared" si="26"/>
        <v>2388</v>
      </c>
      <c r="O82" s="110">
        <f t="shared" si="26"/>
        <v>19394</v>
      </c>
      <c r="P82" s="110">
        <f t="shared" si="26"/>
        <v>22773</v>
      </c>
      <c r="Q82" s="110">
        <f t="shared" si="26"/>
        <v>2042</v>
      </c>
      <c r="R82" s="110">
        <f t="shared" si="26"/>
        <v>15256</v>
      </c>
      <c r="S82" s="110">
        <f t="shared" si="26"/>
        <v>13634</v>
      </c>
      <c r="T82" s="110">
        <f t="shared" si="26"/>
        <v>1712</v>
      </c>
      <c r="U82" s="110">
        <f t="shared" si="26"/>
        <v>19590</v>
      </c>
      <c r="V82" s="110">
        <f t="shared" si="26"/>
        <v>7127</v>
      </c>
      <c r="W82" s="110">
        <f t="shared" ref="W82:Y82" si="27">SUM(W83:W84)</f>
        <v>2097</v>
      </c>
      <c r="X82" s="110">
        <f t="shared" si="27"/>
        <v>12664</v>
      </c>
      <c r="Y82" s="110">
        <f t="shared" si="27"/>
        <v>15688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216</v>
      </c>
      <c r="I83" s="102">
        <v>2696</v>
      </c>
      <c r="J83" s="102">
        <v>10814</v>
      </c>
      <c r="K83" s="102">
        <v>4304</v>
      </c>
      <c r="L83" s="102">
        <v>3829</v>
      </c>
      <c r="M83" s="102">
        <v>4416</v>
      </c>
      <c r="N83" s="102">
        <v>2037</v>
      </c>
      <c r="O83" s="102">
        <v>18729</v>
      </c>
      <c r="P83" s="102">
        <v>22368</v>
      </c>
      <c r="Q83" s="102">
        <v>1180</v>
      </c>
      <c r="R83" s="102">
        <v>14435</v>
      </c>
      <c r="S83" s="102">
        <v>12707</v>
      </c>
      <c r="T83" s="102">
        <v>1317</v>
      </c>
      <c r="U83" s="102">
        <v>18747</v>
      </c>
      <c r="V83" s="102">
        <v>6816</v>
      </c>
      <c r="W83" s="102">
        <v>1445</v>
      </c>
      <c r="X83" s="102">
        <v>11325</v>
      </c>
      <c r="Y83" s="102">
        <v>15329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81</v>
      </c>
      <c r="L84" s="86">
        <v>413</v>
      </c>
      <c r="M84" s="86">
        <v>549</v>
      </c>
      <c r="N84" s="86">
        <v>351</v>
      </c>
      <c r="O84" s="86">
        <v>665</v>
      </c>
      <c r="P84" s="86">
        <v>405</v>
      </c>
      <c r="Q84" s="86">
        <v>862</v>
      </c>
      <c r="R84" s="86">
        <v>821</v>
      </c>
      <c r="S84" s="86">
        <v>927</v>
      </c>
      <c r="T84" s="86">
        <v>395</v>
      </c>
      <c r="U84" s="86">
        <v>843</v>
      </c>
      <c r="V84" s="86">
        <v>311</v>
      </c>
      <c r="W84" s="86">
        <v>652</v>
      </c>
      <c r="X84" s="86">
        <v>1339</v>
      </c>
      <c r="Y84" s="86">
        <v>359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3.4550487191929808</v>
      </c>
      <c r="C90" s="141">
        <v>3.4541004276425227</v>
      </c>
      <c r="D90" s="141">
        <v>3.4524072739544209</v>
      </c>
      <c r="E90" s="141">
        <v>3.4496146847697848</v>
      </c>
      <c r="F90" s="141">
        <v>3.4389586410204021</v>
      </c>
      <c r="G90" s="141">
        <v>3.4269418449105813</v>
      </c>
      <c r="H90" s="141">
        <v>3.4208271225314659</v>
      </c>
      <c r="I90" s="141">
        <v>3.3897206574889696</v>
      </c>
      <c r="J90" s="141">
        <v>3.3489766099993843</v>
      </c>
      <c r="K90" s="141">
        <v>3.2992407171072378</v>
      </c>
      <c r="L90" s="141">
        <v>3.2652774726173526</v>
      </c>
      <c r="M90" s="141">
        <v>3.2282561514260055</v>
      </c>
      <c r="N90" s="141">
        <v>3.1892325074870218</v>
      </c>
      <c r="O90" s="141">
        <v>3.1399452948128665</v>
      </c>
      <c r="P90" s="141">
        <v>3.0866989294669049</v>
      </c>
      <c r="Q90" s="141">
        <v>3.0231656528247006</v>
      </c>
      <c r="R90" s="141">
        <v>2.9833110468515454</v>
      </c>
      <c r="S90" s="141">
        <v>2.9255830400919329</v>
      </c>
      <c r="T90" s="141">
        <v>2.8705245037069496</v>
      </c>
      <c r="U90" s="141">
        <v>2.8303719493319863</v>
      </c>
      <c r="V90" s="141">
        <v>2.7828346028988689</v>
      </c>
      <c r="W90" s="141">
        <v>2.7472604048533933</v>
      </c>
      <c r="X90" s="141">
        <v>2.7038176716982174</v>
      </c>
      <c r="Y90" s="141">
        <v>2.6640013328418135</v>
      </c>
      <c r="DA90" s="174" t="s">
        <v>864</v>
      </c>
    </row>
    <row r="91" spans="1:105" ht="11.45" customHeight="1" x14ac:dyDescent="0.25">
      <c r="A91" s="109" t="s">
        <v>20</v>
      </c>
      <c r="B91" s="130">
        <v>6.3768222850510696</v>
      </c>
      <c r="C91" s="130">
        <v>6.3152243123985095</v>
      </c>
      <c r="D91" s="130">
        <v>6.292440044958032</v>
      </c>
      <c r="E91" s="130">
        <v>6.2726197742820435</v>
      </c>
      <c r="F91" s="130">
        <v>6.2656390434298324</v>
      </c>
      <c r="G91" s="130">
        <v>6.248788422028591</v>
      </c>
      <c r="H91" s="130">
        <v>6.2252873354575451</v>
      </c>
      <c r="I91" s="130">
        <v>6.2004789308155317</v>
      </c>
      <c r="J91" s="130">
        <v>6.1714068628650836</v>
      </c>
      <c r="K91" s="130">
        <v>6.1565494957876563</v>
      </c>
      <c r="L91" s="130">
        <v>6.1392724359958439</v>
      </c>
      <c r="M91" s="130">
        <v>6.1496725765431215</v>
      </c>
      <c r="N91" s="130">
        <v>6.1241916091505111</v>
      </c>
      <c r="O91" s="130">
        <v>6.0941867775243406</v>
      </c>
      <c r="P91" s="130">
        <v>6.0549221867437275</v>
      </c>
      <c r="Q91" s="130">
        <v>6.0138517291231794</v>
      </c>
      <c r="R91" s="130">
        <v>5.951075941954298</v>
      </c>
      <c r="S91" s="130">
        <v>5.9032126383838115</v>
      </c>
      <c r="T91" s="130">
        <v>5.8519459905488729</v>
      </c>
      <c r="U91" s="130">
        <v>5.8026643712469914</v>
      </c>
      <c r="V91" s="130">
        <v>5.7507888165322987</v>
      </c>
      <c r="W91" s="130">
        <v>5.6698978235365161</v>
      </c>
      <c r="X91" s="130">
        <v>5.5943793897711735</v>
      </c>
      <c r="Y91" s="130">
        <v>5.5235993163056634</v>
      </c>
      <c r="DA91" s="176" t="s">
        <v>865</v>
      </c>
    </row>
    <row r="92" spans="1:105" ht="11.45" customHeight="1" x14ac:dyDescent="0.25">
      <c r="A92" s="111" t="s">
        <v>110</v>
      </c>
      <c r="B92" s="96">
        <v>6.2529619355638992</v>
      </c>
      <c r="C92" s="96">
        <v>6.2054399226388481</v>
      </c>
      <c r="D92" s="96">
        <v>6.1913471991735536</v>
      </c>
      <c r="E92" s="96">
        <v>6.1734613670272305</v>
      </c>
      <c r="F92" s="96">
        <v>6.1703418694026286</v>
      </c>
      <c r="G92" s="96">
        <v>6.1548589683022836</v>
      </c>
      <c r="H92" s="96">
        <v>6.1313068587962993</v>
      </c>
      <c r="I92" s="96">
        <v>6.1108632407264318</v>
      </c>
      <c r="J92" s="96">
        <v>6.0916184319465279</v>
      </c>
      <c r="K92" s="96">
        <v>6.0850730604544347</v>
      </c>
      <c r="L92" s="96">
        <v>6.0731274107654958</v>
      </c>
      <c r="M92" s="96">
        <v>6.0572052395240847</v>
      </c>
      <c r="N92" s="96">
        <v>6.0409176011843053</v>
      </c>
      <c r="O92" s="96">
        <v>6.0200114086435814</v>
      </c>
      <c r="P92" s="96">
        <v>5.9929194508495067</v>
      </c>
      <c r="Q92" s="96">
        <v>5.9621893826489316</v>
      </c>
      <c r="R92" s="96">
        <v>5.9247579410469156</v>
      </c>
      <c r="S92" s="96">
        <v>5.8788880458654491</v>
      </c>
      <c r="T92" s="96">
        <v>5.8228302162148129</v>
      </c>
      <c r="U92" s="96">
        <v>5.7715370900284526</v>
      </c>
      <c r="V92" s="96">
        <v>5.7170758201474392</v>
      </c>
      <c r="W92" s="96">
        <v>5.6345625038722567</v>
      </c>
      <c r="X92" s="96">
        <v>5.5506361019904489</v>
      </c>
      <c r="Y92" s="96">
        <v>5.4725583182353059</v>
      </c>
      <c r="DA92" s="171" t="s">
        <v>866</v>
      </c>
    </row>
    <row r="93" spans="1:105" ht="11.45" customHeight="1" x14ac:dyDescent="0.25">
      <c r="A93" s="111" t="s">
        <v>111</v>
      </c>
      <c r="B93" s="96">
        <v>6.9233988344842716</v>
      </c>
      <c r="C93" s="96">
        <v>6.6607795301227233</v>
      </c>
      <c r="D93" s="96">
        <v>6.5285217506040105</v>
      </c>
      <c r="E93" s="96">
        <v>6.457471356158921</v>
      </c>
      <c r="F93" s="96">
        <v>6.4171525597386463</v>
      </c>
      <c r="G93" s="96">
        <v>6.3795024842409305</v>
      </c>
      <c r="H93" s="96">
        <v>6.3381992695008673</v>
      </c>
      <c r="I93" s="96">
        <v>6.2783217547623442</v>
      </c>
      <c r="J93" s="96">
        <v>6.2314018651924217</v>
      </c>
      <c r="K93" s="96">
        <v>6.2082095284442014</v>
      </c>
      <c r="L93" s="96">
        <v>6.1837599603388034</v>
      </c>
      <c r="M93" s="96">
        <v>6.1461969799314051</v>
      </c>
      <c r="N93" s="96">
        <v>6.0936754146572722</v>
      </c>
      <c r="O93" s="96">
        <v>6.0315121890773309</v>
      </c>
      <c r="P93" s="96">
        <v>5.9602208661404648</v>
      </c>
      <c r="Q93" s="96">
        <v>5.880629543258423</v>
      </c>
      <c r="R93" s="96">
        <v>5.7535808941009652</v>
      </c>
      <c r="S93" s="96">
        <v>5.689054683873942</v>
      </c>
      <c r="T93" s="96">
        <v>5.6440211505363003</v>
      </c>
      <c r="U93" s="96">
        <v>5.6012477722868077</v>
      </c>
      <c r="V93" s="96">
        <v>5.5458383466305232</v>
      </c>
      <c r="W93" s="96">
        <v>5.4603834060527427</v>
      </c>
      <c r="X93" s="96">
        <v>5.4097262412879106</v>
      </c>
      <c r="Y93" s="96">
        <v>5.3853128823253211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7.0963869452944159</v>
      </c>
      <c r="H94" s="96">
        <v>7.0970204333126112</v>
      </c>
      <c r="I94" s="96">
        <v>7.1315073741049142</v>
      </c>
      <c r="J94" s="96">
        <v>7.1583211846600445</v>
      </c>
      <c r="K94" s="96">
        <v>7.1664248319579045</v>
      </c>
      <c r="L94" s="96">
        <v>7.2378624288433251</v>
      </c>
      <c r="M94" s="96">
        <v>7.3859346780209165</v>
      </c>
      <c r="N94" s="96">
        <v>7.3698529869465332</v>
      </c>
      <c r="O94" s="96">
        <v>7.3461534479364436</v>
      </c>
      <c r="P94" s="96">
        <v>7.3306830407397001</v>
      </c>
      <c r="Q94" s="96">
        <v>7.304522705456761</v>
      </c>
      <c r="R94" s="96">
        <v>7.2885096232317963</v>
      </c>
      <c r="S94" s="96">
        <v>7.2620740547125244</v>
      </c>
      <c r="T94" s="96">
        <v>7.234637327663318</v>
      </c>
      <c r="U94" s="96">
        <v>7.2145494251416578</v>
      </c>
      <c r="V94" s="96">
        <v>7.1731061013918112</v>
      </c>
      <c r="W94" s="96">
        <v>7.0897142346177473</v>
      </c>
      <c r="X94" s="96">
        <v>6.9683146442084105</v>
      </c>
      <c r="Y94" s="96">
        <v>6.8306223781689868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6.8497170775759617</v>
      </c>
      <c r="D95" s="96">
        <v>6.849923187746354</v>
      </c>
      <c r="E95" s="96">
        <v>6.9065878262980576</v>
      </c>
      <c r="F95" s="96">
        <v>6.9150310370780739</v>
      </c>
      <c r="G95" s="96">
        <v>6.9162565996854601</v>
      </c>
      <c r="H95" s="96">
        <v>6.917367309050233</v>
      </c>
      <c r="I95" s="96">
        <v>6.966966702609473</v>
      </c>
      <c r="J95" s="96">
        <v>6.9672358990856109</v>
      </c>
      <c r="K95" s="96">
        <v>6.9681330802613886</v>
      </c>
      <c r="L95" s="96">
        <v>6.9699718211193211</v>
      </c>
      <c r="M95" s="96">
        <v>6.9698095964844775</v>
      </c>
      <c r="N95" s="96">
        <v>6.9774633916577189</v>
      </c>
      <c r="O95" s="96">
        <v>6.9800798543808718</v>
      </c>
      <c r="P95" s="96">
        <v>6.7909724625433725</v>
      </c>
      <c r="Q95" s="96">
        <v>6.7813574769930369</v>
      </c>
      <c r="R95" s="96">
        <v>6.6937289947669818</v>
      </c>
      <c r="S95" s="96">
        <v>6.6610649920782228</v>
      </c>
      <c r="T95" s="96">
        <v>6.601038894446523</v>
      </c>
      <c r="U95" s="96">
        <v>6.4868613370297306</v>
      </c>
      <c r="V95" s="96">
        <v>6.2097223711243812</v>
      </c>
      <c r="W95" s="96">
        <v>6.0567688321883315</v>
      </c>
      <c r="X95" s="96">
        <v>5.8594611982686162</v>
      </c>
      <c r="Y95" s="96">
        <v>5.7025866172710558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2.1796122248661649</v>
      </c>
      <c r="O96" s="96">
        <v>2.1796122248661649</v>
      </c>
      <c r="P96" s="96">
        <v>5.2750253562615796</v>
      </c>
      <c r="Q96" s="96">
        <v>4.7516755984896184</v>
      </c>
      <c r="R96" s="96">
        <v>3.7335553178919358</v>
      </c>
      <c r="S96" s="96">
        <v>4.1718017344267437</v>
      </c>
      <c r="T96" s="96">
        <v>3.7658539693154953</v>
      </c>
      <c r="U96" s="96">
        <v>3.7247449551771448</v>
      </c>
      <c r="V96" s="96">
        <v>3.4944704593657461</v>
      </c>
      <c r="W96" s="96">
        <v>3.1585757439907494</v>
      </c>
      <c r="X96" s="96">
        <v>2.9967416178254811</v>
      </c>
      <c r="Y96" s="96">
        <v>2.8706054201821232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1.3750471901917645</v>
      </c>
      <c r="N97" s="96">
        <v>1.3695396870648786</v>
      </c>
      <c r="O97" s="96">
        <v>1.3396215140570862</v>
      </c>
      <c r="P97" s="96">
        <v>1.3233046851674313</v>
      </c>
      <c r="Q97" s="96">
        <v>1.3393199899148747</v>
      </c>
      <c r="R97" s="96">
        <v>1.3397450532248556</v>
      </c>
      <c r="S97" s="96">
        <v>1.2971033550427837</v>
      </c>
      <c r="T97" s="96">
        <v>1.3523546379725635</v>
      </c>
      <c r="U97" s="96">
        <v>1.3834274053629567</v>
      </c>
      <c r="V97" s="96">
        <v>1.4138256787623633</v>
      </c>
      <c r="W97" s="96">
        <v>1.4408112968503024</v>
      </c>
      <c r="X97" s="96">
        <v>1.4646918289348607</v>
      </c>
      <c r="Y97" s="96">
        <v>1.4897287174452041</v>
      </c>
      <c r="DA97" s="171" t="s">
        <v>871</v>
      </c>
    </row>
    <row r="98" spans="1:105" ht="11.45" customHeight="1" x14ac:dyDescent="0.25">
      <c r="A98" s="109" t="s">
        <v>21</v>
      </c>
      <c r="B98" s="130">
        <v>54.866189163855353</v>
      </c>
      <c r="C98" s="130">
        <v>54.302104014725046</v>
      </c>
      <c r="D98" s="130">
        <v>53.973483560982991</v>
      </c>
      <c r="E98" s="130">
        <v>53.669633851380752</v>
      </c>
      <c r="F98" s="130">
        <v>53.094177683293019</v>
      </c>
      <c r="G98" s="130">
        <v>52.748542811157314</v>
      </c>
      <c r="H98" s="130">
        <v>52.097741843617392</v>
      </c>
      <c r="I98" s="130">
        <v>50.968664024536189</v>
      </c>
      <c r="J98" s="130">
        <v>50.189135195265415</v>
      </c>
      <c r="K98" s="130">
        <v>48.599013997112081</v>
      </c>
      <c r="L98" s="130">
        <v>47.471458067776588</v>
      </c>
      <c r="M98" s="130">
        <v>46.259563669131488</v>
      </c>
      <c r="N98" s="130">
        <v>45.503942666917844</v>
      </c>
      <c r="O98" s="130">
        <v>45.008001745887505</v>
      </c>
      <c r="P98" s="130">
        <v>44.686243818612184</v>
      </c>
      <c r="Q98" s="130">
        <v>44.149861216101769</v>
      </c>
      <c r="R98" s="130">
        <v>42.835605677472024</v>
      </c>
      <c r="S98" s="130">
        <v>42.573946364839344</v>
      </c>
      <c r="T98" s="130">
        <v>42.310654349316238</v>
      </c>
      <c r="U98" s="130">
        <v>42.274057665411476</v>
      </c>
      <c r="V98" s="130">
        <v>41.637361027520242</v>
      </c>
      <c r="W98" s="130">
        <v>41.144464739905942</v>
      </c>
      <c r="X98" s="130">
        <v>40.86057516202375</v>
      </c>
      <c r="Y98" s="130">
        <v>39.847342222677611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DA99" s="175" t="s">
        <v>873</v>
      </c>
    </row>
    <row r="100" spans="1:105" ht="11.45" customHeight="1" x14ac:dyDescent="0.25">
      <c r="A100" s="111" t="s">
        <v>111</v>
      </c>
      <c r="B100" s="97">
        <v>54.866189163855353</v>
      </c>
      <c r="C100" s="97">
        <v>53.907545814898981</v>
      </c>
      <c r="D100" s="97">
        <v>53.359652468262787</v>
      </c>
      <c r="E100" s="97">
        <v>52.861955053729162</v>
      </c>
      <c r="F100" s="97">
        <v>51.984402028180895</v>
      </c>
      <c r="G100" s="97">
        <v>51.465492798509999</v>
      </c>
      <c r="H100" s="97">
        <v>50.564691357182156</v>
      </c>
      <c r="I100" s="97">
        <v>49.158734745708301</v>
      </c>
      <c r="J100" s="97">
        <v>48.355687936952918</v>
      </c>
      <c r="K100" s="97">
        <v>47.013977830481892</v>
      </c>
      <c r="L100" s="97">
        <v>46.415067112194123</v>
      </c>
      <c r="M100" s="97">
        <v>45.882923805040356</v>
      </c>
      <c r="N100" s="97">
        <v>45.428525678802288</v>
      </c>
      <c r="O100" s="97">
        <v>45.144056912261725</v>
      </c>
      <c r="P100" s="97">
        <v>45.08028644051209</v>
      </c>
      <c r="Q100" s="97">
        <v>44.874042491259416</v>
      </c>
      <c r="R100" s="97">
        <v>44.62313080192488</v>
      </c>
      <c r="S100" s="97">
        <v>44.450977552693047</v>
      </c>
      <c r="T100" s="97">
        <v>44.249018257416971</v>
      </c>
      <c r="U100" s="97">
        <v>44.001550391531573</v>
      </c>
      <c r="V100" s="97">
        <v>43.527289895816743</v>
      </c>
      <c r="W100" s="97">
        <v>42.718027617623214</v>
      </c>
      <c r="X100" s="97">
        <v>42.089645136693719</v>
      </c>
      <c r="Y100" s="97">
        <v>40.671167327591753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35.071919648470697</v>
      </c>
      <c r="S102" s="97">
        <v>35.07191964847069</v>
      </c>
      <c r="T102" s="97">
        <v>35.07191964847069</v>
      </c>
      <c r="U102" s="97">
        <v>35.071919648470697</v>
      </c>
      <c r="V102" s="97">
        <v>35.071919648470697</v>
      </c>
      <c r="W102" s="97">
        <v>35.046243479967195</v>
      </c>
      <c r="X102" s="97">
        <v>35.008330290741824</v>
      </c>
      <c r="Y102" s="97">
        <v>34.895731503324683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24.300811653054293</v>
      </c>
      <c r="M103" s="97">
        <v>24.160797570755012</v>
      </c>
      <c r="N103" s="97">
        <v>24.159451726861189</v>
      </c>
      <c r="O103" s="97">
        <v>24.158274839329469</v>
      </c>
      <c r="P103" s="97">
        <v>23.8848222711785</v>
      </c>
      <c r="Q103" s="97">
        <v>23.722233635400102</v>
      </c>
      <c r="R103" s="97">
        <v>23.553580613588508</v>
      </c>
      <c r="S103" s="97">
        <v>23.392496103578679</v>
      </c>
      <c r="T103" s="97">
        <v>23.212574297165499</v>
      </c>
      <c r="U103" s="97">
        <v>23.099386694807251</v>
      </c>
      <c r="V103" s="97">
        <v>23.028468391403518</v>
      </c>
      <c r="W103" s="97">
        <v>23.018391386108728</v>
      </c>
      <c r="X103" s="97">
        <v>22.989758952051247</v>
      </c>
      <c r="Y103" s="97">
        <v>22.632342326227906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9.2315456926967006</v>
      </c>
      <c r="C105" s="141">
        <v>9.1626194311999534</v>
      </c>
      <c r="D105" s="141">
        <v>9.0855396300667781</v>
      </c>
      <c r="E105" s="141">
        <v>9.000532896113409</v>
      </c>
      <c r="F105" s="141">
        <v>8.6813973326123843</v>
      </c>
      <c r="G105" s="141">
        <v>8.6198804523877683</v>
      </c>
      <c r="H105" s="141">
        <v>8.5151641458397318</v>
      </c>
      <c r="I105" s="141">
        <v>8.4465606027497504</v>
      </c>
      <c r="J105" s="141">
        <v>8.3916596090816515</v>
      </c>
      <c r="K105" s="141">
        <v>8.3934393315515585</v>
      </c>
      <c r="L105" s="141">
        <v>8.4673327701171335</v>
      </c>
      <c r="M105" s="141">
        <v>8.4488160564127011</v>
      </c>
      <c r="N105" s="141">
        <v>8.4167356394903852</v>
      </c>
      <c r="O105" s="141">
        <v>8.2690090279539916</v>
      </c>
      <c r="P105" s="141">
        <v>8.2452034235373617</v>
      </c>
      <c r="Q105" s="141">
        <v>8.2029917073318188</v>
      </c>
      <c r="R105" s="141">
        <v>7.9718400838163852</v>
      </c>
      <c r="S105" s="141">
        <v>7.9819776388871713</v>
      </c>
      <c r="T105" s="141">
        <v>7.9066942721777993</v>
      </c>
      <c r="U105" s="141">
        <v>7.934032955182917</v>
      </c>
      <c r="V105" s="141">
        <v>7.8752809315327355</v>
      </c>
      <c r="W105" s="141">
        <v>7.7778235636023458</v>
      </c>
      <c r="X105" s="141">
        <v>7.703976197189121</v>
      </c>
      <c r="Y105" s="141">
        <v>7.5922717531802846</v>
      </c>
      <c r="DA105" s="174" t="s">
        <v>878</v>
      </c>
    </row>
    <row r="106" spans="1:105" ht="11.45" customHeight="1" x14ac:dyDescent="0.25">
      <c r="A106" s="111" t="s">
        <v>110</v>
      </c>
      <c r="B106" s="96">
        <v>8.111216853918382</v>
      </c>
      <c r="C106" s="96">
        <v>7.9697214352825032</v>
      </c>
      <c r="D106" s="96">
        <v>7.8150462123272204</v>
      </c>
      <c r="E106" s="96">
        <v>7.6511418800739497</v>
      </c>
      <c r="F106" s="96">
        <v>7.1634283541752364</v>
      </c>
      <c r="G106" s="96">
        <v>7.046252116478434</v>
      </c>
      <c r="H106" s="96">
        <v>6.9267669633266769</v>
      </c>
      <c r="I106" s="96">
        <v>6.8229476047395261</v>
      </c>
      <c r="J106" s="96">
        <v>6.7477015048360292</v>
      </c>
      <c r="K106" s="96">
        <v>6.6927932345290966</v>
      </c>
      <c r="L106" s="96">
        <v>6.4706789834077361</v>
      </c>
      <c r="M106" s="96">
        <v>6.4720534758903741</v>
      </c>
      <c r="N106" s="96">
        <v>6.4724178812535946</v>
      </c>
      <c r="O106" s="96">
        <v>6.4889270817759712</v>
      </c>
      <c r="P106" s="96">
        <v>6.4964341101860894</v>
      </c>
      <c r="Q106" s="96">
        <v>6.4880496722783922</v>
      </c>
      <c r="R106" s="96">
        <v>6.4351867299406198</v>
      </c>
      <c r="S106" s="96">
        <v>6.4325930170926</v>
      </c>
      <c r="T106" s="96">
        <v>6.4479386950627839</v>
      </c>
      <c r="U106" s="96">
        <v>6.4649882778546202</v>
      </c>
      <c r="V106" s="96">
        <v>6.4610077823096868</v>
      </c>
      <c r="W106" s="96">
        <v>6.4403498953683149</v>
      </c>
      <c r="X106" s="96">
        <v>6.4136513974256237</v>
      </c>
      <c r="Y106" s="96">
        <v>6.4395569453994863</v>
      </c>
      <c r="DA106" s="171" t="s">
        <v>879</v>
      </c>
    </row>
    <row r="107" spans="1:105" ht="11.45" customHeight="1" x14ac:dyDescent="0.25">
      <c r="A107" s="111" t="s">
        <v>111</v>
      </c>
      <c r="B107" s="96">
        <v>9.8994484995573071</v>
      </c>
      <c r="C107" s="96">
        <v>9.8337285862984292</v>
      </c>
      <c r="D107" s="96">
        <v>9.7605028395126521</v>
      </c>
      <c r="E107" s="96">
        <v>9.6686444796264759</v>
      </c>
      <c r="F107" s="96">
        <v>9.6051410496954688</v>
      </c>
      <c r="G107" s="96">
        <v>9.4534139295752873</v>
      </c>
      <c r="H107" s="96">
        <v>9.4007743371212573</v>
      </c>
      <c r="I107" s="96">
        <v>9.2987066341821887</v>
      </c>
      <c r="J107" s="96">
        <v>9.2409177062836871</v>
      </c>
      <c r="K107" s="96">
        <v>9.2024221891830091</v>
      </c>
      <c r="L107" s="96">
        <v>9.1669792109107338</v>
      </c>
      <c r="M107" s="96">
        <v>9.1599345880222085</v>
      </c>
      <c r="N107" s="96">
        <v>9.1122919927039963</v>
      </c>
      <c r="O107" s="96">
        <v>9.037767384122688</v>
      </c>
      <c r="P107" s="96">
        <v>8.9904598697873137</v>
      </c>
      <c r="Q107" s="96">
        <v>8.9320851428079475</v>
      </c>
      <c r="R107" s="96">
        <v>8.8162016543812864</v>
      </c>
      <c r="S107" s="96">
        <v>8.6852086219737004</v>
      </c>
      <c r="T107" s="96">
        <v>8.520679339897832</v>
      </c>
      <c r="U107" s="96">
        <v>8.4095536079065543</v>
      </c>
      <c r="V107" s="96">
        <v>8.3238352895501606</v>
      </c>
      <c r="W107" s="96">
        <v>8.1813190365420834</v>
      </c>
      <c r="X107" s="96">
        <v>8.0707568773608003</v>
      </c>
      <c r="Y107" s="96">
        <v>7.9086509286866393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8.7307889142769852</v>
      </c>
      <c r="O108" s="96">
        <v>6.9255264529732132</v>
      </c>
      <c r="P108" s="96">
        <v>10.620622803940687</v>
      </c>
      <c r="Q108" s="96">
        <v>10.582662859319932</v>
      </c>
      <c r="R108" s="96">
        <v>10.542952916401976</v>
      </c>
      <c r="S108" s="96">
        <v>10.429589949171051</v>
      </c>
      <c r="T108" s="96">
        <v>10.224788704419177</v>
      </c>
      <c r="U108" s="96">
        <v>9.9748570848198064</v>
      </c>
      <c r="V108" s="96">
        <v>9.8573851324772797</v>
      </c>
      <c r="W108" s="96">
        <v>9.8173296916723043</v>
      </c>
      <c r="X108" s="96">
        <v>9.7751110979739355</v>
      </c>
      <c r="Y108" s="96">
        <v>9.7527025635363866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7.9545825342236522</v>
      </c>
      <c r="O109" s="96">
        <v>8.340963121006773</v>
      </c>
      <c r="P109" s="96">
        <v>8.0823636770233147</v>
      </c>
      <c r="Q109" s="96">
        <v>7.3799595662576092</v>
      </c>
      <c r="R109" s="96">
        <v>10.686987749409866</v>
      </c>
      <c r="S109" s="96">
        <v>10.534525314112306</v>
      </c>
      <c r="T109" s="96">
        <v>9.8148864505049076</v>
      </c>
      <c r="U109" s="96">
        <v>9.8009103075455393</v>
      </c>
      <c r="V109" s="96">
        <v>8.8210325882074727</v>
      </c>
      <c r="W109" s="96">
        <v>8.8073007226359969</v>
      </c>
      <c r="X109" s="96">
        <v>8.7879991311957184</v>
      </c>
      <c r="Y109" s="96">
        <v>8.7748353396785177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1.9362723616840751</v>
      </c>
      <c r="P110" s="96">
        <v>1.9528204901371666</v>
      </c>
      <c r="Q110" s="96">
        <v>2.0432037914584136</v>
      </c>
      <c r="R110" s="96">
        <v>2.0807278817595618</v>
      </c>
      <c r="S110" s="96">
        <v>2.0634328000182762</v>
      </c>
      <c r="T110" s="96">
        <v>2.1731325502022232</v>
      </c>
      <c r="U110" s="96">
        <v>2.2085595716132045</v>
      </c>
      <c r="V110" s="96">
        <v>2.2476683095293692</v>
      </c>
      <c r="W110" s="96">
        <v>2.376757500979811</v>
      </c>
      <c r="X110" s="96">
        <v>2.4029365764394424</v>
      </c>
      <c r="Y110" s="96">
        <v>2.2471121778638339</v>
      </c>
      <c r="DA110" s="171" t="s">
        <v>883</v>
      </c>
    </row>
    <row r="111" spans="1:105" ht="11.45" customHeight="1" x14ac:dyDescent="0.25">
      <c r="A111" s="109" t="s">
        <v>154</v>
      </c>
      <c r="B111" s="130">
        <v>29.740694963745852</v>
      </c>
      <c r="C111" s="130">
        <v>28.888089990636097</v>
      </c>
      <c r="D111" s="130">
        <v>27.794291534680372</v>
      </c>
      <c r="E111" s="130">
        <v>27.169616287461221</v>
      </c>
      <c r="F111" s="130">
        <v>27.357344008653879</v>
      </c>
      <c r="G111" s="130">
        <v>26.848167600459163</v>
      </c>
      <c r="H111" s="130">
        <v>26.404015595006463</v>
      </c>
      <c r="I111" s="130">
        <v>26.319839380265357</v>
      </c>
      <c r="J111" s="130">
        <v>25.891225515486131</v>
      </c>
      <c r="K111" s="130">
        <v>25.757707212764654</v>
      </c>
      <c r="L111" s="130">
        <v>25.670317653956658</v>
      </c>
      <c r="M111" s="130">
        <v>25.573259412602191</v>
      </c>
      <c r="N111" s="130">
        <v>25.504225144202326</v>
      </c>
      <c r="O111" s="130">
        <v>25.132101538687614</v>
      </c>
      <c r="P111" s="130">
        <v>24.780733404031832</v>
      </c>
      <c r="Q111" s="130">
        <v>24.699255230690735</v>
      </c>
      <c r="R111" s="130">
        <v>24.427973160573686</v>
      </c>
      <c r="S111" s="130">
        <v>24.146396352076042</v>
      </c>
      <c r="T111" s="130">
        <v>24.043888180754248</v>
      </c>
      <c r="U111" s="130">
        <v>23.617516194019071</v>
      </c>
      <c r="V111" s="130">
        <v>23.449145784672577</v>
      </c>
      <c r="W111" s="130">
        <v>23.337596124447764</v>
      </c>
      <c r="X111" s="130">
        <v>23.042285584874172</v>
      </c>
      <c r="Y111" s="130">
        <v>22.763026483781328</v>
      </c>
      <c r="DA111" s="176" t="s">
        <v>884</v>
      </c>
    </row>
    <row r="112" spans="1:105" ht="11.45" customHeight="1" x14ac:dyDescent="0.25">
      <c r="A112" s="128" t="s">
        <v>27</v>
      </c>
      <c r="B112" s="97">
        <v>27.204295691217254</v>
      </c>
      <c r="C112" s="97">
        <v>26.819071864731121</v>
      </c>
      <c r="D112" s="97">
        <v>26.389858949695764</v>
      </c>
      <c r="E112" s="97">
        <v>26.159003140983568</v>
      </c>
      <c r="F112" s="97">
        <v>25.737368193427255</v>
      </c>
      <c r="G112" s="97">
        <v>25.640629717580904</v>
      </c>
      <c r="H112" s="97">
        <v>25.519426694378129</v>
      </c>
      <c r="I112" s="97">
        <v>25.452290911506108</v>
      </c>
      <c r="J112" s="97">
        <v>25.276102367183579</v>
      </c>
      <c r="K112" s="97">
        <v>25.219989726804933</v>
      </c>
      <c r="L112" s="97">
        <v>25.160464585336857</v>
      </c>
      <c r="M112" s="97">
        <v>25.075584384135098</v>
      </c>
      <c r="N112" s="97">
        <v>25.022641930621912</v>
      </c>
      <c r="O112" s="97">
        <v>24.731506062797671</v>
      </c>
      <c r="P112" s="97">
        <v>24.445837553505438</v>
      </c>
      <c r="Q112" s="97">
        <v>24.33084705292158</v>
      </c>
      <c r="R112" s="97">
        <v>24.0897201011765</v>
      </c>
      <c r="S112" s="97">
        <v>23.815628741108519</v>
      </c>
      <c r="T112" s="97">
        <v>23.716306013252176</v>
      </c>
      <c r="U112" s="97">
        <v>23.319368933908915</v>
      </c>
      <c r="V112" s="97">
        <v>23.169834432232417</v>
      </c>
      <c r="W112" s="97">
        <v>23.064478522601082</v>
      </c>
      <c r="X112" s="97">
        <v>22.77145284920061</v>
      </c>
      <c r="Y112" s="97">
        <v>22.522264777854087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36.374329848682315</v>
      </c>
      <c r="D113" s="98">
        <v>36.054707218087998</v>
      </c>
      <c r="E113" s="98">
        <v>35.796874848665503</v>
      </c>
      <c r="F113" s="98">
        <v>35.13835262555083</v>
      </c>
      <c r="G113" s="98">
        <v>34.836832988084673</v>
      </c>
      <c r="H113" s="98">
        <v>34.469900652498843</v>
      </c>
      <c r="I113" s="98">
        <v>33.708789122709192</v>
      </c>
      <c r="J113" s="98">
        <v>33.500454587368012</v>
      </c>
      <c r="K113" s="98">
        <v>33.279257345645668</v>
      </c>
      <c r="L113" s="98">
        <v>32.831520675844274</v>
      </c>
      <c r="M113" s="98">
        <v>32.302012478647384</v>
      </c>
      <c r="N113" s="98">
        <v>31.898818314074713</v>
      </c>
      <c r="O113" s="98">
        <v>31.304441823835042</v>
      </c>
      <c r="P113" s="98">
        <v>30.986996975610786</v>
      </c>
      <c r="Q113" s="98">
        <v>30.421855468396604</v>
      </c>
      <c r="R113" s="98">
        <v>29.886843798047291</v>
      </c>
      <c r="S113" s="98">
        <v>29.335710711989382</v>
      </c>
      <c r="T113" s="98">
        <v>29.03053439651644</v>
      </c>
      <c r="U113" s="98">
        <v>28.487277494396377</v>
      </c>
      <c r="V113" s="98">
        <v>28.205170919849877</v>
      </c>
      <c r="W113" s="98">
        <v>27.778494075615445</v>
      </c>
      <c r="X113" s="98">
        <v>27.141359881550105</v>
      </c>
      <c r="Y113" s="98">
        <v>26.860510058076311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1.1276992036038438</v>
      </c>
      <c r="D117" s="150">
        <f>IF(TrRoad_act!D59=0,0,TrRoad_ene!D62/TrRoad_tech!D90)</f>
        <v>1.1282007557199416</v>
      </c>
      <c r="E117" s="150">
        <f>IF(TrRoad_act!E59=0,0,TrRoad_ene!E62/TrRoad_tech!E90)</f>
        <v>1.1288608877133322</v>
      </c>
      <c r="F117" s="150">
        <f>IF(TrRoad_act!F59=0,0,TrRoad_ene!F62/TrRoad_tech!F90)</f>
        <v>1.1312271816751944</v>
      </c>
      <c r="G117" s="150">
        <f>IF(TrRoad_act!G59=0,0,TrRoad_ene!G62/TrRoad_tech!G90)</f>
        <v>1.1350104144102591</v>
      </c>
      <c r="H117" s="150">
        <f>IF(TrRoad_act!H59=0,0,TrRoad_ene!H62/TrRoad_tech!H90)</f>
        <v>1.1373843035208315</v>
      </c>
      <c r="I117" s="150">
        <f>IF(TrRoad_act!I59=0,0,TrRoad_ene!I62/TrRoad_tech!I90)</f>
        <v>1.1440696374676818</v>
      </c>
      <c r="J117" s="150">
        <f>IF(TrRoad_act!J59=0,0,TrRoad_ene!J62/TrRoad_tech!J90)</f>
        <v>1.1519021185535852</v>
      </c>
      <c r="K117" s="150">
        <f>IF(TrRoad_act!K59=0,0,TrRoad_ene!K62/TrRoad_tech!K90)</f>
        <v>1.1609501165316019</v>
      </c>
      <c r="L117" s="150">
        <f>IF(TrRoad_act!L59=0,0,TrRoad_ene!L62/TrRoad_tech!L90)</f>
        <v>1.1692549470478368</v>
      </c>
      <c r="M117" s="150">
        <f>IF(TrRoad_act!M59=0,0,TrRoad_ene!M62/TrRoad_tech!M90)</f>
        <v>1.1781154903077733</v>
      </c>
      <c r="N117" s="150">
        <f>IF(TrRoad_act!N59=0,0,TrRoad_ene!N62/TrRoad_tech!N90)</f>
        <v>1.1873960921647251</v>
      </c>
      <c r="O117" s="150">
        <f>IF(TrRoad_act!O59=0,0,TrRoad_ene!O62/TrRoad_tech!O90)</f>
        <v>1.1980363860513306</v>
      </c>
      <c r="P117" s="150">
        <f>IF(TrRoad_act!P59=0,0,TrRoad_ene!P62/TrRoad_tech!P90)</f>
        <v>1.210681340975424</v>
      </c>
      <c r="Q117" s="150">
        <f>IF(TrRoad_act!Q59=0,0,TrRoad_ene!Q62/TrRoad_tech!Q90)</f>
        <v>1.2255227696961022</v>
      </c>
      <c r="R117" s="150">
        <f>IF(TrRoad_act!R59=0,0,TrRoad_ene!R62/TrRoad_tech!R90)</f>
        <v>1.2345336574475758</v>
      </c>
      <c r="S117" s="150">
        <f>IF(TrRoad_act!S59=0,0,TrRoad_ene!S62/TrRoad_tech!S90)</f>
        <v>1.2488672819581585</v>
      </c>
      <c r="T117" s="150">
        <f>IF(TrRoad_act!T59=0,0,TrRoad_ene!T62/TrRoad_tech!T90)</f>
        <v>1.2638889460545828</v>
      </c>
      <c r="U117" s="150">
        <f>IF(TrRoad_act!U59=0,0,TrRoad_ene!U62/TrRoad_tech!U90)</f>
        <v>1.2762078722310535</v>
      </c>
      <c r="V117" s="150">
        <f>IF(TrRoad_act!V59=0,0,TrRoad_ene!V62/TrRoad_tech!V90)</f>
        <v>1.2923357905954969</v>
      </c>
      <c r="W117" s="150">
        <f>IF(TrRoad_act!W59=0,0,TrRoad_ene!W62/TrRoad_tech!W90)</f>
        <v>1.305840763719371</v>
      </c>
      <c r="X117" s="150">
        <f>IF(TrRoad_act!X59=0,0,TrRoad_ene!X62/TrRoad_tech!X90)</f>
        <v>1.3220952108736965</v>
      </c>
      <c r="Y117" s="150">
        <f>IF(TrRoad_act!Y59=0,0,TrRoad_ene!Y62/TrRoad_tech!Y90)</f>
        <v>1.3373549223975234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0.92394690930307277</v>
      </c>
      <c r="C118" s="151">
        <f>IF(TrRoad_act!C60=0,0,TrRoad_ene!C63/TrRoad_tech!C91)</f>
        <v>0.95906101966658042</v>
      </c>
      <c r="D118" s="151">
        <f>IF(TrRoad_act!D60=0,0,TrRoad_ene!D63/TrRoad_tech!D91)</f>
        <v>1.0899184605444721</v>
      </c>
      <c r="E118" s="151">
        <f>IF(TrRoad_act!E60=0,0,TrRoad_ene!E63/TrRoad_tech!E91)</f>
        <v>1.0295650154761653</v>
      </c>
      <c r="F118" s="151">
        <f>IF(TrRoad_act!F60=0,0,TrRoad_ene!F63/TrRoad_tech!F91)</f>
        <v>0.96174438158251285</v>
      </c>
      <c r="G118" s="151">
        <f>IF(TrRoad_act!G60=0,0,TrRoad_ene!G63/TrRoad_tech!G91)</f>
        <v>1.0023160404496378</v>
      </c>
      <c r="H118" s="151">
        <f>IF(TrRoad_act!H60=0,0,TrRoad_ene!H63/TrRoad_tech!H91)</f>
        <v>0.96259571429966262</v>
      </c>
      <c r="I118" s="151">
        <f>IF(TrRoad_act!I60=0,0,TrRoad_ene!I63/TrRoad_tech!I91)</f>
        <v>1.0180928926364983</v>
      </c>
      <c r="J118" s="151">
        <f>IF(TrRoad_act!J60=0,0,TrRoad_ene!J63/TrRoad_tech!J91)</f>
        <v>1.0509171376240374</v>
      </c>
      <c r="K118" s="151">
        <f>IF(TrRoad_act!K60=0,0,TrRoad_ene!K63/TrRoad_tech!K91)</f>
        <v>0.9987792818999226</v>
      </c>
      <c r="L118" s="151">
        <f>IF(TrRoad_act!L60=0,0,TrRoad_ene!L63/TrRoad_tech!L91)</f>
        <v>0.99232350708694772</v>
      </c>
      <c r="M118" s="151">
        <f>IF(TrRoad_act!M60=0,0,TrRoad_ene!M63/TrRoad_tech!M91)</f>
        <v>0.98751760739684824</v>
      </c>
      <c r="N118" s="151">
        <f>IF(TrRoad_act!N60=0,0,TrRoad_ene!N63/TrRoad_tech!N91)</f>
        <v>0.9698039852096374</v>
      </c>
      <c r="O118" s="151">
        <f>IF(TrRoad_act!O60=0,0,TrRoad_ene!O63/TrRoad_tech!O91)</f>
        <v>0.9630712798290928</v>
      </c>
      <c r="P118" s="151">
        <f>IF(TrRoad_act!P60=0,0,TrRoad_ene!P63/TrRoad_tech!P91)</f>
        <v>0.94769644828870991</v>
      </c>
      <c r="Q118" s="151">
        <f>IF(TrRoad_act!Q60=0,0,TrRoad_ene!Q63/TrRoad_tech!Q91)</f>
        <v>0.95705583976358177</v>
      </c>
      <c r="R118" s="151">
        <f>IF(TrRoad_act!R60=0,0,TrRoad_ene!R63/TrRoad_tech!R91)</f>
        <v>0.97400560927050628</v>
      </c>
      <c r="S118" s="151">
        <f>IF(TrRoad_act!S60=0,0,TrRoad_ene!S63/TrRoad_tech!S91)</f>
        <v>0.99834421011966445</v>
      </c>
      <c r="T118" s="151">
        <f>IF(TrRoad_act!T60=0,0,TrRoad_ene!T63/TrRoad_tech!T91)</f>
        <v>0.96297544396282309</v>
      </c>
      <c r="U118" s="151">
        <f>IF(TrRoad_act!U60=0,0,TrRoad_ene!U63/TrRoad_tech!U91)</f>
        <v>0.95500965476852351</v>
      </c>
      <c r="V118" s="151">
        <f>IF(TrRoad_act!V60=0,0,TrRoad_ene!V63/TrRoad_tech!V91)</f>
        <v>0.96739538056620122</v>
      </c>
      <c r="W118" s="151">
        <f>IF(TrRoad_act!W60=0,0,TrRoad_ene!W63/TrRoad_tech!W91)</f>
        <v>0.99010122897865449</v>
      </c>
      <c r="X118" s="151">
        <f>IF(TrRoad_act!X60=0,0,TrRoad_ene!X63/TrRoad_tech!X91)</f>
        <v>1.0031843649758936</v>
      </c>
      <c r="Y118" s="151">
        <f>IF(TrRoad_act!Y60=0,0,TrRoad_ene!Y63/TrRoad_tech!Y91)</f>
        <v>1.0442493110200377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0.88657534555287976</v>
      </c>
      <c r="C119" s="91">
        <f>IF(TrRoad_act!C61=0,0,TrRoad_ene!C64/TrRoad_tech!C92)</f>
        <v>0.93645348369886294</v>
      </c>
      <c r="D119" s="91">
        <f>IF(TrRoad_act!D61=0,0,TrRoad_ene!D64/TrRoad_tech!D92)</f>
        <v>1.1122677599299691</v>
      </c>
      <c r="E119" s="91">
        <f>IF(TrRoad_act!E61=0,0,TrRoad_ene!E64/TrRoad_tech!E92)</f>
        <v>1.040911396058428</v>
      </c>
      <c r="F119" s="91">
        <f>IF(TrRoad_act!F61=0,0,TrRoad_ene!F64/TrRoad_tech!F92)</f>
        <v>0.9428687920052139</v>
      </c>
      <c r="G119" s="91">
        <f>IF(TrRoad_act!G61=0,0,TrRoad_ene!G64/TrRoad_tech!G92)</f>
        <v>0.99041646494504099</v>
      </c>
      <c r="H119" s="91">
        <f>IF(TrRoad_act!H61=0,0,TrRoad_ene!H64/TrRoad_tech!H92)</f>
        <v>0.93444899454560504</v>
      </c>
      <c r="I119" s="91">
        <f>IF(TrRoad_act!I61=0,0,TrRoad_ene!I64/TrRoad_tech!I92)</f>
        <v>0.99830688741553286</v>
      </c>
      <c r="J119" s="91">
        <f>IF(TrRoad_act!J61=0,0,TrRoad_ene!J64/TrRoad_tech!J92)</f>
        <v>1.0606704818975945</v>
      </c>
      <c r="K119" s="91">
        <f>IF(TrRoad_act!K61=0,0,TrRoad_ene!K64/TrRoad_tech!K92)</f>
        <v>0.9835670684560045</v>
      </c>
      <c r="L119" s="91">
        <f>IF(TrRoad_act!L61=0,0,TrRoad_ene!L64/TrRoad_tech!L92)</f>
        <v>0.96304240784355288</v>
      </c>
      <c r="M119" s="91">
        <f>IF(TrRoad_act!M61=0,0,TrRoad_ene!M64/TrRoad_tech!M92)</f>
        <v>0.95313297198047287</v>
      </c>
      <c r="N119" s="91">
        <f>IF(TrRoad_act!N61=0,0,TrRoad_ene!N64/TrRoad_tech!N92)</f>
        <v>0.9246557306079356</v>
      </c>
      <c r="O119" s="91">
        <f>IF(TrRoad_act!O61=0,0,TrRoad_ene!O64/TrRoad_tech!O92)</f>
        <v>0.91451486361338785</v>
      </c>
      <c r="P119" s="91">
        <f>IF(TrRoad_act!P61=0,0,TrRoad_ene!P64/TrRoad_tech!P92)</f>
        <v>0.90227886477973296</v>
      </c>
      <c r="Q119" s="91">
        <f>IF(TrRoad_act!Q61=0,0,TrRoad_ene!Q64/TrRoad_tech!Q92)</f>
        <v>0.91537081883993032</v>
      </c>
      <c r="R119" s="91">
        <f>IF(TrRoad_act!R61=0,0,TrRoad_ene!R64/TrRoad_tech!R92)</f>
        <v>0.93503852029366252</v>
      </c>
      <c r="S119" s="91">
        <f>IF(TrRoad_act!S61=0,0,TrRoad_ene!S64/TrRoad_tech!S92)</f>
        <v>0.95732563533502124</v>
      </c>
      <c r="T119" s="91">
        <f>IF(TrRoad_act!T61=0,0,TrRoad_ene!T64/TrRoad_tech!T92)</f>
        <v>0.89413810129669036</v>
      </c>
      <c r="U119" s="91">
        <f>IF(TrRoad_act!U61=0,0,TrRoad_ene!U64/TrRoad_tech!U92)</f>
        <v>0.88189705247389016</v>
      </c>
      <c r="V119" s="91">
        <f>IF(TrRoad_act!V61=0,0,TrRoad_ene!V64/TrRoad_tech!V92)</f>
        <v>0.8988059114881517</v>
      </c>
      <c r="W119" s="91">
        <f>IF(TrRoad_act!W61=0,0,TrRoad_ene!W64/TrRoad_tech!W92)</f>
        <v>0.91719889077883243</v>
      </c>
      <c r="X119" s="91">
        <f>IF(TrRoad_act!X61=0,0,TrRoad_ene!X64/TrRoad_tech!X92)</f>
        <v>0.94204745280800017</v>
      </c>
      <c r="Y119" s="91">
        <f>IF(TrRoad_act!Y61=0,0,TrRoad_ene!Y64/TrRoad_tech!Y92)</f>
        <v>1.0102470542443562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1.0263424088954829</v>
      </c>
      <c r="C120" s="91">
        <f>IF(TrRoad_act!C62=0,0,TrRoad_ene!C65/TrRoad_tech!C93)</f>
        <v>1.0217901969296865</v>
      </c>
      <c r="D120" s="91">
        <f>IF(TrRoad_act!D62=0,0,TrRoad_ene!D65/TrRoad_tech!D93)</f>
        <v>1.0390338285451015</v>
      </c>
      <c r="E120" s="91">
        <f>IF(TrRoad_act!E62=0,0,TrRoad_ene!E65/TrRoad_tech!E93)</f>
        <v>1.0149461493118894</v>
      </c>
      <c r="F120" s="91">
        <f>IF(TrRoad_act!F62=0,0,TrRoad_ene!F65/TrRoad_tech!F93)</f>
        <v>1.0178437003112801</v>
      </c>
      <c r="G120" s="91">
        <f>IF(TrRoad_act!G62=0,0,TrRoad_ene!G65/TrRoad_tech!G93)</f>
        <v>1.0365010695393351</v>
      </c>
      <c r="H120" s="91">
        <f>IF(TrRoad_act!H62=0,0,TrRoad_ene!H65/TrRoad_tech!H93)</f>
        <v>1.0467233693804705</v>
      </c>
      <c r="I120" s="91">
        <f>IF(TrRoad_act!I62=0,0,TrRoad_ene!I65/TrRoad_tech!I93)</f>
        <v>1.0483087124958517</v>
      </c>
      <c r="J120" s="91">
        <f>IF(TrRoad_act!J62=0,0,TrRoad_ene!J65/TrRoad_tech!J93)</f>
        <v>1.0521719054402499</v>
      </c>
      <c r="K120" s="91">
        <f>IF(TrRoad_act!K62=0,0,TrRoad_ene!K65/TrRoad_tech!K93)</f>
        <v>1.0443167229876</v>
      </c>
      <c r="L120" s="91">
        <f>IF(TrRoad_act!L62=0,0,TrRoad_ene!L65/TrRoad_tech!L93)</f>
        <v>1.0610336792487698</v>
      </c>
      <c r="M120" s="91">
        <f>IF(TrRoad_act!M62=0,0,TrRoad_ene!M65/TrRoad_tech!M93)</f>
        <v>1.0578210016327183</v>
      </c>
      <c r="N120" s="91">
        <f>IF(TrRoad_act!N62=0,0,TrRoad_ene!N65/TrRoad_tech!N93)</f>
        <v>1.0600536435971131</v>
      </c>
      <c r="O120" s="91">
        <f>IF(TrRoad_act!O62=0,0,TrRoad_ene!O65/TrRoad_tech!O93)</f>
        <v>1.0675757724985231</v>
      </c>
      <c r="P120" s="91">
        <f>IF(TrRoad_act!P62=0,0,TrRoad_ene!P65/TrRoad_tech!P93)</f>
        <v>1.0658963854506736</v>
      </c>
      <c r="Q120" s="91">
        <f>IF(TrRoad_act!Q62=0,0,TrRoad_ene!Q65/TrRoad_tech!Q93)</f>
        <v>1.066139165070952</v>
      </c>
      <c r="R120" s="91">
        <f>IF(TrRoad_act!R62=0,0,TrRoad_ene!R65/TrRoad_tech!R93)</f>
        <v>1.0828700336085433</v>
      </c>
      <c r="S120" s="91">
        <f>IF(TrRoad_act!S62=0,0,TrRoad_ene!S65/TrRoad_tech!S93)</f>
        <v>1.1130843455569106</v>
      </c>
      <c r="T120" s="91">
        <f>IF(TrRoad_act!T62=0,0,TrRoad_ene!T65/TrRoad_tech!T93)</f>
        <v>1.1230300636776078</v>
      </c>
      <c r="U120" s="91">
        <f>IF(TrRoad_act!U62=0,0,TrRoad_ene!U65/TrRoad_tech!U93)</f>
        <v>1.1155928802578272</v>
      </c>
      <c r="V120" s="91">
        <f>IF(TrRoad_act!V62=0,0,TrRoad_ene!V65/TrRoad_tech!V93)</f>
        <v>1.1108135455169674</v>
      </c>
      <c r="W120" s="91">
        <f>IF(TrRoad_act!W62=0,0,TrRoad_ene!W65/TrRoad_tech!W93)</f>
        <v>1.1315464939339641</v>
      </c>
      <c r="X120" s="91">
        <f>IF(TrRoad_act!X62=0,0,TrRoad_ene!X65/TrRoad_tech!X93)</f>
        <v>1.1281732951739436</v>
      </c>
      <c r="Y120" s="91">
        <f>IF(TrRoad_act!Y62=0,0,TrRoad_ene!Y65/TrRoad_tech!Y93)</f>
        <v>1.1210665118795142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0.94814013389452967</v>
      </c>
      <c r="H121" s="91">
        <f>IF(TrRoad_act!H63=0,0,TrRoad_ene!H66/TrRoad_tech!H94)</f>
        <v>0.95856594014625474</v>
      </c>
      <c r="I121" s="91">
        <f>IF(TrRoad_act!I63=0,0,TrRoad_ene!I66/TrRoad_tech!I94)</f>
        <v>0.98511556269787159</v>
      </c>
      <c r="J121" s="91">
        <f>IF(TrRoad_act!J63=0,0,TrRoad_ene!J66/TrRoad_tech!J94)</f>
        <v>1.0287597319800603</v>
      </c>
      <c r="K121" s="91">
        <f>IF(TrRoad_act!K63=0,0,TrRoad_ene!K66/TrRoad_tech!K94)</f>
        <v>1.0777842292250412</v>
      </c>
      <c r="L121" s="91">
        <f>IF(TrRoad_act!L63=0,0,TrRoad_ene!L66/TrRoad_tech!L94)</f>
        <v>1.0248868650526328</v>
      </c>
      <c r="M121" s="91">
        <f>IF(TrRoad_act!M63=0,0,TrRoad_ene!M66/TrRoad_tech!M94)</f>
        <v>0.96600881432071428</v>
      </c>
      <c r="N121" s="91">
        <f>IF(TrRoad_act!N63=0,0,TrRoad_ene!N66/TrRoad_tech!N94)</f>
        <v>0.96986950638041547</v>
      </c>
      <c r="O121" s="91">
        <f>IF(TrRoad_act!O63=0,0,TrRoad_ene!O66/TrRoad_tech!O94)</f>
        <v>0.97471424746945989</v>
      </c>
      <c r="P121" s="91">
        <f>IF(TrRoad_act!P63=0,0,TrRoad_ene!P66/TrRoad_tech!P94)</f>
        <v>0.80032861192147953</v>
      </c>
      <c r="Q121" s="91">
        <f>IF(TrRoad_act!Q63=0,0,TrRoad_ene!Q66/TrRoad_tech!Q94)</f>
        <v>0.88790635321678624</v>
      </c>
      <c r="R121" s="91">
        <f>IF(TrRoad_act!R63=0,0,TrRoad_ene!R66/TrRoad_tech!R94)</f>
        <v>0.91422212361294153</v>
      </c>
      <c r="S121" s="91">
        <f>IF(TrRoad_act!S63=0,0,TrRoad_ene!S66/TrRoad_tech!S94)</f>
        <v>0.9710027576121919</v>
      </c>
      <c r="T121" s="91">
        <f>IF(TrRoad_act!T63=0,0,TrRoad_ene!T66/TrRoad_tech!T94)</f>
        <v>1.0705555306095207</v>
      </c>
      <c r="U121" s="91">
        <f>IF(TrRoad_act!U63=0,0,TrRoad_ene!U66/TrRoad_tech!U94)</f>
        <v>1.1523963437343112</v>
      </c>
      <c r="V121" s="91">
        <f>IF(TrRoad_act!V63=0,0,TrRoad_ene!V66/TrRoad_tech!V94)</f>
        <v>1.2255023418709787</v>
      </c>
      <c r="W121" s="91">
        <f>IF(TrRoad_act!W63=0,0,TrRoad_ene!W66/TrRoad_tech!W94)</f>
        <v>1.4064431903753958</v>
      </c>
      <c r="X121" s="91">
        <f>IF(TrRoad_act!X63=0,0,TrRoad_ene!X66/TrRoad_tech!X94)</f>
        <v>1.3970875792802369</v>
      </c>
      <c r="Y121" s="91">
        <f>IF(TrRoad_act!Y63=0,0,TrRoad_ene!Y66/TrRoad_tech!Y94)</f>
        <v>1.4196386475748579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2.0254048673157601</v>
      </c>
      <c r="D122" s="91">
        <f>IF(TrRoad_act!D64=0,0,TrRoad_ene!D67/TrRoad_tech!D95)</f>
        <v>0.85178308496384869</v>
      </c>
      <c r="E122" s="91">
        <f>IF(TrRoad_act!E64=0,0,TrRoad_ene!E67/TrRoad_tech!E95)</f>
        <v>0.85827048663690431</v>
      </c>
      <c r="F122" s="91">
        <f>IF(TrRoad_act!F64=0,0,TrRoad_ene!F67/TrRoad_tech!F95)</f>
        <v>1.0973035488018945</v>
      </c>
      <c r="G122" s="91">
        <f>IF(TrRoad_act!G64=0,0,TrRoad_ene!G67/TrRoad_tech!G95)</f>
        <v>1.4262539115801307</v>
      </c>
      <c r="H122" s="91">
        <f>IF(TrRoad_act!H64=0,0,TrRoad_ene!H67/TrRoad_tech!H95)</f>
        <v>0.84052704758149466</v>
      </c>
      <c r="I122" s="91">
        <f>IF(TrRoad_act!I64=0,0,TrRoad_ene!I67/TrRoad_tech!I95)</f>
        <v>1.7112136268510858</v>
      </c>
      <c r="J122" s="91">
        <f>IF(TrRoad_act!J64=0,0,TrRoad_ene!J67/TrRoad_tech!J95)</f>
        <v>0.82223617806570992</v>
      </c>
      <c r="K122" s="91">
        <f>IF(TrRoad_act!K64=0,0,TrRoad_ene!K67/TrRoad_tech!K95)</f>
        <v>0.82049276396397497</v>
      </c>
      <c r="L122" s="91">
        <f>IF(TrRoad_act!L64=0,0,TrRoad_ene!L67/TrRoad_tech!L95)</f>
        <v>0.91551874430453961</v>
      </c>
      <c r="M122" s="91">
        <f>IF(TrRoad_act!M64=0,0,TrRoad_ene!M67/TrRoad_tech!M95)</f>
        <v>1.0929604108684465</v>
      </c>
      <c r="N122" s="91">
        <f>IF(TrRoad_act!N64=0,0,TrRoad_ene!N67/TrRoad_tech!N95)</f>
        <v>1.0745968434593305</v>
      </c>
      <c r="O122" s="91">
        <f>IF(TrRoad_act!O64=0,0,TrRoad_ene!O67/TrRoad_tech!O95)</f>
        <v>0.9540054508680087</v>
      </c>
      <c r="P122" s="91">
        <f>IF(TrRoad_act!P64=0,0,TrRoad_ene!P67/TrRoad_tech!P95)</f>
        <v>1.0448716119918293</v>
      </c>
      <c r="Q122" s="91">
        <f>IF(TrRoad_act!Q64=0,0,TrRoad_ene!Q67/TrRoad_tech!Q95)</f>
        <v>0.9648605352353391</v>
      </c>
      <c r="R122" s="91">
        <f>IF(TrRoad_act!R64=0,0,TrRoad_ene!R67/TrRoad_tech!R95)</f>
        <v>1.0528897663221415</v>
      </c>
      <c r="S122" s="91">
        <f>IF(TrRoad_act!S64=0,0,TrRoad_ene!S67/TrRoad_tech!S95)</f>
        <v>1.0541730985925644</v>
      </c>
      <c r="T122" s="91">
        <f>IF(TrRoad_act!T64=0,0,TrRoad_ene!T67/TrRoad_tech!T95)</f>
        <v>1.0559353620331975</v>
      </c>
      <c r="U122" s="91">
        <f>IF(TrRoad_act!U64=0,0,TrRoad_ene!U67/TrRoad_tech!U95)</f>
        <v>1.0594024265033406</v>
      </c>
      <c r="V122" s="91">
        <f>IF(TrRoad_act!V64=0,0,TrRoad_ene!V67/TrRoad_tech!V95)</f>
        <v>1.4107273985805633</v>
      </c>
      <c r="W122" s="91">
        <f>IF(TrRoad_act!W64=0,0,TrRoad_ene!W67/TrRoad_tech!W95)</f>
        <v>1.38333187911421</v>
      </c>
      <c r="X122" s="91">
        <f>IF(TrRoad_act!X64=0,0,TrRoad_ene!X67/TrRoad_tech!X95)</f>
        <v>1.4840912305255916</v>
      </c>
      <c r="Y122" s="91">
        <f>IF(TrRoad_act!Y64=0,0,TrRoad_ene!Y67/TrRoad_tech!Y95)</f>
        <v>1.3479468428268353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1.0006850021450946</v>
      </c>
      <c r="O123" s="91">
        <f>IF(TrRoad_act!O65=0,0,TrRoad_ene!O68/TrRoad_tech!O96)</f>
        <v>0.99374751419714069</v>
      </c>
      <c r="P123" s="91">
        <f>IF(TrRoad_act!P65=0,0,TrRoad_ene!P68/TrRoad_tech!P96)</f>
        <v>0.96642837518878733</v>
      </c>
      <c r="Q123" s="91">
        <f>IF(TrRoad_act!Q65=0,0,TrRoad_ene!Q68/TrRoad_tech!Q96)</f>
        <v>0.97970423587569189</v>
      </c>
      <c r="R123" s="91">
        <f>IF(TrRoad_act!R65=0,0,TrRoad_ene!R68/TrRoad_tech!R96)</f>
        <v>1.0048444315877729</v>
      </c>
      <c r="S123" s="91">
        <f>IF(TrRoad_act!S65=0,0,TrRoad_ene!S68/TrRoad_tech!S96)</f>
        <v>1.0212343260275298</v>
      </c>
      <c r="T123" s="91">
        <f>IF(TrRoad_act!T65=0,0,TrRoad_ene!T68/TrRoad_tech!T96)</f>
        <v>0.97930339563681201</v>
      </c>
      <c r="U123" s="91">
        <f>IF(TrRoad_act!U65=0,0,TrRoad_ene!U68/TrRoad_tech!U96)</f>
        <v>0.97267733986037264</v>
      </c>
      <c r="V123" s="91">
        <f>IF(TrRoad_act!V65=0,0,TrRoad_ene!V68/TrRoad_tech!V96)</f>
        <v>0.99601111603886694</v>
      </c>
      <c r="W123" s="91">
        <f>IF(TrRoad_act!W65=0,0,TrRoad_ene!W68/TrRoad_tech!W96)</f>
        <v>1.0155954816625532</v>
      </c>
      <c r="X123" s="91">
        <f>IF(TrRoad_act!X65=0,0,TrRoad_ene!X68/TrRoad_tech!X96)</f>
        <v>1.0338524686870381</v>
      </c>
      <c r="Y123" s="91">
        <f>IF(TrRoad_act!Y65=0,0,TrRoad_ene!Y68/TrRoad_tech!Y96)</f>
        <v>1.0697719977932563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1.06037037037527</v>
      </c>
      <c r="N124" s="91">
        <f>IF(TrRoad_act!N66=0,0,TrRoad_ene!N69/TrRoad_tech!N97)</f>
        <v>1.0606190680122363</v>
      </c>
      <c r="O124" s="91">
        <f>IF(TrRoad_act!O66=0,0,TrRoad_ene!O69/TrRoad_tech!O97)</f>
        <v>1.0670037312845788</v>
      </c>
      <c r="P124" s="91">
        <f>IF(TrRoad_act!P66=0,0,TrRoad_ene!P69/TrRoad_tech!P97)</f>
        <v>1.0727045977300582</v>
      </c>
      <c r="Q124" s="91">
        <f>IF(TrRoad_act!Q66=0,0,TrRoad_ene!Q69/TrRoad_tech!Q97)</f>
        <v>1.0786720567048611</v>
      </c>
      <c r="R124" s="91">
        <f>IF(TrRoad_act!R66=0,0,TrRoad_ene!R69/TrRoad_tech!R97)</f>
        <v>1.081942374351796</v>
      </c>
      <c r="S124" s="91">
        <f>IF(TrRoad_act!S66=0,0,TrRoad_ene!S69/TrRoad_tech!S97)</f>
        <v>1.0875637477509952</v>
      </c>
      <c r="T124" s="91">
        <f>IF(TrRoad_act!T66=0,0,TrRoad_ene!T69/TrRoad_tech!T97)</f>
        <v>1.0912953235272262</v>
      </c>
      <c r="U124" s="91">
        <f>IF(TrRoad_act!U66=0,0,TrRoad_ene!U69/TrRoad_tech!U97)</f>
        <v>1.0924890754845502</v>
      </c>
      <c r="V124" s="91">
        <f>IF(TrRoad_act!V66=0,0,TrRoad_ene!V69/TrRoad_tech!V97)</f>
        <v>1.0954024368365711</v>
      </c>
      <c r="W124" s="91">
        <f>IF(TrRoad_act!W66=0,0,TrRoad_ene!W69/TrRoad_tech!W97)</f>
        <v>1.0968883498355742</v>
      </c>
      <c r="X124" s="91">
        <f>IF(TrRoad_act!X66=0,0,TrRoad_ene!X69/TrRoad_tech!X97)</f>
        <v>1.0979821204977018</v>
      </c>
      <c r="Y124" s="91">
        <f>IF(TrRoad_act!Y66=0,0,TrRoad_ene!Y69/TrRoad_tech!Y97)</f>
        <v>1.09912736791281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1.0999862800856175</v>
      </c>
      <c r="C125" s="151">
        <f>IF(TrRoad_act!C67=0,0,TrRoad_ene!C70/TrRoad_tech!C98)</f>
        <v>1.089688443877747</v>
      </c>
      <c r="D125" s="151">
        <f>IF(TrRoad_act!D67=0,0,TrRoad_ene!D70/TrRoad_tech!D98)</f>
        <v>1.1011722331932423</v>
      </c>
      <c r="E125" s="151">
        <f>IF(TrRoad_act!E67=0,0,TrRoad_ene!E70/TrRoad_tech!E98)</f>
        <v>1.0791157025924976</v>
      </c>
      <c r="F125" s="151">
        <f>IF(TrRoad_act!F67=0,0,TrRoad_ene!F70/TrRoad_tech!F98)</f>
        <v>1.0766293729038148</v>
      </c>
      <c r="G125" s="151">
        <f>IF(TrRoad_act!G67=0,0,TrRoad_ene!G70/TrRoad_tech!G98)</f>
        <v>1.0892660008222919</v>
      </c>
      <c r="H125" s="151">
        <f>IF(TrRoad_act!H67=0,0,TrRoad_ene!H70/TrRoad_tech!H98)</f>
        <v>1.0922086356668514</v>
      </c>
      <c r="I125" s="151">
        <f>IF(TrRoad_act!I67=0,0,TrRoad_ene!I70/TrRoad_tech!I98)</f>
        <v>1.0966818276249357</v>
      </c>
      <c r="J125" s="151">
        <f>IF(TrRoad_act!J67=0,0,TrRoad_ene!J70/TrRoad_tech!J98)</f>
        <v>1.1019160591219301</v>
      </c>
      <c r="K125" s="151">
        <f>IF(TrRoad_act!K67=0,0,TrRoad_ene!K70/TrRoad_tech!K98)</f>
        <v>1.1082968062149656</v>
      </c>
      <c r="L125" s="151">
        <f>IF(TrRoad_act!L67=0,0,TrRoad_ene!L70/TrRoad_tech!L98)</f>
        <v>1.1343895740735597</v>
      </c>
      <c r="M125" s="151">
        <f>IF(TrRoad_act!M67=0,0,TrRoad_ene!M70/TrRoad_tech!M98)</f>
        <v>1.1424803181472933</v>
      </c>
      <c r="N125" s="151">
        <f>IF(TrRoad_act!N67=0,0,TrRoad_ene!N70/TrRoad_tech!N98)</f>
        <v>1.1562054694530142</v>
      </c>
      <c r="O125" s="151">
        <f>IF(TrRoad_act!O67=0,0,TrRoad_ene!O70/TrRoad_tech!O98)</f>
        <v>1.1702827994916052</v>
      </c>
      <c r="P125" s="151">
        <f>IF(TrRoad_act!P67=0,0,TrRoad_ene!P70/TrRoad_tech!P98)</f>
        <v>1.1715776930541799</v>
      </c>
      <c r="Q125" s="151">
        <f>IF(TrRoad_act!Q67=0,0,TrRoad_ene!Q70/TrRoad_tech!Q98)</f>
        <v>1.1755026022801431</v>
      </c>
      <c r="R125" s="151">
        <f>IF(TrRoad_act!R67=0,0,TrRoad_ene!R70/TrRoad_tech!R98)</f>
        <v>1.1749702708722947</v>
      </c>
      <c r="S125" s="151">
        <f>IF(TrRoad_act!S67=0,0,TrRoad_ene!S70/TrRoad_tech!S98)</f>
        <v>1.2102084132025157</v>
      </c>
      <c r="T125" s="151">
        <f>IF(TrRoad_act!T67=0,0,TrRoad_ene!T70/TrRoad_tech!T98)</f>
        <v>1.2195005580929761</v>
      </c>
      <c r="U125" s="151">
        <f>IF(TrRoad_act!U67=0,0,TrRoad_ene!U70/TrRoad_tech!U98)</f>
        <v>1.2386605260272283</v>
      </c>
      <c r="V125" s="151">
        <f>IF(TrRoad_act!V67=0,0,TrRoad_ene!V70/TrRoad_tech!V98)</f>
        <v>1.2506744306603483</v>
      </c>
      <c r="W125" s="151">
        <f>IF(TrRoad_act!W67=0,0,TrRoad_ene!W70/TrRoad_tech!W98)</f>
        <v>1.2675183717638905</v>
      </c>
      <c r="X125" s="151">
        <f>IF(TrRoad_act!X67=0,0,TrRoad_ene!X70/TrRoad_tech!X98)</f>
        <v>1.2710280187807572</v>
      </c>
      <c r="Y125" s="151">
        <f>IF(TrRoad_act!Y67=0,0,TrRoad_ene!Y70/TrRoad_tech!Y98)</f>
        <v>1.2692069846929432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X126" s="93">
        <f>IF(TrRoad_act!X68=0,0,TrRoad_ene!X71/TrRoad_tech!X99)</f>
        <v>0</v>
      </c>
      <c r="Y126" s="93">
        <f>IF(TrRoad_act!Y68=0,0,TrRoad_ene!Y71/TrRoad_tech!Y99)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1.0999862800856175</v>
      </c>
      <c r="C127" s="93">
        <f>IF(TrRoad_act!C69=0,0,TrRoad_ene!C72/TrRoad_tech!C100)</f>
        <v>1.0976640529374502</v>
      </c>
      <c r="D127" s="93">
        <f>IF(TrRoad_act!D69=0,0,TrRoad_ene!D72/TrRoad_tech!D100)</f>
        <v>1.1138397398936688</v>
      </c>
      <c r="E127" s="93">
        <f>IF(TrRoad_act!E69=0,0,TrRoad_ene!E72/TrRoad_tech!E100)</f>
        <v>1.0956035315483312</v>
      </c>
      <c r="F127" s="93">
        <f>IF(TrRoad_act!F69=0,0,TrRoad_ene!F72/TrRoad_tech!F100)</f>
        <v>1.0996135185515721</v>
      </c>
      <c r="G127" s="93">
        <f>IF(TrRoad_act!G69=0,0,TrRoad_ene!G72/TrRoad_tech!G100)</f>
        <v>1.1164217255639735</v>
      </c>
      <c r="H127" s="93">
        <f>IF(TrRoad_act!H69=0,0,TrRoad_ene!H72/TrRoad_tech!H100)</f>
        <v>1.1253228688452963</v>
      </c>
      <c r="I127" s="93">
        <f>IF(TrRoad_act!I69=0,0,TrRoad_ene!I72/TrRoad_tech!I100)</f>
        <v>1.1370595257012706</v>
      </c>
      <c r="J127" s="93">
        <f>IF(TrRoad_act!J69=0,0,TrRoad_ene!J72/TrRoad_tech!J100)</f>
        <v>1.1436961487800843</v>
      </c>
      <c r="K127" s="93">
        <f>IF(TrRoad_act!K69=0,0,TrRoad_ene!K72/TrRoad_tech!K100)</f>
        <v>1.1456620878243104</v>
      </c>
      <c r="L127" s="93">
        <f>IF(TrRoad_act!L69=0,0,TrRoad_ene!L72/TrRoad_tech!L100)</f>
        <v>1.1688816068806434</v>
      </c>
      <c r="M127" s="93">
        <f>IF(TrRoad_act!M69=0,0,TrRoad_ene!M72/TrRoad_tech!M100)</f>
        <v>1.1725486666956697</v>
      </c>
      <c r="N127" s="93">
        <f>IF(TrRoad_act!N69=0,0,TrRoad_ene!N72/TrRoad_tech!N100)</f>
        <v>1.1789722320348885</v>
      </c>
      <c r="O127" s="93">
        <f>IF(TrRoad_act!O69=0,0,TrRoad_ene!O72/TrRoad_tech!O100)</f>
        <v>1.188144556630286</v>
      </c>
      <c r="P127" s="93">
        <f>IF(TrRoad_act!P69=0,0,TrRoad_ene!P72/TrRoad_tech!P100)</f>
        <v>1.1915374437669799</v>
      </c>
      <c r="Q127" s="93">
        <f>IF(TrRoad_act!Q69=0,0,TrRoad_ene!Q72/TrRoad_tech!Q100)</f>
        <v>1.1934472927553255</v>
      </c>
      <c r="R127" s="93">
        <f>IF(TrRoad_act!R69=0,0,TrRoad_ene!R72/TrRoad_tech!R100)</f>
        <v>1.209015128674314</v>
      </c>
      <c r="S127" s="93">
        <f>IF(TrRoad_act!S69=0,0,TrRoad_ene!S72/TrRoad_tech!S100)</f>
        <v>1.2418769650855006</v>
      </c>
      <c r="T127" s="93">
        <f>IF(TrRoad_act!T69=0,0,TrRoad_ene!T72/TrRoad_tech!T100)</f>
        <v>1.2552085913598336</v>
      </c>
      <c r="U127" s="93">
        <f>IF(TrRoad_act!U69=0,0,TrRoad_ene!U72/TrRoad_tech!U100)</f>
        <v>1.2520197974417528</v>
      </c>
      <c r="V127" s="93">
        <f>IF(TrRoad_act!V69=0,0,TrRoad_ene!V72/TrRoad_tech!V100)</f>
        <v>1.2632599112570011</v>
      </c>
      <c r="W127" s="93">
        <f>IF(TrRoad_act!W69=0,0,TrRoad_ene!W72/TrRoad_tech!W100)</f>
        <v>1.2908179024830913</v>
      </c>
      <c r="X127" s="93">
        <f>IF(TrRoad_act!X69=0,0,TrRoad_ene!X72/TrRoad_tech!X100)</f>
        <v>1.294459423073353</v>
      </c>
      <c r="Y127" s="93">
        <f>IF(TrRoad_act!Y69=0,0,TrRoad_ene!Y72/TrRoad_tech!Y100)</f>
        <v>1.3051212817581628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0.29504222969128374</v>
      </c>
      <c r="S129" s="93">
        <f>IF(TrRoad_act!S71=0,0,TrRoad_ene!S74/TrRoad_tech!S102)</f>
        <v>0.4477331854028343</v>
      </c>
      <c r="T129" s="93">
        <f>IF(TrRoad_act!T71=0,0,TrRoad_ene!T74/TrRoad_tech!T102)</f>
        <v>0.32266716540707974</v>
      </c>
      <c r="U129" s="93">
        <f>IF(TrRoad_act!U71=0,0,TrRoad_ene!U74/TrRoad_tech!U102)</f>
        <v>1.317263573193203</v>
      </c>
      <c r="V129" s="93">
        <f>IF(TrRoad_act!V71=0,0,TrRoad_ene!V74/TrRoad_tech!V102)</f>
        <v>1.7430380560646657</v>
      </c>
      <c r="W129" s="93">
        <f>IF(TrRoad_act!W71=0,0,TrRoad_ene!W74/TrRoad_tech!W102)</f>
        <v>1.7058820805712918</v>
      </c>
      <c r="X129" s="93">
        <f>IF(TrRoad_act!X71=0,0,TrRoad_ene!X74/TrRoad_tech!X102)</f>
        <v>1.8262410425177216</v>
      </c>
      <c r="Y129" s="93">
        <f>IF(TrRoad_act!Y71=0,0,TrRoad_ene!Y74/TrRoad_tech!Y102)</f>
        <v>1.6570782274514126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1.2000000000070938</v>
      </c>
      <c r="M130" s="93">
        <f>IF(TrRoad_act!M72=0,0,TrRoad_ene!M75/TrRoad_tech!M103)</f>
        <v>1.2099443805480994</v>
      </c>
      <c r="N130" s="93">
        <f>IF(TrRoad_act!N72=0,0,TrRoad_ene!N75/TrRoad_tech!N103)</f>
        <v>1.2100450000897256</v>
      </c>
      <c r="O130" s="93">
        <f>IF(TrRoad_act!O72=0,0,TrRoad_ene!O75/TrRoad_tech!O103)</f>
        <v>1.2101291523057347</v>
      </c>
      <c r="P130" s="93">
        <f>IF(TrRoad_act!P72=0,0,TrRoad_ene!P75/TrRoad_tech!P103)</f>
        <v>1.2321662183426028</v>
      </c>
      <c r="Q130" s="93">
        <f>IF(TrRoad_act!Q72=0,0,TrRoad_ene!Q75/TrRoad_tech!Q103)</f>
        <v>1.2460299475476329</v>
      </c>
      <c r="R130" s="93">
        <f>IF(TrRoad_act!R72=0,0,TrRoad_ene!R75/TrRoad_tech!R103)</f>
        <v>1.2584607674637833</v>
      </c>
      <c r="S130" s="93">
        <f>IF(TrRoad_act!S72=0,0,TrRoad_ene!S75/TrRoad_tech!S103)</f>
        <v>1.2679728608836351</v>
      </c>
      <c r="T130" s="93">
        <f>IF(TrRoad_act!T72=0,0,TrRoad_ene!T75/TrRoad_tech!T103)</f>
        <v>1.2763448512542865</v>
      </c>
      <c r="U130" s="93">
        <f>IF(TrRoad_act!U72=0,0,TrRoad_ene!U75/TrRoad_tech!U103)</f>
        <v>1.2804971547389452</v>
      </c>
      <c r="V130" s="93">
        <f>IF(TrRoad_act!V72=0,0,TrRoad_ene!V75/TrRoad_tech!V103)</f>
        <v>1.282577361695006</v>
      </c>
      <c r="W130" s="93">
        <f>IF(TrRoad_act!W72=0,0,TrRoad_ene!W75/TrRoad_tech!W103)</f>
        <v>1.2830385565703357</v>
      </c>
      <c r="X130" s="93">
        <f>IF(TrRoad_act!X72=0,0,TrRoad_ene!X75/TrRoad_tech!X103)</f>
        <v>1.2844737154911765</v>
      </c>
      <c r="Y130" s="93">
        <f>IF(TrRoad_act!Y72=0,0,TrRoad_ene!Y75/TrRoad_tech!Y103)</f>
        <v>1.2918168839734745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1.1439139500797639</v>
      </c>
      <c r="C132" s="150">
        <f>IF(TrRoad_act!C74=0,0,TrRoad_ene!C77/TrRoad_tech!C105)</f>
        <v>1.1651192688543299</v>
      </c>
      <c r="D132" s="150">
        <f>IF(TrRoad_act!D74=0,0,TrRoad_ene!D77/TrRoad_tech!D105)</f>
        <v>1.360793592340189</v>
      </c>
      <c r="E132" s="150">
        <f>IF(TrRoad_act!E74=0,0,TrRoad_ene!E77/TrRoad_tech!E105)</f>
        <v>1.2898936898433122</v>
      </c>
      <c r="F132" s="150">
        <f>IF(TrRoad_act!F74=0,0,TrRoad_ene!F77/TrRoad_tech!F105)</f>
        <v>1.3366833049481213</v>
      </c>
      <c r="G132" s="150">
        <f>IF(TrRoad_act!G74=0,0,TrRoad_ene!G77/TrRoad_tech!G105)</f>
        <v>1.3936078276276271</v>
      </c>
      <c r="H132" s="150">
        <f>IF(TrRoad_act!H74=0,0,TrRoad_ene!H77/TrRoad_tech!H105)</f>
        <v>1.309217835623852</v>
      </c>
      <c r="I132" s="150">
        <f>IF(TrRoad_act!I74=0,0,TrRoad_ene!I77/TrRoad_tech!I105)</f>
        <v>1.371685606316883</v>
      </c>
      <c r="J132" s="150">
        <f>IF(TrRoad_act!J74=0,0,TrRoad_ene!J77/TrRoad_tech!J105)</f>
        <v>1.2815883313626881</v>
      </c>
      <c r="K132" s="150">
        <f>IF(TrRoad_act!K74=0,0,TrRoad_ene!K77/TrRoad_tech!K105)</f>
        <v>1.1693089502233396</v>
      </c>
      <c r="L132" s="150">
        <f>IF(TrRoad_act!L74=0,0,TrRoad_ene!L77/TrRoad_tech!L105)</f>
        <v>1.3323661019783843</v>
      </c>
      <c r="M132" s="150">
        <f>IF(TrRoad_act!M74=0,0,TrRoad_ene!M77/TrRoad_tech!M105)</f>
        <v>1.359964522456298</v>
      </c>
      <c r="N132" s="150">
        <f>IF(TrRoad_act!N74=0,0,TrRoad_ene!N77/TrRoad_tech!N105)</f>
        <v>1.2703688966592426</v>
      </c>
      <c r="O132" s="150">
        <f>IF(TrRoad_act!O74=0,0,TrRoad_ene!O77/TrRoad_tech!O105)</f>
        <v>1.2558665716788719</v>
      </c>
      <c r="P132" s="150">
        <f>IF(TrRoad_act!P74=0,0,TrRoad_ene!P77/TrRoad_tech!P105)</f>
        <v>1.2978413420504997</v>
      </c>
      <c r="Q132" s="150">
        <f>IF(TrRoad_act!Q74=0,0,TrRoad_ene!Q77/TrRoad_tech!Q105)</f>
        <v>1.2245883525051506</v>
      </c>
      <c r="R132" s="150">
        <f>IF(TrRoad_act!R74=0,0,TrRoad_ene!R77/TrRoad_tech!R105)</f>
        <v>1.350391310790402</v>
      </c>
      <c r="S132" s="150">
        <f>IF(TrRoad_act!S74=0,0,TrRoad_ene!S77/TrRoad_tech!S105)</f>
        <v>1.4430461555110659</v>
      </c>
      <c r="T132" s="150">
        <f>IF(TrRoad_act!T74=0,0,TrRoad_ene!T77/TrRoad_tech!T105)</f>
        <v>1.4449904905820525</v>
      </c>
      <c r="U132" s="150">
        <f>IF(TrRoad_act!U74=0,0,TrRoad_ene!U77/TrRoad_tech!U105)</f>
        <v>1.4356483651040479</v>
      </c>
      <c r="V132" s="150">
        <f>IF(TrRoad_act!V74=0,0,TrRoad_ene!V77/TrRoad_tech!V105)</f>
        <v>1.4623936508105964</v>
      </c>
      <c r="W132" s="150">
        <f>IF(TrRoad_act!W74=0,0,TrRoad_ene!W77/TrRoad_tech!W105)</f>
        <v>1.3893409758793327</v>
      </c>
      <c r="X132" s="150">
        <f>IF(TrRoad_act!X74=0,0,TrRoad_ene!X77/TrRoad_tech!X105)</f>
        <v>1.4452149975793029</v>
      </c>
      <c r="Y132" s="150">
        <f>IF(TrRoad_act!Y74=0,0,TrRoad_ene!Y77/TrRoad_tech!Y105)</f>
        <v>1.4911863913851169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1.1000108622048448</v>
      </c>
      <c r="D133" s="91">
        <f>IF(TrRoad_act!D75=0,0,TrRoad_ene!D78/TrRoad_tech!D106)</f>
        <v>1.1000412836903957</v>
      </c>
      <c r="E133" s="91">
        <f>IF(TrRoad_act!E75=0,0,TrRoad_ene!E78/TrRoad_tech!E106)</f>
        <v>1.100101879500105</v>
      </c>
      <c r="F133" s="91">
        <f>IF(TrRoad_act!F75=0,0,TrRoad_ene!F78/TrRoad_tech!F106)</f>
        <v>1.1004442429957444</v>
      </c>
      <c r="G133" s="91">
        <f>IF(TrRoad_act!G75=0,0,TrRoad_ene!G78/TrRoad_tech!G106)</f>
        <v>1.1005772174041657</v>
      </c>
      <c r="H133" s="91">
        <f>IF(TrRoad_act!H75=0,0,TrRoad_ene!H78/TrRoad_tech!H106)</f>
        <v>1.101273044556184</v>
      </c>
      <c r="I133" s="91">
        <f>IF(TrRoad_act!I75=0,0,TrRoad_ene!I78/TrRoad_tech!I106)</f>
        <v>1.1029413543625688</v>
      </c>
      <c r="J133" s="91">
        <f>IF(TrRoad_act!J75=0,0,TrRoad_ene!J78/TrRoad_tech!J106)</f>
        <v>1.1049119580690427</v>
      </c>
      <c r="K133" s="91">
        <f>IF(TrRoad_act!K75=0,0,TrRoad_ene!K78/TrRoad_tech!K106)</f>
        <v>1.1072135881853042</v>
      </c>
      <c r="L133" s="91">
        <f>IF(TrRoad_act!L75=0,0,TrRoad_ene!L78/TrRoad_tech!L106)</f>
        <v>1.108776363296192</v>
      </c>
      <c r="M133" s="91">
        <f>IF(TrRoad_act!M75=0,0,TrRoad_ene!M78/TrRoad_tech!M106)</f>
        <v>1.1096722795009151</v>
      </c>
      <c r="N133" s="91">
        <f>IF(TrRoad_act!N75=0,0,TrRoad_ene!N78/TrRoad_tech!N106)</f>
        <v>1.1108585613769337</v>
      </c>
      <c r="O133" s="91">
        <f>IF(TrRoad_act!O75=0,0,TrRoad_ene!O78/TrRoad_tech!O106)</f>
        <v>1.1169562306255085</v>
      </c>
      <c r="P133" s="91">
        <f>IF(TrRoad_act!P75=0,0,TrRoad_ene!P78/TrRoad_tech!P106)</f>
        <v>1.1186453385978619</v>
      </c>
      <c r="Q133" s="91">
        <f>IF(TrRoad_act!Q75=0,0,TrRoad_ene!Q78/TrRoad_tech!Q106)</f>
        <v>1.1390027831002336</v>
      </c>
      <c r="R133" s="91">
        <f>IF(TrRoad_act!R75=0,0,TrRoad_ene!R78/TrRoad_tech!R106)</f>
        <v>1.157945296212963</v>
      </c>
      <c r="S133" s="91">
        <f>IF(TrRoad_act!S75=0,0,TrRoad_ene!S78/TrRoad_tech!S106)</f>
        <v>1.16405551519843</v>
      </c>
      <c r="T133" s="91">
        <f>IF(TrRoad_act!T75=0,0,TrRoad_ene!T78/TrRoad_tech!T106)</f>
        <v>1.1714882257321468</v>
      </c>
      <c r="U133" s="91">
        <f>IF(TrRoad_act!U75=0,0,TrRoad_ene!U78/TrRoad_tech!U106)</f>
        <v>1.181946847415301</v>
      </c>
      <c r="V133" s="91">
        <f>IF(TrRoad_act!V75=0,0,TrRoad_ene!V78/TrRoad_tech!V106)</f>
        <v>1.1827227487030949</v>
      </c>
      <c r="W133" s="91">
        <f>IF(TrRoad_act!W75=0,0,TrRoad_ene!W78/TrRoad_tech!W106)</f>
        <v>1.1904807684854406</v>
      </c>
      <c r="X133" s="91">
        <f>IF(TrRoad_act!X75=0,0,TrRoad_ene!X78/TrRoad_tech!X106)</f>
        <v>1.210580932047858</v>
      </c>
      <c r="Y133" s="91">
        <f>IF(TrRoad_act!Y75=0,0,TrRoad_ene!Y78/TrRoad_tech!Y106)</f>
        <v>1.2312238367793062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1.1521281436169062</v>
      </c>
      <c r="C134" s="91">
        <f>IF(TrRoad_act!C76=0,0,TrRoad_ene!C79/TrRoad_tech!C107)</f>
        <v>1.1856135267928014</v>
      </c>
      <c r="D134" s="91">
        <f>IF(TrRoad_act!D76=0,0,TrRoad_ene!D79/TrRoad_tech!D107)</f>
        <v>1.4690144459100323</v>
      </c>
      <c r="E134" s="91">
        <f>IF(TrRoad_act!E76=0,0,TrRoad_ene!E79/TrRoad_tech!E107)</f>
        <v>1.3745095744782183</v>
      </c>
      <c r="F134" s="91">
        <f>IF(TrRoad_act!F76=0,0,TrRoad_ene!F79/TrRoad_tech!F107)</f>
        <v>1.4720584713009495</v>
      </c>
      <c r="G134" s="91">
        <f>IF(TrRoad_act!G76=0,0,TrRoad_ene!G79/TrRoad_tech!G107)</f>
        <v>1.5497440182825402</v>
      </c>
      <c r="H134" s="91">
        <f>IF(TrRoad_act!H76=0,0,TrRoad_ene!H79/TrRoad_tech!H107)</f>
        <v>1.4269006428391464</v>
      </c>
      <c r="I134" s="91">
        <f>IF(TrRoad_act!I76=0,0,TrRoad_ene!I79/TrRoad_tech!I107)</f>
        <v>1.5012866527238005</v>
      </c>
      <c r="J134" s="91">
        <f>IF(TrRoad_act!J76=0,0,TrRoad_ene!J79/TrRoad_tech!J107)</f>
        <v>1.3645330108675422</v>
      </c>
      <c r="K134" s="91">
        <f>IF(TrRoad_act!K76=0,0,TrRoad_ene!K79/TrRoad_tech!K107)</f>
        <v>1.1953812397376793</v>
      </c>
      <c r="L134" s="91">
        <f>IF(TrRoad_act!L76=0,0,TrRoad_ene!L79/TrRoad_tech!L107)</f>
        <v>1.3800697283582137</v>
      </c>
      <c r="M134" s="91">
        <f>IF(TrRoad_act!M76=0,0,TrRoad_ene!M79/TrRoad_tech!M107)</f>
        <v>1.4099893356632438</v>
      </c>
      <c r="N134" s="91">
        <f>IF(TrRoad_act!N76=0,0,TrRoad_ene!N79/TrRoad_tech!N107)</f>
        <v>1.2958773882864898</v>
      </c>
      <c r="O134" s="91">
        <f>IF(TrRoad_act!O76=0,0,TrRoad_ene!O79/TrRoad_tech!O107)</f>
        <v>1.2774495495580866</v>
      </c>
      <c r="P134" s="91">
        <f>IF(TrRoad_act!P76=0,0,TrRoad_ene!P79/TrRoad_tech!P107)</f>
        <v>1.3426100852444889</v>
      </c>
      <c r="Q134" s="91">
        <f>IF(TrRoad_act!Q76=0,0,TrRoad_ene!Q79/TrRoad_tech!Q107)</f>
        <v>1.2413241897216944</v>
      </c>
      <c r="R134" s="91">
        <f>IF(TrRoad_act!R76=0,0,TrRoad_ene!R79/TrRoad_tech!R107)</f>
        <v>1.4140636713490551</v>
      </c>
      <c r="S134" s="91">
        <f>IF(TrRoad_act!S76=0,0,TrRoad_ene!S79/TrRoad_tech!S107)</f>
        <v>1.5290096312251114</v>
      </c>
      <c r="T134" s="91">
        <f>IF(TrRoad_act!T76=0,0,TrRoad_ene!T79/TrRoad_tech!T107)</f>
        <v>1.5304029756358022</v>
      </c>
      <c r="U134" s="91">
        <f>IF(TrRoad_act!U76=0,0,TrRoad_ene!U79/TrRoad_tech!U107)</f>
        <v>1.5050903071318613</v>
      </c>
      <c r="V134" s="91">
        <f>IF(TrRoad_act!V76=0,0,TrRoad_ene!V79/TrRoad_tech!V107)</f>
        <v>1.53696464154723</v>
      </c>
      <c r="W134" s="91">
        <f>IF(TrRoad_act!W76=0,0,TrRoad_ene!W79/TrRoad_tech!W107)</f>
        <v>1.4426949638446227</v>
      </c>
      <c r="X134" s="91">
        <f>IF(TrRoad_act!X76=0,0,TrRoad_ene!X79/TrRoad_tech!X107)</f>
        <v>1.5105211217797427</v>
      </c>
      <c r="Y134" s="91">
        <f>IF(TrRoad_act!Y76=0,0,TrRoad_ene!Y79/TrRoad_tech!Y107)</f>
        <v>1.5663018935645976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1.2360000000066975</v>
      </c>
      <c r="O135" s="91">
        <f>IF(TrRoad_act!O77=0,0,TrRoad_ene!O80/TrRoad_tech!O108)</f>
        <v>1.2560000000062246</v>
      </c>
      <c r="P135" s="91">
        <f>IF(TrRoad_act!P77=0,0,TrRoad_ene!P80/TrRoad_tech!P108)</f>
        <v>1.1841993701321261</v>
      </c>
      <c r="Q135" s="91">
        <f>IF(TrRoad_act!Q77=0,0,TrRoad_ene!Q80/TrRoad_tech!Q108)</f>
        <v>1.1851904756756491</v>
      </c>
      <c r="R135" s="91">
        <f>IF(TrRoad_act!R77=0,0,TrRoad_ene!R80/TrRoad_tech!R108)</f>
        <v>1.1890798848756325</v>
      </c>
      <c r="S135" s="91">
        <f>IF(TrRoad_act!S77=0,0,TrRoad_ene!S80/TrRoad_tech!S108)</f>
        <v>1.1914160108967902</v>
      </c>
      <c r="T135" s="91">
        <f>IF(TrRoad_act!T77=0,0,TrRoad_ene!T80/TrRoad_tech!T108)</f>
        <v>1.1945529379780697</v>
      </c>
      <c r="U135" s="91">
        <f>IF(TrRoad_act!U77=0,0,TrRoad_ene!U80/TrRoad_tech!U108)</f>
        <v>1.1987656768697723</v>
      </c>
      <c r="V135" s="91">
        <f>IF(TrRoad_act!V77=0,0,TrRoad_ene!V80/TrRoad_tech!V108)</f>
        <v>1.2022973231929956</v>
      </c>
      <c r="W135" s="91">
        <f>IF(TrRoad_act!W77=0,0,TrRoad_ene!W80/TrRoad_tech!W108)</f>
        <v>1.2035154186528991</v>
      </c>
      <c r="X135" s="91">
        <f>IF(TrRoad_act!X77=0,0,TrRoad_ene!X80/TrRoad_tech!X108)</f>
        <v>1.2052012720976308</v>
      </c>
      <c r="Y135" s="91">
        <f>IF(TrRoad_act!Y77=0,0,TrRoad_ene!Y80/TrRoad_tech!Y108)</f>
        <v>1.2064090052714971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1.2735663640399586</v>
      </c>
      <c r="O136" s="91">
        <f>IF(TrRoad_act!O78=0,0,TrRoad_ene!O81/TrRoad_tech!O109)</f>
        <v>1.2497970889851386</v>
      </c>
      <c r="P136" s="91">
        <f>IF(TrRoad_act!P78=0,0,TrRoad_ene!P81/TrRoad_tech!P109)</f>
        <v>1.2581439726487822</v>
      </c>
      <c r="Q136" s="91">
        <f>IF(TrRoad_act!Q78=0,0,TrRoad_ene!Q81/TrRoad_tech!Q109)</f>
        <v>1.2706732084561529</v>
      </c>
      <c r="R136" s="91">
        <f>IF(TrRoad_act!R78=0,0,TrRoad_ene!R81/TrRoad_tech!R109)</f>
        <v>1.31588947394773</v>
      </c>
      <c r="S136" s="91">
        <f>IF(TrRoad_act!S78=0,0,TrRoad_ene!S81/TrRoad_tech!S109)</f>
        <v>1.3163532087895078</v>
      </c>
      <c r="T136" s="91">
        <f>IF(TrRoad_act!T78=0,0,TrRoad_ene!T81/TrRoad_tech!T109)</f>
        <v>1.3251319947222544</v>
      </c>
      <c r="U136" s="91">
        <f>IF(TrRoad_act!U78=0,0,TrRoad_ene!U81/TrRoad_tech!U109)</f>
        <v>1.3291857120920199</v>
      </c>
      <c r="V136" s="91">
        <f>IF(TrRoad_act!V78=0,0,TrRoad_ene!V81/TrRoad_tech!V109)</f>
        <v>1.7682335877525501</v>
      </c>
      <c r="W136" s="91">
        <f>IF(TrRoad_act!W78=0,0,TrRoad_ene!W81/TrRoad_tech!W109)</f>
        <v>1.729964250248804</v>
      </c>
      <c r="X136" s="91">
        <f>IF(TrRoad_act!X78=0,0,TrRoad_ene!X81/TrRoad_tech!X109)</f>
        <v>1.8510076549462544</v>
      </c>
      <c r="Y136" s="91">
        <f>IF(TrRoad_act!Y78=0,0,TrRoad_ene!Y81/TrRoad_tech!Y109)</f>
        <v>1.6764116259483379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1.2560000000062244</v>
      </c>
      <c r="P137" s="91">
        <f>IF(TrRoad_act!P79=0,0,TrRoad_ene!P82/TrRoad_tech!P110)</f>
        <v>1.2773333333398114</v>
      </c>
      <c r="Q137" s="91">
        <f>IF(TrRoad_act!Q79=0,0,TrRoad_ene!Q82/TrRoad_tech!Q110)</f>
        <v>1.296498655313846</v>
      </c>
      <c r="R137" s="91">
        <f>IF(TrRoad_act!R79=0,0,TrRoad_ene!R82/TrRoad_tech!R110)</f>
        <v>1.317263573193203</v>
      </c>
      <c r="S137" s="91">
        <f>IF(TrRoad_act!S79=0,0,TrRoad_ene!S82/TrRoad_tech!S110)</f>
        <v>1.3303615355983798</v>
      </c>
      <c r="T137" s="91">
        <f>IF(TrRoad_act!T79=0,0,TrRoad_ene!T82/TrRoad_tech!T110)</f>
        <v>1.3371718887901081</v>
      </c>
      <c r="U137" s="91">
        <f>IF(TrRoad_act!U79=0,0,TrRoad_ene!U82/TrRoad_tech!U110)</f>
        <v>1.3413317201233494</v>
      </c>
      <c r="V137" s="91">
        <f>IF(TrRoad_act!V79=0,0,TrRoad_ene!V82/TrRoad_tech!V110)</f>
        <v>1.3456167689562328</v>
      </c>
      <c r="W137" s="91">
        <f>IF(TrRoad_act!W79=0,0,TrRoad_ene!W82/TrRoad_tech!W110)</f>
        <v>1.3505240609986593</v>
      </c>
      <c r="X137" s="91">
        <f>IF(TrRoad_act!X79=0,0,TrRoad_ene!X82/TrRoad_tech!X110)</f>
        <v>1.3594274316757347</v>
      </c>
      <c r="Y137" s="91">
        <f>IF(TrRoad_act!Y79=0,0,TrRoad_ene!Y82/TrRoad_tech!Y110)</f>
        <v>1.3619086964785918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1.1161099778512074</v>
      </c>
      <c r="C138" s="151">
        <f>IF(TrRoad_act!C80=0,0,TrRoad_ene!C83/TrRoad_tech!C111)</f>
        <v>1.0386111057307106</v>
      </c>
      <c r="D138" s="151">
        <f>IF(TrRoad_act!D80=0,0,TrRoad_ene!D83/TrRoad_tech!D111)</f>
        <v>1.3729364117280987</v>
      </c>
      <c r="E138" s="151">
        <f>IF(TrRoad_act!E80=0,0,TrRoad_ene!E83/TrRoad_tech!E111)</f>
        <v>0.91181521231317375</v>
      </c>
      <c r="F138" s="151">
        <f>IF(TrRoad_act!F80=0,0,TrRoad_ene!F83/TrRoad_tech!F111)</f>
        <v>0.95531633300996577</v>
      </c>
      <c r="G138" s="151">
        <f>IF(TrRoad_act!G80=0,0,TrRoad_ene!G83/TrRoad_tech!G111)</f>
        <v>1.3119456914649903</v>
      </c>
      <c r="H138" s="151">
        <f>IF(TrRoad_act!H80=0,0,TrRoad_ene!H83/TrRoad_tech!H111)</f>
        <v>1.4931904922182859</v>
      </c>
      <c r="I138" s="151">
        <f>IF(TrRoad_act!I80=0,0,TrRoad_ene!I83/TrRoad_tech!I111)</f>
        <v>1.4941899488863997</v>
      </c>
      <c r="J138" s="151">
        <f>IF(TrRoad_act!J80=0,0,TrRoad_ene!J83/TrRoad_tech!J111)</f>
        <v>1.5239038458781728</v>
      </c>
      <c r="K138" s="151">
        <f>IF(TrRoad_act!K80=0,0,TrRoad_ene!K83/TrRoad_tech!K111)</f>
        <v>1.3798054220643825</v>
      </c>
      <c r="L138" s="151">
        <f>IF(TrRoad_act!L80=0,0,TrRoad_ene!L83/TrRoad_tech!L111)</f>
        <v>1.615201119763982</v>
      </c>
      <c r="M138" s="151">
        <f>IF(TrRoad_act!M80=0,0,TrRoad_ene!M83/TrRoad_tech!M111)</f>
        <v>1.5251162066879815</v>
      </c>
      <c r="N138" s="151">
        <f>IF(TrRoad_act!N80=0,0,TrRoad_ene!N83/TrRoad_tech!N111)</f>
        <v>1.527457350801916</v>
      </c>
      <c r="O138" s="151">
        <f>IF(TrRoad_act!O80=0,0,TrRoad_ene!O83/TrRoad_tech!O111)</f>
        <v>1.6459428140105912</v>
      </c>
      <c r="P138" s="151">
        <f>IF(TrRoad_act!P80=0,0,TrRoad_ene!P83/TrRoad_tech!P111)</f>
        <v>1.5677078887631843</v>
      </c>
      <c r="Q138" s="151">
        <f>IF(TrRoad_act!Q80=0,0,TrRoad_ene!Q83/TrRoad_tech!Q111)</f>
        <v>1.5299871860214083</v>
      </c>
      <c r="R138" s="151">
        <f>IF(TrRoad_act!R80=0,0,TrRoad_ene!R83/TrRoad_tech!R111)</f>
        <v>1.7116395464086476</v>
      </c>
      <c r="S138" s="151">
        <f>IF(TrRoad_act!S80=0,0,TrRoad_ene!S83/TrRoad_tech!S111)</f>
        <v>2.1726204951175858</v>
      </c>
      <c r="T138" s="151">
        <f>IF(TrRoad_act!T80=0,0,TrRoad_ene!T83/TrRoad_tech!T111)</f>
        <v>2.3213990890549296</v>
      </c>
      <c r="U138" s="151">
        <f>IF(TrRoad_act!U80=0,0,TrRoad_ene!U83/TrRoad_tech!U111)</f>
        <v>2.1417588214741103</v>
      </c>
      <c r="V138" s="151">
        <f>IF(TrRoad_act!V80=0,0,TrRoad_ene!V83/TrRoad_tech!V111)</f>
        <v>2.0191272717721276</v>
      </c>
      <c r="W138" s="151">
        <f>IF(TrRoad_act!W80=0,0,TrRoad_ene!W83/TrRoad_tech!W111)</f>
        <v>2.3357632952045959</v>
      </c>
      <c r="X138" s="151">
        <f>IF(TrRoad_act!X80=0,0,TrRoad_ene!X83/TrRoad_tech!X111)</f>
        <v>2.2461539550736185</v>
      </c>
      <c r="Y138" s="151">
        <f>IF(TrRoad_act!Y80=0,0,TrRoad_ene!Y83/TrRoad_tech!Y111)</f>
        <v>2.1225289262458471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1.0931621585920677</v>
      </c>
      <c r="C139" s="93">
        <f>IF(TrRoad_act!C81=0,0,TrRoad_ene!C84/TrRoad_tech!C112)</f>
        <v>1.0725395872448849</v>
      </c>
      <c r="D139" s="93">
        <f>IF(TrRoad_act!D81=0,0,TrRoad_ene!D84/TrRoad_tech!D112)</f>
        <v>1.1518720445228896</v>
      </c>
      <c r="E139" s="93">
        <f>IF(TrRoad_act!E81=0,0,TrRoad_ene!E84/TrRoad_tech!E112)</f>
        <v>1.0474434630040801</v>
      </c>
      <c r="F139" s="93">
        <f>IF(TrRoad_act!F81=0,0,TrRoad_ene!F84/TrRoad_tech!F112)</f>
        <v>1.0647779612709571</v>
      </c>
      <c r="G139" s="93">
        <f>IF(TrRoad_act!G81=0,0,TrRoad_ene!G84/TrRoad_tech!G112)</f>
        <v>1.1486519165383067</v>
      </c>
      <c r="H139" s="93">
        <f>IF(TrRoad_act!H81=0,0,TrRoad_ene!H84/TrRoad_tech!H112)</f>
        <v>1.1944234124594488</v>
      </c>
      <c r="I139" s="93">
        <f>IF(TrRoad_act!I81=0,0,TrRoad_ene!I84/TrRoad_tech!I112)</f>
        <v>1.1963458236597473</v>
      </c>
      <c r="J139" s="93">
        <f>IF(TrRoad_act!J81=0,0,TrRoad_ene!J84/TrRoad_tech!J112)</f>
        <v>1.2142059034349313</v>
      </c>
      <c r="K139" s="93">
        <f>IF(TrRoad_act!K81=0,0,TrRoad_ene!K84/TrRoad_tech!K112)</f>
        <v>1.1812207971348612</v>
      </c>
      <c r="L139" s="93">
        <f>IF(TrRoad_act!L81=0,0,TrRoad_ene!L84/TrRoad_tech!L112)</f>
        <v>1.2421266172634342</v>
      </c>
      <c r="M139" s="93">
        <f>IF(TrRoad_act!M81=0,0,TrRoad_ene!M84/TrRoad_tech!M112)</f>
        <v>1.2250882079018366</v>
      </c>
      <c r="N139" s="93">
        <f>IF(TrRoad_act!N81=0,0,TrRoad_ene!N84/TrRoad_tech!N112)</f>
        <v>1.2272413196295584</v>
      </c>
      <c r="O139" s="93">
        <f>IF(TrRoad_act!O81=0,0,TrRoad_ene!O84/TrRoad_tech!O112)</f>
        <v>1.2663705716825644</v>
      </c>
      <c r="P139" s="93">
        <f>IF(TrRoad_act!P81=0,0,TrRoad_ene!P84/TrRoad_tech!P112)</f>
        <v>1.264615760176558</v>
      </c>
      <c r="Q139" s="93">
        <f>IF(TrRoad_act!Q81=0,0,TrRoad_ene!Q84/TrRoad_tech!Q112)</f>
        <v>1.2598080290951803</v>
      </c>
      <c r="R139" s="93">
        <f>IF(TrRoad_act!R81=0,0,TrRoad_ene!R84/TrRoad_tech!R112)</f>
        <v>1.3123621004065071</v>
      </c>
      <c r="S139" s="93">
        <f>IF(TrRoad_act!S81=0,0,TrRoad_ene!S84/TrRoad_tech!S112)</f>
        <v>1.4272151438163696</v>
      </c>
      <c r="T139" s="93">
        <f>IF(TrRoad_act!T81=0,0,TrRoad_ene!T84/TrRoad_tech!T112)</f>
        <v>1.4645573352883827</v>
      </c>
      <c r="U139" s="93">
        <f>IF(TrRoad_act!U81=0,0,TrRoad_ene!U84/TrRoad_tech!U112)</f>
        <v>1.4397779704543476</v>
      </c>
      <c r="V139" s="93">
        <f>IF(TrRoad_act!V81=0,0,TrRoad_ene!V84/TrRoad_tech!V112)</f>
        <v>1.4198825926547736</v>
      </c>
      <c r="W139" s="93">
        <f>IF(TrRoad_act!W81=0,0,TrRoad_ene!W84/TrRoad_tech!W112)</f>
        <v>1.4955651877665723</v>
      </c>
      <c r="X139" s="93">
        <f>IF(TrRoad_act!X81=0,0,TrRoad_ene!X84/TrRoad_tech!X112)</f>
        <v>1.4911720960264914</v>
      </c>
      <c r="Y139" s="93">
        <f>IF(TrRoad_act!Y81=0,0,TrRoad_ene!Y84/TrRoad_tech!Y112)</f>
        <v>1.4776164425192437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1.0470269195104385</v>
      </c>
      <c r="C140" s="94">
        <f>IF(TrRoad_act!C82=0,0,TrRoad_ene!C85/TrRoad_tech!C113)</f>
        <v>0.8777719547554389</v>
      </c>
      <c r="D140" s="94">
        <f>IF(TrRoad_act!D82=0,0,TrRoad_ene!D85/TrRoad_tech!D113)</f>
        <v>1.5484161177296067</v>
      </c>
      <c r="E140" s="94">
        <f>IF(TrRoad_act!E82=0,0,TrRoad_ene!E85/TrRoad_tech!E113)</f>
        <v>0.51860583266858284</v>
      </c>
      <c r="F140" s="94">
        <f>IF(TrRoad_act!F82=0,0,TrRoad_ene!F85/TrRoad_tech!F113)</f>
        <v>0.66341204945155818</v>
      </c>
      <c r="G140" s="94">
        <f>IF(TrRoad_act!G82=0,0,TrRoad_ene!G85/TrRoad_tech!G113)</f>
        <v>1.3958187410227456</v>
      </c>
      <c r="H140" s="94">
        <f>IF(TrRoad_act!H82=0,0,TrRoad_ene!H85/TrRoad_tech!H113)</f>
        <v>1.7904153067560855</v>
      </c>
      <c r="I140" s="94">
        <f>IF(TrRoad_act!I82=0,0,TrRoad_ene!I85/TrRoad_tech!I113)</f>
        <v>1.7333605653406707</v>
      </c>
      <c r="J140" s="94">
        <f>IF(TrRoad_act!J82=0,0,TrRoad_ene!J85/TrRoad_tech!J113)</f>
        <v>1.8946646790306094</v>
      </c>
      <c r="K140" s="94">
        <f>IF(TrRoad_act!K82=0,0,TrRoad_ene!K85/TrRoad_tech!K113)</f>
        <v>1.4763898158614459</v>
      </c>
      <c r="L140" s="94">
        <f>IF(TrRoad_act!L82=0,0,TrRoad_ene!L85/TrRoad_tech!L113)</f>
        <v>2.1865427271547553</v>
      </c>
      <c r="M140" s="94">
        <f>IF(TrRoad_act!M82=0,0,TrRoad_ene!M85/TrRoad_tech!M113)</f>
        <v>1.9131149221989048</v>
      </c>
      <c r="N140" s="94">
        <f>IF(TrRoad_act!N82=0,0,TrRoad_ene!N85/TrRoad_tech!N113)</f>
        <v>1.8770579801580667</v>
      </c>
      <c r="O140" s="94">
        <f>IF(TrRoad_act!O82=0,0,TrRoad_ene!O85/TrRoad_tech!O113)</f>
        <v>2.0402800177810834</v>
      </c>
      <c r="P140" s="94">
        <f>IF(TrRoad_act!P82=0,0,TrRoad_ene!P85/TrRoad_tech!P113)</f>
        <v>1.8843872463317468</v>
      </c>
      <c r="Q140" s="94">
        <f>IF(TrRoad_act!Q82=0,0,TrRoad_ene!Q85/TrRoad_tech!Q113)</f>
        <v>1.7218084027651692</v>
      </c>
      <c r="R140" s="94">
        <f>IF(TrRoad_act!R82=0,0,TrRoad_ene!R85/TrRoad_tech!R113)</f>
        <v>2.1797160804913198</v>
      </c>
      <c r="S140" s="94">
        <f>IF(TrRoad_act!S82=0,0,TrRoad_ene!S85/TrRoad_tech!S113)</f>
        <v>3.1668207038723559</v>
      </c>
      <c r="T140" s="94">
        <f>IF(TrRoad_act!T82=0,0,TrRoad_ene!T85/TrRoad_tech!T113)</f>
        <v>3.4344889724235714</v>
      </c>
      <c r="U140" s="94">
        <f>IF(TrRoad_act!U82=0,0,TrRoad_ene!U85/TrRoad_tech!U113)</f>
        <v>3.1299668924035569</v>
      </c>
      <c r="V140" s="94">
        <f>IF(TrRoad_act!V82=0,0,TrRoad_ene!V85/TrRoad_tech!V113)</f>
        <v>2.8330316974887046</v>
      </c>
      <c r="W140" s="94">
        <f>IF(TrRoad_act!W82=0,0,TrRoad_ene!W85/TrRoad_tech!W113)</f>
        <v>3.4999936737308115</v>
      </c>
      <c r="X140" s="94">
        <f>IF(TrRoad_act!X82=0,0,TrRoad_ene!X85/TrRoad_tech!X113)</f>
        <v>3.28632260108412</v>
      </c>
      <c r="Y140" s="94">
        <f>IF(TrRoad_act!Y82=0,0,TrRoad_ene!Y85/TrRoad_tech!Y113)</f>
        <v>3.0258617234460723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0</v>
      </c>
      <c r="C144" s="141">
        <v>3.4356353611187767</v>
      </c>
      <c r="D144" s="141">
        <v>3.4228870946388734</v>
      </c>
      <c r="E144" s="141">
        <v>3.3870019815702812</v>
      </c>
      <c r="F144" s="141">
        <v>3.347480802505066</v>
      </c>
      <c r="G144" s="141">
        <v>3.3460033752502913</v>
      </c>
      <c r="H144" s="141">
        <v>3.3364462676959694</v>
      </c>
      <c r="I144" s="141">
        <v>3.2074861756421544</v>
      </c>
      <c r="J144" s="141">
        <v>3.1184124222307275</v>
      </c>
      <c r="K144" s="141">
        <v>3.0346020034144354</v>
      </c>
      <c r="L144" s="141">
        <v>3.0408978581933033</v>
      </c>
      <c r="M144" s="141">
        <v>2.9658548686871788</v>
      </c>
      <c r="N144" s="141">
        <v>2.8897406483181727</v>
      </c>
      <c r="O144" s="141">
        <v>2.7700677634012192</v>
      </c>
      <c r="P144" s="141">
        <v>2.7210282114118707</v>
      </c>
      <c r="Q144" s="141">
        <v>2.6212605149461283</v>
      </c>
      <c r="R144" s="141">
        <v>2.5660069035679922</v>
      </c>
      <c r="S144" s="141">
        <v>2.5218040144654834</v>
      </c>
      <c r="T144" s="141">
        <v>2.486441703183476</v>
      </c>
      <c r="U144" s="141">
        <v>2.4581518541578702</v>
      </c>
      <c r="V144" s="141">
        <v>2.4355199749373857</v>
      </c>
      <c r="W144" s="141">
        <v>2.4174144715609982</v>
      </c>
      <c r="X144" s="141">
        <v>2.402930068859888</v>
      </c>
      <c r="Y144" s="141">
        <v>2.3913425466989997</v>
      </c>
      <c r="DA144" s="174" t="s">
        <v>887</v>
      </c>
    </row>
    <row r="145" spans="1:105" ht="11.45" customHeight="1" x14ac:dyDescent="0.25">
      <c r="A145" s="109" t="s">
        <v>20</v>
      </c>
      <c r="B145" s="130">
        <v>5.9688914331130549</v>
      </c>
      <c r="C145" s="130">
        <v>5.9820975653982487</v>
      </c>
      <c r="D145" s="130">
        <v>6.0192379024847433</v>
      </c>
      <c r="E145" s="130">
        <v>6.0612285527699319</v>
      </c>
      <c r="F145" s="130">
        <v>6.0858152667937677</v>
      </c>
      <c r="G145" s="130">
        <v>6.0727313537124408</v>
      </c>
      <c r="H145" s="130">
        <v>6.0597431528980792</v>
      </c>
      <c r="I145" s="130">
        <v>6.1092257214672756</v>
      </c>
      <c r="J145" s="130">
        <v>6.0694416312928352</v>
      </c>
      <c r="K145" s="130">
        <v>6.0666029060213766</v>
      </c>
      <c r="L145" s="130">
        <v>6.0795559177184666</v>
      </c>
      <c r="M145" s="130">
        <v>6.2200248844614183</v>
      </c>
      <c r="N145" s="130">
        <v>5.7715465845060283</v>
      </c>
      <c r="O145" s="130">
        <v>5.5151312715204384</v>
      </c>
      <c r="P145" s="130">
        <v>5.3851118832763927</v>
      </c>
      <c r="Q145" s="130">
        <v>5.2167234074919655</v>
      </c>
      <c r="R145" s="130">
        <v>5.1070054791433908</v>
      </c>
      <c r="S145" s="130">
        <v>5.1640933036956937</v>
      </c>
      <c r="T145" s="130">
        <v>5.2203806108467523</v>
      </c>
      <c r="U145" s="130">
        <v>5.2541414690520298</v>
      </c>
      <c r="V145" s="130">
        <v>4.9795105036665186</v>
      </c>
      <c r="W145" s="130">
        <v>4.7867076199132965</v>
      </c>
      <c r="X145" s="130">
        <v>4.7630584236162656</v>
      </c>
      <c r="Y145" s="130">
        <v>4.7072121941651694</v>
      </c>
      <c r="DA145" s="176" t="s">
        <v>888</v>
      </c>
    </row>
    <row r="146" spans="1:105" ht="11.45" customHeight="1" x14ac:dyDescent="0.25">
      <c r="A146" s="111" t="s">
        <v>110</v>
      </c>
      <c r="B146" s="96">
        <v>5.9332672069504051</v>
      </c>
      <c r="C146" s="96">
        <v>5.9354171703767618</v>
      </c>
      <c r="D146" s="96">
        <v>6.0180550418517029</v>
      </c>
      <c r="E146" s="96">
        <v>6.0081318262053687</v>
      </c>
      <c r="F146" s="96">
        <v>0</v>
      </c>
      <c r="G146" s="96">
        <v>6.0433217169848072</v>
      </c>
      <c r="H146" s="96">
        <v>6.0260603250621907</v>
      </c>
      <c r="I146" s="96">
        <v>6.0690053339517922</v>
      </c>
      <c r="J146" s="96">
        <v>6.0740086359583492</v>
      </c>
      <c r="K146" s="96">
        <v>6.0289789178993498</v>
      </c>
      <c r="L146" s="96">
        <v>6.0414871729157786</v>
      </c>
      <c r="M146" s="96">
        <v>5.8911674883608756</v>
      </c>
      <c r="N146" s="96">
        <v>5.7377483971074028</v>
      </c>
      <c r="O146" s="96">
        <v>5.5025679663719025</v>
      </c>
      <c r="P146" s="96">
        <v>5.406276189188473</v>
      </c>
      <c r="Q146" s="96">
        <v>5.2084964848559387</v>
      </c>
      <c r="R146" s="96">
        <v>5.1768261528617341</v>
      </c>
      <c r="S146" s="96">
        <v>5.1835187877683762</v>
      </c>
      <c r="T146" s="96">
        <v>5.2227946313010101</v>
      </c>
      <c r="U146" s="96">
        <v>5.236744898372601</v>
      </c>
      <c r="V146" s="96">
        <v>4.9534158953184235</v>
      </c>
      <c r="W146" s="96">
        <v>4.7671160540867152</v>
      </c>
      <c r="X146" s="96">
        <v>4.7666360434424737</v>
      </c>
      <c r="Y146" s="96">
        <v>4.7333250888595932</v>
      </c>
      <c r="DA146" s="171" t="s">
        <v>889</v>
      </c>
    </row>
    <row r="147" spans="1:105" ht="11.45" customHeight="1" x14ac:dyDescent="0.25">
      <c r="A147" s="111" t="s">
        <v>111</v>
      </c>
      <c r="B147" s="96">
        <v>5.9810746195311237</v>
      </c>
      <c r="C147" s="96">
        <v>6.0141285307021253</v>
      </c>
      <c r="D147" s="96">
        <v>6.020212095786027</v>
      </c>
      <c r="E147" s="96">
        <v>6.0145480869148091</v>
      </c>
      <c r="F147" s="96">
        <v>6.0374139005060234</v>
      </c>
      <c r="G147" s="96">
        <v>6.0516788117372391</v>
      </c>
      <c r="H147" s="96">
        <v>6.147547406335268</v>
      </c>
      <c r="I147" s="96">
        <v>6.0447561342279714</v>
      </c>
      <c r="J147" s="96">
        <v>6.0520983679499212</v>
      </c>
      <c r="K147" s="96">
        <v>6.1580363116523387</v>
      </c>
      <c r="L147" s="96">
        <v>6.1045428945352782</v>
      </c>
      <c r="M147" s="96">
        <v>5.9061907534306162</v>
      </c>
      <c r="N147" s="96">
        <v>5.7250583469658602</v>
      </c>
      <c r="O147" s="96">
        <v>5.4961175613946756</v>
      </c>
      <c r="P147" s="96">
        <v>5.3234781892281307</v>
      </c>
      <c r="Q147" s="96">
        <v>5.1878205927043917</v>
      </c>
      <c r="R147" s="96">
        <v>4.9788039369203698</v>
      </c>
      <c r="S147" s="96">
        <v>5.1218486644588461</v>
      </c>
      <c r="T147" s="96">
        <v>5.2487167564451571</v>
      </c>
      <c r="U147" s="96">
        <v>5.3189466966943044</v>
      </c>
      <c r="V147" s="96">
        <v>5.1485467173849537</v>
      </c>
      <c r="W147" s="96">
        <v>4.9552789715416052</v>
      </c>
      <c r="X147" s="96">
        <v>5.0332785177015262</v>
      </c>
      <c r="Y147" s="96">
        <v>5.0760955411059427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7.2805756622230655</v>
      </c>
      <c r="H148" s="96">
        <v>7.395912014054594</v>
      </c>
      <c r="I148" s="96">
        <v>7.2722472166859946</v>
      </c>
      <c r="J148" s="96">
        <v>7.2810804164980381</v>
      </c>
      <c r="K148" s="96">
        <v>7.4085308709289395</v>
      </c>
      <c r="L148" s="96">
        <v>7.3441747008697726</v>
      </c>
      <c r="M148" s="96">
        <v>7.1338657568966353</v>
      </c>
      <c r="N148" s="96">
        <v>6.808634330221695</v>
      </c>
      <c r="O148" s="96">
        <v>5.9321190720078274</v>
      </c>
      <c r="P148" s="96">
        <v>5.735874680799407</v>
      </c>
      <c r="Q148" s="96">
        <v>5.8097910691319763</v>
      </c>
      <c r="R148" s="96">
        <v>5.6203676392666804</v>
      </c>
      <c r="S148" s="96">
        <v>5.8515979222118037</v>
      </c>
      <c r="T148" s="96">
        <v>5.8637084830168371</v>
      </c>
      <c r="U148" s="96">
        <v>6.1417482373300007</v>
      </c>
      <c r="V148" s="96">
        <v>4.7634099765553248</v>
      </c>
      <c r="W148" s="96">
        <v>4.5870409154923006</v>
      </c>
      <c r="X148" s="96">
        <v>4.5002073835128229</v>
      </c>
      <c r="Y148" s="96">
        <v>4.5009109297412877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6.8497170775759599</v>
      </c>
      <c r="D149" s="96">
        <v>6.9450846015844698</v>
      </c>
      <c r="E149" s="96">
        <v>6.9336328000133181</v>
      </c>
      <c r="F149" s="96">
        <v>6.9773228665116678</v>
      </c>
      <c r="G149" s="96">
        <v>6.9742433904589234</v>
      </c>
      <c r="H149" s="96">
        <v>6.9543230297427145</v>
      </c>
      <c r="I149" s="96">
        <v>7.003883347466612</v>
      </c>
      <c r="J149" s="96">
        <v>0</v>
      </c>
      <c r="K149" s="96">
        <v>6.9576912066754071</v>
      </c>
      <c r="L149" s="96">
        <v>6.9721262506726571</v>
      </c>
      <c r="M149" s="96">
        <v>7.0085015730858897</v>
      </c>
      <c r="N149" s="96">
        <v>7.1776565910707477</v>
      </c>
      <c r="O149" s="96">
        <v>6.2057815675398658</v>
      </c>
      <c r="P149" s="96">
        <v>5.5839435363376815</v>
      </c>
      <c r="Q149" s="96">
        <v>5.9631478957749104</v>
      </c>
      <c r="R149" s="96">
        <v>5.6442375277856689</v>
      </c>
      <c r="S149" s="96">
        <v>6.1221372714698568</v>
      </c>
      <c r="T149" s="96">
        <v>5.465210064764447</v>
      </c>
      <c r="U149" s="96">
        <v>5.455765520347085</v>
      </c>
      <c r="V149" s="96">
        <v>4.7803838392002529</v>
      </c>
      <c r="W149" s="96">
        <v>4.4523652333070167</v>
      </c>
      <c r="X149" s="96">
        <v>4.5150010535460856</v>
      </c>
      <c r="Y149" s="96">
        <v>4.7283888050135285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2.1796122248661645</v>
      </c>
      <c r="O150" s="96">
        <v>0</v>
      </c>
      <c r="P150" s="96">
        <v>6.2336514937232028</v>
      </c>
      <c r="Q150" s="96">
        <v>4.168727827893477</v>
      </c>
      <c r="R150" s="96">
        <v>3.4372039656700331</v>
      </c>
      <c r="S150" s="96">
        <v>4.239236873254991</v>
      </c>
      <c r="T150" s="96">
        <v>3.2831467609785037</v>
      </c>
      <c r="U150" s="96">
        <v>3.6095078193869012</v>
      </c>
      <c r="V150" s="96">
        <v>3.3358598029985149</v>
      </c>
      <c r="W150" s="96">
        <v>2.6551484600196424</v>
      </c>
      <c r="X150" s="96">
        <v>2.7980783608667918</v>
      </c>
      <c r="Y150" s="96">
        <v>2.7257656135790009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1.3750471901917645</v>
      </c>
      <c r="N151" s="96">
        <v>1.2686761245493905</v>
      </c>
      <c r="O151" s="96">
        <v>1.321055934017817</v>
      </c>
      <c r="P151" s="96">
        <v>1.3111679024807961</v>
      </c>
      <c r="Q151" s="96">
        <v>1.379374669857534</v>
      </c>
      <c r="R151" s="96">
        <v>1.3399239780743561</v>
      </c>
      <c r="S151" s="96">
        <v>1.2621256019831668</v>
      </c>
      <c r="T151" s="96">
        <v>1.4037219194819983</v>
      </c>
      <c r="U151" s="96">
        <v>1.5150584583086733</v>
      </c>
      <c r="V151" s="96">
        <v>1.4417224108699982</v>
      </c>
      <c r="W151" s="96">
        <v>1.4810426999605355</v>
      </c>
      <c r="X151" s="96">
        <v>1.5071189764638924</v>
      </c>
      <c r="Y151" s="96">
        <v>1.5200725172486</v>
      </c>
      <c r="DA151" s="171" t="s">
        <v>894</v>
      </c>
    </row>
    <row r="152" spans="1:105" ht="11.45" customHeight="1" x14ac:dyDescent="0.25">
      <c r="A152" s="109" t="s">
        <v>21</v>
      </c>
      <c r="B152" s="130">
        <v>44.519515701147519</v>
      </c>
      <c r="C152" s="130">
        <v>44.657514295685345</v>
      </c>
      <c r="D152" s="130">
        <v>44.811347817304565</v>
      </c>
      <c r="E152" s="130">
        <v>44.792852503467259</v>
      </c>
      <c r="F152" s="130">
        <v>44.863082557951529</v>
      </c>
      <c r="G152" s="130">
        <v>44.858130782834756</v>
      </c>
      <c r="H152" s="130">
        <v>44.826030221512355</v>
      </c>
      <c r="I152" s="130">
        <v>44.905469341844345</v>
      </c>
      <c r="J152" s="130">
        <v>44.914718666116613</v>
      </c>
      <c r="K152" s="130">
        <v>44.831009312628296</v>
      </c>
      <c r="L152" s="130">
        <v>41.939560700791013</v>
      </c>
      <c r="M152" s="130">
        <v>39.43521200884453</v>
      </c>
      <c r="N152" s="130">
        <v>44.244797040817154</v>
      </c>
      <c r="O152" s="130">
        <v>43.807552745837349</v>
      </c>
      <c r="P152" s="130">
        <v>38.331588433040814</v>
      </c>
      <c r="Q152" s="130">
        <v>38.378359220701995</v>
      </c>
      <c r="R152" s="130">
        <v>33.230227902544307</v>
      </c>
      <c r="S152" s="130">
        <v>37.804556970924594</v>
      </c>
      <c r="T152" s="130">
        <v>36.419438315160662</v>
      </c>
      <c r="U152" s="130">
        <v>36.725053243589599</v>
      </c>
      <c r="V152" s="130">
        <v>36.414463041780557</v>
      </c>
      <c r="W152" s="130">
        <v>35.926498641454515</v>
      </c>
      <c r="X152" s="130">
        <v>34.291861157318181</v>
      </c>
      <c r="Y152" s="130">
        <v>31.917952033708257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44.519515701147519</v>
      </c>
      <c r="C154" s="97">
        <v>44.657514295685345</v>
      </c>
      <c r="D154" s="97">
        <v>44.811347817304565</v>
      </c>
      <c r="E154" s="97">
        <v>44.792852503467259</v>
      </c>
      <c r="F154" s="97">
        <v>44.863082557951529</v>
      </c>
      <c r="G154" s="97">
        <v>44.858130782834756</v>
      </c>
      <c r="H154" s="97">
        <v>44.826030221512355</v>
      </c>
      <c r="I154" s="97">
        <v>44.905469341844345</v>
      </c>
      <c r="J154" s="97">
        <v>44.914718666116606</v>
      </c>
      <c r="K154" s="97">
        <v>44.831009312628296</v>
      </c>
      <c r="L154" s="97">
        <v>44.85422578560221</v>
      </c>
      <c r="M154" s="97">
        <v>44.572280333663784</v>
      </c>
      <c r="N154" s="97">
        <v>44.280697869533604</v>
      </c>
      <c r="O154" s="97">
        <v>43.807552745837349</v>
      </c>
      <c r="P154" s="97">
        <v>43.61105838791822</v>
      </c>
      <c r="Q154" s="97">
        <v>43.199999999908329</v>
      </c>
      <c r="R154" s="97">
        <v>0</v>
      </c>
      <c r="S154" s="97">
        <v>41.527383793717966</v>
      </c>
      <c r="T154" s="97">
        <v>40.353658444628543</v>
      </c>
      <c r="U154" s="97">
        <v>39.011090798420703</v>
      </c>
      <c r="V154" s="97">
        <v>37.538285076270817</v>
      </c>
      <c r="W154" s="97">
        <v>35.970278563353034</v>
      </c>
      <c r="X154" s="97">
        <v>34.338230294148495</v>
      </c>
      <c r="Y154" s="97">
        <v>32.669333786795661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35.071919648470697</v>
      </c>
      <c r="S156" s="97">
        <v>0</v>
      </c>
      <c r="T156" s="97">
        <v>0</v>
      </c>
      <c r="U156" s="97">
        <v>0</v>
      </c>
      <c r="V156" s="97">
        <v>0</v>
      </c>
      <c r="W156" s="97">
        <v>33.42978493977698</v>
      </c>
      <c r="X156" s="97">
        <v>33.306430984049797</v>
      </c>
      <c r="Y156" s="97">
        <v>33.199404562115589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24.300811653054296</v>
      </c>
      <c r="M157" s="97">
        <v>24.057803536523753</v>
      </c>
      <c r="N157" s="97">
        <v>23.817225501158514</v>
      </c>
      <c r="O157" s="97">
        <v>0</v>
      </c>
      <c r="P157" s="97">
        <v>23.343262713685462</v>
      </c>
      <c r="Q157" s="97">
        <v>23.109830086548605</v>
      </c>
      <c r="R157" s="97">
        <v>22.787228552016657</v>
      </c>
      <c r="S157" s="97">
        <v>22.38823564063923</v>
      </c>
      <c r="T157" s="97">
        <v>21.924943101331614</v>
      </c>
      <c r="U157" s="97">
        <v>21.408601626221198</v>
      </c>
      <c r="V157" s="97">
        <v>20.849527864090369</v>
      </c>
      <c r="W157" s="97">
        <v>20.25706106217125</v>
      </c>
      <c r="X157" s="97">
        <v>19.639557981433587</v>
      </c>
      <c r="Y157" s="97">
        <v>19.004416267783942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7.8518088536394952</v>
      </c>
      <c r="D159" s="141">
        <v>7.8976287899044504</v>
      </c>
      <c r="E159" s="141">
        <v>8.0538511879640886</v>
      </c>
      <c r="F159" s="141">
        <v>6.8579926043025798</v>
      </c>
      <c r="G159" s="141">
        <v>8.4642868612326225</v>
      </c>
      <c r="H159" s="141">
        <v>7.7932937486384475</v>
      </c>
      <c r="I159" s="141">
        <v>8.3159238223096441</v>
      </c>
      <c r="J159" s="141">
        <v>8.2691682457609961</v>
      </c>
      <c r="K159" s="141">
        <v>8.6235275583504727</v>
      </c>
      <c r="L159" s="141">
        <v>9.0932497586084473</v>
      </c>
      <c r="M159" s="141">
        <v>8.9202007010095574</v>
      </c>
      <c r="N159" s="141">
        <v>8.7210807359296947</v>
      </c>
      <c r="O159" s="141">
        <v>7.6242270839598607</v>
      </c>
      <c r="P159" s="141">
        <v>8.9923264118775208</v>
      </c>
      <c r="Q159" s="141">
        <v>7.6761602778439162</v>
      </c>
      <c r="R159" s="141">
        <v>7.0903341451685939</v>
      </c>
      <c r="S159" s="141">
        <v>7.2818624381892247</v>
      </c>
      <c r="T159" s="141">
        <v>7.201122733012653</v>
      </c>
      <c r="U159" s="141">
        <v>7.4123650554256919</v>
      </c>
      <c r="V159" s="141">
        <v>7.5211962039312388</v>
      </c>
      <c r="W159" s="141">
        <v>7.0275406778889264</v>
      </c>
      <c r="X159" s="141">
        <v>6.7427843942351338</v>
      </c>
      <c r="Y159" s="141">
        <v>6.8049444420420633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6.4270110822608739</v>
      </c>
      <c r="D160" s="96">
        <v>6.5164933377684822</v>
      </c>
      <c r="E160" s="96">
        <v>6.5057482435147946</v>
      </c>
      <c r="F160" s="96">
        <v>6.546742132516262</v>
      </c>
      <c r="G160" s="96">
        <v>6.5438526954060263</v>
      </c>
      <c r="H160" s="96">
        <v>6.5251616490991884</v>
      </c>
      <c r="I160" s="96">
        <v>6.5716635275920403</v>
      </c>
      <c r="J160" s="96">
        <v>6.577081222173736</v>
      </c>
      <c r="K160" s="96">
        <v>6.5283219709385092</v>
      </c>
      <c r="L160" s="96">
        <v>0</v>
      </c>
      <c r="M160" s="96">
        <v>6.3804266523517414</v>
      </c>
      <c r="N160" s="96">
        <v>6.2166825644691732</v>
      </c>
      <c r="O160" s="96">
        <v>6.2007194404306949</v>
      </c>
      <c r="P160" s="96">
        <v>6.1061153468761686</v>
      </c>
      <c r="Q160" s="96">
        <v>5.9805555238303993</v>
      </c>
      <c r="R160" s="96">
        <v>6.213784261610793</v>
      </c>
      <c r="S160" s="96">
        <v>6.3348531096966019</v>
      </c>
      <c r="T160" s="96">
        <v>6.7231804825771704</v>
      </c>
      <c r="U160" s="96">
        <v>6.6490779315776027</v>
      </c>
      <c r="V160" s="96">
        <v>5.6768982320716344</v>
      </c>
      <c r="W160" s="96">
        <v>5.5083763106596786</v>
      </c>
      <c r="X160" s="96">
        <v>5.4205382202094992</v>
      </c>
      <c r="Y160" s="96">
        <v>6.3476455117264132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9.0368267238472555</v>
      </c>
      <c r="D161" s="96">
        <v>9.0459678859035417</v>
      </c>
      <c r="E161" s="96">
        <v>9.0374571488166549</v>
      </c>
      <c r="F161" s="96">
        <v>9.0718153096488905</v>
      </c>
      <c r="G161" s="96">
        <v>9.0932497586084473</v>
      </c>
      <c r="H161" s="96">
        <v>9.2373018641160769</v>
      </c>
      <c r="I161" s="96">
        <v>9.0828477466133659</v>
      </c>
      <c r="J161" s="96">
        <v>9.0938801835778449</v>
      </c>
      <c r="K161" s="96">
        <v>9.2530624883510466</v>
      </c>
      <c r="L161" s="96">
        <v>9.1726833047526988</v>
      </c>
      <c r="M161" s="96">
        <v>8.8746394700863203</v>
      </c>
      <c r="N161" s="96">
        <v>8.6024700006545842</v>
      </c>
      <c r="O161" s="96">
        <v>8.441503923378745</v>
      </c>
      <c r="P161" s="96">
        <v>8.287622433467293</v>
      </c>
      <c r="Q161" s="96">
        <v>7.9959579052548611</v>
      </c>
      <c r="R161" s="96">
        <v>7.9323650956099527</v>
      </c>
      <c r="S161" s="96">
        <v>7.3200051585054071</v>
      </c>
      <c r="T161" s="96">
        <v>7.2805284877407193</v>
      </c>
      <c r="U161" s="96">
        <v>7.4626724981409911</v>
      </c>
      <c r="V161" s="96">
        <v>7.6182687490689638</v>
      </c>
      <c r="W161" s="96">
        <v>7.2727173070644362</v>
      </c>
      <c r="X161" s="96">
        <v>7.1103820653526473</v>
      </c>
      <c r="Y161" s="96">
        <v>7.0281505048452262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8.7307889142769852</v>
      </c>
      <c r="O162" s="96">
        <v>6.9255264529732132</v>
      </c>
      <c r="P162" s="96">
        <v>6.6467065568145527</v>
      </c>
      <c r="Q162" s="96">
        <v>7.4463190789927598</v>
      </c>
      <c r="R162" s="96">
        <v>6.7296852147764428</v>
      </c>
      <c r="S162" s="96">
        <v>5.976639387013897</v>
      </c>
      <c r="T162" s="96">
        <v>5.9903142272139114</v>
      </c>
      <c r="U162" s="96">
        <v>6.6871804127085506</v>
      </c>
      <c r="V162" s="96">
        <v>6.7376496988421977</v>
      </c>
      <c r="W162" s="96">
        <v>7.3085834982291065</v>
      </c>
      <c r="X162" s="96">
        <v>8.5346219130218728</v>
      </c>
      <c r="Y162" s="96">
        <v>8.3229790397462455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7.9545825342236514</v>
      </c>
      <c r="O163" s="96">
        <v>8.527176659213378</v>
      </c>
      <c r="P163" s="96">
        <v>5.5098679951840186</v>
      </c>
      <c r="Q163" s="96">
        <v>6.2043891710475494</v>
      </c>
      <c r="R163" s="96">
        <v>10.834530343471094</v>
      </c>
      <c r="S163" s="96">
        <v>7.3619244641534349</v>
      </c>
      <c r="T163" s="96">
        <v>8.7827990364409132</v>
      </c>
      <c r="U163" s="96">
        <v>9.7505325866331152</v>
      </c>
      <c r="V163" s="96">
        <v>7.0805543467523124</v>
      </c>
      <c r="W163" s="96">
        <v>7.4506295739414954</v>
      </c>
      <c r="X163" s="96">
        <v>6.5263073110977583</v>
      </c>
      <c r="Y163" s="96">
        <v>7.0967459566923408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1.9362723616840751</v>
      </c>
      <c r="P164" s="96">
        <v>1.9528204901371666</v>
      </c>
      <c r="Q164" s="96">
        <v>2.0606276423552186</v>
      </c>
      <c r="R164" s="96">
        <v>2.0807278817595618</v>
      </c>
      <c r="S164" s="96">
        <v>2.0634328000182762</v>
      </c>
      <c r="T164" s="96">
        <v>2.2269991401547724</v>
      </c>
      <c r="U164" s="96">
        <v>2.2269991401547724</v>
      </c>
      <c r="V164" s="96">
        <v>2.3129836629406708</v>
      </c>
      <c r="W164" s="96">
        <v>2.60708582659203</v>
      </c>
      <c r="X164" s="96">
        <v>2.3284608770421324</v>
      </c>
      <c r="Y164" s="96">
        <v>2.1558816187279839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26.574569434708327</v>
      </c>
      <c r="D165" s="130">
        <v>26.068831643463469</v>
      </c>
      <c r="E165" s="130">
        <v>25.877305533561923</v>
      </c>
      <c r="F165" s="130">
        <v>30.929611946108395</v>
      </c>
      <c r="G165" s="130">
        <v>25.73225067111483</v>
      </c>
      <c r="H165" s="130">
        <v>25.514435063014528</v>
      </c>
      <c r="I165" s="130">
        <v>26.223358656052888</v>
      </c>
      <c r="J165" s="130">
        <v>24.947236962882403</v>
      </c>
      <c r="K165" s="130">
        <v>24.842167274225748</v>
      </c>
      <c r="L165" s="130">
        <v>25.087402790320514</v>
      </c>
      <c r="M165" s="130">
        <v>24.938032938707373</v>
      </c>
      <c r="N165" s="130">
        <v>24.901251388221247</v>
      </c>
      <c r="O165" s="130">
        <v>23.834627862882787</v>
      </c>
      <c r="P165" s="130">
        <v>23.414057568297036</v>
      </c>
      <c r="Q165" s="130">
        <v>25.333554148791407</v>
      </c>
      <c r="R165" s="130">
        <v>22.674244481716144</v>
      </c>
      <c r="S165" s="130">
        <v>22.305338264889031</v>
      </c>
      <c r="T165" s="130">
        <v>22.656476268640368</v>
      </c>
      <c r="U165" s="130">
        <v>21.129751516822203</v>
      </c>
      <c r="V165" s="130">
        <v>21.61656043802094</v>
      </c>
      <c r="W165" s="130">
        <v>22.240161092414859</v>
      </c>
      <c r="X165" s="130">
        <v>21.311226357652764</v>
      </c>
      <c r="Y165" s="130">
        <v>20.780704768003115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25.868853092731996</v>
      </c>
      <c r="D166" s="97">
        <v>25.785441855926717</v>
      </c>
      <c r="E166" s="97">
        <v>25.681579340290739</v>
      </c>
      <c r="F166" s="97">
        <v>25.557529462432512</v>
      </c>
      <c r="G166" s="97">
        <v>25.413605210537661</v>
      </c>
      <c r="H166" s="97">
        <v>25.250166692583388</v>
      </c>
      <c r="I166" s="97">
        <v>25.0676189182333</v>
      </c>
      <c r="J166" s="97">
        <v>24.866409339455213</v>
      </c>
      <c r="K166" s="97">
        <v>24.647025176853798</v>
      </c>
      <c r="L166" s="97">
        <v>24.409990561166754</v>
      </c>
      <c r="M166" s="97">
        <v>24.155863519831396</v>
      </c>
      <c r="N166" s="97">
        <v>23.885232839687468</v>
      </c>
      <c r="O166" s="97">
        <v>23.598714837245296</v>
      </c>
      <c r="P166" s="97">
        <v>23.296950067209227</v>
      </c>
      <c r="Q166" s="97">
        <v>22.980599999951231</v>
      </c>
      <c r="R166" s="97">
        <v>22.360710850016726</v>
      </c>
      <c r="S166" s="97">
        <v>21.926788445062574</v>
      </c>
      <c r="T166" s="97">
        <v>21.47116991986071</v>
      </c>
      <c r="U166" s="97">
        <v>20.91430283350288</v>
      </c>
      <c r="V166" s="97">
        <v>21.45002268280404</v>
      </c>
      <c r="W166" s="97">
        <v>21.021613294795021</v>
      </c>
      <c r="X166" s="97">
        <v>20.905797361641088</v>
      </c>
      <c r="Y166" s="97">
        <v>20.696739388024678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100.24659398419401</v>
      </c>
      <c r="C171" s="152">
        <v>100.21907975624423</v>
      </c>
      <c r="D171" s="152">
        <v>100.16995370792513</v>
      </c>
      <c r="E171" s="152">
        <v>100.08892806200538</v>
      </c>
      <c r="F171" s="152">
        <v>99.779748024893834</v>
      </c>
      <c r="G171" s="152">
        <v>99.431086405762358</v>
      </c>
      <c r="H171" s="152">
        <v>99.253670646540158</v>
      </c>
      <c r="I171" s="152">
        <v>98.351131370009497</v>
      </c>
      <c r="J171" s="152">
        <v>97.168962226265776</v>
      </c>
      <c r="K171" s="152">
        <v>95.725898968285165</v>
      </c>
      <c r="L171" s="152">
        <v>94.740471595915523</v>
      </c>
      <c r="M171" s="152">
        <v>93.666315583697482</v>
      </c>
      <c r="N171" s="152">
        <v>92.534063130062378</v>
      </c>
      <c r="O171" s="152">
        <v>91.104018115035004</v>
      </c>
      <c r="P171" s="152">
        <v>89.559100169791819</v>
      </c>
      <c r="Q171" s="152">
        <v>87.715712389857956</v>
      </c>
      <c r="R171" s="152">
        <v>86.559349968339291</v>
      </c>
      <c r="S171" s="152">
        <v>84.884399330740365</v>
      </c>
      <c r="T171" s="152">
        <v>83.286902105393395</v>
      </c>
      <c r="U171" s="152">
        <v>82.121894852819722</v>
      </c>
      <c r="V171" s="152">
        <v>80.742621373839697</v>
      </c>
      <c r="W171" s="152">
        <v>79.7104529508685</v>
      </c>
      <c r="X171" s="152">
        <v>78.449982727112044</v>
      </c>
      <c r="Y171" s="152">
        <v>77.294730607770788</v>
      </c>
      <c r="DA171" s="174" t="s">
        <v>910</v>
      </c>
    </row>
    <row r="172" spans="1:105" ht="11.45" customHeight="1" x14ac:dyDescent="0.25">
      <c r="A172" s="109" t="s">
        <v>20</v>
      </c>
      <c r="B172" s="116">
        <v>187.69700889884697</v>
      </c>
      <c r="C172" s="116">
        <v>185.88578083305325</v>
      </c>
      <c r="D172" s="116">
        <v>189.1749901557902</v>
      </c>
      <c r="E172" s="116">
        <v>183.96669088509597</v>
      </c>
      <c r="F172" s="116">
        <v>191.59856129878031</v>
      </c>
      <c r="G172" s="116">
        <v>184.16341966574785</v>
      </c>
      <c r="H172" s="116">
        <v>184.01757505900397</v>
      </c>
      <c r="I172" s="116">
        <v>180.99760612988189</v>
      </c>
      <c r="J172" s="116">
        <v>181.85331768680999</v>
      </c>
      <c r="K172" s="116">
        <v>181.85233233102383</v>
      </c>
      <c r="L172" s="116">
        <v>179.92854346124437</v>
      </c>
      <c r="M172" s="116">
        <v>175.94927909055997</v>
      </c>
      <c r="N172" s="116">
        <v>179.66313664867749</v>
      </c>
      <c r="O172" s="116">
        <v>178.59058491909508</v>
      </c>
      <c r="P172" s="116">
        <v>178.53877197017647</v>
      </c>
      <c r="Q172" s="116">
        <v>176.77922054429152</v>
      </c>
      <c r="R172" s="116">
        <v>176.62216414009282</v>
      </c>
      <c r="S172" s="116">
        <v>174.15080174425435</v>
      </c>
      <c r="T172" s="116">
        <v>172.47013085274745</v>
      </c>
      <c r="U172" s="116">
        <v>171.21076525674968</v>
      </c>
      <c r="V172" s="116">
        <v>169.75444331837969</v>
      </c>
      <c r="W172" s="116">
        <v>166.97589264462246</v>
      </c>
      <c r="X172" s="116">
        <v>163.02066777072491</v>
      </c>
      <c r="Y172" s="116">
        <v>160.26727227897914</v>
      </c>
      <c r="DA172" s="176" t="s">
        <v>911</v>
      </c>
    </row>
    <row r="173" spans="1:105" ht="11.45" customHeight="1" x14ac:dyDescent="0.25">
      <c r="A173" s="111" t="s">
        <v>110</v>
      </c>
      <c r="B173" s="87">
        <v>181.42671415050521</v>
      </c>
      <c r="C173" s="87">
        <v>180.04788556596301</v>
      </c>
      <c r="D173" s="87">
        <v>179.63899190275387</v>
      </c>
      <c r="E173" s="87">
        <v>179.12004299668439</v>
      </c>
      <c r="F173" s="87">
        <v>179.02953225798746</v>
      </c>
      <c r="G173" s="87">
        <v>178.58030325242188</v>
      </c>
      <c r="H173" s="87">
        <v>177.89695000590984</v>
      </c>
      <c r="I173" s="87">
        <v>177.30378815877484</v>
      </c>
      <c r="J173" s="87">
        <v>176.74540919255492</v>
      </c>
      <c r="K173" s="87">
        <v>176.55549835430864</v>
      </c>
      <c r="L173" s="87">
        <v>176.20890101471338</v>
      </c>
      <c r="M173" s="87">
        <v>175.74692679509732</v>
      </c>
      <c r="N173" s="87">
        <v>175.27434872158443</v>
      </c>
      <c r="O173" s="87">
        <v>174.66776549636302</v>
      </c>
      <c r="P173" s="87">
        <v>173.88170523673983</v>
      </c>
      <c r="Q173" s="87">
        <v>172.99008693541262</v>
      </c>
      <c r="R173" s="87">
        <v>171.9040314746963</v>
      </c>
      <c r="S173" s="87">
        <v>170.57313830007618</v>
      </c>
      <c r="T173" s="87">
        <v>168.94664705628986</v>
      </c>
      <c r="U173" s="87">
        <v>167.45840141552068</v>
      </c>
      <c r="V173" s="87">
        <v>165.87823359348758</v>
      </c>
      <c r="W173" s="87">
        <v>163.48414899810169</v>
      </c>
      <c r="X173" s="87">
        <v>161.04906439646834</v>
      </c>
      <c r="Y173" s="87">
        <v>158.78367466583794</v>
      </c>
      <c r="DA173" s="171" t="s">
        <v>912</v>
      </c>
    </row>
    <row r="174" spans="1:105" ht="11.45" customHeight="1" x14ac:dyDescent="0.25">
      <c r="A174" s="111" t="s">
        <v>111</v>
      </c>
      <c r="B174" s="87">
        <v>214.79282704002094</v>
      </c>
      <c r="C174" s="87">
        <v>206.64527636907906</v>
      </c>
      <c r="D174" s="87">
        <v>202.54208615282795</v>
      </c>
      <c r="E174" s="87">
        <v>200.33780535808933</v>
      </c>
      <c r="F174" s="87">
        <v>199.086947438013</v>
      </c>
      <c r="G174" s="87">
        <v>197.91888441755768</v>
      </c>
      <c r="H174" s="87">
        <v>196.63748571845758</v>
      </c>
      <c r="I174" s="87">
        <v>194.77983444423685</v>
      </c>
      <c r="J174" s="87">
        <v>193.32418296928037</v>
      </c>
      <c r="K174" s="87">
        <v>192.60465955384427</v>
      </c>
      <c r="L174" s="87">
        <v>191.84613155642359</v>
      </c>
      <c r="M174" s="87">
        <v>190.68077059042417</v>
      </c>
      <c r="N174" s="87">
        <v>189.05133167530519</v>
      </c>
      <c r="O174" s="87">
        <v>187.12276807822664</v>
      </c>
      <c r="P174" s="87">
        <v>184.91101267266461</v>
      </c>
      <c r="Q174" s="87">
        <v>182.44175650840344</v>
      </c>
      <c r="R174" s="87">
        <v>178.50017533179644</v>
      </c>
      <c r="S174" s="87">
        <v>176.49830205478577</v>
      </c>
      <c r="T174" s="87">
        <v>175.10117325021452</v>
      </c>
      <c r="U174" s="87">
        <v>173.77416392200712</v>
      </c>
      <c r="V174" s="87">
        <v>172.05513148347453</v>
      </c>
      <c r="W174" s="87">
        <v>169.40396134146062</v>
      </c>
      <c r="X174" s="87">
        <v>167.83236393824953</v>
      </c>
      <c r="Y174" s="87">
        <v>167.07495930008264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187.47737456274518</v>
      </c>
      <c r="H175" s="87">
        <v>187.49411049771936</v>
      </c>
      <c r="I175" s="87">
        <v>188.40521091632451</v>
      </c>
      <c r="J175" s="87">
        <v>189.11359714774784</v>
      </c>
      <c r="K175" s="87">
        <v>189.32768503944499</v>
      </c>
      <c r="L175" s="87">
        <v>191.21497405178263</v>
      </c>
      <c r="M175" s="87">
        <v>195.12685156570862</v>
      </c>
      <c r="N175" s="87">
        <v>194.70199406506831</v>
      </c>
      <c r="O175" s="87">
        <v>194.07588286422614</v>
      </c>
      <c r="P175" s="87">
        <v>193.66717469385426</v>
      </c>
      <c r="Q175" s="87">
        <v>192.97605243483221</v>
      </c>
      <c r="R175" s="87">
        <v>192.55300749135088</v>
      </c>
      <c r="S175" s="87">
        <v>191.85461392582624</v>
      </c>
      <c r="T175" s="87">
        <v>191.12977104543754</v>
      </c>
      <c r="U175" s="87">
        <v>190.59907461438533</v>
      </c>
      <c r="V175" s="87">
        <v>189.50419554568867</v>
      </c>
      <c r="W175" s="87">
        <v>187.3010901678098</v>
      </c>
      <c r="X175" s="87">
        <v>184.09386983746592</v>
      </c>
      <c r="Y175" s="87">
        <v>180.45621806711205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160.88579853281618</v>
      </c>
      <c r="D176" s="87">
        <v>160.89063963778062</v>
      </c>
      <c r="E176" s="87">
        <v>162.22157572152182</v>
      </c>
      <c r="F176" s="87">
        <v>162.4198894172759</v>
      </c>
      <c r="G176" s="87">
        <v>162.4486753680689</v>
      </c>
      <c r="H176" s="87">
        <v>162.4747636518718</v>
      </c>
      <c r="I176" s="87">
        <v>163.63975162862278</v>
      </c>
      <c r="J176" s="87">
        <v>163.6460745014561</v>
      </c>
      <c r="K176" s="87">
        <v>163.66714744625932</v>
      </c>
      <c r="L176" s="87">
        <v>163.71033569591597</v>
      </c>
      <c r="M176" s="87">
        <v>163.70652537212843</v>
      </c>
      <c r="N176" s="87">
        <v>163.88629731516016</v>
      </c>
      <c r="O176" s="87">
        <v>163.94775265554554</v>
      </c>
      <c r="P176" s="87">
        <v>159.5060080696507</v>
      </c>
      <c r="Q176" s="87">
        <v>159.28017178902365</v>
      </c>
      <c r="R176" s="87">
        <v>157.22195855517916</v>
      </c>
      <c r="S176" s="87">
        <v>156.45474815855371</v>
      </c>
      <c r="T176" s="87">
        <v>155.04485829873747</v>
      </c>
      <c r="U176" s="87">
        <v>152.3630617673648</v>
      </c>
      <c r="V176" s="87">
        <v>145.85363614740615</v>
      </c>
      <c r="W176" s="87">
        <v>142.26107137846029</v>
      </c>
      <c r="X176" s="87">
        <v>137.62671993295098</v>
      </c>
      <c r="Y176" s="87">
        <v>133.94205793195846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35.506126991131211</v>
      </c>
      <c r="O177" s="87">
        <v>35.506126991131218</v>
      </c>
      <c r="P177" s="87">
        <v>116.34986123713958</v>
      </c>
      <c r="Q177" s="87">
        <v>102.48894688058199</v>
      </c>
      <c r="R177" s="87">
        <v>75.167740854562609</v>
      </c>
      <c r="S177" s="87">
        <v>88.011143745069916</v>
      </c>
      <c r="T177" s="87">
        <v>74.872625754227812</v>
      </c>
      <c r="U177" s="87">
        <v>72.141284411392874</v>
      </c>
      <c r="V177" s="87">
        <v>61.007081553347646</v>
      </c>
      <c r="W177" s="87">
        <v>49.41468109812223</v>
      </c>
      <c r="X177" s="87">
        <v>43.11879203672958</v>
      </c>
      <c r="Y177" s="87">
        <v>38.183744459014129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1702.1789674630113</v>
      </c>
      <c r="C179" s="116">
        <v>1684.6786837483846</v>
      </c>
      <c r="D179" s="116">
        <v>1674.4835010108457</v>
      </c>
      <c r="E179" s="116">
        <v>1665.0568104964004</v>
      </c>
      <c r="F179" s="116">
        <v>1647.2037501518871</v>
      </c>
      <c r="G179" s="116">
        <v>1636.4807088993932</v>
      </c>
      <c r="H179" s="116">
        <v>1616.2901373318525</v>
      </c>
      <c r="I179" s="116">
        <v>1581.2614148060475</v>
      </c>
      <c r="J179" s="116">
        <v>1557.0771658553308</v>
      </c>
      <c r="K179" s="116">
        <v>1507.7449468610369</v>
      </c>
      <c r="L179" s="116">
        <v>1351.7497278288997</v>
      </c>
      <c r="M179" s="116">
        <v>1215.9209308527047</v>
      </c>
      <c r="N179" s="116">
        <v>1410.3896467084412</v>
      </c>
      <c r="O179" s="116">
        <v>1396.3367076687421</v>
      </c>
      <c r="P179" s="116">
        <v>1166.4353943916997</v>
      </c>
      <c r="Q179" s="116">
        <v>1171.7654857860064</v>
      </c>
      <c r="R179" s="116">
        <v>902.68706019957369</v>
      </c>
      <c r="S179" s="116">
        <v>1168.6727038335898</v>
      </c>
      <c r="T179" s="116">
        <v>1143.9521766717828</v>
      </c>
      <c r="U179" s="116">
        <v>1212.227400361108</v>
      </c>
      <c r="V179" s="116">
        <v>1241.9595667786796</v>
      </c>
      <c r="W179" s="116">
        <v>1273.4992865358206</v>
      </c>
      <c r="X179" s="116">
        <v>1262.9312903694081</v>
      </c>
      <c r="Y179" s="116">
        <v>1191.330354232294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X180" s="101">
        <v>0</v>
      </c>
      <c r="Y180" s="101">
        <v>0</v>
      </c>
      <c r="DA180" s="175" t="s">
        <v>919</v>
      </c>
    </row>
    <row r="181" spans="1:105" ht="11.45" customHeight="1" x14ac:dyDescent="0.25">
      <c r="A181" s="111" t="s">
        <v>111</v>
      </c>
      <c r="B181" s="101">
        <v>1702.1789674630113</v>
      </c>
      <c r="C181" s="101">
        <v>1672.4378359800394</v>
      </c>
      <c r="D181" s="101">
        <v>1655.4398897900487</v>
      </c>
      <c r="E181" s="101">
        <v>1639.9992316344435</v>
      </c>
      <c r="F181" s="101">
        <v>1612.7738615898654</v>
      </c>
      <c r="G181" s="101">
        <v>1596.6751240936205</v>
      </c>
      <c r="H181" s="101">
        <v>1568.7284908271943</v>
      </c>
      <c r="I181" s="101">
        <v>1525.1098285929866</v>
      </c>
      <c r="J181" s="101">
        <v>1500.1959534253597</v>
      </c>
      <c r="K181" s="101">
        <v>1458.5704868407026</v>
      </c>
      <c r="L181" s="101">
        <v>1439.9897681213276</v>
      </c>
      <c r="M181" s="101">
        <v>1423.4804541172475</v>
      </c>
      <c r="N181" s="101">
        <v>1409.38312122199</v>
      </c>
      <c r="O181" s="101">
        <v>1400.5577087287072</v>
      </c>
      <c r="P181" s="101">
        <v>1398.5792816242977</v>
      </c>
      <c r="Q181" s="101">
        <v>1392.1807305688208</v>
      </c>
      <c r="R181" s="101">
        <v>1384.3963991475084</v>
      </c>
      <c r="S181" s="101">
        <v>1379.0554843785292</v>
      </c>
      <c r="T181" s="101">
        <v>1372.7898612335368</v>
      </c>
      <c r="U181" s="101">
        <v>1365.1123716383493</v>
      </c>
      <c r="V181" s="101">
        <v>1350.3988248583189</v>
      </c>
      <c r="W181" s="101">
        <v>1325.2921197983346</v>
      </c>
      <c r="X181" s="101">
        <v>1305.7970635740717</v>
      </c>
      <c r="Y181" s="101">
        <v>1261.7899413506643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823.7674249634581</v>
      </c>
      <c r="S183" s="101">
        <v>823.76742496345787</v>
      </c>
      <c r="T183" s="101">
        <v>823.76742496345798</v>
      </c>
      <c r="U183" s="101">
        <v>823.76742496345821</v>
      </c>
      <c r="V183" s="101">
        <v>823.7674249634581</v>
      </c>
      <c r="W183" s="101">
        <v>823.16434445280868</v>
      </c>
      <c r="X183" s="101">
        <v>822.27384143576899</v>
      </c>
      <c r="Y183" s="101">
        <v>819.62912697205195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288.13209350839907</v>
      </c>
      <c r="C186" s="152">
        <v>287.16766894495765</v>
      </c>
      <c r="D186" s="152">
        <v>284.61235082038036</v>
      </c>
      <c r="E186" s="152">
        <v>280.39610288381016</v>
      </c>
      <c r="F186" s="152">
        <v>267.18755940547965</v>
      </c>
      <c r="G186" s="152">
        <v>267.67803284322054</v>
      </c>
      <c r="H186" s="152">
        <v>260.99053194490153</v>
      </c>
      <c r="I186" s="152">
        <v>259.15270101784847</v>
      </c>
      <c r="J186" s="152">
        <v>257.67074112170349</v>
      </c>
      <c r="K186" s="152">
        <v>260.69560925573285</v>
      </c>
      <c r="L186" s="152">
        <v>264.98685524866318</v>
      </c>
      <c r="M186" s="152">
        <v>250.78966898291816</v>
      </c>
      <c r="N186" s="152">
        <v>252.35986044368818</v>
      </c>
      <c r="O186" s="152">
        <v>245.51670024136604</v>
      </c>
      <c r="P186" s="152">
        <v>209.75047140501425</v>
      </c>
      <c r="Q186" s="152">
        <v>231.00773184546031</v>
      </c>
      <c r="R186" s="152">
        <v>232.36907663202416</v>
      </c>
      <c r="S186" s="152">
        <v>244.68405966053203</v>
      </c>
      <c r="T186" s="152">
        <v>241.29785479153261</v>
      </c>
      <c r="U186" s="152">
        <v>243.91910272037956</v>
      </c>
      <c r="V186" s="152">
        <v>240.67302282215525</v>
      </c>
      <c r="W186" s="152">
        <v>234.70939900629662</v>
      </c>
      <c r="X186" s="152">
        <v>222.43457215151935</v>
      </c>
      <c r="Y186" s="152">
        <v>225.65403409201247</v>
      </c>
      <c r="DA186" s="174" t="s">
        <v>924</v>
      </c>
    </row>
    <row r="187" spans="1:105" ht="11.45" customHeight="1" x14ac:dyDescent="0.25">
      <c r="A187" s="111" t="s">
        <v>110</v>
      </c>
      <c r="B187" s="87">
        <v>235.3430960772194</v>
      </c>
      <c r="C187" s="87">
        <v>231.23767385731864</v>
      </c>
      <c r="D187" s="87">
        <v>226.74984588867724</v>
      </c>
      <c r="E187" s="87">
        <v>221.99423970681076</v>
      </c>
      <c r="F187" s="87">
        <v>207.8434639044979</v>
      </c>
      <c r="G187" s="87">
        <v>204.44365114361432</v>
      </c>
      <c r="H187" s="87">
        <v>200.976846299849</v>
      </c>
      <c r="I187" s="87">
        <v>197.96457702845754</v>
      </c>
      <c r="J187" s="87">
        <v>195.78134725690106</v>
      </c>
      <c r="K187" s="87">
        <v>194.18820993028211</v>
      </c>
      <c r="L187" s="87">
        <v>187.74367066037939</v>
      </c>
      <c r="M187" s="87">
        <v>187.78355090550468</v>
      </c>
      <c r="N187" s="87">
        <v>187.79412395366157</v>
      </c>
      <c r="O187" s="87">
        <v>188.27313054843887</v>
      </c>
      <c r="P187" s="87">
        <v>188.49094340441295</v>
      </c>
      <c r="Q187" s="87">
        <v>188.24767292951356</v>
      </c>
      <c r="R187" s="87">
        <v>186.71387982034361</v>
      </c>
      <c r="S187" s="87">
        <v>186.63862447666563</v>
      </c>
      <c r="T187" s="87">
        <v>187.08387201842783</v>
      </c>
      <c r="U187" s="87">
        <v>187.57855754753155</v>
      </c>
      <c r="V187" s="87">
        <v>187.46306536401119</v>
      </c>
      <c r="W187" s="87">
        <v>186.86368660756148</v>
      </c>
      <c r="X187" s="87">
        <v>186.08904239823929</v>
      </c>
      <c r="Y187" s="87">
        <v>186.84067954166011</v>
      </c>
      <c r="DA187" s="171" t="s">
        <v>925</v>
      </c>
    </row>
    <row r="188" spans="1:105" ht="11.45" customHeight="1" x14ac:dyDescent="0.25">
      <c r="A188" s="111" t="s">
        <v>111</v>
      </c>
      <c r="B188" s="87">
        <v>307.12235134658386</v>
      </c>
      <c r="C188" s="87">
        <v>305.08344440229666</v>
      </c>
      <c r="D188" s="87">
        <v>302.8116750675743</v>
      </c>
      <c r="E188" s="87">
        <v>299.96184404109397</v>
      </c>
      <c r="F188" s="87">
        <v>297.9917016922696</v>
      </c>
      <c r="G188" s="87">
        <v>293.28449099296245</v>
      </c>
      <c r="H188" s="87">
        <v>291.65139038042525</v>
      </c>
      <c r="I188" s="87">
        <v>288.48482277571549</v>
      </c>
      <c r="J188" s="87">
        <v>286.69196821227388</v>
      </c>
      <c r="K188" s="87">
        <v>285.49767605258529</v>
      </c>
      <c r="L188" s="87">
        <v>284.39808643138622</v>
      </c>
      <c r="M188" s="87">
        <v>284.17953272650357</v>
      </c>
      <c r="N188" s="87">
        <v>282.70145989254337</v>
      </c>
      <c r="O188" s="87">
        <v>280.3893944252905</v>
      </c>
      <c r="P188" s="87">
        <v>278.92171720673718</v>
      </c>
      <c r="Q188" s="87">
        <v>277.11068870248062</v>
      </c>
      <c r="R188" s="87">
        <v>273.51549757143607</v>
      </c>
      <c r="S188" s="87">
        <v>269.451545107333</v>
      </c>
      <c r="T188" s="87">
        <v>264.34715772870624</v>
      </c>
      <c r="U188" s="87">
        <v>260.89957212777125</v>
      </c>
      <c r="V188" s="87">
        <v>258.24023090403864</v>
      </c>
      <c r="W188" s="87">
        <v>253.81877987766049</v>
      </c>
      <c r="X188" s="87">
        <v>250.3886786655344</v>
      </c>
      <c r="Y188" s="87">
        <v>245.35947323794889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230.65616293592075</v>
      </c>
      <c r="O189" s="87">
        <v>182.96346110737508</v>
      </c>
      <c r="P189" s="87">
        <v>280.58313263545028</v>
      </c>
      <c r="Q189" s="87">
        <v>279.58027994281838</v>
      </c>
      <c r="R189" s="87">
        <v>278.5311945561723</v>
      </c>
      <c r="S189" s="87">
        <v>275.53629142688493</v>
      </c>
      <c r="T189" s="87">
        <v>270.12570714374863</v>
      </c>
      <c r="U189" s="87">
        <v>263.52283666558577</v>
      </c>
      <c r="V189" s="87">
        <v>260.41937945845865</v>
      </c>
      <c r="W189" s="87">
        <v>259.36116646402064</v>
      </c>
      <c r="X189" s="87">
        <v>258.24580576493287</v>
      </c>
      <c r="Y189" s="87">
        <v>257.65380123691932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186.83682092555338</v>
      </c>
      <c r="O190" s="87">
        <v>195.91210805612479</v>
      </c>
      <c r="P190" s="87">
        <v>189.83813776301244</v>
      </c>
      <c r="Q190" s="87">
        <v>173.3401065343613</v>
      </c>
      <c r="R190" s="87">
        <v>251.015412534776</v>
      </c>
      <c r="S190" s="87">
        <v>247.4343827825536</v>
      </c>
      <c r="T190" s="87">
        <v>230.53154257536383</v>
      </c>
      <c r="U190" s="87">
        <v>230.20327165629365</v>
      </c>
      <c r="V190" s="87">
        <v>207.18795473812256</v>
      </c>
      <c r="W190" s="87">
        <v>206.86542139363672</v>
      </c>
      <c r="X190" s="87">
        <v>206.41206661757025</v>
      </c>
      <c r="Y190" s="87">
        <v>206.10287616693142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922.68091180590454</v>
      </c>
      <c r="C192" s="116">
        <v>896.2295348304126</v>
      </c>
      <c r="D192" s="116">
        <v>862.29532589873236</v>
      </c>
      <c r="E192" s="116">
        <v>842.91528359005906</v>
      </c>
      <c r="F192" s="116">
        <v>848.73938370515157</v>
      </c>
      <c r="G192" s="116">
        <v>832.94259909215396</v>
      </c>
      <c r="H192" s="116">
        <v>819.16314377441233</v>
      </c>
      <c r="I192" s="116">
        <v>816.551645063156</v>
      </c>
      <c r="J192" s="116">
        <v>803.25424794283867</v>
      </c>
      <c r="K192" s="116">
        <v>799.11195101776661</v>
      </c>
      <c r="L192" s="116">
        <v>796.40076091607034</v>
      </c>
      <c r="M192" s="116">
        <v>793.38960778933995</v>
      </c>
      <c r="N192" s="116">
        <v>791.24787566806015</v>
      </c>
      <c r="O192" s="116">
        <v>779.70304297133396</v>
      </c>
      <c r="P192" s="116">
        <v>768.80213190456357</v>
      </c>
      <c r="Q192" s="116">
        <v>766.27433773693292</v>
      </c>
      <c r="R192" s="116">
        <v>757.85803179259221</v>
      </c>
      <c r="S192" s="116">
        <v>749.12233994932126</v>
      </c>
      <c r="T192" s="116">
        <v>745.9421071706978</v>
      </c>
      <c r="U192" s="116">
        <v>732.71426249629212</v>
      </c>
      <c r="V192" s="116">
        <v>727.49070726308958</v>
      </c>
      <c r="W192" s="116">
        <v>724.0299696329389</v>
      </c>
      <c r="X192" s="116">
        <v>714.86819993482629</v>
      </c>
      <c r="Y192" s="116">
        <v>706.2044130818108</v>
      </c>
      <c r="DA192" s="176" t="s">
        <v>930</v>
      </c>
    </row>
    <row r="193" spans="1:105" ht="11.45" customHeight="1" x14ac:dyDescent="0.25">
      <c r="A193" s="128" t="s">
        <v>27</v>
      </c>
      <c r="B193" s="101">
        <v>789.31969023591967</v>
      </c>
      <c r="C193" s="101">
        <v>778.14260427696593</v>
      </c>
      <c r="D193" s="101">
        <v>765.68919585256253</v>
      </c>
      <c r="E193" s="101">
        <v>758.99102445014307</v>
      </c>
      <c r="F193" s="101">
        <v>746.75748714503186</v>
      </c>
      <c r="G193" s="101">
        <v>743.95066631586428</v>
      </c>
      <c r="H193" s="101">
        <v>740.43401829027482</v>
      </c>
      <c r="I193" s="101">
        <v>738.48610550687579</v>
      </c>
      <c r="J193" s="101">
        <v>733.3740787591048</v>
      </c>
      <c r="K193" s="101">
        <v>731.74599720813524</v>
      </c>
      <c r="L193" s="101">
        <v>730.01890356240631</v>
      </c>
      <c r="M193" s="101">
        <v>727.55614492751306</v>
      </c>
      <c r="N193" s="101">
        <v>726.02004483943574</v>
      </c>
      <c r="O193" s="101">
        <v>717.57287621518856</v>
      </c>
      <c r="P193" s="101">
        <v>709.28434039628485</v>
      </c>
      <c r="Q193" s="101">
        <v>705.94794575732249</v>
      </c>
      <c r="R193" s="101">
        <v>698.95176202886807</v>
      </c>
      <c r="S193" s="101">
        <v>690.99913168398291</v>
      </c>
      <c r="T193" s="101">
        <v>688.11733001284972</v>
      </c>
      <c r="U193" s="101">
        <v>676.60038959775477</v>
      </c>
      <c r="V193" s="101">
        <v>672.26171721003391</v>
      </c>
      <c r="W193" s="101">
        <v>669.20486564149371</v>
      </c>
      <c r="X193" s="101">
        <v>660.70286520799948</v>
      </c>
      <c r="Y193" s="101">
        <v>653.47279193140218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1055.3838663785095</v>
      </c>
      <c r="D194" s="88">
        <v>1046.1101678921875</v>
      </c>
      <c r="E194" s="88">
        <v>1038.6292844216016</v>
      </c>
      <c r="F194" s="88">
        <v>1019.5225755745076</v>
      </c>
      <c r="G194" s="88">
        <v>1010.7741268167745</v>
      </c>
      <c r="H194" s="88">
        <v>1000.1277597595434</v>
      </c>
      <c r="I194" s="88">
        <v>978.04447101178482</v>
      </c>
      <c r="J194" s="88">
        <v>971.99974363609931</v>
      </c>
      <c r="K194" s="88">
        <v>965.5818109574127</v>
      </c>
      <c r="L194" s="88">
        <v>952.59094460578012</v>
      </c>
      <c r="M194" s="88">
        <v>937.22751631001393</v>
      </c>
      <c r="N194" s="88">
        <v>925.52902954536046</v>
      </c>
      <c r="O194" s="88">
        <v>908.2834786042655</v>
      </c>
      <c r="P194" s="88">
        <v>899.0729674367866</v>
      </c>
      <c r="Q194" s="88">
        <v>882.67565561232448</v>
      </c>
      <c r="R194" s="88">
        <v>867.15254666269436</v>
      </c>
      <c r="S194" s="88">
        <v>851.16168251007309</v>
      </c>
      <c r="T194" s="88">
        <v>842.30713698055195</v>
      </c>
      <c r="U194" s="88">
        <v>826.54479655582372</v>
      </c>
      <c r="V194" s="88">
        <v>818.35960857808641</v>
      </c>
      <c r="W194" s="88">
        <v>805.97978304080209</v>
      </c>
      <c r="X194" s="88">
        <v>787.49363767587272</v>
      </c>
      <c r="Y194" s="88">
        <v>779.3449137322965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1.1275000000068982</v>
      </c>
      <c r="C198" s="150">
        <f>IF(TrRoad_act!C59=0,0,TrRoad_emi!C56/TrRoad_tech!C171)</f>
        <v>1.127699203603844</v>
      </c>
      <c r="D198" s="150">
        <f>IF(TrRoad_act!D59=0,0,TrRoad_emi!D56/TrRoad_tech!D171)</f>
        <v>1.1282007557199416</v>
      </c>
      <c r="E198" s="150">
        <f>IF(TrRoad_act!E59=0,0,TrRoad_emi!E56/TrRoad_tech!E171)</f>
        <v>1.1288608877133322</v>
      </c>
      <c r="F198" s="150">
        <f>IF(TrRoad_act!F59=0,0,TrRoad_emi!F56/TrRoad_tech!F171)</f>
        <v>1.1312271816751946</v>
      </c>
      <c r="G198" s="150">
        <f>IF(TrRoad_act!G59=0,0,TrRoad_emi!G56/TrRoad_tech!G171)</f>
        <v>1.1350104144102588</v>
      </c>
      <c r="H198" s="150">
        <f>IF(TrRoad_act!H59=0,0,TrRoad_emi!H56/TrRoad_tech!H171)</f>
        <v>1.1355557625713797</v>
      </c>
      <c r="I198" s="150">
        <f>IF(TrRoad_act!I59=0,0,TrRoad_emi!I56/TrRoad_tech!I171)</f>
        <v>1.1253057969772342</v>
      </c>
      <c r="J198" s="150">
        <f>IF(TrRoad_act!J59=0,0,TrRoad_emi!J56/TrRoad_tech!J171)</f>
        <v>1.1322284614536795</v>
      </c>
      <c r="K198" s="150">
        <f>IF(TrRoad_act!K59=0,0,TrRoad_emi!K56/TrRoad_tech!K171)</f>
        <v>1.115480731974793</v>
      </c>
      <c r="L198" s="150">
        <f>IF(TrRoad_act!L59=0,0,TrRoad_emi!L56/TrRoad_tech!L171)</f>
        <v>1.1245459291490898</v>
      </c>
      <c r="M198" s="150">
        <f>IF(TrRoad_act!M59=0,0,TrRoad_emi!M56/TrRoad_tech!M171)</f>
        <v>1.1381713415854362</v>
      </c>
      <c r="N198" s="150">
        <f>IF(TrRoad_act!N59=0,0,TrRoad_emi!N56/TrRoad_tech!N171)</f>
        <v>1.1504687149964639</v>
      </c>
      <c r="O198" s="150">
        <f>IF(TrRoad_act!O59=0,0,TrRoad_emi!O56/TrRoad_tech!O171)</f>
        <v>1.1612875722847151</v>
      </c>
      <c r="P198" s="150">
        <f>IF(TrRoad_act!P59=0,0,TrRoad_emi!P56/TrRoad_tech!P171)</f>
        <v>1.1590322887396158</v>
      </c>
      <c r="Q198" s="150">
        <f>IF(TrRoad_act!Q59=0,0,TrRoad_emi!Q56/TrRoad_tech!Q171)</f>
        <v>1.1786686999636968</v>
      </c>
      <c r="R198" s="150">
        <f>IF(TrRoad_act!R59=0,0,TrRoad_emi!R56/TrRoad_tech!R171)</f>
        <v>1.2038137626123875</v>
      </c>
      <c r="S198" s="150">
        <f>IF(TrRoad_act!S59=0,0,TrRoad_emi!S56/TrRoad_tech!S171)</f>
        <v>1.2100126289427875</v>
      </c>
      <c r="T198" s="150">
        <f>IF(TrRoad_act!T59=0,0,TrRoad_emi!T56/TrRoad_tech!T171)</f>
        <v>1.2261801509911399</v>
      </c>
      <c r="U198" s="150">
        <f>IF(TrRoad_act!U59=0,0,TrRoad_emi!U56/TrRoad_tech!U171)</f>
        <v>1.2316792365859255</v>
      </c>
      <c r="V198" s="150">
        <f>IF(TrRoad_act!V59=0,0,TrRoad_emi!V56/TrRoad_tech!V171)</f>
        <v>1.2290235377096907</v>
      </c>
      <c r="W198" s="150">
        <f>IF(TrRoad_act!W59=0,0,TrRoad_emi!W56/TrRoad_tech!W171)</f>
        <v>1.2426684035180882</v>
      </c>
      <c r="X198" s="150">
        <f>IF(TrRoad_act!X59=0,0,TrRoad_emi!X56/TrRoad_tech!X171)</f>
        <v>1.2566386499611228</v>
      </c>
      <c r="Y198" s="150">
        <f>IF(TrRoad_act!Y59=0,0,TrRoad_emi!Y56/TrRoad_tech!Y171)</f>
        <v>1.2540115419849116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0.92772713807244267</v>
      </c>
      <c r="C199" s="151">
        <f>IF(TrRoad_act!C60=0,0,TrRoad_emi!C57/TrRoad_tech!C172)</f>
        <v>0.94978086379677384</v>
      </c>
      <c r="D199" s="151">
        <f>IF(TrRoad_act!D60=0,0,TrRoad_emi!D57/TrRoad_tech!D172)</f>
        <v>1.0691321376838974</v>
      </c>
      <c r="E199" s="151">
        <f>IF(TrRoad_act!E60=0,0,TrRoad_emi!E57/TrRoad_tech!E172)</f>
        <v>1.0362200044148764</v>
      </c>
      <c r="F199" s="151">
        <f>IF(TrRoad_act!F60=0,0,TrRoad_emi!F57/TrRoad_tech!F172)</f>
        <v>0.92996007597008956</v>
      </c>
      <c r="G199" s="151">
        <f>IF(TrRoad_act!G60=0,0,TrRoad_emi!G57/TrRoad_tech!G172)</f>
        <v>1.0017424848336169</v>
      </c>
      <c r="H199" s="151">
        <f>IF(TrRoad_act!H60=0,0,TrRoad_emi!H57/TrRoad_tech!H172)</f>
        <v>0.95093250893354941</v>
      </c>
      <c r="I199" s="151">
        <f>IF(TrRoad_act!I60=0,0,TrRoad_emi!I57/TrRoad_tech!I172)</f>
        <v>1.0055471962305298</v>
      </c>
      <c r="J199" s="151">
        <f>IF(TrRoad_act!J60=0,0,TrRoad_emi!J57/TrRoad_tech!J172)</f>
        <v>1.0280770823847527</v>
      </c>
      <c r="K199" s="151">
        <f>IF(TrRoad_act!K60=0,0,TrRoad_emi!K57/TrRoad_tech!K172)</f>
        <v>0.96023043234700167</v>
      </c>
      <c r="L199" s="151">
        <f>IF(TrRoad_act!L60=0,0,TrRoad_emi!L57/TrRoad_tech!L172)</f>
        <v>0.96234350572994809</v>
      </c>
      <c r="M199" s="151">
        <f>IF(TrRoad_act!M60=0,0,TrRoad_emi!M57/TrRoad_tech!M172)</f>
        <v>0.98023457206042086</v>
      </c>
      <c r="N199" s="151">
        <f>IF(TrRoad_act!N60=0,0,TrRoad_emi!N57/TrRoad_tech!N172)</f>
        <v>0.94118713830760903</v>
      </c>
      <c r="O199" s="151">
        <f>IF(TrRoad_act!O60=0,0,TrRoad_emi!O57/TrRoad_tech!O172)</f>
        <v>0.93365638981839649</v>
      </c>
      <c r="P199" s="151">
        <f>IF(TrRoad_act!P60=0,0,TrRoad_emi!P57/TrRoad_tech!P172)</f>
        <v>0.89950848906099423</v>
      </c>
      <c r="Q199" s="151">
        <f>IF(TrRoad_act!Q60=0,0,TrRoad_emi!Q57/TrRoad_tech!Q172)</f>
        <v>0.909696762585257</v>
      </c>
      <c r="R199" s="151">
        <f>IF(TrRoad_act!R60=0,0,TrRoad_emi!R57/TrRoad_tech!R172)</f>
        <v>0.92695923663713897</v>
      </c>
      <c r="S199" s="151">
        <f>IF(TrRoad_act!S60=0,0,TrRoad_emi!S57/TrRoad_tech!S172)</f>
        <v>0.95740024773867893</v>
      </c>
      <c r="T199" s="151">
        <f>IF(TrRoad_act!T60=0,0,TrRoad_emi!T57/TrRoad_tech!T172)</f>
        <v>0.92538424053078883</v>
      </c>
      <c r="U199" s="151">
        <f>IF(TrRoad_act!U60=0,0,TrRoad_emi!U57/TrRoad_tech!U172)</f>
        <v>0.91339873431899365</v>
      </c>
      <c r="V199" s="151">
        <f>IF(TrRoad_act!V60=0,0,TrRoad_emi!V57/TrRoad_tech!V172)</f>
        <v>0.91594085485025811</v>
      </c>
      <c r="W199" s="151">
        <f>IF(TrRoad_act!W60=0,0,TrRoad_emi!W57/TrRoad_tech!W172)</f>
        <v>0.94053324630393342</v>
      </c>
      <c r="X199" s="151">
        <f>IF(TrRoad_act!X60=0,0,TrRoad_emi!X57/TrRoad_tech!X172)</f>
        <v>0.96065859624940908</v>
      </c>
      <c r="Y199" s="151">
        <f>IF(TrRoad_act!Y60=0,0,TrRoad_emi!Y57/TrRoad_tech!Y172)</f>
        <v>0.99653495280987792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0.88657534555287987</v>
      </c>
      <c r="C200" s="91">
        <f>IF(TrRoad_act!C61=0,0,TrRoad_emi!C58/TrRoad_tech!C173)</f>
        <v>0.93645348369886294</v>
      </c>
      <c r="D200" s="91">
        <f>IF(TrRoad_act!D61=0,0,TrRoad_emi!D58/TrRoad_tech!D173)</f>
        <v>1.1122677599299693</v>
      </c>
      <c r="E200" s="91">
        <f>IF(TrRoad_act!E61=0,0,TrRoad_emi!E58/TrRoad_tech!E173)</f>
        <v>1.0409113960584278</v>
      </c>
      <c r="F200" s="91">
        <f>IF(TrRoad_act!F61=0,0,TrRoad_emi!F58/TrRoad_tech!F173)</f>
        <v>0.94286879200521378</v>
      </c>
      <c r="G200" s="91">
        <f>IF(TrRoad_act!G61=0,0,TrRoad_emi!G58/TrRoad_tech!G173)</f>
        <v>0.99041646494504088</v>
      </c>
      <c r="H200" s="91">
        <f>IF(TrRoad_act!H61=0,0,TrRoad_emi!H58/TrRoad_tech!H173)</f>
        <v>0.9329467070193822</v>
      </c>
      <c r="I200" s="91">
        <f>IF(TrRoad_act!I61=0,0,TrRoad_emi!I58/TrRoad_tech!I173)</f>
        <v>0.98193369597463243</v>
      </c>
      <c r="J200" s="91">
        <f>IF(TrRoad_act!J61=0,0,TrRoad_emi!J58/TrRoad_tech!J173)</f>
        <v>1.0425549953291284</v>
      </c>
      <c r="K200" s="91">
        <f>IF(TrRoad_act!K61=0,0,TrRoad_emi!K58/TrRoad_tech!K173)</f>
        <v>0.94504500912183698</v>
      </c>
      <c r="L200" s="91">
        <f>IF(TrRoad_act!L61=0,0,TrRoad_emi!L58/TrRoad_tech!L173)</f>
        <v>0.92621837698677478</v>
      </c>
      <c r="M200" s="91">
        <f>IF(TrRoad_act!M61=0,0,TrRoad_emi!M58/TrRoad_tech!M173)</f>
        <v>0.9208168828549449</v>
      </c>
      <c r="N200" s="91">
        <f>IF(TrRoad_act!N61=0,0,TrRoad_emi!N58/TrRoad_tech!N173)</f>
        <v>0.89589943678124506</v>
      </c>
      <c r="O200" s="91">
        <f>IF(TrRoad_act!O61=0,0,TrRoad_emi!O58/TrRoad_tech!O173)</f>
        <v>0.88646284716295398</v>
      </c>
      <c r="P200" s="91">
        <f>IF(TrRoad_act!P61=0,0,TrRoad_emi!P58/TrRoad_tech!P173)</f>
        <v>0.86378661529918188</v>
      </c>
      <c r="Q200" s="91">
        <f>IF(TrRoad_act!Q61=0,0,TrRoad_emi!Q58/TrRoad_tech!Q173)</f>
        <v>0.88037444893358385</v>
      </c>
      <c r="R200" s="91">
        <f>IF(TrRoad_act!R61=0,0,TrRoad_emi!R58/TrRoad_tech!R173)</f>
        <v>0.91177120405891598</v>
      </c>
      <c r="S200" s="91">
        <f>IF(TrRoad_act!S61=0,0,TrRoad_emi!S58/TrRoad_tech!S173)</f>
        <v>0.92754140131670371</v>
      </c>
      <c r="T200" s="91">
        <f>IF(TrRoad_act!T61=0,0,TrRoad_emi!T58/TrRoad_tech!T173)</f>
        <v>0.86746101821477528</v>
      </c>
      <c r="U200" s="91">
        <f>IF(TrRoad_act!U61=0,0,TrRoad_emi!U58/TrRoad_tech!U173)</f>
        <v>0.85112645986073632</v>
      </c>
      <c r="V200" s="91">
        <f>IF(TrRoad_act!V61=0,0,TrRoad_emi!V58/TrRoad_tech!V173)</f>
        <v>0.85477290739006506</v>
      </c>
      <c r="W200" s="91">
        <f>IF(TrRoad_act!W61=0,0,TrRoad_emi!W58/TrRoad_tech!W173)</f>
        <v>0.87282776964805642</v>
      </c>
      <c r="X200" s="91">
        <f>IF(TrRoad_act!X61=0,0,TrRoad_emi!X58/TrRoad_tech!X173)</f>
        <v>0.89540694918155395</v>
      </c>
      <c r="Y200" s="91">
        <f>IF(TrRoad_act!Y61=0,0,TrRoad_emi!Y58/TrRoad_tech!Y173)</f>
        <v>0.947288894714301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1.0263424088954829</v>
      </c>
      <c r="C201" s="91">
        <f>IF(TrRoad_act!C62=0,0,TrRoad_emi!C59/TrRoad_tech!C174)</f>
        <v>0.97534989231580227</v>
      </c>
      <c r="D201" s="91">
        <f>IF(TrRoad_act!D62=0,0,TrRoad_emi!D59/TrRoad_tech!D174)</f>
        <v>1.035650298160792</v>
      </c>
      <c r="E201" s="91">
        <f>IF(TrRoad_act!E62=0,0,TrRoad_emi!E59/TrRoad_tech!E174)</f>
        <v>1.0124295228021223</v>
      </c>
      <c r="F201" s="91">
        <f>IF(TrRoad_act!F62=0,0,TrRoad_emi!F59/TrRoad_tech!F174)</f>
        <v>1.0166463011280671</v>
      </c>
      <c r="G201" s="91">
        <f>IF(TrRoad_act!G62=0,0,TrRoad_emi!G59/TrRoad_tech!G174)</f>
        <v>1.0250021801966942</v>
      </c>
      <c r="H201" s="91">
        <f>IF(TrRoad_act!H62=0,0,TrRoad_emi!H59/TrRoad_tech!H174)</f>
        <v>1.0055052621327749</v>
      </c>
      <c r="I201" s="91">
        <f>IF(TrRoad_act!I62=0,0,TrRoad_emi!I59/TrRoad_tech!I174)</f>
        <v>1.006181254299112</v>
      </c>
      <c r="J201" s="91">
        <f>IF(TrRoad_act!J62=0,0,TrRoad_emi!J59/TrRoad_tech!J174)</f>
        <v>1.004064447154823</v>
      </c>
      <c r="K201" s="91">
        <f>IF(TrRoad_act!K62=0,0,TrRoad_emi!K59/TrRoad_tech!K174)</f>
        <v>0.99255908555073513</v>
      </c>
      <c r="L201" s="91">
        <f>IF(TrRoad_act!L62=0,0,TrRoad_emi!L59/TrRoad_tech!L174)</f>
        <v>1.0091736327287457</v>
      </c>
      <c r="M201" s="91">
        <f>IF(TrRoad_act!M62=0,0,TrRoad_emi!M59/TrRoad_tech!M174)</f>
        <v>1.0021489210160683</v>
      </c>
      <c r="N201" s="91">
        <f>IF(TrRoad_act!N62=0,0,TrRoad_emi!N59/TrRoad_tech!N174)</f>
        <v>1.0057618870915137</v>
      </c>
      <c r="O201" s="91">
        <f>IF(TrRoad_act!O62=0,0,TrRoad_emi!O59/TrRoad_tech!O174)</f>
        <v>1.0064221311680703</v>
      </c>
      <c r="P201" s="91">
        <f>IF(TrRoad_act!P62=0,0,TrRoad_emi!P59/TrRoad_tech!P174)</f>
        <v>0.98328253293815671</v>
      </c>
      <c r="Q201" s="91">
        <f>IF(TrRoad_act!Q62=0,0,TrRoad_emi!Q59/TrRoad_tech!Q174)</f>
        <v>0.97213121820766413</v>
      </c>
      <c r="R201" s="91">
        <f>IF(TrRoad_act!R62=0,0,TrRoad_emi!R59/TrRoad_tech!R174)</f>
        <v>0.99300471077636765</v>
      </c>
      <c r="S201" s="91">
        <f>IF(TrRoad_act!S62=0,0,TrRoad_emi!S59/TrRoad_tech!S174)</f>
        <v>1.0365986331473784</v>
      </c>
      <c r="T201" s="91">
        <f>IF(TrRoad_act!T62=0,0,TrRoad_emi!T59/TrRoad_tech!T174)</f>
        <v>1.0456381058054978</v>
      </c>
      <c r="U201" s="91">
        <f>IF(TrRoad_act!U62=0,0,TrRoad_emi!U59/TrRoad_tech!U174)</f>
        <v>1.036630123733489</v>
      </c>
      <c r="V201" s="91">
        <f>IF(TrRoad_act!V62=0,0,TrRoad_emi!V59/TrRoad_tech!V174)</f>
        <v>1.0301639811032677</v>
      </c>
      <c r="W201" s="91">
        <f>IF(TrRoad_act!W62=0,0,TrRoad_emi!W59/TrRoad_tech!W174)</f>
        <v>1.0513891127115012</v>
      </c>
      <c r="X201" s="91">
        <f>IF(TrRoad_act!X62=0,0,TrRoad_emi!X59/TrRoad_tech!X174)</f>
        <v>1.0456637787121181</v>
      </c>
      <c r="Y201" s="91">
        <f>IF(TrRoad_act!Y62=0,0,TrRoad_emi!Y59/TrRoad_tech!Y174)</f>
        <v>1.0455029755743321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0.94814013389452967</v>
      </c>
      <c r="H202" s="91">
        <f>IF(TrRoad_act!H63=0,0,TrRoad_emi!H60/TrRoad_tech!H175)</f>
        <v>0.95856594014625462</v>
      </c>
      <c r="I202" s="91">
        <f>IF(TrRoad_act!I63=0,0,TrRoad_emi!I60/TrRoad_tech!I175)</f>
        <v>0.98511556269787148</v>
      </c>
      <c r="J202" s="91">
        <f>IF(TrRoad_act!J63=0,0,TrRoad_emi!J60/TrRoad_tech!J175)</f>
        <v>1.0287597319800601</v>
      </c>
      <c r="K202" s="91">
        <f>IF(TrRoad_act!K63=0,0,TrRoad_emi!K60/TrRoad_tech!K175)</f>
        <v>1.0777842292250412</v>
      </c>
      <c r="L202" s="91">
        <f>IF(TrRoad_act!L63=0,0,TrRoad_emi!L60/TrRoad_tech!L175)</f>
        <v>1.0248868650526326</v>
      </c>
      <c r="M202" s="91">
        <f>IF(TrRoad_act!M63=0,0,TrRoad_emi!M60/TrRoad_tech!M175)</f>
        <v>0.96600881432071439</v>
      </c>
      <c r="N202" s="91">
        <f>IF(TrRoad_act!N63=0,0,TrRoad_emi!N60/TrRoad_tech!N175)</f>
        <v>0.96986950638041547</v>
      </c>
      <c r="O202" s="91">
        <f>IF(TrRoad_act!O63=0,0,TrRoad_emi!O60/TrRoad_tech!O175)</f>
        <v>0.97471424746946</v>
      </c>
      <c r="P202" s="91">
        <f>IF(TrRoad_act!P63=0,0,TrRoad_emi!P60/TrRoad_tech!P175)</f>
        <v>0.80032861192147953</v>
      </c>
      <c r="Q202" s="91">
        <f>IF(TrRoad_act!Q63=0,0,TrRoad_emi!Q60/TrRoad_tech!Q175)</f>
        <v>0.88790635321678624</v>
      </c>
      <c r="R202" s="91">
        <f>IF(TrRoad_act!R63=0,0,TrRoad_emi!R60/TrRoad_tech!R175)</f>
        <v>0.91422212361294164</v>
      </c>
      <c r="S202" s="91">
        <f>IF(TrRoad_act!S63=0,0,TrRoad_emi!S60/TrRoad_tech!S175)</f>
        <v>0.9710027576121919</v>
      </c>
      <c r="T202" s="91">
        <f>IF(TrRoad_act!T63=0,0,TrRoad_emi!T60/TrRoad_tech!T175)</f>
        <v>1.0705555306095207</v>
      </c>
      <c r="U202" s="91">
        <f>IF(TrRoad_act!U63=0,0,TrRoad_emi!U60/TrRoad_tech!U175)</f>
        <v>1.1523963437343114</v>
      </c>
      <c r="V202" s="91">
        <f>IF(TrRoad_act!V63=0,0,TrRoad_emi!V60/TrRoad_tech!V175)</f>
        <v>1.225502341870979</v>
      </c>
      <c r="W202" s="91">
        <f>IF(TrRoad_act!W63=0,0,TrRoad_emi!W60/TrRoad_tech!W175)</f>
        <v>1.4064431903753958</v>
      </c>
      <c r="X202" s="91">
        <f>IF(TrRoad_act!X63=0,0,TrRoad_emi!X60/TrRoad_tech!X175)</f>
        <v>1.3970875792802369</v>
      </c>
      <c r="Y202" s="91">
        <f>IF(TrRoad_act!Y63=0,0,TrRoad_emi!Y60/TrRoad_tech!Y175)</f>
        <v>1.4196386475748584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2.0254048673157596</v>
      </c>
      <c r="D203" s="91">
        <f>IF(TrRoad_act!D64=0,0,TrRoad_emi!D61/TrRoad_tech!D176)</f>
        <v>0.85178308496384869</v>
      </c>
      <c r="E203" s="91">
        <f>IF(TrRoad_act!E64=0,0,TrRoad_emi!E61/TrRoad_tech!E176)</f>
        <v>0.85827048663690431</v>
      </c>
      <c r="F203" s="91">
        <f>IF(TrRoad_act!F64=0,0,TrRoad_emi!F61/TrRoad_tech!F176)</f>
        <v>1.0973035488018945</v>
      </c>
      <c r="G203" s="91">
        <f>IF(TrRoad_act!G64=0,0,TrRoad_emi!G61/TrRoad_tech!G176)</f>
        <v>1.4262539115801309</v>
      </c>
      <c r="H203" s="91">
        <f>IF(TrRoad_act!H64=0,0,TrRoad_emi!H61/TrRoad_tech!H176)</f>
        <v>0.84052704758149488</v>
      </c>
      <c r="I203" s="91">
        <f>IF(TrRoad_act!I64=0,0,TrRoad_emi!I61/TrRoad_tech!I176)</f>
        <v>1.7112136268510862</v>
      </c>
      <c r="J203" s="91">
        <f>IF(TrRoad_act!J64=0,0,TrRoad_emi!J61/TrRoad_tech!J176)</f>
        <v>0.82223617806570992</v>
      </c>
      <c r="K203" s="91">
        <f>IF(TrRoad_act!K64=0,0,TrRoad_emi!K61/TrRoad_tech!K176)</f>
        <v>0.82049276396397508</v>
      </c>
      <c r="L203" s="91">
        <f>IF(TrRoad_act!L64=0,0,TrRoad_emi!L61/TrRoad_tech!L176)</f>
        <v>0.91551874430453939</v>
      </c>
      <c r="M203" s="91">
        <f>IF(TrRoad_act!M64=0,0,TrRoad_emi!M61/TrRoad_tech!M176)</f>
        <v>1.0929604108684463</v>
      </c>
      <c r="N203" s="91">
        <f>IF(TrRoad_act!N64=0,0,TrRoad_emi!N61/TrRoad_tech!N176)</f>
        <v>1.0745968434593305</v>
      </c>
      <c r="O203" s="91">
        <f>IF(TrRoad_act!O64=0,0,TrRoad_emi!O61/TrRoad_tech!O176)</f>
        <v>0.9540054508680087</v>
      </c>
      <c r="P203" s="91">
        <f>IF(TrRoad_act!P64=0,0,TrRoad_emi!P61/TrRoad_tech!P176)</f>
        <v>1.0448716119918293</v>
      </c>
      <c r="Q203" s="91">
        <f>IF(TrRoad_act!Q64=0,0,TrRoad_emi!Q61/TrRoad_tech!Q176)</f>
        <v>0.96486053523533932</v>
      </c>
      <c r="R203" s="91">
        <f>IF(TrRoad_act!R64=0,0,TrRoad_emi!R61/TrRoad_tech!R176)</f>
        <v>1.0528897663221419</v>
      </c>
      <c r="S203" s="91">
        <f>IF(TrRoad_act!S64=0,0,TrRoad_emi!S61/TrRoad_tech!S176)</f>
        <v>1.0541730985925641</v>
      </c>
      <c r="T203" s="91">
        <f>IF(TrRoad_act!T64=0,0,TrRoad_emi!T61/TrRoad_tech!T176)</f>
        <v>1.0559353620331975</v>
      </c>
      <c r="U203" s="91">
        <f>IF(TrRoad_act!U64=0,0,TrRoad_emi!U61/TrRoad_tech!U176)</f>
        <v>1.0594024265033404</v>
      </c>
      <c r="V203" s="91">
        <f>IF(TrRoad_act!V64=0,0,TrRoad_emi!V61/TrRoad_tech!V176)</f>
        <v>1.4107273985805635</v>
      </c>
      <c r="W203" s="91">
        <f>IF(TrRoad_act!W64=0,0,TrRoad_emi!W61/TrRoad_tech!W176)</f>
        <v>1.38333187911421</v>
      </c>
      <c r="X203" s="91">
        <f>IF(TrRoad_act!X64=0,0,TrRoad_emi!X61/TrRoad_tech!X176)</f>
        <v>1.4840912305255916</v>
      </c>
      <c r="Y203" s="91">
        <f>IF(TrRoad_act!Y64=0,0,TrRoad_emi!Y61/TrRoad_tech!Y176)</f>
        <v>1.3479468428268353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0.92046887769873453</v>
      </c>
      <c r="O204" s="91">
        <f>IF(TrRoad_act!O65=0,0,TrRoad_emi!O62/TrRoad_tech!O177)</f>
        <v>0.9088954524809929</v>
      </c>
      <c r="P204" s="91">
        <f>IF(TrRoad_act!P65=0,0,TrRoad_emi!P62/TrRoad_tech!P177)</f>
        <v>0.89213528497453343</v>
      </c>
      <c r="Q204" s="91">
        <f>IF(TrRoad_act!Q65=0,0,TrRoad_emi!Q62/TrRoad_tech!Q177)</f>
        <v>0.90928434758466514</v>
      </c>
      <c r="R204" s="91">
        <f>IF(TrRoad_act!R65=0,0,TrRoad_emi!R62/TrRoad_tech!R177)</f>
        <v>0.94506468202236149</v>
      </c>
      <c r="S204" s="91">
        <f>IF(TrRoad_act!S65=0,0,TrRoad_emi!S62/TrRoad_tech!S177)</f>
        <v>0.963869736061855</v>
      </c>
      <c r="T204" s="91">
        <f>IF(TrRoad_act!T65=0,0,TrRoad_emi!T62/TrRoad_tech!T177)</f>
        <v>0.89951359928962826</v>
      </c>
      <c r="U204" s="91">
        <f>IF(TrRoad_act!U65=0,0,TrRoad_emi!U62/TrRoad_tech!U177)</f>
        <v>0.8805523294130766</v>
      </c>
      <c r="V204" s="91">
        <f>IF(TrRoad_act!V65=0,0,TrRoad_emi!V62/TrRoad_tech!V177)</f>
        <v>0.88419880957500629</v>
      </c>
      <c r="W204" s="91">
        <f>IF(TrRoad_act!W65=0,0,TrRoad_emi!W62/TrRoad_tech!W177)</f>
        <v>0.90018489374541555</v>
      </c>
      <c r="X204" s="91">
        <f>IF(TrRoad_act!X65=0,0,TrRoad_emi!X62/TrRoad_tech!X177)</f>
        <v>0.9204526845948513</v>
      </c>
      <c r="Y204" s="91">
        <f>IF(TrRoad_act!Y65=0,0,TrRoad_emi!Y62/TrRoad_tech!Y177)</f>
        <v>0.97047958000070367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1.0999862800856173</v>
      </c>
      <c r="C206" s="151">
        <f>IF(TrRoad_act!C67=0,0,TrRoad_emi!C64/TrRoad_tech!C179)</f>
        <v>1.0401621679162303</v>
      </c>
      <c r="D206" s="151">
        <f>IF(TrRoad_act!D67=0,0,TrRoad_emi!D64/TrRoad_tech!D179)</f>
        <v>1.0975863540745765</v>
      </c>
      <c r="E206" s="151">
        <f>IF(TrRoad_act!E67=0,0,TrRoad_emi!E64/TrRoad_tech!E179)</f>
        <v>1.0764399634056534</v>
      </c>
      <c r="F206" s="151">
        <f>IF(TrRoad_act!F67=0,0,TrRoad_emi!F64/TrRoad_tech!F179)</f>
        <v>1.0753628178017458</v>
      </c>
      <c r="G206" s="151">
        <f>IF(TrRoad_act!G67=0,0,TrRoad_emi!G64/TrRoad_tech!G179)</f>
        <v>1.0771817400566726</v>
      </c>
      <c r="H206" s="151">
        <f>IF(TrRoad_act!H67=0,0,TrRoad_emi!H64/TrRoad_tech!H179)</f>
        <v>1.0491993994171431</v>
      </c>
      <c r="I206" s="151">
        <f>IF(TrRoad_act!I67=0,0,TrRoad_emi!I64/TrRoad_tech!I179)</f>
        <v>1.0526104416890145</v>
      </c>
      <c r="J206" s="151">
        <f>IF(TrRoad_act!J67=0,0,TrRoad_emi!J64/TrRoad_tech!J179)</f>
        <v>1.0515341960687923</v>
      </c>
      <c r="K206" s="151">
        <f>IF(TrRoad_act!K67=0,0,TrRoad_emi!K64/TrRoad_tech!K179)</f>
        <v>1.0533682361692758</v>
      </c>
      <c r="L206" s="151">
        <f>IF(TrRoad_act!L67=0,0,TrRoad_emi!L64/TrRoad_tech!L179)</f>
        <v>1.1653221158304792</v>
      </c>
      <c r="M206" s="151">
        <f>IF(TrRoad_act!M67=0,0,TrRoad_emi!M64/TrRoad_tech!M179)</f>
        <v>1.2502073570217687</v>
      </c>
      <c r="N206" s="151">
        <f>IF(TrRoad_act!N67=0,0,TrRoad_emi!N64/TrRoad_tech!N179)</f>
        <v>1.0742717617732827</v>
      </c>
      <c r="O206" s="151">
        <f>IF(TrRoad_act!O67=0,0,TrRoad_emi!O64/TrRoad_tech!O179)</f>
        <v>1.0790170332355427</v>
      </c>
      <c r="P206" s="151">
        <f>IF(TrRoad_act!P67=0,0,TrRoad_emi!P64/TrRoad_tech!P179)</f>
        <v>1.2440593433524902</v>
      </c>
      <c r="Q206" s="151">
        <f>IF(TrRoad_act!Q67=0,0,TrRoad_emi!Q64/TrRoad_tech!Q179)</f>
        <v>1.2036589906282018</v>
      </c>
      <c r="R206" s="151">
        <f>IF(TrRoad_act!R67=0,0,TrRoad_emi!R64/TrRoad_tech!R179)</f>
        <v>1.5070457132106903</v>
      </c>
      <c r="S206" s="151">
        <f>IF(TrRoad_act!S67=0,0,TrRoad_emi!S64/TrRoad_tech!S179)</f>
        <v>1.2053278340351774</v>
      </c>
      <c r="T206" s="151">
        <f>IF(TrRoad_act!T67=0,0,TrRoad_emi!T64/TrRoad_tech!T179)</f>
        <v>1.2284087400552717</v>
      </c>
      <c r="U206" s="151">
        <f>IF(TrRoad_act!U67=0,0,TrRoad_emi!U64/TrRoad_tech!U179)</f>
        <v>1.1707167918709112</v>
      </c>
      <c r="V206" s="151">
        <f>IF(TrRoad_act!V67=0,0,TrRoad_emi!V64/TrRoad_tech!V179)</f>
        <v>1.1204785534081421</v>
      </c>
      <c r="W206" s="151">
        <f>IF(TrRoad_act!W67=0,0,TrRoad_emi!W64/TrRoad_tech!W179)</f>
        <v>1.0957994693508659</v>
      </c>
      <c r="X206" s="151">
        <f>IF(TrRoad_act!X67=0,0,TrRoad_emi!X64/TrRoad_tech!X179)</f>
        <v>1.1046773568149559</v>
      </c>
      <c r="Y206" s="151">
        <f>IF(TrRoad_act!Y67=0,0,TrRoad_emi!Y64/TrRoad_tech!Y179)</f>
        <v>1.1466265041575661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X207" s="93">
        <f>IF(TrRoad_act!X68=0,0,TrRoad_emi!X65/TrRoad_tech!X180)</f>
        <v>0</v>
      </c>
      <c r="Y207" s="93">
        <f>IF(TrRoad_act!Y68=0,0,TrRoad_emi!Y65/TrRoad_tech!Y180)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1.0999862800856173</v>
      </c>
      <c r="C208" s="93">
        <f>IF(TrRoad_act!C69=0,0,TrRoad_emi!C66/TrRoad_tech!C181)</f>
        <v>1.0477752860112257</v>
      </c>
      <c r="D208" s="93">
        <f>IF(TrRoad_act!D69=0,0,TrRoad_emi!D66/TrRoad_tech!D181)</f>
        <v>1.1102126100547312</v>
      </c>
      <c r="E208" s="93">
        <f>IF(TrRoad_act!E69=0,0,TrRoad_emi!E66/TrRoad_tech!E181)</f>
        <v>1.0928869096925231</v>
      </c>
      <c r="F208" s="93">
        <f>IF(TrRoad_act!F69=0,0,TrRoad_emi!F66/TrRoad_tech!F181)</f>
        <v>1.0983199247232067</v>
      </c>
      <c r="G208" s="93">
        <f>IF(TrRoad_act!G69=0,0,TrRoad_emi!G66/TrRoad_tech!G181)</f>
        <v>1.1040362005903368</v>
      </c>
      <c r="H208" s="93">
        <f>IF(TrRoad_act!H69=0,0,TrRoad_emi!H66/TrRoad_tech!H181)</f>
        <v>1.0810096529057278</v>
      </c>
      <c r="I208" s="93">
        <f>IF(TrRoad_act!I69=0,0,TrRoad_emi!I66/TrRoad_tech!I181)</f>
        <v>1.0913655168037015</v>
      </c>
      <c r="J208" s="93">
        <f>IF(TrRoad_act!J69=0,0,TrRoad_emi!J66/TrRoad_tech!J181)</f>
        <v>1.0914040143064694</v>
      </c>
      <c r="K208" s="93">
        <f>IF(TrRoad_act!K69=0,0,TrRoad_emi!K66/TrRoad_tech!K181)</f>
        <v>1.0888816478854237</v>
      </c>
      <c r="L208" s="93">
        <f>IF(TrRoad_act!L69=0,0,TrRoad_emi!L66/TrRoad_tech!L181)</f>
        <v>1.1117502870226823</v>
      </c>
      <c r="M208" s="93">
        <f>IF(TrRoad_act!M69=0,0,TrRoad_emi!M66/TrRoad_tech!M181)</f>
        <v>1.1108385817205455</v>
      </c>
      <c r="N208" s="93">
        <f>IF(TrRoad_act!N69=0,0,TrRoad_emi!N66/TrRoad_tech!N181)</f>
        <v>1.1185899355962863</v>
      </c>
      <c r="O208" s="93">
        <f>IF(TrRoad_act!O69=0,0,TrRoad_emi!O66/TrRoad_tech!O181)</f>
        <v>1.1200844077053547</v>
      </c>
      <c r="P208" s="93">
        <f>IF(TrRoad_act!P69=0,0,TrRoad_emi!P66/TrRoad_tech!P181)</f>
        <v>1.0991855979532936</v>
      </c>
      <c r="Q208" s="93">
        <f>IF(TrRoad_act!Q69=0,0,TrRoad_emi!Q66/TrRoad_tech!Q181)</f>
        <v>1.0882138172793436</v>
      </c>
      <c r="R208" s="93">
        <f>IF(TrRoad_act!R69=0,0,TrRoad_emi!R66/TrRoad_tech!R181)</f>
        <v>1.1086812645214361</v>
      </c>
      <c r="S208" s="93">
        <f>IF(TrRoad_act!S69=0,0,TrRoad_emi!S66/TrRoad_tech!S181)</f>
        <v>1.1565412537544535</v>
      </c>
      <c r="T208" s="93">
        <f>IF(TrRoad_act!T69=0,0,TrRoad_emi!T66/TrRoad_tech!T181)</f>
        <v>1.1687077455097101</v>
      </c>
      <c r="U208" s="93">
        <f>IF(TrRoad_act!U69=0,0,TrRoad_emi!U66/TrRoad_tech!U181)</f>
        <v>1.1634006101211991</v>
      </c>
      <c r="V208" s="93">
        <f>IF(TrRoad_act!V69=0,0,TrRoad_emi!V66/TrRoad_tech!V181)</f>
        <v>1.1715421229789056</v>
      </c>
      <c r="W208" s="93">
        <f>IF(TrRoad_act!W69=0,0,TrRoad_emi!W66/TrRoad_tech!W181)</f>
        <v>1.1993779278529761</v>
      </c>
      <c r="X208" s="93">
        <f>IF(TrRoad_act!X69=0,0,TrRoad_emi!X66/TrRoad_tech!X181)</f>
        <v>1.1997884877355616</v>
      </c>
      <c r="Y208" s="93">
        <f>IF(TrRoad_act!Y69=0,0,TrRoad_emi!Y66/TrRoad_tech!Y181)</f>
        <v>1.2171518541534978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0.2950422296912838</v>
      </c>
      <c r="S210" s="93">
        <f>IF(TrRoad_act!S71=0,0,TrRoad_emi!S68/TrRoad_tech!S183)</f>
        <v>0.44773318540283435</v>
      </c>
      <c r="T210" s="93">
        <f>IF(TrRoad_act!T71=0,0,TrRoad_emi!T68/TrRoad_tech!T183)</f>
        <v>0.32266716540707968</v>
      </c>
      <c r="U210" s="93">
        <f>IF(TrRoad_act!U71=0,0,TrRoad_emi!U68/TrRoad_tech!U183)</f>
        <v>1.3172635731932028</v>
      </c>
      <c r="V210" s="93">
        <f>IF(TrRoad_act!V71=0,0,TrRoad_emi!V68/TrRoad_tech!V183)</f>
        <v>1.7430380560646654</v>
      </c>
      <c r="W210" s="93">
        <f>IF(TrRoad_act!W71=0,0,TrRoad_emi!W68/TrRoad_tech!W183)</f>
        <v>1.7058820805712915</v>
      </c>
      <c r="X210" s="93">
        <f>IF(TrRoad_act!X71=0,0,TrRoad_emi!X68/TrRoad_tech!X183)</f>
        <v>1.8262410425177213</v>
      </c>
      <c r="Y210" s="93">
        <f>IF(TrRoad_act!Y71=0,0,TrRoad_emi!Y68/TrRoad_tech!Y183)</f>
        <v>1.6570782274514126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1.1158561937321492</v>
      </c>
      <c r="C213" s="150">
        <f>IF(TrRoad_act!C74=0,0,TrRoad_emi!C71/TrRoad_tech!C186)</f>
        <v>1.0946901127886099</v>
      </c>
      <c r="D213" s="150">
        <f>IF(TrRoad_act!D74=0,0,TrRoad_emi!D71/TrRoad_tech!D186)</f>
        <v>1.3234710421984619</v>
      </c>
      <c r="E213" s="150">
        <f>IF(TrRoad_act!E74=0,0,TrRoad_emi!E71/TrRoad_tech!E186)</f>
        <v>1.2613610726263971</v>
      </c>
      <c r="F213" s="150">
        <f>IF(TrRoad_act!F74=0,0,TrRoad_emi!F71/TrRoad_tech!F186)</f>
        <v>1.3222443968917776</v>
      </c>
      <c r="G213" s="150">
        <f>IF(TrRoad_act!G74=0,0,TrRoad_emi!G71/TrRoad_tech!G186)</f>
        <v>1.3583864265588794</v>
      </c>
      <c r="H213" s="150">
        <f>IF(TrRoad_act!H74=0,0,TrRoad_emi!H71/TrRoad_tech!H186)</f>
        <v>1.2634602517565587</v>
      </c>
      <c r="I213" s="150">
        <f>IF(TrRoad_act!I74=0,0,TrRoad_emi!I71/TrRoad_tech!I186)</f>
        <v>1.3179987393833685</v>
      </c>
      <c r="J213" s="150">
        <f>IF(TrRoad_act!J74=0,0,TrRoad_emi!J71/TrRoad_tech!J186)</f>
        <v>1.2243650877404</v>
      </c>
      <c r="K213" s="150">
        <f>IF(TrRoad_act!K74=0,0,TrRoad_emi!K71/TrRoad_tech!K186)</f>
        <v>1.0949922830467527</v>
      </c>
      <c r="L213" s="150">
        <f>IF(TrRoad_act!L74=0,0,TrRoad_emi!L71/TrRoad_tech!L186)</f>
        <v>1.2454188082429596</v>
      </c>
      <c r="M213" s="150">
        <f>IF(TrRoad_act!M74=0,0,TrRoad_emi!M71/TrRoad_tech!M186)</f>
        <v>1.336900343601706</v>
      </c>
      <c r="N213" s="150">
        <f>IF(TrRoad_act!N74=0,0,TrRoad_emi!N71/TrRoad_tech!N186)</f>
        <v>1.2380398647307731</v>
      </c>
      <c r="O213" s="150">
        <f>IF(TrRoad_act!O74=0,0,TrRoad_emi!O71/TrRoad_tech!O186)</f>
        <v>1.2281179231444701</v>
      </c>
      <c r="P213" s="150">
        <f>IF(TrRoad_act!P74=0,0,TrRoad_emi!P71/TrRoad_tech!P186)</f>
        <v>1.4501247244374786</v>
      </c>
      <c r="Q213" s="150">
        <f>IF(TrRoad_act!Q74=0,0,TrRoad_emi!Q71/TrRoad_tech!Q186)</f>
        <v>1.2255114770011122</v>
      </c>
      <c r="R213" s="150">
        <f>IF(TrRoad_act!R74=0,0,TrRoad_emi!R71/TrRoad_tech!R186)</f>
        <v>1.3146037857276607</v>
      </c>
      <c r="S213" s="150">
        <f>IF(TrRoad_act!S74=0,0,TrRoad_emi!S71/TrRoad_tech!S186)</f>
        <v>1.3508928776877305</v>
      </c>
      <c r="T213" s="150">
        <f>IF(TrRoad_act!T74=0,0,TrRoad_emi!T71/TrRoad_tech!T186)</f>
        <v>1.3586579808313253</v>
      </c>
      <c r="U213" s="150">
        <f>IF(TrRoad_act!U74=0,0,TrRoad_emi!U71/TrRoad_tech!U186)</f>
        <v>1.3373184732888947</v>
      </c>
      <c r="V213" s="150">
        <f>IF(TrRoad_act!V74=0,0,TrRoad_emi!V71/TrRoad_tech!V186)</f>
        <v>1.3646905360836241</v>
      </c>
      <c r="W213" s="150">
        <f>IF(TrRoad_act!W74=0,0,TrRoad_emi!W71/TrRoad_tech!W186)</f>
        <v>1.3145192087006077</v>
      </c>
      <c r="X213" s="150">
        <f>IF(TrRoad_act!X74=0,0,TrRoad_emi!X71/TrRoad_tech!X186)</f>
        <v>1.4263203327864227</v>
      </c>
      <c r="Y213" s="150">
        <f>IF(TrRoad_act!Y74=0,0,TrRoad_emi!Y71/TrRoad_tech!Y186)</f>
        <v>1.4338427718570703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1.100010862204845</v>
      </c>
      <c r="D214" s="91">
        <f>IF(TrRoad_act!D75=0,0,TrRoad_emi!D72/TrRoad_tech!D187)</f>
        <v>1.1000412836903957</v>
      </c>
      <c r="E214" s="91">
        <f>IF(TrRoad_act!E75=0,0,TrRoad_emi!E72/TrRoad_tech!E187)</f>
        <v>1.100101879500105</v>
      </c>
      <c r="F214" s="91">
        <f>IF(TrRoad_act!F75=0,0,TrRoad_emi!F72/TrRoad_tech!F187)</f>
        <v>1.1004442429957444</v>
      </c>
      <c r="G214" s="91">
        <f>IF(TrRoad_act!G75=0,0,TrRoad_emi!G72/TrRoad_tech!G187)</f>
        <v>1.1005772174041657</v>
      </c>
      <c r="H214" s="91">
        <f>IF(TrRoad_act!H75=0,0,TrRoad_emi!H72/TrRoad_tech!H187)</f>
        <v>1.0995025586682874</v>
      </c>
      <c r="I214" s="91">
        <f>IF(TrRoad_act!I75=0,0,TrRoad_emi!I72/TrRoad_tech!I187)</f>
        <v>1.0848520572028388</v>
      </c>
      <c r="J214" s="91">
        <f>IF(TrRoad_act!J75=0,0,TrRoad_emi!J72/TrRoad_tech!J187)</f>
        <v>1.0860408590073181</v>
      </c>
      <c r="K214" s="91">
        <f>IF(TrRoad_act!K75=0,0,TrRoad_emi!K72/TrRoad_tech!K187)</f>
        <v>1.0638488305520235</v>
      </c>
      <c r="L214" s="91">
        <f>IF(TrRoad_act!L75=0,0,TrRoad_emi!L72/TrRoad_tech!L187)</f>
        <v>1.0663798762020142</v>
      </c>
      <c r="M214" s="91">
        <f>IF(TrRoad_act!M75=0,0,TrRoad_emi!M72/TrRoad_tech!M187)</f>
        <v>1.0720487061500039</v>
      </c>
      <c r="N214" s="91">
        <f>IF(TrRoad_act!N75=0,0,TrRoad_emi!N72/TrRoad_tech!N187)</f>
        <v>1.0763114600791914</v>
      </c>
      <c r="O214" s="91">
        <f>IF(TrRoad_act!O75=0,0,TrRoad_emi!O72/TrRoad_tech!O187)</f>
        <v>1.0826944861721486</v>
      </c>
      <c r="P214" s="91">
        <f>IF(TrRoad_act!P75=0,0,TrRoad_emi!P72/TrRoad_tech!P187)</f>
        <v>1.0709226476046774</v>
      </c>
      <c r="Q214" s="91">
        <f>IF(TrRoad_act!Q75=0,0,TrRoad_emi!Q72/TrRoad_tech!Q187)</f>
        <v>1.0954565372495624</v>
      </c>
      <c r="R214" s="91">
        <f>IF(TrRoad_act!R75=0,0,TrRoad_emi!R72/TrRoad_tech!R187)</f>
        <v>1.1291312112263221</v>
      </c>
      <c r="S214" s="91">
        <f>IF(TrRoad_act!S75=0,0,TrRoad_emi!S72/TrRoad_tech!S187)</f>
        <v>1.1278395186813726</v>
      </c>
      <c r="T214" s="91">
        <f>IF(TrRoad_act!T75=0,0,TrRoad_emi!T72/TrRoad_tech!T187)</f>
        <v>1.1365362550220071</v>
      </c>
      <c r="U214" s="91">
        <f>IF(TrRoad_act!U75=0,0,TrRoad_emi!U72/TrRoad_tech!U187)</f>
        <v>1.1407071076631436</v>
      </c>
      <c r="V214" s="91">
        <f>IF(TrRoad_act!V75=0,0,TrRoad_emi!V72/TrRoad_tech!V187)</f>
        <v>1.1247805000208217</v>
      </c>
      <c r="W214" s="91">
        <f>IF(TrRoad_act!W75=0,0,TrRoad_emi!W72/TrRoad_tech!W187)</f>
        <v>1.132889152410248</v>
      </c>
      <c r="X214" s="91">
        <f>IF(TrRoad_act!X75=0,0,TrRoad_emi!X72/TrRoad_tech!X187)</f>
        <v>1.1506454116205314</v>
      </c>
      <c r="Y214" s="91">
        <f>IF(TrRoad_act!Y75=0,0,TrRoad_emi!Y72/TrRoad_tech!Y187)</f>
        <v>1.1544944997250763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1.1521281436169062</v>
      </c>
      <c r="C215" s="91">
        <f>IF(TrRoad_act!C76=0,0,TrRoad_emi!C73/TrRoad_tech!C188)</f>
        <v>1.1317274614302189</v>
      </c>
      <c r="D215" s="91">
        <f>IF(TrRoad_act!D76=0,0,TrRoad_emi!D73/TrRoad_tech!D188)</f>
        <v>1.4642307181081324</v>
      </c>
      <c r="E215" s="91">
        <f>IF(TrRoad_act!E76=0,0,TrRoad_emi!E73/TrRoad_tech!E188)</f>
        <v>1.3711013865310981</v>
      </c>
      <c r="F215" s="91">
        <f>IF(TrRoad_act!F76=0,0,TrRoad_emi!F73/TrRoad_tech!F188)</f>
        <v>1.4703267303562064</v>
      </c>
      <c r="G215" s="91">
        <f>IF(TrRoad_act!G76=0,0,TrRoad_emi!G73/TrRoad_tech!G188)</f>
        <v>1.5325512381693753</v>
      </c>
      <c r="H215" s="91">
        <f>IF(TrRoad_act!H76=0,0,TrRoad_emi!H73/TrRoad_tech!H188)</f>
        <v>1.3707118297784806</v>
      </c>
      <c r="I215" s="91">
        <f>IF(TrRoad_act!I76=0,0,TrRoad_emi!I73/TrRoad_tech!I188)</f>
        <v>1.4409557693207924</v>
      </c>
      <c r="J215" s="91">
        <f>IF(TrRoad_act!J76=0,0,TrRoad_emi!J73/TrRoad_tech!J188)</f>
        <v>1.3021437619625063</v>
      </c>
      <c r="K215" s="91">
        <f>IF(TrRoad_act!K76=0,0,TrRoad_emi!K73/TrRoad_tech!K188)</f>
        <v>1.1361366567071847</v>
      </c>
      <c r="L215" s="91">
        <f>IF(TrRoad_act!L76=0,0,TrRoad_emi!L73/TrRoad_tech!L188)</f>
        <v>1.3126161859181595</v>
      </c>
      <c r="M215" s="91">
        <f>IF(TrRoad_act!M76=0,0,TrRoad_emi!M73/TrRoad_tech!M188)</f>
        <v>1.3357829814289244</v>
      </c>
      <c r="N215" s="91">
        <f>IF(TrRoad_act!N76=0,0,TrRoad_emi!N73/TrRoad_tech!N188)</f>
        <v>1.2295076719509819</v>
      </c>
      <c r="O215" s="91">
        <f>IF(TrRoad_act!O76=0,0,TrRoad_emi!O73/TrRoad_tech!O188)</f>
        <v>1.2042737679565689</v>
      </c>
      <c r="P215" s="91">
        <f>IF(TrRoad_act!P76=0,0,TrRoad_emi!P73/TrRoad_tech!P188)</f>
        <v>1.2385491342193964</v>
      </c>
      <c r="Q215" s="91">
        <f>IF(TrRoad_act!Q76=0,0,TrRoad_emi!Q73/TrRoad_tech!Q188)</f>
        <v>1.1318691182914042</v>
      </c>
      <c r="R215" s="91">
        <f>IF(TrRoad_act!R76=0,0,TrRoad_emi!R73/TrRoad_tech!R188)</f>
        <v>1.2967132189521313</v>
      </c>
      <c r="S215" s="91">
        <f>IF(TrRoad_act!S76=0,0,TrRoad_emi!S73/TrRoad_tech!S188)</f>
        <v>1.4239435673710052</v>
      </c>
      <c r="T215" s="91">
        <f>IF(TrRoad_act!T76=0,0,TrRoad_emi!T73/TrRoad_tech!T188)</f>
        <v>1.4249375153168709</v>
      </c>
      <c r="U215" s="91">
        <f>IF(TrRoad_act!U76=0,0,TrRoad_emi!U73/TrRoad_tech!U188)</f>
        <v>1.3985585413126602</v>
      </c>
      <c r="V215" s="91">
        <f>IF(TrRoad_act!V76=0,0,TrRoad_emi!V73/TrRoad_tech!V188)</f>
        <v>1.4253747808002992</v>
      </c>
      <c r="W215" s="91">
        <f>IF(TrRoad_act!W76=0,0,TrRoad_emi!W73/TrRoad_tech!W188)</f>
        <v>1.3404962023933145</v>
      </c>
      <c r="X215" s="91">
        <f>IF(TrRoad_act!X76=0,0,TrRoad_emi!X73/TrRoad_tech!X188)</f>
        <v>1.4000484063763843</v>
      </c>
      <c r="Y215" s="91">
        <f>IF(TrRoad_act!Y76=0,0,TrRoad_emi!Y73/TrRoad_tech!Y188)</f>
        <v>1.4607280415718051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1.2360000000066975</v>
      </c>
      <c r="O216" s="91">
        <f>IF(TrRoad_act!O77=0,0,TrRoad_emi!O74/TrRoad_tech!O189)</f>
        <v>1.2560000000062248</v>
      </c>
      <c r="P216" s="91">
        <f>IF(TrRoad_act!P77=0,0,TrRoad_emi!P74/TrRoad_tech!P189)</f>
        <v>1.1841993701321261</v>
      </c>
      <c r="Q216" s="91">
        <f>IF(TrRoad_act!Q77=0,0,TrRoad_emi!Q74/TrRoad_tech!Q189)</f>
        <v>1.1851904756756491</v>
      </c>
      <c r="R216" s="91">
        <f>IF(TrRoad_act!R77=0,0,TrRoad_emi!R74/TrRoad_tech!R189)</f>
        <v>1.1890798848756325</v>
      </c>
      <c r="S216" s="91">
        <f>IF(TrRoad_act!S77=0,0,TrRoad_emi!S74/TrRoad_tech!S189)</f>
        <v>1.1914160108967899</v>
      </c>
      <c r="T216" s="91">
        <f>IF(TrRoad_act!T77=0,0,TrRoad_emi!T74/TrRoad_tech!T189)</f>
        <v>1.1945529379780697</v>
      </c>
      <c r="U216" s="91">
        <f>IF(TrRoad_act!U77=0,0,TrRoad_emi!U74/TrRoad_tech!U189)</f>
        <v>1.1987656768697719</v>
      </c>
      <c r="V216" s="91">
        <f>IF(TrRoad_act!V77=0,0,TrRoad_emi!V74/TrRoad_tech!V189)</f>
        <v>1.2022973231929956</v>
      </c>
      <c r="W216" s="91">
        <f>IF(TrRoad_act!W77=0,0,TrRoad_emi!W74/TrRoad_tech!W189)</f>
        <v>1.2035154186528991</v>
      </c>
      <c r="X216" s="91">
        <f>IF(TrRoad_act!X77=0,0,TrRoad_emi!X74/TrRoad_tech!X189)</f>
        <v>1.2052012720976308</v>
      </c>
      <c r="Y216" s="91">
        <f>IF(TrRoad_act!Y77=0,0,TrRoad_emi!Y74/TrRoad_tech!Y189)</f>
        <v>1.2064090052714966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1.2735663640399588</v>
      </c>
      <c r="O217" s="91">
        <f>IF(TrRoad_act!O78=0,0,TrRoad_emi!O75/TrRoad_tech!O190)</f>
        <v>1.2497970889851391</v>
      </c>
      <c r="P217" s="91">
        <f>IF(TrRoad_act!P78=0,0,TrRoad_emi!P75/TrRoad_tech!P190)</f>
        <v>1.258143972648782</v>
      </c>
      <c r="Q217" s="91">
        <f>IF(TrRoad_act!Q78=0,0,TrRoad_emi!Q75/TrRoad_tech!Q190)</f>
        <v>1.2706732084561529</v>
      </c>
      <c r="R217" s="91">
        <f>IF(TrRoad_act!R78=0,0,TrRoad_emi!R75/TrRoad_tech!R190)</f>
        <v>1.3158894739477303</v>
      </c>
      <c r="S217" s="91">
        <f>IF(TrRoad_act!S78=0,0,TrRoad_emi!S75/TrRoad_tech!S190)</f>
        <v>1.3163532087895073</v>
      </c>
      <c r="T217" s="91">
        <f>IF(TrRoad_act!T78=0,0,TrRoad_emi!T75/TrRoad_tech!T190)</f>
        <v>1.3251319947222544</v>
      </c>
      <c r="U217" s="91">
        <f>IF(TrRoad_act!U78=0,0,TrRoad_emi!U75/TrRoad_tech!U190)</f>
        <v>1.3291857120920199</v>
      </c>
      <c r="V217" s="91">
        <f>IF(TrRoad_act!V78=0,0,TrRoad_emi!V75/TrRoad_tech!V190)</f>
        <v>1.7682335877525501</v>
      </c>
      <c r="W217" s="91">
        <f>IF(TrRoad_act!W78=0,0,TrRoad_emi!W75/TrRoad_tech!W190)</f>
        <v>1.7299642502488037</v>
      </c>
      <c r="X217" s="91">
        <f>IF(TrRoad_act!X78=0,0,TrRoad_emi!X75/TrRoad_tech!X190)</f>
        <v>1.8510076549462542</v>
      </c>
      <c r="Y217" s="91">
        <f>IF(TrRoad_act!Y78=0,0,TrRoad_emi!Y75/TrRoad_tech!Y190)</f>
        <v>1.6764116259483375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1.1161099778512074</v>
      </c>
      <c r="C219" s="151">
        <f>IF(TrRoad_act!C80=0,0,TrRoad_emi!C77/TrRoad_tech!C192)</f>
        <v>0.99140629179686091</v>
      </c>
      <c r="D219" s="151">
        <f>IF(TrRoad_act!D80=0,0,TrRoad_emi!D77/TrRoad_tech!D192)</f>
        <v>1.3684655543438777</v>
      </c>
      <c r="E219" s="151">
        <f>IF(TrRoad_act!E80=0,0,TrRoad_emi!E77/TrRoad_tech!E192)</f>
        <v>0.90955430582382735</v>
      </c>
      <c r="F219" s="151">
        <f>IF(TrRoad_act!F80=0,0,TrRoad_emi!F77/TrRoad_tech!F192)</f>
        <v>0.9541924915041371</v>
      </c>
      <c r="G219" s="151">
        <f>IF(TrRoad_act!G80=0,0,TrRoad_emi!G77/TrRoad_tech!G192)</f>
        <v>1.2973910337101118</v>
      </c>
      <c r="H219" s="151">
        <f>IF(TrRoad_act!H80=0,0,TrRoad_emi!H77/TrRoad_tech!H192)</f>
        <v>1.4343913026235031</v>
      </c>
      <c r="I219" s="151">
        <f>IF(TrRoad_act!I80=0,0,TrRoad_emi!I77/TrRoad_tech!I192)</f>
        <v>1.4341442544651108</v>
      </c>
      <c r="J219" s="151">
        <f>IF(TrRoad_act!J80=0,0,TrRoad_emi!J77/TrRoad_tech!J192)</f>
        <v>1.454227835411128</v>
      </c>
      <c r="K219" s="151">
        <f>IF(TrRoad_act!K80=0,0,TrRoad_emi!K77/TrRoad_tech!K192)</f>
        <v>1.3114205468664428</v>
      </c>
      <c r="L219" s="151">
        <f>IF(TrRoad_act!L80=0,0,TrRoad_emi!L77/TrRoad_tech!L192)</f>
        <v>1.5362550817178928</v>
      </c>
      <c r="M219" s="151">
        <f>IF(TrRoad_act!M80=0,0,TrRoad_emi!M77/TrRoad_tech!M192)</f>
        <v>1.4448508382774077</v>
      </c>
      <c r="N219" s="151">
        <f>IF(TrRoad_act!N80=0,0,TrRoad_emi!N77/TrRoad_tech!N192)</f>
        <v>1.449227024380866</v>
      </c>
      <c r="O219" s="151">
        <f>IF(TrRoad_act!O80=0,0,TrRoad_emi!O77/TrRoad_tech!O192)</f>
        <v>1.5516587368599184</v>
      </c>
      <c r="P219" s="151">
        <f>IF(TrRoad_act!P80=0,0,TrRoad_emi!P77/TrRoad_tech!P192)</f>
        <v>1.4462004044778043</v>
      </c>
      <c r="Q219" s="151">
        <f>IF(TrRoad_act!Q80=0,0,TrRoad_emi!Q77/TrRoad_tech!Q192)</f>
        <v>1.395078950026307</v>
      </c>
      <c r="R219" s="151">
        <f>IF(TrRoad_act!R80=0,0,TrRoad_emi!R77/TrRoad_tech!R192)</f>
        <v>1.569593838580023</v>
      </c>
      <c r="S219" s="151">
        <f>IF(TrRoad_act!S80=0,0,TrRoad_emi!S77/TrRoad_tech!S192)</f>
        <v>2.0233286404365494</v>
      </c>
      <c r="T219" s="151">
        <f>IF(TrRoad_act!T80=0,0,TrRoad_emi!T77/TrRoad_tech!T192)</f>
        <v>2.1614233000576477</v>
      </c>
      <c r="U219" s="151">
        <f>IF(TrRoad_act!U80=0,0,TrRoad_emi!U77/TrRoad_tech!U192)</f>
        <v>1.9901630347433557</v>
      </c>
      <c r="V219" s="151">
        <f>IF(TrRoad_act!V80=0,0,TrRoad_emi!V77/TrRoad_tech!V192)</f>
        <v>1.8725304503510685</v>
      </c>
      <c r="W219" s="151">
        <f>IF(TrRoad_act!W80=0,0,TrRoad_emi!W77/TrRoad_tech!W192)</f>
        <v>2.1703006563268703</v>
      </c>
      <c r="X219" s="151">
        <f>IF(TrRoad_act!X80=0,0,TrRoad_emi!X77/TrRoad_tech!X192)</f>
        <v>2.0818803656129092</v>
      </c>
      <c r="Y219" s="151">
        <f>IF(TrRoad_act!Y80=0,0,TrRoad_emi!Y77/TrRoad_tech!Y192)</f>
        <v>1.9794635595814878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1.1688790180616482</v>
      </c>
      <c r="C220" s="93">
        <f>IF(TrRoad_act!C81=0,0,TrRoad_emi!C78/TrRoad_tech!C193)</f>
        <v>1.0947047760858535</v>
      </c>
      <c r="D220" s="93">
        <f>IF(TrRoad_act!D81=0,0,TrRoad_emi!D78/TrRoad_tech!D193)</f>
        <v>1.2276446025387679</v>
      </c>
      <c r="E220" s="93">
        <f>IF(TrRoad_act!E81=0,0,TrRoad_emi!E78/TrRoad_tech!E193)</f>
        <v>1.1172165607746667</v>
      </c>
      <c r="F220" s="93">
        <f>IF(TrRoad_act!F81=0,0,TrRoad_emi!F78/TrRoad_tech!F193)</f>
        <v>1.1371894416470261</v>
      </c>
      <c r="G220" s="93">
        <f>IF(TrRoad_act!G81=0,0,TrRoad_emi!G78/TrRoad_tech!G193)</f>
        <v>1.2145864994723157</v>
      </c>
      <c r="H220" s="93">
        <f>IF(TrRoad_act!H81=0,0,TrRoad_emi!H78/TrRoad_tech!H193)</f>
        <v>1.2268619806933672</v>
      </c>
      <c r="I220" s="93">
        <f>IF(TrRoad_act!I81=0,0,TrRoad_emi!I78/TrRoad_tech!I193)</f>
        <v>1.2278031348715306</v>
      </c>
      <c r="J220" s="93">
        <f>IF(TrRoad_act!J81=0,0,TrRoad_emi!J78/TrRoad_tech!J193)</f>
        <v>1.2389454970693099</v>
      </c>
      <c r="K220" s="93">
        <f>IF(TrRoad_act!K81=0,0,TrRoad_emi!K78/TrRoad_tech!K193)</f>
        <v>1.2004392716413343</v>
      </c>
      <c r="L220" s="93">
        <f>IF(TrRoad_act!L81=0,0,TrRoad_emi!L78/TrRoad_tech!L193)</f>
        <v>1.2632449394052478</v>
      </c>
      <c r="M220" s="93">
        <f>IF(TrRoad_act!M81=0,0,TrRoad_emi!M78/TrRoad_tech!M193)</f>
        <v>1.2410017989624313</v>
      </c>
      <c r="N220" s="93">
        <f>IF(TrRoad_act!N81=0,0,TrRoad_emi!N78/TrRoad_tech!N193)</f>
        <v>1.2450370442735932</v>
      </c>
      <c r="O220" s="93">
        <f>IF(TrRoad_act!O81=0,0,TrRoad_emi!O78/TrRoad_tech!O193)</f>
        <v>1.2765189079565156</v>
      </c>
      <c r="P220" s="93">
        <f>IF(TrRoad_act!P81=0,0,TrRoad_emi!P78/TrRoad_tech!P193)</f>
        <v>1.2474033273688099</v>
      </c>
      <c r="Q220" s="93">
        <f>IF(TrRoad_act!Q81=0,0,TrRoad_emi!Q78/TrRoad_tech!Q193)</f>
        <v>1.2282883637440334</v>
      </c>
      <c r="R220" s="93">
        <f>IF(TrRoad_act!R81=0,0,TrRoad_emi!R78/TrRoad_tech!R193)</f>
        <v>1.2868076274657561</v>
      </c>
      <c r="S220" s="93">
        <f>IF(TrRoad_act!S81=0,0,TrRoad_emi!S78/TrRoad_tech!S193)</f>
        <v>1.421205814387648</v>
      </c>
      <c r="T220" s="93">
        <f>IF(TrRoad_act!T81=0,0,TrRoad_emi!T78/TrRoad_tech!T193)</f>
        <v>1.4580800602220918</v>
      </c>
      <c r="U220" s="93">
        <f>IF(TrRoad_act!U81=0,0,TrRoad_emi!U78/TrRoad_tech!U193)</f>
        <v>1.4305353321144885</v>
      </c>
      <c r="V220" s="93">
        <f>IF(TrRoad_act!V81=0,0,TrRoad_emi!V78/TrRoad_tech!V193)</f>
        <v>1.4079998297794898</v>
      </c>
      <c r="W220" s="93">
        <f>IF(TrRoad_act!W81=0,0,TrRoad_emi!W78/TrRoad_tech!W193)</f>
        <v>1.4858719803154836</v>
      </c>
      <c r="X220" s="93">
        <f>IF(TrRoad_act!X81=0,0,TrRoad_emi!X78/TrRoad_tech!X193)</f>
        <v>1.4778453544307333</v>
      </c>
      <c r="Y220" s="93">
        <f>IF(TrRoad_act!Y81=0,0,TrRoad_emi!Y78/TrRoad_tech!Y193)</f>
        <v>1.4734675709886764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1.1195482645847543</v>
      </c>
      <c r="C221" s="94">
        <f>IF(TrRoad_act!C82=0,0,TrRoad_emi!C79/TrRoad_tech!C194)</f>
        <v>0.89591206013508151</v>
      </c>
      <c r="D221" s="94">
        <f>IF(TrRoad_act!D82=0,0,TrRoad_emi!D79/TrRoad_tech!D194)</f>
        <v>1.6502741762451132</v>
      </c>
      <c r="E221" s="94">
        <f>IF(TrRoad_act!E82=0,0,TrRoad_emi!E79/TrRoad_tech!E194)</f>
        <v>0.55315159742365927</v>
      </c>
      <c r="F221" s="94">
        <f>IF(TrRoad_act!F82=0,0,TrRoad_emi!F79/TrRoad_tech!F194)</f>
        <v>0.7085281678794495</v>
      </c>
      <c r="G221" s="94">
        <f>IF(TrRoad_act!G82=0,0,TrRoad_emi!G79/TrRoad_tech!G194)</f>
        <v>1.4759411220641383</v>
      </c>
      <c r="H221" s="94">
        <f>IF(TrRoad_act!H82=0,0,TrRoad_emi!H79/TrRoad_tech!H194)</f>
        <v>1.8390400310284178</v>
      </c>
      <c r="I221" s="94">
        <f>IF(TrRoad_act!I82=0,0,TrRoad_emi!I79/TrRoad_tech!I194)</f>
        <v>1.7789384088603237</v>
      </c>
      <c r="J221" s="94">
        <f>IF(TrRoad_act!J82=0,0,TrRoad_emi!J79/TrRoad_tech!J194)</f>
        <v>1.9332687033563236</v>
      </c>
      <c r="K221" s="94">
        <f>IF(TrRoad_act!K82=0,0,TrRoad_emi!K79/TrRoad_tech!K194)</f>
        <v>1.5004106933354735</v>
      </c>
      <c r="L221" s="94">
        <f>IF(TrRoad_act!L82=0,0,TrRoad_emi!L79/TrRoad_tech!L194)</f>
        <v>2.2237177727959363</v>
      </c>
      <c r="M221" s="94">
        <f>IF(TrRoad_act!M82=0,0,TrRoad_emi!M79/TrRoad_tech!M194)</f>
        <v>1.9379658091207022</v>
      </c>
      <c r="N221" s="94">
        <f>IF(TrRoad_act!N82=0,0,TrRoad_emi!N79/TrRoad_tech!N194)</f>
        <v>1.9042764305324911</v>
      </c>
      <c r="O221" s="94">
        <f>IF(TrRoad_act!O82=0,0,TrRoad_emi!O79/TrRoad_tech!O194)</f>
        <v>2.0566302458868702</v>
      </c>
      <c r="P221" s="94">
        <f>IF(TrRoad_act!P82=0,0,TrRoad_emi!P79/TrRoad_tech!P194)</f>
        <v>1.8587392274768066</v>
      </c>
      <c r="Q221" s="94">
        <f>IF(TrRoad_act!Q82=0,0,TrRoad_emi!Q79/TrRoad_tech!Q194)</f>
        <v>1.6787297563360546</v>
      </c>
      <c r="R221" s="94">
        <f>IF(TrRoad_act!R82=0,0,TrRoad_emi!R79/TrRoad_tech!R194)</f>
        <v>2.1372723863460972</v>
      </c>
      <c r="S221" s="94">
        <f>IF(TrRoad_act!S82=0,0,TrRoad_emi!S79/TrRoad_tech!S194)</f>
        <v>3.1534867163977154</v>
      </c>
      <c r="T221" s="94">
        <f>IF(TrRoad_act!T82=0,0,TrRoad_emi!T79/TrRoad_tech!T194)</f>
        <v>3.4192993111856591</v>
      </c>
      <c r="U221" s="94">
        <f>IF(TrRoad_act!U82=0,0,TrRoad_emi!U79/TrRoad_tech!U194)</f>
        <v>3.1098741054628816</v>
      </c>
      <c r="V221" s="94">
        <f>IF(TrRoad_act!V82=0,0,TrRoad_emi!V79/TrRoad_tech!V194)</f>
        <v>2.8093225231854415</v>
      </c>
      <c r="W221" s="94">
        <f>IF(TrRoad_act!W82=0,0,TrRoad_emi!W79/TrRoad_tech!W194)</f>
        <v>3.4773091628619577</v>
      </c>
      <c r="X221" s="94">
        <f>IF(TrRoad_act!X82=0,0,TrRoad_emi!X79/TrRoad_tech!X194)</f>
        <v>3.2569524350102972</v>
      </c>
      <c r="Y221" s="94">
        <f>IF(TrRoad_act!Y82=0,0,TrRoad_emi!Y79/TrRoad_tech!Y194)</f>
        <v>3.017365667772494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0</v>
      </c>
      <c r="C225" s="152">
        <v>99.683324640429404</v>
      </c>
      <c r="D225" s="152">
        <v>99.313439756689874</v>
      </c>
      <c r="E225" s="152">
        <v>98.272250282318495</v>
      </c>
      <c r="F225" s="152">
        <v>97.125562083822487</v>
      </c>
      <c r="G225" s="152">
        <v>97.082695235280596</v>
      </c>
      <c r="H225" s="152">
        <v>96.805400308775134</v>
      </c>
      <c r="I225" s="152">
        <v>93.063684622837513</v>
      </c>
      <c r="J225" s="152">
        <v>90.479252066711581</v>
      </c>
      <c r="K225" s="152">
        <v>88.047532658516218</v>
      </c>
      <c r="L225" s="152">
        <v>88.230203888098202</v>
      </c>
      <c r="M225" s="152">
        <v>86.052867268041012</v>
      </c>
      <c r="N225" s="152">
        <v>83.844449394403185</v>
      </c>
      <c r="O225" s="152">
        <v>80.372197602831008</v>
      </c>
      <c r="P225" s="152">
        <v>78.949338344686794</v>
      </c>
      <c r="Q225" s="152">
        <v>76.054626121156801</v>
      </c>
      <c r="R225" s="152">
        <v>74.451468887739196</v>
      </c>
      <c r="S225" s="152">
        <v>73.168943101005127</v>
      </c>
      <c r="T225" s="152">
        <v>72.142922471617851</v>
      </c>
      <c r="U225" s="152">
        <v>71.322105968108033</v>
      </c>
      <c r="V225" s="152">
        <v>70.665452765300174</v>
      </c>
      <c r="W225" s="152">
        <v>70.1401302030539</v>
      </c>
      <c r="X225" s="152">
        <v>69.719872153256873</v>
      </c>
      <c r="Y225" s="152">
        <v>69.383665713419248</v>
      </c>
      <c r="DA225" s="174" t="s">
        <v>933</v>
      </c>
    </row>
    <row r="226" spans="1:105" ht="11.45" customHeight="1" x14ac:dyDescent="0.25">
      <c r="A226" s="109" t="s">
        <v>20</v>
      </c>
      <c r="B226" s="116">
        <v>175.68986845746795</v>
      </c>
      <c r="C226" s="116">
        <v>176.08034520332501</v>
      </c>
      <c r="D226" s="116">
        <v>180.9614812079636</v>
      </c>
      <c r="E226" s="116">
        <v>177.7668979910348</v>
      </c>
      <c r="F226" s="116">
        <v>186.09968454383673</v>
      </c>
      <c r="G226" s="116">
        <v>178.97469033653454</v>
      </c>
      <c r="H226" s="116">
        <v>179.12414004176247</v>
      </c>
      <c r="I226" s="116">
        <v>178.33384214842263</v>
      </c>
      <c r="J226" s="116">
        <v>178.8487004152291</v>
      </c>
      <c r="K226" s="116">
        <v>179.19548743025413</v>
      </c>
      <c r="L226" s="116">
        <v>178.17838393236815</v>
      </c>
      <c r="M226" s="116">
        <v>177.96214037813434</v>
      </c>
      <c r="N226" s="116">
        <v>169.31772042157706</v>
      </c>
      <c r="O226" s="116">
        <v>161.62132137448978</v>
      </c>
      <c r="P226" s="116">
        <v>158.78837628452325</v>
      </c>
      <c r="Q226" s="116">
        <v>153.34736194203583</v>
      </c>
      <c r="R226" s="116">
        <v>151.57097116549357</v>
      </c>
      <c r="S226" s="116">
        <v>152.34602651327839</v>
      </c>
      <c r="T226" s="116">
        <v>153.85646561126879</v>
      </c>
      <c r="U226" s="116">
        <v>155.02629897760303</v>
      </c>
      <c r="V226" s="116">
        <v>146.98749345792234</v>
      </c>
      <c r="W226" s="116">
        <v>140.96634587416764</v>
      </c>
      <c r="X226" s="116">
        <v>138.79590759765404</v>
      </c>
      <c r="Y226" s="116">
        <v>136.57979429647909</v>
      </c>
      <c r="DA226" s="176" t="s">
        <v>934</v>
      </c>
    </row>
    <row r="227" spans="1:105" ht="11.45" customHeight="1" x14ac:dyDescent="0.25">
      <c r="A227" s="111" t="s">
        <v>110</v>
      </c>
      <c r="B227" s="87">
        <v>172.1509237744755</v>
      </c>
      <c r="C227" s="87">
        <v>172.21330393990866</v>
      </c>
      <c r="D227" s="87">
        <v>174.61100244512724</v>
      </c>
      <c r="E227" s="87">
        <v>174.3230850665995</v>
      </c>
      <c r="F227" s="87">
        <v>0</v>
      </c>
      <c r="G227" s="87">
        <v>175.34410299717692</v>
      </c>
      <c r="H227" s="87">
        <v>174.84327192696475</v>
      </c>
      <c r="I227" s="87">
        <v>176.0893009180723</v>
      </c>
      <c r="J227" s="87">
        <v>176.2344693442208</v>
      </c>
      <c r="K227" s="87">
        <v>174.92795350888471</v>
      </c>
      <c r="L227" s="87">
        <v>175.29087457425703</v>
      </c>
      <c r="M227" s="87">
        <v>170.92942047906635</v>
      </c>
      <c r="N227" s="87">
        <v>166.47803857383425</v>
      </c>
      <c r="O227" s="87">
        <v>159.65439032192879</v>
      </c>
      <c r="P227" s="87">
        <v>156.86053024183749</v>
      </c>
      <c r="Q227" s="87">
        <v>151.12204626376828</v>
      </c>
      <c r="R227" s="87">
        <v>150.20314665603445</v>
      </c>
      <c r="S227" s="87">
        <v>150.39733027215647</v>
      </c>
      <c r="T227" s="87">
        <v>151.5369001769543</v>
      </c>
      <c r="U227" s="87">
        <v>151.94166053570939</v>
      </c>
      <c r="V227" s="87">
        <v>143.72100437669789</v>
      </c>
      <c r="W227" s="87">
        <v>138.3156031620843</v>
      </c>
      <c r="X227" s="87">
        <v>138.30167588172671</v>
      </c>
      <c r="Y227" s="87">
        <v>137.3351743905188</v>
      </c>
      <c r="DA227" s="171" t="s">
        <v>935</v>
      </c>
    </row>
    <row r="228" spans="1:105" ht="11.45" customHeight="1" x14ac:dyDescent="0.25">
      <c r="A228" s="111" t="s">
        <v>111</v>
      </c>
      <c r="B228" s="87">
        <v>185.55798343836207</v>
      </c>
      <c r="C228" s="87">
        <v>186.58345419266652</v>
      </c>
      <c r="D228" s="87">
        <v>186.77219185953973</v>
      </c>
      <c r="E228" s="87">
        <v>186.5964705834854</v>
      </c>
      <c r="F228" s="87">
        <v>187.30586388311218</v>
      </c>
      <c r="G228" s="87">
        <v>187.74842117095272</v>
      </c>
      <c r="H228" s="87">
        <v>190.72266647305776</v>
      </c>
      <c r="I228" s="87">
        <v>187.53365072244182</v>
      </c>
      <c r="J228" s="87">
        <v>187.76143756177154</v>
      </c>
      <c r="K228" s="87">
        <v>191.04807624352875</v>
      </c>
      <c r="L228" s="87">
        <v>189.38848641412665</v>
      </c>
      <c r="M228" s="87">
        <v>183.23477229829311</v>
      </c>
      <c r="N228" s="87">
        <v>177.61528646723809</v>
      </c>
      <c r="O228" s="87">
        <v>170.51258449480994</v>
      </c>
      <c r="P228" s="87">
        <v>165.1565881565131</v>
      </c>
      <c r="Q228" s="87">
        <v>160.94792137833247</v>
      </c>
      <c r="R228" s="87">
        <v>154.46334935415769</v>
      </c>
      <c r="S228" s="87">
        <v>158.90119587372018</v>
      </c>
      <c r="T228" s="87">
        <v>162.83717541070479</v>
      </c>
      <c r="U228" s="87">
        <v>165.01600228022309</v>
      </c>
      <c r="V228" s="87">
        <v>159.72948128693369</v>
      </c>
      <c r="W228" s="87">
        <v>153.73350640555341</v>
      </c>
      <c r="X228" s="87">
        <v>156.15337898953351</v>
      </c>
      <c r="Y228" s="87">
        <v>157.48174237323249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192.34340249217783</v>
      </c>
      <c r="H229" s="87">
        <v>195.39043989300023</v>
      </c>
      <c r="I229" s="87">
        <v>192.12337572144003</v>
      </c>
      <c r="J229" s="87">
        <v>192.35673744798009</v>
      </c>
      <c r="K229" s="87">
        <v>195.72381378805738</v>
      </c>
      <c r="L229" s="87">
        <v>194.0236069232659</v>
      </c>
      <c r="M229" s="87">
        <v>188.46751634265121</v>
      </c>
      <c r="N229" s="87">
        <v>179.87532224890256</v>
      </c>
      <c r="O229" s="87">
        <v>156.71892158460579</v>
      </c>
      <c r="P229" s="87">
        <v>151.53439831663275</v>
      </c>
      <c r="Q229" s="87">
        <v>153.48717379640553</v>
      </c>
      <c r="R229" s="87">
        <v>148.48285151443579</v>
      </c>
      <c r="S229" s="87">
        <v>154.59165684032038</v>
      </c>
      <c r="T229" s="87">
        <v>154.91160220994479</v>
      </c>
      <c r="U229" s="87">
        <v>162.25705329153601</v>
      </c>
      <c r="V229" s="87">
        <v>125.84313725490199</v>
      </c>
      <c r="W229" s="87">
        <v>121.1836945304438</v>
      </c>
      <c r="X229" s="87">
        <v>118.88966480446931</v>
      </c>
      <c r="Y229" s="87">
        <v>118.9082515868436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160.88579853281612</v>
      </c>
      <c r="D230" s="87">
        <v>163.12578597761677</v>
      </c>
      <c r="E230" s="87">
        <v>162.85680665780723</v>
      </c>
      <c r="F230" s="87">
        <v>163.88299666783701</v>
      </c>
      <c r="G230" s="87">
        <v>163.81066609444289</v>
      </c>
      <c r="H230" s="87">
        <v>163.34277769779933</v>
      </c>
      <c r="I230" s="87">
        <v>164.50684786336174</v>
      </c>
      <c r="J230" s="87">
        <v>0</v>
      </c>
      <c r="K230" s="87">
        <v>163.42188926244921</v>
      </c>
      <c r="L230" s="87">
        <v>163.76093882523438</v>
      </c>
      <c r="M230" s="87">
        <v>164.61532050655961</v>
      </c>
      <c r="N230" s="87">
        <v>168.588424772927</v>
      </c>
      <c r="O230" s="87">
        <v>145.76107475773489</v>
      </c>
      <c r="P230" s="87">
        <v>131.15537541643559</v>
      </c>
      <c r="Q230" s="87">
        <v>140.06210769227053</v>
      </c>
      <c r="R230" s="87">
        <v>132.57155755227836</v>
      </c>
      <c r="S230" s="87">
        <v>143.79644188114588</v>
      </c>
      <c r="T230" s="87">
        <v>128.366569810264</v>
      </c>
      <c r="U230" s="87">
        <v>128.14473684210529</v>
      </c>
      <c r="V230" s="87">
        <v>112.2814070351759</v>
      </c>
      <c r="W230" s="87">
        <v>104.57692307692309</v>
      </c>
      <c r="X230" s="87">
        <v>106.0481099656357</v>
      </c>
      <c r="Y230" s="87">
        <v>111.0601503759399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35.506126991131204</v>
      </c>
      <c r="O231" s="87">
        <v>0</v>
      </c>
      <c r="P231" s="87">
        <v>149.47641116019474</v>
      </c>
      <c r="Q231" s="87">
        <v>87.523333611883146</v>
      </c>
      <c r="R231" s="87">
        <v>67.666633083860589</v>
      </c>
      <c r="S231" s="87">
        <v>90.003126608089076</v>
      </c>
      <c r="T231" s="87">
        <v>60.383463008208622</v>
      </c>
      <c r="U231" s="87">
        <v>64.450261780104711</v>
      </c>
      <c r="V231" s="87">
        <v>53.337041156840932</v>
      </c>
      <c r="W231" s="87">
        <v>33.802801724137929</v>
      </c>
      <c r="X231" s="87">
        <v>35.431578947368422</v>
      </c>
      <c r="Y231" s="87">
        <v>32.481464939705234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1381.1818247813526</v>
      </c>
      <c r="C233" s="116">
        <v>1385.4631191220299</v>
      </c>
      <c r="D233" s="116">
        <v>1390.2356792174464</v>
      </c>
      <c r="E233" s="116">
        <v>1389.6618771238388</v>
      </c>
      <c r="F233" s="116">
        <v>1391.8407075374091</v>
      </c>
      <c r="G233" s="116">
        <v>1391.6870827352527</v>
      </c>
      <c r="H233" s="116">
        <v>1390.6911888858808</v>
      </c>
      <c r="I233" s="116">
        <v>1393.1557230896153</v>
      </c>
      <c r="J233" s="116">
        <v>1393.442675864711</v>
      </c>
      <c r="K233" s="116">
        <v>1390.8456611447314</v>
      </c>
      <c r="L233" s="116">
        <v>1194.2289550410924</v>
      </c>
      <c r="M233" s="116">
        <v>1036.544573509771</v>
      </c>
      <c r="N233" s="116">
        <v>1371.362567939688</v>
      </c>
      <c r="O233" s="116">
        <v>1359.0937522067741</v>
      </c>
      <c r="P233" s="116">
        <v>1000.5611940230172</v>
      </c>
      <c r="Q233" s="116">
        <v>1018.5861404138387</v>
      </c>
      <c r="R233" s="116">
        <v>700.27016685526257</v>
      </c>
      <c r="S233" s="116">
        <v>1037.7509623803501</v>
      </c>
      <c r="T233" s="116">
        <v>984.67150590085464</v>
      </c>
      <c r="U233" s="116">
        <v>1053.1072312470567</v>
      </c>
      <c r="V233" s="116">
        <v>1086.1709202453137</v>
      </c>
      <c r="W233" s="116">
        <v>1111.9933307395129</v>
      </c>
      <c r="X233" s="116">
        <v>1059.9034469987489</v>
      </c>
      <c r="Y233" s="116">
        <v>954.26251743953537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1381.1818247813526</v>
      </c>
      <c r="C235" s="101">
        <v>1385.4631191220299</v>
      </c>
      <c r="D235" s="101">
        <v>1390.2356792174464</v>
      </c>
      <c r="E235" s="101">
        <v>1389.6618771238388</v>
      </c>
      <c r="F235" s="101">
        <v>1391.8407075374091</v>
      </c>
      <c r="G235" s="101">
        <v>1391.6870827352527</v>
      </c>
      <c r="H235" s="101">
        <v>1390.6911888858808</v>
      </c>
      <c r="I235" s="101">
        <v>1393.1557230896153</v>
      </c>
      <c r="J235" s="101">
        <v>1393.442675864711</v>
      </c>
      <c r="K235" s="101">
        <v>1390.8456611447314</v>
      </c>
      <c r="L235" s="101">
        <v>1391.5659333669707</v>
      </c>
      <c r="M235" s="101">
        <v>1382.8188046602882</v>
      </c>
      <c r="N235" s="101">
        <v>1373.7726954756101</v>
      </c>
      <c r="O235" s="101">
        <v>1359.0937522067741</v>
      </c>
      <c r="P235" s="101">
        <v>1352.9976743057516</v>
      </c>
      <c r="Q235" s="101">
        <v>1340.2449215971562</v>
      </c>
      <c r="R235" s="101">
        <v>0</v>
      </c>
      <c r="S235" s="101">
        <v>1288.3533619644595</v>
      </c>
      <c r="T235" s="101">
        <v>1251.9394860739437</v>
      </c>
      <c r="U235" s="101">
        <v>1210.2874150152741</v>
      </c>
      <c r="V235" s="101">
        <v>1164.5948134038201</v>
      </c>
      <c r="W235" s="101">
        <v>1115.9486845618344</v>
      </c>
      <c r="X235" s="101">
        <v>1065.3157122329583</v>
      </c>
      <c r="Y235" s="101">
        <v>1013.5395532363005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823.7674249634581</v>
      </c>
      <c r="S237" s="101">
        <v>0</v>
      </c>
      <c r="T237" s="101">
        <v>0</v>
      </c>
      <c r="U237" s="101">
        <v>0</v>
      </c>
      <c r="V237" s="101">
        <v>0</v>
      </c>
      <c r="W237" s="101">
        <v>785.1970503166649</v>
      </c>
      <c r="X237" s="101">
        <v>782.29971901895055</v>
      </c>
      <c r="Y237" s="101">
        <v>779.78588798593375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246.08526660216677</v>
      </c>
      <c r="D240" s="152">
        <v>247.40002105795674</v>
      </c>
      <c r="E240" s="152">
        <v>250.90386451300412</v>
      </c>
      <c r="F240" s="152">
        <v>211.06859139841299</v>
      </c>
      <c r="G240" s="152">
        <v>262.84629687733661</v>
      </c>
      <c r="H240" s="152">
        <v>238.86514061549443</v>
      </c>
      <c r="I240" s="152">
        <v>255.14457556944907</v>
      </c>
      <c r="J240" s="152">
        <v>253.90957326717282</v>
      </c>
      <c r="K240" s="152">
        <v>267.84202303183935</v>
      </c>
      <c r="L240" s="152">
        <v>284.57505131110901</v>
      </c>
      <c r="M240" s="152">
        <v>264.7819725426989</v>
      </c>
      <c r="N240" s="152">
        <v>261.485071137462</v>
      </c>
      <c r="O240" s="152">
        <v>226.3723584309397</v>
      </c>
      <c r="P240" s="152">
        <v>228.756600296209</v>
      </c>
      <c r="Q240" s="152">
        <v>216.17142115138455</v>
      </c>
      <c r="R240" s="152">
        <v>206.6742911301088</v>
      </c>
      <c r="S240" s="152">
        <v>223.22233209288817</v>
      </c>
      <c r="T240" s="152">
        <v>219.76510128649343</v>
      </c>
      <c r="U240" s="152">
        <v>227.88126083774853</v>
      </c>
      <c r="V240" s="152">
        <v>229.85199402738616</v>
      </c>
      <c r="W240" s="152">
        <v>212.06830362138851</v>
      </c>
      <c r="X240" s="152">
        <v>194.6823722519888</v>
      </c>
      <c r="Y240" s="152">
        <v>202.25345127768733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186.47666729452411</v>
      </c>
      <c r="D241" s="87">
        <v>189.07295234452374</v>
      </c>
      <c r="E241" s="87">
        <v>188.76118854941785</v>
      </c>
      <c r="F241" s="87">
        <v>189.95060672570426</v>
      </c>
      <c r="G241" s="87">
        <v>189.86677108332285</v>
      </c>
      <c r="H241" s="87">
        <v>189.32445927166799</v>
      </c>
      <c r="I241" s="87">
        <v>190.67368914124395</v>
      </c>
      <c r="J241" s="87">
        <v>190.83088097070919</v>
      </c>
      <c r="K241" s="87">
        <v>189.41615450552268</v>
      </c>
      <c r="L241" s="87">
        <v>0</v>
      </c>
      <c r="M241" s="87">
        <v>185.12504223489927</v>
      </c>
      <c r="N241" s="87">
        <v>180.37408546717239</v>
      </c>
      <c r="O241" s="87">
        <v>179.91092302164296</v>
      </c>
      <c r="P241" s="87">
        <v>177.16603027870693</v>
      </c>
      <c r="Q241" s="87">
        <v>173.5229717795097</v>
      </c>
      <c r="R241" s="87">
        <v>180.28999258932862</v>
      </c>
      <c r="S241" s="87">
        <v>183.80274758776667</v>
      </c>
      <c r="T241" s="87">
        <v>195.06988146806691</v>
      </c>
      <c r="U241" s="87">
        <v>192.91983122362871</v>
      </c>
      <c r="V241" s="87">
        <v>164.71250000000001</v>
      </c>
      <c r="W241" s="87">
        <v>159.82291666666671</v>
      </c>
      <c r="X241" s="87">
        <v>157.27433628318579</v>
      </c>
      <c r="Y241" s="87">
        <v>184.17391304347831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280.36021120406133</v>
      </c>
      <c r="D242" s="87">
        <v>280.643808334234</v>
      </c>
      <c r="E242" s="87">
        <v>280.37976962683189</v>
      </c>
      <c r="F242" s="87">
        <v>281.4457036678254</v>
      </c>
      <c r="G242" s="87">
        <v>282.11069004202307</v>
      </c>
      <c r="H242" s="87">
        <v>286.5797896450876</v>
      </c>
      <c r="I242" s="87">
        <v>281.78797606630945</v>
      </c>
      <c r="J242" s="87">
        <v>282.13024846479357</v>
      </c>
      <c r="K242" s="87">
        <v>287.0687502143507</v>
      </c>
      <c r="L242" s="87">
        <v>284.57505131110901</v>
      </c>
      <c r="M242" s="87">
        <v>275.32848335217841</v>
      </c>
      <c r="N242" s="87">
        <v>266.88464656466795</v>
      </c>
      <c r="O242" s="87">
        <v>261.89080472163977</v>
      </c>
      <c r="P242" s="87">
        <v>257.11675644890681</v>
      </c>
      <c r="Q242" s="87">
        <v>248.06810129271298</v>
      </c>
      <c r="R242" s="87">
        <v>246.09518601084116</v>
      </c>
      <c r="S242" s="87">
        <v>227.09721619844154</v>
      </c>
      <c r="T242" s="87">
        <v>225.87248454302377</v>
      </c>
      <c r="U242" s="87">
        <v>231.52335456475578</v>
      </c>
      <c r="V242" s="87">
        <v>236.35060190564039</v>
      </c>
      <c r="W242" s="87">
        <v>225.6301490052208</v>
      </c>
      <c r="X242" s="87">
        <v>220.5938299473288</v>
      </c>
      <c r="Y242" s="87">
        <v>218.0426625546132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230.65616293592075</v>
      </c>
      <c r="O243" s="87">
        <v>182.96346110737508</v>
      </c>
      <c r="P243" s="87">
        <v>175.5973996861691</v>
      </c>
      <c r="Q243" s="87">
        <v>196.72212942273867</v>
      </c>
      <c r="R243" s="87">
        <v>177.78958862109616</v>
      </c>
      <c r="S243" s="87">
        <v>157.89509078681917</v>
      </c>
      <c r="T243" s="87">
        <v>158.25636239701001</v>
      </c>
      <c r="U243" s="87">
        <v>176.66666666666671</v>
      </c>
      <c r="V243" s="87">
        <v>178</v>
      </c>
      <c r="W243" s="87">
        <v>193.08333333333329</v>
      </c>
      <c r="X243" s="87">
        <v>225.4736842105263</v>
      </c>
      <c r="Y243" s="87">
        <v>219.88235294117649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186.83682092555335</v>
      </c>
      <c r="O244" s="87">
        <v>200.28588195841755</v>
      </c>
      <c r="P244" s="87">
        <v>129.41549295774649</v>
      </c>
      <c r="Q244" s="87">
        <v>145.72837022132796</v>
      </c>
      <c r="R244" s="87">
        <v>254.48088531187125</v>
      </c>
      <c r="S244" s="87">
        <v>172.91649899396378</v>
      </c>
      <c r="T244" s="87">
        <v>206.28992706237426</v>
      </c>
      <c r="U244" s="87">
        <v>229.02000236714412</v>
      </c>
      <c r="V244" s="87">
        <v>166.30769230769229</v>
      </c>
      <c r="W244" s="87">
        <v>175</v>
      </c>
      <c r="X244" s="87">
        <v>153.289566755084</v>
      </c>
      <c r="Y244" s="87">
        <v>166.68799999999999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824.45443816144495</v>
      </c>
      <c r="D246" s="116">
        <v>808.76433384715961</v>
      </c>
      <c r="E246" s="116">
        <v>802.82239180666545</v>
      </c>
      <c r="F246" s="116">
        <v>959.5660957831127</v>
      </c>
      <c r="G246" s="116">
        <v>798.32218248379263</v>
      </c>
      <c r="H246" s="116">
        <v>791.5646301087545</v>
      </c>
      <c r="I246" s="116">
        <v>813.55840893681216</v>
      </c>
      <c r="J246" s="116">
        <v>773.96776961701278</v>
      </c>
      <c r="K246" s="116">
        <v>770.70806784302715</v>
      </c>
      <c r="L246" s="116">
        <v>778.31630059862823</v>
      </c>
      <c r="M246" s="116">
        <v>773.68222224065005</v>
      </c>
      <c r="N246" s="116">
        <v>772.54110450343705</v>
      </c>
      <c r="O246" s="116">
        <v>739.44997572811394</v>
      </c>
      <c r="P246" s="116">
        <v>726.40212384167012</v>
      </c>
      <c r="Q246" s="116">
        <v>785.95294662028471</v>
      </c>
      <c r="R246" s="116">
        <v>703.45002355872418</v>
      </c>
      <c r="S246" s="116">
        <v>692.00500773351109</v>
      </c>
      <c r="T246" s="116">
        <v>702.89877917583738</v>
      </c>
      <c r="U246" s="116">
        <v>655.5333834511772</v>
      </c>
      <c r="V246" s="116">
        <v>670.63623494252397</v>
      </c>
      <c r="W246" s="116">
        <v>689.98293888136402</v>
      </c>
      <c r="X246" s="116">
        <v>661.16349303037464</v>
      </c>
      <c r="Y246" s="116">
        <v>644.70449149502497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750.57245891154673</v>
      </c>
      <c r="D247" s="101">
        <v>748.15232157939033</v>
      </c>
      <c r="E247" s="101">
        <v>745.13880012676975</v>
      </c>
      <c r="F247" s="101">
        <v>741.53955196845538</v>
      </c>
      <c r="G247" s="101">
        <v>737.36365830766999</v>
      </c>
      <c r="H247" s="101">
        <v>732.62156750596125</v>
      </c>
      <c r="I247" s="101">
        <v>727.32503072593408</v>
      </c>
      <c r="J247" s="101">
        <v>721.48703057344744</v>
      </c>
      <c r="K247" s="101">
        <v>715.12170352242879</v>
      </c>
      <c r="L247" s="101">
        <v>708.24425697674633</v>
      </c>
      <c r="M247" s="101">
        <v>700.87088183687251</v>
      </c>
      <c r="N247" s="101">
        <v>693.01866147270016</v>
      </c>
      <c r="O247" s="101">
        <v>684.70547801440978</v>
      </c>
      <c r="P247" s="101">
        <v>675.9499168518438</v>
      </c>
      <c r="Q247" s="101">
        <v>666.77117023298501</v>
      </c>
      <c r="R247" s="101">
        <v>648.78538161487074</v>
      </c>
      <c r="S247" s="101">
        <v>636.19532958219077</v>
      </c>
      <c r="T247" s="101">
        <v>622.97577494787674</v>
      </c>
      <c r="U247" s="101">
        <v>606.81854150593745</v>
      </c>
      <c r="V247" s="101">
        <v>622.36219793076225</v>
      </c>
      <c r="W247" s="101">
        <v>609.93210346054923</v>
      </c>
      <c r="X247" s="101">
        <v>606.57175928847209</v>
      </c>
      <c r="Y247" s="101">
        <v>600.50604169558744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3220</v>
      </c>
      <c r="C4" s="28">
        <f t="shared" ref="C4:V4" si="1">SUM(C5,C6,C9)</f>
        <v>3162.3627799999999</v>
      </c>
      <c r="D4" s="28">
        <f t="shared" si="1"/>
        <v>3040.2116299999998</v>
      </c>
      <c r="E4" s="28">
        <f t="shared" si="1"/>
        <v>2683.0056</v>
      </c>
      <c r="F4" s="28">
        <f t="shared" si="1"/>
        <v>2590.23677</v>
      </c>
      <c r="G4" s="28">
        <f t="shared" si="1"/>
        <v>2568.2175400000001</v>
      </c>
      <c r="H4" s="28">
        <f t="shared" si="1"/>
        <v>2597.4259999999999</v>
      </c>
      <c r="I4" s="28">
        <f t="shared" si="1"/>
        <v>2559.9380000000001</v>
      </c>
      <c r="J4" s="28">
        <f t="shared" si="1"/>
        <v>2663.2844</v>
      </c>
      <c r="K4" s="28">
        <f t="shared" si="1"/>
        <v>2556.5259000000001</v>
      </c>
      <c r="L4" s="28">
        <f t="shared" si="1"/>
        <v>2592.4431</v>
      </c>
      <c r="M4" s="28">
        <f t="shared" si="1"/>
        <v>2737.8014199999998</v>
      </c>
      <c r="N4" s="28">
        <f t="shared" si="1"/>
        <v>2748.44884</v>
      </c>
      <c r="O4" s="28">
        <f t="shared" si="1"/>
        <v>2760.4070999999999</v>
      </c>
      <c r="P4" s="28">
        <f t="shared" si="1"/>
        <v>2839.87896</v>
      </c>
      <c r="Q4" s="28">
        <f t="shared" si="1"/>
        <v>3661.80015</v>
      </c>
      <c r="R4" s="28">
        <f t="shared" si="1"/>
        <v>3785.2387600000002</v>
      </c>
      <c r="S4" s="28">
        <f t="shared" si="1"/>
        <v>4038.8530300000002</v>
      </c>
      <c r="T4" s="28">
        <f t="shared" si="1"/>
        <v>4072.7489999999998</v>
      </c>
      <c r="U4" s="28">
        <f t="shared" si="1"/>
        <v>4235.4090500080138</v>
      </c>
      <c r="V4" s="28">
        <f t="shared" si="1"/>
        <v>2301.3864013463694</v>
      </c>
      <c r="W4" s="28">
        <f t="shared" ref="W4:Y4" si="2">SUM(W5,W6,W9)</f>
        <v>2196.0078783368294</v>
      </c>
      <c r="X4" s="28">
        <f t="shared" si="2"/>
        <v>3474.0376397081291</v>
      </c>
      <c r="Y4" s="28">
        <f t="shared" si="2"/>
        <v>3916.9779957233341</v>
      </c>
      <c r="DA4" s="173" t="s">
        <v>376</v>
      </c>
    </row>
    <row r="5" spans="1:105" ht="11.45" customHeight="1" x14ac:dyDescent="0.25">
      <c r="A5" s="107" t="s">
        <v>23</v>
      </c>
      <c r="B5" s="108">
        <v>350</v>
      </c>
      <c r="C5" s="108">
        <v>357.36277999999999</v>
      </c>
      <c r="D5" s="108">
        <v>358.21163000000001</v>
      </c>
      <c r="E5" s="108">
        <v>367.00559999999996</v>
      </c>
      <c r="F5" s="108">
        <v>362.23677000000004</v>
      </c>
      <c r="G5" s="108">
        <v>386.21753999999999</v>
      </c>
      <c r="H5" s="108">
        <v>384.42599999999999</v>
      </c>
      <c r="I5" s="108">
        <v>394.93799999999999</v>
      </c>
      <c r="J5" s="108">
        <v>367.28440000000001</v>
      </c>
      <c r="K5" s="108">
        <v>292.52589999999998</v>
      </c>
      <c r="L5" s="108">
        <v>283.44310000000002</v>
      </c>
      <c r="M5" s="108">
        <v>306.80142000000001</v>
      </c>
      <c r="N5" s="108">
        <v>289.44884000000002</v>
      </c>
      <c r="O5" s="108">
        <v>275.40710000000001</v>
      </c>
      <c r="P5" s="108">
        <v>256.87896000000001</v>
      </c>
      <c r="Q5" s="108">
        <v>250.80015</v>
      </c>
      <c r="R5" s="108">
        <v>301.23876000000001</v>
      </c>
      <c r="S5" s="108">
        <v>284.85302999999999</v>
      </c>
      <c r="T5" s="108">
        <v>280.74900000000002</v>
      </c>
      <c r="U5" s="108">
        <v>278.40905000801416</v>
      </c>
      <c r="V5" s="108">
        <v>168.38640134636961</v>
      </c>
      <c r="W5" s="108">
        <v>227.00787833682938</v>
      </c>
      <c r="X5" s="108">
        <v>306.03763970812929</v>
      </c>
      <c r="Y5" s="108">
        <v>373.977995723334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2870</v>
      </c>
      <c r="C6" s="110">
        <f t="shared" ref="C6:V6" si="4">SUM(C7:C8)</f>
        <v>2805</v>
      </c>
      <c r="D6" s="110">
        <f t="shared" si="4"/>
        <v>2682</v>
      </c>
      <c r="E6" s="110">
        <f t="shared" si="4"/>
        <v>2316</v>
      </c>
      <c r="F6" s="110">
        <f t="shared" si="4"/>
        <v>2228</v>
      </c>
      <c r="G6" s="110">
        <f t="shared" si="4"/>
        <v>2182</v>
      </c>
      <c r="H6" s="110">
        <f t="shared" si="4"/>
        <v>2213</v>
      </c>
      <c r="I6" s="110">
        <f t="shared" si="4"/>
        <v>2165</v>
      </c>
      <c r="J6" s="110">
        <f t="shared" si="4"/>
        <v>2296</v>
      </c>
      <c r="K6" s="110">
        <f t="shared" si="4"/>
        <v>2264</v>
      </c>
      <c r="L6" s="110">
        <f t="shared" si="4"/>
        <v>2309</v>
      </c>
      <c r="M6" s="110">
        <f t="shared" si="4"/>
        <v>2431</v>
      </c>
      <c r="N6" s="110">
        <f t="shared" si="4"/>
        <v>2459</v>
      </c>
      <c r="O6" s="110">
        <f t="shared" si="4"/>
        <v>2485</v>
      </c>
      <c r="P6" s="110">
        <f t="shared" si="4"/>
        <v>2583</v>
      </c>
      <c r="Q6" s="110">
        <f t="shared" si="4"/>
        <v>3411</v>
      </c>
      <c r="R6" s="110">
        <f t="shared" si="4"/>
        <v>3484</v>
      </c>
      <c r="S6" s="110">
        <f t="shared" si="4"/>
        <v>3754</v>
      </c>
      <c r="T6" s="110">
        <f t="shared" si="4"/>
        <v>3792</v>
      </c>
      <c r="U6" s="110">
        <f t="shared" si="4"/>
        <v>3957</v>
      </c>
      <c r="V6" s="110">
        <f t="shared" si="4"/>
        <v>2133</v>
      </c>
      <c r="W6" s="110">
        <f t="shared" ref="W6:Y6" si="5">SUM(W7:W8)</f>
        <v>1969</v>
      </c>
      <c r="X6" s="110">
        <f t="shared" si="5"/>
        <v>3168</v>
      </c>
      <c r="Y6" s="110">
        <f t="shared" si="5"/>
        <v>3543</v>
      </c>
      <c r="DA6" s="176" t="s">
        <v>378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X7" s="84">
        <v>0</v>
      </c>
      <c r="Y7" s="84">
        <v>0</v>
      </c>
      <c r="DA7" s="171" t="s">
        <v>1031</v>
      </c>
    </row>
    <row r="8" spans="1:105" ht="11.45" customHeight="1" x14ac:dyDescent="0.25">
      <c r="A8" s="111" t="s">
        <v>93</v>
      </c>
      <c r="B8" s="84">
        <v>2870</v>
      </c>
      <c r="C8" s="84">
        <v>2805</v>
      </c>
      <c r="D8" s="84">
        <v>2682</v>
      </c>
      <c r="E8" s="84">
        <v>2316</v>
      </c>
      <c r="F8" s="84">
        <v>2228</v>
      </c>
      <c r="G8" s="84">
        <v>2182</v>
      </c>
      <c r="H8" s="84">
        <v>2213</v>
      </c>
      <c r="I8" s="84">
        <v>2165</v>
      </c>
      <c r="J8" s="84">
        <v>2296</v>
      </c>
      <c r="K8" s="84">
        <v>2264</v>
      </c>
      <c r="L8" s="84">
        <v>2309</v>
      </c>
      <c r="M8" s="84">
        <v>2431</v>
      </c>
      <c r="N8" s="84">
        <v>2459</v>
      </c>
      <c r="O8" s="84">
        <v>2485</v>
      </c>
      <c r="P8" s="84">
        <v>2583</v>
      </c>
      <c r="Q8" s="84">
        <v>3411</v>
      </c>
      <c r="R8" s="84">
        <v>3484</v>
      </c>
      <c r="S8" s="84">
        <v>3754</v>
      </c>
      <c r="T8" s="84">
        <v>3792</v>
      </c>
      <c r="U8" s="84">
        <v>3957</v>
      </c>
      <c r="V8" s="84">
        <v>2133</v>
      </c>
      <c r="W8" s="84">
        <v>1969</v>
      </c>
      <c r="X8" s="84">
        <v>3168</v>
      </c>
      <c r="Y8" s="84">
        <v>3543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11233</v>
      </c>
      <c r="C10" s="28">
        <f t="shared" ref="C10:V10" si="7">SUM(C11:C12)</f>
        <v>10930</v>
      </c>
      <c r="D10" s="28">
        <f t="shared" si="7"/>
        <v>10380</v>
      </c>
      <c r="E10" s="28">
        <f t="shared" si="7"/>
        <v>10113</v>
      </c>
      <c r="F10" s="28">
        <f t="shared" si="7"/>
        <v>9702</v>
      </c>
      <c r="G10" s="28">
        <f t="shared" si="7"/>
        <v>9463</v>
      </c>
      <c r="H10" s="28">
        <f t="shared" si="7"/>
        <v>9988</v>
      </c>
      <c r="I10" s="28">
        <f t="shared" si="7"/>
        <v>9647</v>
      </c>
      <c r="J10" s="28">
        <f t="shared" si="7"/>
        <v>9299</v>
      </c>
      <c r="K10" s="28">
        <f t="shared" si="7"/>
        <v>6964</v>
      </c>
      <c r="L10" s="28">
        <f t="shared" si="7"/>
        <v>8105</v>
      </c>
      <c r="M10" s="28">
        <f t="shared" si="7"/>
        <v>7960</v>
      </c>
      <c r="N10" s="28">
        <f t="shared" si="7"/>
        <v>7591</v>
      </c>
      <c r="O10" s="28">
        <f t="shared" si="7"/>
        <v>8494</v>
      </c>
      <c r="P10" s="28">
        <f t="shared" si="7"/>
        <v>8829</v>
      </c>
      <c r="Q10" s="28">
        <f t="shared" si="7"/>
        <v>8439</v>
      </c>
      <c r="R10" s="28">
        <f t="shared" si="7"/>
        <v>8370</v>
      </c>
      <c r="S10" s="28">
        <f t="shared" si="7"/>
        <v>8477</v>
      </c>
      <c r="T10" s="28">
        <f t="shared" si="7"/>
        <v>8373</v>
      </c>
      <c r="U10" s="28">
        <f t="shared" si="7"/>
        <v>8134</v>
      </c>
      <c r="V10" s="28">
        <f t="shared" si="7"/>
        <v>6908</v>
      </c>
      <c r="W10" s="28">
        <f t="shared" ref="W10:Y10" si="8">SUM(W11:W12)</f>
        <v>8189.9999999999991</v>
      </c>
      <c r="X10" s="28">
        <f t="shared" si="8"/>
        <v>7838</v>
      </c>
      <c r="Y10" s="28">
        <f t="shared" si="8"/>
        <v>7488</v>
      </c>
      <c r="DA10" s="173" t="s">
        <v>384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X11" s="84">
        <v>0</v>
      </c>
      <c r="Y11" s="84">
        <v>0</v>
      </c>
      <c r="DA11" s="171" t="s">
        <v>1033</v>
      </c>
    </row>
    <row r="12" spans="1:105" ht="11.45" customHeight="1" x14ac:dyDescent="0.25">
      <c r="A12" s="85" t="s">
        <v>93</v>
      </c>
      <c r="B12" s="86">
        <v>11233</v>
      </c>
      <c r="C12" s="86">
        <v>10930</v>
      </c>
      <c r="D12" s="86">
        <v>10380</v>
      </c>
      <c r="E12" s="86">
        <v>10113</v>
      </c>
      <c r="F12" s="86">
        <v>9702</v>
      </c>
      <c r="G12" s="86">
        <v>9463</v>
      </c>
      <c r="H12" s="86">
        <v>9988</v>
      </c>
      <c r="I12" s="86">
        <v>9647</v>
      </c>
      <c r="J12" s="86">
        <v>9299</v>
      </c>
      <c r="K12" s="86">
        <v>6964</v>
      </c>
      <c r="L12" s="86">
        <v>8105</v>
      </c>
      <c r="M12" s="86">
        <v>7960</v>
      </c>
      <c r="N12" s="86">
        <v>7591</v>
      </c>
      <c r="O12" s="86">
        <v>8494</v>
      </c>
      <c r="P12" s="86">
        <v>8829</v>
      </c>
      <c r="Q12" s="86">
        <v>8439</v>
      </c>
      <c r="R12" s="86">
        <v>8370</v>
      </c>
      <c r="S12" s="86">
        <v>8477</v>
      </c>
      <c r="T12" s="86">
        <v>8373</v>
      </c>
      <c r="U12" s="86">
        <v>8134</v>
      </c>
      <c r="V12" s="86">
        <v>6908</v>
      </c>
      <c r="W12" s="86">
        <v>8189.9999999999991</v>
      </c>
      <c r="X12" s="86">
        <v>7838</v>
      </c>
      <c r="Y12" s="86">
        <v>7488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48.417410288810501</v>
      </c>
      <c r="C14" s="62">
        <f t="shared" ref="C14:V14" si="10">C15+C21</f>
        <v>38.779512899918259</v>
      </c>
      <c r="D14" s="62">
        <f t="shared" si="10"/>
        <v>37.515164122199863</v>
      </c>
      <c r="E14" s="62">
        <f t="shared" si="10"/>
        <v>38.500430358609847</v>
      </c>
      <c r="F14" s="62">
        <f t="shared" si="10"/>
        <v>38.65696751742864</v>
      </c>
      <c r="G14" s="62">
        <f t="shared" si="10"/>
        <v>32.868869202864929</v>
      </c>
      <c r="H14" s="62">
        <f t="shared" si="10"/>
        <v>35.628800202366719</v>
      </c>
      <c r="I14" s="62">
        <f t="shared" si="10"/>
        <v>35.849189812725164</v>
      </c>
      <c r="J14" s="62">
        <f t="shared" si="10"/>
        <v>34.398408199093694</v>
      </c>
      <c r="K14" s="62">
        <f t="shared" si="10"/>
        <v>31.511741684706276</v>
      </c>
      <c r="L14" s="62">
        <f t="shared" si="10"/>
        <v>34.276401739471723</v>
      </c>
      <c r="M14" s="62">
        <f t="shared" si="10"/>
        <v>34.733104738518286</v>
      </c>
      <c r="N14" s="62">
        <f t="shared" si="10"/>
        <v>34.146224752494291</v>
      </c>
      <c r="O14" s="62">
        <f t="shared" si="10"/>
        <v>37.934433356676642</v>
      </c>
      <c r="P14" s="62">
        <f t="shared" si="10"/>
        <v>37.988305407399814</v>
      </c>
      <c r="Q14" s="62">
        <f t="shared" si="10"/>
        <v>42.152847709167588</v>
      </c>
      <c r="R14" s="62">
        <f t="shared" si="10"/>
        <v>43.374551691353496</v>
      </c>
      <c r="S14" s="62">
        <f t="shared" si="10"/>
        <v>43.217843750445653</v>
      </c>
      <c r="T14" s="62">
        <f t="shared" si="10"/>
        <v>43.800974115280411</v>
      </c>
      <c r="U14" s="62">
        <f t="shared" si="10"/>
        <v>39.499824587873157</v>
      </c>
      <c r="V14" s="62">
        <f t="shared" si="10"/>
        <v>37.278948870508152</v>
      </c>
      <c r="W14" s="62">
        <f t="shared" ref="W14:Y14" si="11">W15+W21</f>
        <v>42.67394859487716</v>
      </c>
      <c r="X14" s="62">
        <f t="shared" si="11"/>
        <v>44.534432713585652</v>
      </c>
      <c r="Y14" s="62">
        <f t="shared" si="11"/>
        <v>48.009198586292626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24.382153261672418</v>
      </c>
      <c r="C15" s="29">
        <f t="shared" ref="C15:V15" si="13">SUM(C16,C17,C20)</f>
        <v>21.19157704838679</v>
      </c>
      <c r="D15" s="29">
        <f t="shared" si="13"/>
        <v>20.879080156459676</v>
      </c>
      <c r="E15" s="29">
        <f t="shared" si="13"/>
        <v>21.241459590530674</v>
      </c>
      <c r="F15" s="29">
        <f t="shared" si="13"/>
        <v>21.188164930944577</v>
      </c>
      <c r="G15" s="29">
        <f t="shared" si="13"/>
        <v>20.019450299637601</v>
      </c>
      <c r="H15" s="29">
        <f t="shared" si="13"/>
        <v>21.723820857684053</v>
      </c>
      <c r="I15" s="29">
        <f t="shared" si="13"/>
        <v>21.590622351457512</v>
      </c>
      <c r="J15" s="29">
        <f t="shared" si="13"/>
        <v>21.988995488727063</v>
      </c>
      <c r="K15" s="29">
        <f t="shared" si="13"/>
        <v>22.432241514997902</v>
      </c>
      <c r="L15" s="29">
        <f t="shared" si="13"/>
        <v>22.521699740620427</v>
      </c>
      <c r="M15" s="29">
        <f t="shared" si="13"/>
        <v>23.124910237960393</v>
      </c>
      <c r="N15" s="29">
        <f t="shared" si="13"/>
        <v>23.949315025054759</v>
      </c>
      <c r="O15" s="29">
        <f t="shared" si="13"/>
        <v>23.994792465552582</v>
      </c>
      <c r="P15" s="29">
        <f t="shared" si="13"/>
        <v>25.680558032702155</v>
      </c>
      <c r="Q15" s="29">
        <f t="shared" si="13"/>
        <v>32.181367775884461</v>
      </c>
      <c r="R15" s="29">
        <f t="shared" si="13"/>
        <v>32.335809562660756</v>
      </c>
      <c r="S15" s="29">
        <f t="shared" si="13"/>
        <v>34.268652049867967</v>
      </c>
      <c r="T15" s="29">
        <f t="shared" si="13"/>
        <v>33.80544204591714</v>
      </c>
      <c r="U15" s="29">
        <f t="shared" si="13"/>
        <v>31.012612327327673</v>
      </c>
      <c r="V15" s="29">
        <f t="shared" si="13"/>
        <v>26.324384542000999</v>
      </c>
      <c r="W15" s="29">
        <f t="shared" ref="W15:Y15" si="14">SUM(W16,W17,W20)</f>
        <v>29.622229180415466</v>
      </c>
      <c r="X15" s="29">
        <f t="shared" si="14"/>
        <v>28.363124140207017</v>
      </c>
      <c r="Y15" s="29">
        <f t="shared" si="14"/>
        <v>32.720545031879091</v>
      </c>
      <c r="DA15" s="173" t="s">
        <v>1036</v>
      </c>
    </row>
    <row r="16" spans="1:105" ht="11.45" customHeight="1" x14ac:dyDescent="0.25">
      <c r="A16" s="107" t="s">
        <v>23</v>
      </c>
      <c r="B16" s="115">
        <v>4.461604150283609</v>
      </c>
      <c r="C16" s="115">
        <v>4.5525557676824402</v>
      </c>
      <c r="D16" s="115">
        <v>4.639520436847147</v>
      </c>
      <c r="E16" s="115">
        <v>4.7468212269765084</v>
      </c>
      <c r="F16" s="115">
        <v>4.7523782798879459</v>
      </c>
      <c r="G16" s="115">
        <v>5.0970372694909161</v>
      </c>
      <c r="H16" s="115">
        <v>5.0530064595489312</v>
      </c>
      <c r="I16" s="115">
        <v>5.3789894805763065</v>
      </c>
      <c r="J16" s="115">
        <v>4.7858176066012792</v>
      </c>
      <c r="K16" s="115">
        <v>3.8212625451158098</v>
      </c>
      <c r="L16" s="115">
        <v>3.6959945199672557</v>
      </c>
      <c r="M16" s="115">
        <v>3.9216973278489409</v>
      </c>
      <c r="N16" s="115">
        <v>3.7088032927902179</v>
      </c>
      <c r="O16" s="115">
        <v>3.5219551461360434</v>
      </c>
      <c r="P16" s="115">
        <v>3.2629179502467212</v>
      </c>
      <c r="Q16" s="115">
        <v>3.0248024987055855</v>
      </c>
      <c r="R16" s="115">
        <v>3.5970236208148649</v>
      </c>
      <c r="S16" s="115">
        <v>3.3256306260345112</v>
      </c>
      <c r="T16" s="115">
        <v>3.3192914214107039</v>
      </c>
      <c r="U16" s="115">
        <v>3.2993947820806864</v>
      </c>
      <c r="V16" s="115">
        <v>3.2629006802255223</v>
      </c>
      <c r="W16" s="115">
        <v>5.1705565356747734</v>
      </c>
      <c r="X16" s="115">
        <v>4.0352525557767835</v>
      </c>
      <c r="Y16" s="115">
        <v>4.6247920172353094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19.920549111388809</v>
      </c>
      <c r="C17" s="116">
        <f t="shared" ref="C17:V17" si="16">SUM(C18:C19)</f>
        <v>16.639021280704348</v>
      </c>
      <c r="D17" s="116">
        <f t="shared" si="16"/>
        <v>16.239559719612529</v>
      </c>
      <c r="E17" s="116">
        <f t="shared" si="16"/>
        <v>16.494638363554166</v>
      </c>
      <c r="F17" s="116">
        <f t="shared" si="16"/>
        <v>16.435786651056631</v>
      </c>
      <c r="G17" s="116">
        <f t="shared" si="16"/>
        <v>14.922413030146684</v>
      </c>
      <c r="H17" s="116">
        <f t="shared" si="16"/>
        <v>16.670814398135121</v>
      </c>
      <c r="I17" s="116">
        <f t="shared" si="16"/>
        <v>16.211632870881207</v>
      </c>
      <c r="J17" s="116">
        <f t="shared" si="16"/>
        <v>17.203177882125786</v>
      </c>
      <c r="K17" s="116">
        <f t="shared" si="16"/>
        <v>18.61097896988209</v>
      </c>
      <c r="L17" s="116">
        <f t="shared" si="16"/>
        <v>18.82570522065317</v>
      </c>
      <c r="M17" s="116">
        <f t="shared" si="16"/>
        <v>19.20321291011145</v>
      </c>
      <c r="N17" s="116">
        <f t="shared" si="16"/>
        <v>20.24051173226454</v>
      </c>
      <c r="O17" s="116">
        <f t="shared" si="16"/>
        <v>20.472837319416538</v>
      </c>
      <c r="P17" s="116">
        <f t="shared" si="16"/>
        <v>22.417640082455435</v>
      </c>
      <c r="Q17" s="116">
        <f t="shared" si="16"/>
        <v>29.156565277178874</v>
      </c>
      <c r="R17" s="116">
        <f t="shared" si="16"/>
        <v>28.738785941845894</v>
      </c>
      <c r="S17" s="116">
        <f t="shared" si="16"/>
        <v>30.943021423833454</v>
      </c>
      <c r="T17" s="116">
        <f t="shared" si="16"/>
        <v>30.486150624506436</v>
      </c>
      <c r="U17" s="116">
        <f t="shared" si="16"/>
        <v>27.713217545246987</v>
      </c>
      <c r="V17" s="116">
        <f t="shared" si="16"/>
        <v>23.061483861775478</v>
      </c>
      <c r="W17" s="116">
        <f t="shared" ref="W17:Y17" si="17">SUM(W18:W19)</f>
        <v>24.451672644740693</v>
      </c>
      <c r="X17" s="116">
        <f t="shared" si="17"/>
        <v>24.327871584430234</v>
      </c>
      <c r="Y17" s="116">
        <f t="shared" si="17"/>
        <v>28.09575301464378</v>
      </c>
      <c r="DA17" s="176" t="s">
        <v>1038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DA18" s="171" t="s">
        <v>1039</v>
      </c>
    </row>
    <row r="19" spans="1:105" ht="11.45" customHeight="1" x14ac:dyDescent="0.25">
      <c r="A19" s="111" t="s">
        <v>93</v>
      </c>
      <c r="B19" s="87">
        <v>19.920549111388809</v>
      </c>
      <c r="C19" s="87">
        <v>16.639021280704348</v>
      </c>
      <c r="D19" s="87">
        <v>16.239559719612529</v>
      </c>
      <c r="E19" s="87">
        <v>16.494638363554166</v>
      </c>
      <c r="F19" s="87">
        <v>16.435786651056631</v>
      </c>
      <c r="G19" s="87">
        <v>14.922413030146684</v>
      </c>
      <c r="H19" s="87">
        <v>16.670814398135121</v>
      </c>
      <c r="I19" s="87">
        <v>16.211632870881207</v>
      </c>
      <c r="J19" s="87">
        <v>17.203177882125786</v>
      </c>
      <c r="K19" s="87">
        <v>18.61097896988209</v>
      </c>
      <c r="L19" s="87">
        <v>18.82570522065317</v>
      </c>
      <c r="M19" s="87">
        <v>19.20321291011145</v>
      </c>
      <c r="N19" s="87">
        <v>20.24051173226454</v>
      </c>
      <c r="O19" s="87">
        <v>20.472837319416538</v>
      </c>
      <c r="P19" s="87">
        <v>22.417640082455435</v>
      </c>
      <c r="Q19" s="87">
        <v>29.156565277178874</v>
      </c>
      <c r="R19" s="87">
        <v>28.738785941845894</v>
      </c>
      <c r="S19" s="87">
        <v>30.943021423833454</v>
      </c>
      <c r="T19" s="87">
        <v>30.486150624506436</v>
      </c>
      <c r="U19" s="87">
        <v>27.713217545246987</v>
      </c>
      <c r="V19" s="87">
        <v>23.061483861775478</v>
      </c>
      <c r="W19" s="87">
        <v>24.451672644740693</v>
      </c>
      <c r="X19" s="87">
        <v>24.327871584430234</v>
      </c>
      <c r="Y19" s="87">
        <v>28.09575301464378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24.03525702713808</v>
      </c>
      <c r="C21" s="29">
        <f t="shared" ref="C21:V21" si="19">SUM(C22:C23)</f>
        <v>17.587935851531469</v>
      </c>
      <c r="D21" s="29">
        <f t="shared" si="19"/>
        <v>16.636083965740184</v>
      </c>
      <c r="E21" s="29">
        <f t="shared" si="19"/>
        <v>17.258970768079173</v>
      </c>
      <c r="F21" s="29">
        <f t="shared" si="19"/>
        <v>17.46880258648406</v>
      </c>
      <c r="G21" s="29">
        <f t="shared" si="19"/>
        <v>12.849418903227329</v>
      </c>
      <c r="H21" s="29">
        <f t="shared" si="19"/>
        <v>13.904979344682669</v>
      </c>
      <c r="I21" s="29">
        <f t="shared" si="19"/>
        <v>14.258567461267655</v>
      </c>
      <c r="J21" s="29">
        <f t="shared" si="19"/>
        <v>12.409412710366631</v>
      </c>
      <c r="K21" s="29">
        <f t="shared" si="19"/>
        <v>9.0795001697083748</v>
      </c>
      <c r="L21" s="29">
        <f t="shared" si="19"/>
        <v>11.754701998851294</v>
      </c>
      <c r="M21" s="29">
        <f t="shared" si="19"/>
        <v>11.608194500557895</v>
      </c>
      <c r="N21" s="29">
        <f t="shared" si="19"/>
        <v>10.196909727439531</v>
      </c>
      <c r="O21" s="29">
        <f t="shared" si="19"/>
        <v>13.939640891124062</v>
      </c>
      <c r="P21" s="29">
        <f t="shared" si="19"/>
        <v>12.30774737469766</v>
      </c>
      <c r="Q21" s="29">
        <f t="shared" si="19"/>
        <v>9.9714799332831312</v>
      </c>
      <c r="R21" s="29">
        <f t="shared" si="19"/>
        <v>11.038742128692741</v>
      </c>
      <c r="S21" s="29">
        <f t="shared" si="19"/>
        <v>8.9491917005776891</v>
      </c>
      <c r="T21" s="29">
        <f t="shared" si="19"/>
        <v>9.9955320693632697</v>
      </c>
      <c r="U21" s="29">
        <f t="shared" si="19"/>
        <v>8.4872122605454852</v>
      </c>
      <c r="V21" s="29">
        <f t="shared" si="19"/>
        <v>10.954564328507152</v>
      </c>
      <c r="W21" s="29">
        <f t="shared" ref="W21:Y21" si="20">SUM(W22:W23)</f>
        <v>13.051719414461695</v>
      </c>
      <c r="X21" s="29">
        <f t="shared" si="20"/>
        <v>16.171308573378635</v>
      </c>
      <c r="Y21" s="29">
        <f t="shared" si="20"/>
        <v>15.288653554413532</v>
      </c>
      <c r="DA21" s="173" t="s">
        <v>1042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DA22" s="171" t="s">
        <v>1043</v>
      </c>
    </row>
    <row r="23" spans="1:105" ht="11.45" customHeight="1" x14ac:dyDescent="0.25">
      <c r="A23" s="85" t="s">
        <v>93</v>
      </c>
      <c r="B23" s="88">
        <v>24.03525702713808</v>
      </c>
      <c r="C23" s="88">
        <v>17.587935851531469</v>
      </c>
      <c r="D23" s="88">
        <v>16.636083965740184</v>
      </c>
      <c r="E23" s="88">
        <v>17.258970768079173</v>
      </c>
      <c r="F23" s="88">
        <v>17.46880258648406</v>
      </c>
      <c r="G23" s="88">
        <v>12.849418903227329</v>
      </c>
      <c r="H23" s="88">
        <v>13.904979344682669</v>
      </c>
      <c r="I23" s="88">
        <v>14.258567461267655</v>
      </c>
      <c r="J23" s="88">
        <v>12.409412710366631</v>
      </c>
      <c r="K23" s="88">
        <v>9.0795001697083748</v>
      </c>
      <c r="L23" s="88">
        <v>11.754701998851294</v>
      </c>
      <c r="M23" s="88">
        <v>11.608194500557895</v>
      </c>
      <c r="N23" s="88">
        <v>10.196909727439531</v>
      </c>
      <c r="O23" s="88">
        <v>13.939640891124062</v>
      </c>
      <c r="P23" s="88">
        <v>12.30774737469766</v>
      </c>
      <c r="Q23" s="88">
        <v>9.9714799332831312</v>
      </c>
      <c r="R23" s="88">
        <v>11.038742128692741</v>
      </c>
      <c r="S23" s="88">
        <v>8.9491917005776891</v>
      </c>
      <c r="T23" s="88">
        <v>9.9955320693632697</v>
      </c>
      <c r="U23" s="88">
        <v>8.4872122605454852</v>
      </c>
      <c r="V23" s="88">
        <v>10.954564328507152</v>
      </c>
      <c r="W23" s="88">
        <v>13.051719414461695</v>
      </c>
      <c r="X23" s="88">
        <v>16.171308573378635</v>
      </c>
      <c r="Y23" s="88">
        <v>15.288653554413532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293.539985</v>
      </c>
      <c r="C25" s="62">
        <f t="shared" ref="C25:V25" si="22">C26+C32</f>
        <v>269.06882400000001</v>
      </c>
      <c r="D25" s="62">
        <f t="shared" si="22"/>
        <v>246.582221</v>
      </c>
      <c r="E25" s="62">
        <f t="shared" si="22"/>
        <v>239.41203100000001</v>
      </c>
      <c r="F25" s="62">
        <f t="shared" si="22"/>
        <v>240.11936400000002</v>
      </c>
      <c r="G25" s="62">
        <f t="shared" si="22"/>
        <v>221.14584200000002</v>
      </c>
      <c r="H25" s="62">
        <f t="shared" si="22"/>
        <v>226.60008299999998</v>
      </c>
      <c r="I25" s="62">
        <f t="shared" si="22"/>
        <v>228.27029599999997</v>
      </c>
      <c r="J25" s="62">
        <f t="shared" si="22"/>
        <v>221.57881900000001</v>
      </c>
      <c r="K25" s="62">
        <f t="shared" si="22"/>
        <v>214.89052899999999</v>
      </c>
      <c r="L25" s="62">
        <f t="shared" si="22"/>
        <v>221.01010799999997</v>
      </c>
      <c r="M25" s="62">
        <f t="shared" si="22"/>
        <v>221.71418699999998</v>
      </c>
      <c r="N25" s="62">
        <f t="shared" si="22"/>
        <v>219.637688</v>
      </c>
      <c r="O25" s="62">
        <f t="shared" si="22"/>
        <v>238.20156299999999</v>
      </c>
      <c r="P25" s="62">
        <f t="shared" si="22"/>
        <v>240.65256199999999</v>
      </c>
      <c r="Q25" s="62">
        <f t="shared" si="22"/>
        <v>271.732707</v>
      </c>
      <c r="R25" s="62">
        <f t="shared" si="22"/>
        <v>279.48583300000001</v>
      </c>
      <c r="S25" s="62">
        <f t="shared" si="22"/>
        <v>281.26577499999996</v>
      </c>
      <c r="T25" s="62">
        <f t="shared" si="22"/>
        <v>283.39404300000001</v>
      </c>
      <c r="U25" s="62">
        <f t="shared" si="22"/>
        <v>262.39119999999997</v>
      </c>
      <c r="V25" s="62">
        <f t="shared" si="22"/>
        <v>261.11582900000002</v>
      </c>
      <c r="W25" s="62">
        <f t="shared" ref="W25:Y25" si="23">W26+W32</f>
        <v>275.66356500000001</v>
      </c>
      <c r="X25" s="62">
        <f t="shared" si="23"/>
        <v>285.99141099999997</v>
      </c>
      <c r="Y25" s="62">
        <f t="shared" si="23"/>
        <v>305.791853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173.363699</v>
      </c>
      <c r="C26" s="29">
        <f t="shared" ref="C26:V26" si="25">SUM(C27,C28,C31)</f>
        <v>160.910166</v>
      </c>
      <c r="D26" s="29">
        <f t="shared" si="25"/>
        <v>150.441191</v>
      </c>
      <c r="E26" s="29">
        <f t="shared" si="25"/>
        <v>153.117177</v>
      </c>
      <c r="F26" s="29">
        <f t="shared" si="25"/>
        <v>152.775351</v>
      </c>
      <c r="G26" s="29">
        <f t="shared" si="25"/>
        <v>145.819457</v>
      </c>
      <c r="H26" s="29">
        <f t="shared" si="25"/>
        <v>157.075186</v>
      </c>
      <c r="I26" s="29">
        <f t="shared" si="25"/>
        <v>156.97745799999998</v>
      </c>
      <c r="J26" s="29">
        <f t="shared" si="25"/>
        <v>159.531755</v>
      </c>
      <c r="K26" s="29">
        <f t="shared" si="25"/>
        <v>164.86109299999998</v>
      </c>
      <c r="L26" s="29">
        <f t="shared" si="25"/>
        <v>162.23659799999999</v>
      </c>
      <c r="M26" s="29">
        <f t="shared" si="25"/>
        <v>163.673214</v>
      </c>
      <c r="N26" s="29">
        <f t="shared" si="25"/>
        <v>168.65313900000001</v>
      </c>
      <c r="O26" s="29">
        <f t="shared" si="25"/>
        <v>168.50335799999999</v>
      </c>
      <c r="P26" s="29">
        <f t="shared" si="25"/>
        <v>179.11382499999999</v>
      </c>
      <c r="Q26" s="29">
        <f t="shared" si="25"/>
        <v>221.87530700000002</v>
      </c>
      <c r="R26" s="29">
        <f t="shared" si="25"/>
        <v>224.29212200000001</v>
      </c>
      <c r="S26" s="29">
        <f t="shared" si="25"/>
        <v>236.51981599999999</v>
      </c>
      <c r="T26" s="29">
        <f t="shared" si="25"/>
        <v>233.416382</v>
      </c>
      <c r="U26" s="29">
        <f t="shared" si="25"/>
        <v>219.95513799999998</v>
      </c>
      <c r="V26" s="29">
        <f t="shared" si="25"/>
        <v>206.343007</v>
      </c>
      <c r="W26" s="29">
        <f t="shared" ref="W26:Y26" si="26">SUM(W27,W28,W31)</f>
        <v>210.404967</v>
      </c>
      <c r="X26" s="29">
        <f t="shared" si="26"/>
        <v>205.13486799999998</v>
      </c>
      <c r="Y26" s="29">
        <f t="shared" si="26"/>
        <v>229.34858500000001</v>
      </c>
      <c r="DA26" s="173" t="s">
        <v>1046</v>
      </c>
    </row>
    <row r="27" spans="1:105" ht="11.45" customHeight="1" x14ac:dyDescent="0.25">
      <c r="A27" s="107" t="s">
        <v>23</v>
      </c>
      <c r="B27" s="115">
        <v>40.560037999999999</v>
      </c>
      <c r="C27" s="115">
        <v>41.386870999999999</v>
      </c>
      <c r="D27" s="115">
        <v>42.177458999999999</v>
      </c>
      <c r="E27" s="115">
        <v>43.152920999999999</v>
      </c>
      <c r="F27" s="115">
        <v>43.203438999999996</v>
      </c>
      <c r="G27" s="115">
        <v>46.336703</v>
      </c>
      <c r="H27" s="115">
        <v>45.936422999999998</v>
      </c>
      <c r="I27" s="115">
        <v>48.899904999999997</v>
      </c>
      <c r="J27" s="115">
        <v>44.843902</v>
      </c>
      <c r="K27" s="115">
        <v>40.787898999999996</v>
      </c>
      <c r="L27" s="115">
        <v>36.731895999999999</v>
      </c>
      <c r="M27" s="115">
        <v>35.651793999999995</v>
      </c>
      <c r="N27" s="115">
        <v>33.716393999999994</v>
      </c>
      <c r="O27" s="115">
        <v>32.017775</v>
      </c>
      <c r="P27" s="115">
        <v>29.662891000000002</v>
      </c>
      <c r="Q27" s="115">
        <v>27.498205000000002</v>
      </c>
      <c r="R27" s="115">
        <v>32.700215</v>
      </c>
      <c r="S27" s="115">
        <v>30.233006</v>
      </c>
      <c r="T27" s="115">
        <v>30.175377000000001</v>
      </c>
      <c r="U27" s="115">
        <v>29.994499000000001</v>
      </c>
      <c r="V27" s="115">
        <v>29.662734</v>
      </c>
      <c r="W27" s="115">
        <v>47.00506</v>
      </c>
      <c r="X27" s="115">
        <v>42.949056999999996</v>
      </c>
      <c r="Y27" s="115">
        <v>42.043563999999996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132.80366100000001</v>
      </c>
      <c r="C28" s="116">
        <f t="shared" ref="C28:V28" si="28">SUM(C29:C30)</f>
        <v>119.523295</v>
      </c>
      <c r="D28" s="116">
        <f t="shared" si="28"/>
        <v>108.263732</v>
      </c>
      <c r="E28" s="116">
        <f t="shared" si="28"/>
        <v>109.96425599999999</v>
      </c>
      <c r="F28" s="116">
        <f t="shared" si="28"/>
        <v>109.571912</v>
      </c>
      <c r="G28" s="116">
        <f t="shared" si="28"/>
        <v>99.482754</v>
      </c>
      <c r="H28" s="116">
        <f t="shared" si="28"/>
        <v>111.138763</v>
      </c>
      <c r="I28" s="116">
        <f t="shared" si="28"/>
        <v>108.07755299999999</v>
      </c>
      <c r="J28" s="116">
        <f t="shared" si="28"/>
        <v>114.687853</v>
      </c>
      <c r="K28" s="116">
        <f t="shared" si="28"/>
        <v>124.073194</v>
      </c>
      <c r="L28" s="116">
        <f t="shared" si="28"/>
        <v>125.50470199999999</v>
      </c>
      <c r="M28" s="116">
        <f t="shared" si="28"/>
        <v>128.02142000000001</v>
      </c>
      <c r="N28" s="116">
        <f t="shared" si="28"/>
        <v>134.936745</v>
      </c>
      <c r="O28" s="116">
        <f t="shared" si="28"/>
        <v>136.48558299999999</v>
      </c>
      <c r="P28" s="116">
        <f t="shared" si="28"/>
        <v>149.45093399999999</v>
      </c>
      <c r="Q28" s="116">
        <f t="shared" si="28"/>
        <v>194.37710200000001</v>
      </c>
      <c r="R28" s="116">
        <f t="shared" si="28"/>
        <v>191.59190699999999</v>
      </c>
      <c r="S28" s="116">
        <f t="shared" si="28"/>
        <v>206.28681</v>
      </c>
      <c r="T28" s="116">
        <f t="shared" si="28"/>
        <v>203.241005</v>
      </c>
      <c r="U28" s="116">
        <f t="shared" si="28"/>
        <v>189.96063899999999</v>
      </c>
      <c r="V28" s="116">
        <f t="shared" si="28"/>
        <v>176.680273</v>
      </c>
      <c r="W28" s="116">
        <f t="shared" ref="W28:Y28" si="29">SUM(W29:W30)</f>
        <v>163.39990699999998</v>
      </c>
      <c r="X28" s="116">
        <f t="shared" si="29"/>
        <v>162.185811</v>
      </c>
      <c r="Y28" s="116">
        <f t="shared" si="29"/>
        <v>187.30502100000001</v>
      </c>
      <c r="DA28" s="176" t="s">
        <v>1048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0</v>
      </c>
      <c r="Y29" s="87">
        <v>0</v>
      </c>
      <c r="DA29" s="171" t="s">
        <v>1049</v>
      </c>
    </row>
    <row r="30" spans="1:105" ht="11.45" customHeight="1" x14ac:dyDescent="0.25">
      <c r="A30" s="111" t="s">
        <v>93</v>
      </c>
      <c r="B30" s="87">
        <v>132.80366100000001</v>
      </c>
      <c r="C30" s="87">
        <v>119.523295</v>
      </c>
      <c r="D30" s="87">
        <v>108.263732</v>
      </c>
      <c r="E30" s="87">
        <v>109.96425599999999</v>
      </c>
      <c r="F30" s="87">
        <v>109.571912</v>
      </c>
      <c r="G30" s="87">
        <v>99.482754</v>
      </c>
      <c r="H30" s="87">
        <v>111.138763</v>
      </c>
      <c r="I30" s="87">
        <v>108.07755299999999</v>
      </c>
      <c r="J30" s="87">
        <v>114.687853</v>
      </c>
      <c r="K30" s="87">
        <v>124.073194</v>
      </c>
      <c r="L30" s="87">
        <v>125.50470199999999</v>
      </c>
      <c r="M30" s="87">
        <v>128.02142000000001</v>
      </c>
      <c r="N30" s="87">
        <v>134.936745</v>
      </c>
      <c r="O30" s="87">
        <v>136.48558299999999</v>
      </c>
      <c r="P30" s="87">
        <v>149.45093399999999</v>
      </c>
      <c r="Q30" s="87">
        <v>194.37710200000001</v>
      </c>
      <c r="R30" s="87">
        <v>191.59190699999999</v>
      </c>
      <c r="S30" s="87">
        <v>206.28681</v>
      </c>
      <c r="T30" s="87">
        <v>203.241005</v>
      </c>
      <c r="U30" s="87">
        <v>189.96063899999999</v>
      </c>
      <c r="V30" s="87">
        <v>176.680273</v>
      </c>
      <c r="W30" s="87">
        <v>163.39990699999998</v>
      </c>
      <c r="X30" s="87">
        <v>162.185811</v>
      </c>
      <c r="Y30" s="87">
        <v>187.30502100000001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120.17628599999999</v>
      </c>
      <c r="C32" s="29">
        <f t="shared" ref="C32:V32" si="31">SUM(C33:C34)</f>
        <v>108.158658</v>
      </c>
      <c r="D32" s="29">
        <f t="shared" si="31"/>
        <v>96.141030000000001</v>
      </c>
      <c r="E32" s="29">
        <f t="shared" si="31"/>
        <v>86.294854000000001</v>
      </c>
      <c r="F32" s="29">
        <f t="shared" si="31"/>
        <v>87.344013000000004</v>
      </c>
      <c r="G32" s="29">
        <f t="shared" si="31"/>
        <v>75.326385000000002</v>
      </c>
      <c r="H32" s="29">
        <f t="shared" si="31"/>
        <v>69.524896999999996</v>
      </c>
      <c r="I32" s="29">
        <f t="shared" si="31"/>
        <v>71.292838000000003</v>
      </c>
      <c r="J32" s="29">
        <f t="shared" si="31"/>
        <v>62.047063999999999</v>
      </c>
      <c r="K32" s="29">
        <f t="shared" si="31"/>
        <v>50.029435999999997</v>
      </c>
      <c r="L32" s="29">
        <f t="shared" si="31"/>
        <v>58.773509999999995</v>
      </c>
      <c r="M32" s="29">
        <f t="shared" si="31"/>
        <v>58.040972999999994</v>
      </c>
      <c r="N32" s="29">
        <f t="shared" si="31"/>
        <v>50.984548999999994</v>
      </c>
      <c r="O32" s="29">
        <f t="shared" si="31"/>
        <v>69.698205000000002</v>
      </c>
      <c r="P32" s="29">
        <f t="shared" si="31"/>
        <v>61.538736999999998</v>
      </c>
      <c r="Q32" s="29">
        <f t="shared" si="31"/>
        <v>49.857399999999998</v>
      </c>
      <c r="R32" s="29">
        <f t="shared" si="31"/>
        <v>55.193711</v>
      </c>
      <c r="S32" s="29">
        <f t="shared" si="31"/>
        <v>44.745958999999999</v>
      </c>
      <c r="T32" s="29">
        <f t="shared" si="31"/>
        <v>49.977660999999998</v>
      </c>
      <c r="U32" s="29">
        <f t="shared" si="31"/>
        <v>42.436062</v>
      </c>
      <c r="V32" s="29">
        <f t="shared" si="31"/>
        <v>54.772821999999998</v>
      </c>
      <c r="W32" s="29">
        <f t="shared" ref="W32:Y32" si="32">SUM(W33:W34)</f>
        <v>65.258597999999992</v>
      </c>
      <c r="X32" s="29">
        <f t="shared" si="32"/>
        <v>80.856543000000002</v>
      </c>
      <c r="Y32" s="29">
        <f t="shared" si="32"/>
        <v>76.443268000000003</v>
      </c>
      <c r="DA32" s="173" t="s">
        <v>1052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87">
        <v>0</v>
      </c>
      <c r="DA33" s="171" t="s">
        <v>1053</v>
      </c>
    </row>
    <row r="34" spans="1:105" ht="11.45" customHeight="1" x14ac:dyDescent="0.25">
      <c r="A34" s="85" t="s">
        <v>93</v>
      </c>
      <c r="B34" s="88">
        <v>120.17628599999999</v>
      </c>
      <c r="C34" s="88">
        <v>108.158658</v>
      </c>
      <c r="D34" s="88">
        <v>96.141030000000001</v>
      </c>
      <c r="E34" s="88">
        <v>86.294854000000001</v>
      </c>
      <c r="F34" s="88">
        <v>87.344013000000004</v>
      </c>
      <c r="G34" s="88">
        <v>75.326385000000002</v>
      </c>
      <c r="H34" s="88">
        <v>69.524896999999996</v>
      </c>
      <c r="I34" s="88">
        <v>71.292838000000003</v>
      </c>
      <c r="J34" s="88">
        <v>62.047063999999999</v>
      </c>
      <c r="K34" s="88">
        <v>50.029435999999997</v>
      </c>
      <c r="L34" s="88">
        <v>58.773509999999995</v>
      </c>
      <c r="M34" s="88">
        <v>58.040972999999994</v>
      </c>
      <c r="N34" s="88">
        <v>50.984548999999994</v>
      </c>
      <c r="O34" s="88">
        <v>69.698205000000002</v>
      </c>
      <c r="P34" s="88">
        <v>61.538736999999998</v>
      </c>
      <c r="Q34" s="88">
        <v>49.857399999999998</v>
      </c>
      <c r="R34" s="88">
        <v>55.193711</v>
      </c>
      <c r="S34" s="88">
        <v>44.745958999999999</v>
      </c>
      <c r="T34" s="88">
        <v>49.977660999999998</v>
      </c>
      <c r="U34" s="88">
        <v>42.436062</v>
      </c>
      <c r="V34" s="88">
        <v>54.772821999999998</v>
      </c>
      <c r="W34" s="88">
        <v>65.258597999999992</v>
      </c>
      <c r="X34" s="88">
        <v>80.856543000000002</v>
      </c>
      <c r="Y34" s="88">
        <v>76.443268000000003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2.206395999999998</v>
      </c>
      <c r="D36" s="54">
        <f t="shared" ref="D36:V36" si="34">D37+D43</f>
        <v>2.1701509999999971</v>
      </c>
      <c r="E36" s="54">
        <f t="shared" si="34"/>
        <v>7.4705009999999845</v>
      </c>
      <c r="F36" s="54">
        <f t="shared" si="34"/>
        <v>9.1071370000000016</v>
      </c>
      <c r="G36" s="54">
        <f t="shared" si="34"/>
        <v>4.5128270000000015</v>
      </c>
      <c r="H36" s="54">
        <f t="shared" si="34"/>
        <v>16.050243999999992</v>
      </c>
      <c r="I36" s="54">
        <f t="shared" si="34"/>
        <v>10.070017</v>
      </c>
      <c r="J36" s="54">
        <f t="shared" si="34"/>
        <v>10.025252000000009</v>
      </c>
      <c r="K36" s="54">
        <f t="shared" si="34"/>
        <v>12.800292999999996</v>
      </c>
      <c r="L36" s="54">
        <f t="shared" si="34"/>
        <v>17.195823000000004</v>
      </c>
      <c r="M36" s="54">
        <f t="shared" si="34"/>
        <v>9.1038830000000033</v>
      </c>
      <c r="N36" s="54">
        <f t="shared" si="34"/>
        <v>10.330276999999995</v>
      </c>
      <c r="O36" s="54">
        <f t="shared" si="34"/>
        <v>27.282734999999995</v>
      </c>
      <c r="P36" s="54">
        <f t="shared" si="34"/>
        <v>16.380302999999998</v>
      </c>
      <c r="Q36" s="54">
        <f t="shared" si="34"/>
        <v>48.341120000000018</v>
      </c>
      <c r="R36" s="54">
        <f t="shared" si="34"/>
        <v>16.15292999999998</v>
      </c>
      <c r="S36" s="54">
        <f t="shared" si="34"/>
        <v>18.10985500000001</v>
      </c>
      <c r="T36" s="54">
        <f t="shared" si="34"/>
        <v>10.528071999999998</v>
      </c>
      <c r="U36" s="54">
        <f t="shared" si="34"/>
        <v>1.1986850000000011</v>
      </c>
      <c r="V36" s="54">
        <f t="shared" si="34"/>
        <v>16.989846999999997</v>
      </c>
      <c r="W36" s="54">
        <f t="shared" ref="W36:Y36" si="35">W37+W43</f>
        <v>32.812953999999991</v>
      </c>
      <c r="X36" s="54">
        <f t="shared" si="35"/>
        <v>21.404090000000025</v>
      </c>
      <c r="Y36" s="54">
        <f t="shared" si="35"/>
        <v>29.008232000000007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2.206395999999998</v>
      </c>
      <c r="D37" s="28">
        <f t="shared" ref="D37:V37" si="37">SUM(D38,D39,D42)</f>
        <v>2.1701509999999971</v>
      </c>
      <c r="E37" s="28">
        <f t="shared" si="37"/>
        <v>7.4705009999999845</v>
      </c>
      <c r="F37" s="28">
        <f t="shared" si="37"/>
        <v>4.4526889999999995</v>
      </c>
      <c r="G37" s="28">
        <f t="shared" si="37"/>
        <v>4.5128270000000015</v>
      </c>
      <c r="H37" s="28">
        <f t="shared" si="37"/>
        <v>16.050243999999992</v>
      </c>
      <c r="I37" s="28">
        <f t="shared" si="37"/>
        <v>4.6967869999999934</v>
      </c>
      <c r="J37" s="28">
        <f t="shared" si="37"/>
        <v>10.025252000000009</v>
      </c>
      <c r="K37" s="28">
        <f t="shared" si="37"/>
        <v>12.800292999999996</v>
      </c>
      <c r="L37" s="28">
        <f t="shared" si="37"/>
        <v>4.8464600000000075</v>
      </c>
      <c r="M37" s="28">
        <f t="shared" si="37"/>
        <v>6.2311310000000049</v>
      </c>
      <c r="N37" s="28">
        <f t="shared" si="37"/>
        <v>10.330276999999995</v>
      </c>
      <c r="O37" s="28">
        <f t="shared" si="37"/>
        <v>4.9637899999999888</v>
      </c>
      <c r="P37" s="28">
        <f t="shared" si="37"/>
        <v>16.380302999999998</v>
      </c>
      <c r="Q37" s="28">
        <f t="shared" si="37"/>
        <v>48.341120000000018</v>
      </c>
      <c r="R37" s="28">
        <f t="shared" si="37"/>
        <v>7.2113299999999789</v>
      </c>
      <c r="S37" s="28">
        <f t="shared" si="37"/>
        <v>18.10985500000001</v>
      </c>
      <c r="T37" s="28">
        <f t="shared" si="37"/>
        <v>1.6910810000000005</v>
      </c>
      <c r="U37" s="28">
        <f t="shared" si="37"/>
        <v>1.1986850000000011</v>
      </c>
      <c r="V37" s="28">
        <f t="shared" si="37"/>
        <v>1.0477980000000002</v>
      </c>
      <c r="W37" s="28">
        <f t="shared" ref="W37:Y37" si="38">SUM(W38,W39,W42)</f>
        <v>18.721888999999997</v>
      </c>
      <c r="X37" s="28">
        <f t="shared" si="38"/>
        <v>2.2008560000000159</v>
      </c>
      <c r="Y37" s="28">
        <f t="shared" si="38"/>
        <v>29.008232000000007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2.206395999999998</v>
      </c>
      <c r="D38" s="108">
        <v>2.1701509999999971</v>
      </c>
      <c r="E38" s="108">
        <v>2.3550249999999977</v>
      </c>
      <c r="F38" s="108">
        <v>1.4300809999999942</v>
      </c>
      <c r="G38" s="108">
        <v>4.5128270000000015</v>
      </c>
      <c r="H38" s="108">
        <v>0.97928299999999524</v>
      </c>
      <c r="I38" s="108">
        <v>4.3430449999999965</v>
      </c>
      <c r="J38" s="108">
        <v>0</v>
      </c>
      <c r="K38" s="108">
        <v>0</v>
      </c>
      <c r="L38" s="108">
        <v>0</v>
      </c>
      <c r="M38" s="108">
        <v>0.29946099999999376</v>
      </c>
      <c r="N38" s="108">
        <v>0</v>
      </c>
      <c r="O38" s="108">
        <v>0</v>
      </c>
      <c r="P38" s="108">
        <v>0</v>
      </c>
      <c r="Q38" s="108">
        <v>0</v>
      </c>
      <c r="R38" s="108">
        <v>6.5815729999999952</v>
      </c>
      <c r="S38" s="108">
        <v>0</v>
      </c>
      <c r="T38" s="108">
        <v>1.3219340000000024</v>
      </c>
      <c r="U38" s="108">
        <v>1.1986850000000011</v>
      </c>
      <c r="V38" s="108">
        <v>1.0477980000000002</v>
      </c>
      <c r="W38" s="108">
        <v>18.721888999999997</v>
      </c>
      <c r="X38" s="108">
        <v>0</v>
      </c>
      <c r="Y38" s="108">
        <v>0.47406999999999755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5.1154759999999868</v>
      </c>
      <c r="F39" s="110">
        <f t="shared" si="40"/>
        <v>3.0226080000000053</v>
      </c>
      <c r="G39" s="110">
        <f t="shared" si="40"/>
        <v>0</v>
      </c>
      <c r="H39" s="110">
        <f t="shared" si="40"/>
        <v>15.070960999999997</v>
      </c>
      <c r="I39" s="110">
        <f t="shared" si="40"/>
        <v>0.35374199999999689</v>
      </c>
      <c r="J39" s="110">
        <f t="shared" si="40"/>
        <v>10.025252000000009</v>
      </c>
      <c r="K39" s="110">
        <f t="shared" si="40"/>
        <v>12.800292999999996</v>
      </c>
      <c r="L39" s="110">
        <f t="shared" si="40"/>
        <v>4.8464600000000075</v>
      </c>
      <c r="M39" s="110">
        <f t="shared" si="40"/>
        <v>5.9316700000000111</v>
      </c>
      <c r="N39" s="110">
        <f t="shared" si="40"/>
        <v>10.330276999999995</v>
      </c>
      <c r="O39" s="110">
        <f t="shared" si="40"/>
        <v>4.9637899999999888</v>
      </c>
      <c r="P39" s="110">
        <f t="shared" si="40"/>
        <v>16.380302999999998</v>
      </c>
      <c r="Q39" s="110">
        <f t="shared" si="40"/>
        <v>48.341120000000018</v>
      </c>
      <c r="R39" s="110">
        <f t="shared" si="40"/>
        <v>0.62975699999998369</v>
      </c>
      <c r="S39" s="110">
        <f t="shared" si="40"/>
        <v>18.10985500000001</v>
      </c>
      <c r="T39" s="110">
        <f t="shared" si="40"/>
        <v>0.36914699999999812</v>
      </c>
      <c r="U39" s="110">
        <f t="shared" si="40"/>
        <v>0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2.2008560000000159</v>
      </c>
      <c r="Y39" s="110">
        <f t="shared" si="41"/>
        <v>28.534162000000009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5.1154759999999868</v>
      </c>
      <c r="F41" s="84">
        <v>3.0226080000000053</v>
      </c>
      <c r="G41" s="84">
        <v>0</v>
      </c>
      <c r="H41" s="84">
        <v>15.070960999999997</v>
      </c>
      <c r="I41" s="84">
        <v>0.35374199999999689</v>
      </c>
      <c r="J41" s="84">
        <v>10.025252000000009</v>
      </c>
      <c r="K41" s="84">
        <v>12.800292999999996</v>
      </c>
      <c r="L41" s="84">
        <v>4.8464600000000075</v>
      </c>
      <c r="M41" s="84">
        <v>5.9316700000000111</v>
      </c>
      <c r="N41" s="84">
        <v>10.330276999999995</v>
      </c>
      <c r="O41" s="84">
        <v>4.9637899999999888</v>
      </c>
      <c r="P41" s="84">
        <v>16.380302999999998</v>
      </c>
      <c r="Q41" s="84">
        <v>48.341120000000018</v>
      </c>
      <c r="R41" s="84">
        <v>0.62975699999998369</v>
      </c>
      <c r="S41" s="84">
        <v>18.10985500000001</v>
      </c>
      <c r="T41" s="84">
        <v>0.36914699999999812</v>
      </c>
      <c r="U41" s="84">
        <v>0</v>
      </c>
      <c r="V41" s="84">
        <v>0</v>
      </c>
      <c r="W41" s="84">
        <v>0</v>
      </c>
      <c r="X41" s="84">
        <v>2.2008560000000159</v>
      </c>
      <c r="Y41" s="84">
        <v>28.534162000000009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4.6544480000000021</v>
      </c>
      <c r="G43" s="28">
        <f t="shared" si="43"/>
        <v>0</v>
      </c>
      <c r="H43" s="28">
        <f t="shared" si="43"/>
        <v>0</v>
      </c>
      <c r="I43" s="28">
        <f t="shared" si="43"/>
        <v>5.3732300000000066</v>
      </c>
      <c r="J43" s="28">
        <f t="shared" si="43"/>
        <v>0</v>
      </c>
      <c r="K43" s="28">
        <f t="shared" si="43"/>
        <v>0</v>
      </c>
      <c r="L43" s="28">
        <f t="shared" si="43"/>
        <v>12.349362999999997</v>
      </c>
      <c r="M43" s="28">
        <f t="shared" si="43"/>
        <v>2.8727519999999984</v>
      </c>
      <c r="N43" s="28">
        <f t="shared" si="43"/>
        <v>0</v>
      </c>
      <c r="O43" s="28">
        <f t="shared" si="43"/>
        <v>22.318945000000006</v>
      </c>
      <c r="P43" s="28">
        <f t="shared" si="43"/>
        <v>0</v>
      </c>
      <c r="Q43" s="28">
        <f t="shared" si="43"/>
        <v>0</v>
      </c>
      <c r="R43" s="28">
        <f t="shared" si="43"/>
        <v>8.9416000000000011</v>
      </c>
      <c r="S43" s="28">
        <f t="shared" si="43"/>
        <v>0</v>
      </c>
      <c r="T43" s="28">
        <f t="shared" si="43"/>
        <v>8.8369909999999976</v>
      </c>
      <c r="U43" s="28">
        <f t="shared" si="43"/>
        <v>0</v>
      </c>
      <c r="V43" s="28">
        <f t="shared" si="43"/>
        <v>15.942048999999997</v>
      </c>
      <c r="W43" s="28">
        <f t="shared" ref="W43:Y43" si="44">SUM(W44:W45)</f>
        <v>14.091064999999993</v>
      </c>
      <c r="X43" s="28">
        <f t="shared" si="44"/>
        <v>19.203234000000009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4.6544480000000021</v>
      </c>
      <c r="G45" s="86">
        <v>0</v>
      </c>
      <c r="H45" s="86">
        <v>0</v>
      </c>
      <c r="I45" s="86">
        <v>5.3732300000000066</v>
      </c>
      <c r="J45" s="86">
        <v>0</v>
      </c>
      <c r="K45" s="86">
        <v>0</v>
      </c>
      <c r="L45" s="86">
        <v>12.349362999999997</v>
      </c>
      <c r="M45" s="86">
        <v>2.8727519999999984</v>
      </c>
      <c r="N45" s="86">
        <v>0</v>
      </c>
      <c r="O45" s="86">
        <v>22.318945000000006</v>
      </c>
      <c r="P45" s="86">
        <v>0</v>
      </c>
      <c r="Q45" s="86">
        <v>0</v>
      </c>
      <c r="R45" s="86">
        <v>8.9416000000000011</v>
      </c>
      <c r="S45" s="86">
        <v>0</v>
      </c>
      <c r="T45" s="86">
        <v>8.8369909999999976</v>
      </c>
      <c r="U45" s="86">
        <v>0</v>
      </c>
      <c r="V45" s="86">
        <v>15.942048999999997</v>
      </c>
      <c r="W45" s="86">
        <v>14.091064999999993</v>
      </c>
      <c r="X45" s="86">
        <v>19.203234000000009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132.06380771388581</v>
      </c>
      <c r="C50" s="29">
        <f t="shared" si="45"/>
        <v>149.22734503332941</v>
      </c>
      <c r="D50" s="29">
        <f t="shared" si="45"/>
        <v>145.61041996188723</v>
      </c>
      <c r="E50" s="29">
        <f t="shared" si="45"/>
        <v>126.30985119290339</v>
      </c>
      <c r="F50" s="29">
        <f t="shared" si="45"/>
        <v>122.24922632242915</v>
      </c>
      <c r="G50" s="29">
        <f t="shared" si="45"/>
        <v>128.28611682941619</v>
      </c>
      <c r="H50" s="29">
        <f t="shared" si="45"/>
        <v>119.56579908369342</v>
      </c>
      <c r="I50" s="29">
        <f t="shared" si="45"/>
        <v>118.56712411197296</v>
      </c>
      <c r="J50" s="29">
        <f t="shared" si="45"/>
        <v>121.11896613764674</v>
      </c>
      <c r="K50" s="29">
        <f t="shared" ref="K50:V50" si="46">IF(K4=0,0,K4/K15)</f>
        <v>113.96658235382944</v>
      </c>
      <c r="L50" s="29">
        <f t="shared" si="46"/>
        <v>115.10867873459108</v>
      </c>
      <c r="M50" s="29">
        <f t="shared" si="46"/>
        <v>118.39187230685107</v>
      </c>
      <c r="N50" s="29">
        <f t="shared" si="46"/>
        <v>114.76106256586834</v>
      </c>
      <c r="O50" s="29">
        <f t="shared" si="46"/>
        <v>115.04192436600138</v>
      </c>
      <c r="P50" s="29">
        <f t="shared" si="46"/>
        <v>110.58478388139538</v>
      </c>
      <c r="Q50" s="29">
        <f t="shared" si="46"/>
        <v>113.78634293922147</v>
      </c>
      <c r="R50" s="29">
        <f t="shared" si="46"/>
        <v>117.06027500764795</v>
      </c>
      <c r="S50" s="29">
        <f t="shared" si="46"/>
        <v>117.8585321687773</v>
      </c>
      <c r="T50" s="29">
        <f t="shared" si="46"/>
        <v>120.47613501009927</v>
      </c>
      <c r="U50" s="29">
        <f t="shared" si="46"/>
        <v>136.57053476516904</v>
      </c>
      <c r="V50" s="29">
        <f t="shared" si="46"/>
        <v>87.424129429292776</v>
      </c>
      <c r="W50" s="29">
        <f t="shared" ref="W50:Y50" si="47">IF(W4=0,0,W4/W15)</f>
        <v>74.133781929845611</v>
      </c>
      <c r="X50" s="29">
        <f t="shared" si="47"/>
        <v>122.48430823540346</v>
      </c>
      <c r="Y50" s="29">
        <f t="shared" si="47"/>
        <v>119.71004736953759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78.447120858481284</v>
      </c>
      <c r="C51" s="115">
        <f t="shared" si="48"/>
        <v>78.49717790100172</v>
      </c>
      <c r="D51" s="115">
        <f t="shared" si="48"/>
        <v>77.208762171856691</v>
      </c>
      <c r="E51" s="115">
        <f t="shared" si="48"/>
        <v>77.316077950077855</v>
      </c>
      <c r="F51" s="115">
        <f t="shared" si="48"/>
        <v>76.222208895488222</v>
      </c>
      <c r="G51" s="115">
        <f t="shared" si="48"/>
        <v>75.772948004866123</v>
      </c>
      <c r="H51" s="115">
        <f t="shared" si="48"/>
        <v>76.07866783418217</v>
      </c>
      <c r="I51" s="115">
        <f t="shared" si="48"/>
        <v>73.422341022627577</v>
      </c>
      <c r="J51" s="115">
        <f t="shared" si="48"/>
        <v>76.744337162659363</v>
      </c>
      <c r="K51" s="115">
        <f t="shared" ref="K51:V51" si="49">IF(K5=0,0,K5/K16)</f>
        <v>76.552159540541197</v>
      </c>
      <c r="L51" s="115">
        <f t="shared" si="49"/>
        <v>76.689264139523445</v>
      </c>
      <c r="M51" s="115">
        <f t="shared" si="49"/>
        <v>78.231794641908593</v>
      </c>
      <c r="N51" s="115">
        <f t="shared" si="49"/>
        <v>78.043729243521298</v>
      </c>
      <c r="O51" s="115">
        <f t="shared" si="49"/>
        <v>78.197219604613835</v>
      </c>
      <c r="P51" s="115">
        <f t="shared" si="49"/>
        <v>78.726760499931189</v>
      </c>
      <c r="Q51" s="115">
        <f t="shared" si="49"/>
        <v>82.914553960903504</v>
      </c>
      <c r="R51" s="115">
        <f t="shared" si="49"/>
        <v>83.746672737099729</v>
      </c>
      <c r="S51" s="115">
        <f t="shared" si="49"/>
        <v>85.653838935101263</v>
      </c>
      <c r="T51" s="115">
        <f t="shared" si="49"/>
        <v>84.581003701290342</v>
      </c>
      <c r="U51" s="115">
        <f t="shared" si="49"/>
        <v>84.38185436919494</v>
      </c>
      <c r="V51" s="115">
        <f t="shared" si="49"/>
        <v>51.60635209243673</v>
      </c>
      <c r="W51" s="115">
        <f t="shared" ref="W51:Y51" si="50">IF(W5=0,0,W5/W16)</f>
        <v>43.903954394573532</v>
      </c>
      <c r="X51" s="115">
        <f t="shared" si="50"/>
        <v>75.84101254579771</v>
      </c>
      <c r="Y51" s="115">
        <f t="shared" si="50"/>
        <v>80.863743565034355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144.07233374702446</v>
      </c>
      <c r="C52" s="116">
        <f t="shared" si="51"/>
        <v>168.57962693111367</v>
      </c>
      <c r="D52" s="116">
        <f t="shared" si="51"/>
        <v>165.15226067126355</v>
      </c>
      <c r="E52" s="116">
        <f t="shared" si="51"/>
        <v>140.40926202524892</v>
      </c>
      <c r="F52" s="116">
        <f t="shared" si="51"/>
        <v>135.55785599448416</v>
      </c>
      <c r="G52" s="116">
        <f t="shared" si="51"/>
        <v>146.22299996601498</v>
      </c>
      <c r="H52" s="116">
        <f t="shared" si="51"/>
        <v>132.746964074386</v>
      </c>
      <c r="I52" s="116">
        <f t="shared" si="51"/>
        <v>133.5460787474839</v>
      </c>
      <c r="J52" s="116">
        <f t="shared" si="51"/>
        <v>133.46371325879034</v>
      </c>
      <c r="K52" s="116">
        <f t="shared" ref="K52:V52" si="52">IF(K6=0,0,K6/K17)</f>
        <v>121.64862491456265</v>
      </c>
      <c r="L52" s="116">
        <f t="shared" si="52"/>
        <v>122.65144773789716</v>
      </c>
      <c r="M52" s="116">
        <f t="shared" si="52"/>
        <v>126.59339931183897</v>
      </c>
      <c r="N52" s="116">
        <f t="shared" si="52"/>
        <v>121.48902322860802</v>
      </c>
      <c r="O52" s="116">
        <f t="shared" si="52"/>
        <v>121.38034221779382</v>
      </c>
      <c r="P52" s="116">
        <f t="shared" si="52"/>
        <v>115.22176243794348</v>
      </c>
      <c r="Q52" s="116">
        <f t="shared" si="52"/>
        <v>116.98908865201014</v>
      </c>
      <c r="R52" s="116">
        <f t="shared" si="52"/>
        <v>121.22989492492884</v>
      </c>
      <c r="S52" s="116">
        <f t="shared" si="52"/>
        <v>121.31976217127043</v>
      </c>
      <c r="T52" s="116">
        <f t="shared" si="52"/>
        <v>124.38434903460009</v>
      </c>
      <c r="U52" s="116">
        <f t="shared" si="52"/>
        <v>142.78385371671337</v>
      </c>
      <c r="V52" s="116">
        <f t="shared" si="52"/>
        <v>92.491880088230488</v>
      </c>
      <c r="W52" s="116">
        <f t="shared" ref="W52:Y52" si="53">IF(W6=0,0,W6/W17)</f>
        <v>80.526188478296675</v>
      </c>
      <c r="X52" s="116">
        <f t="shared" si="53"/>
        <v>130.22100963520009</v>
      </c>
      <c r="Y52" s="116">
        <f t="shared" si="53"/>
        <v>126.10446846373378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:Y53" si="56">IF(W7=0,0,W7/W18)</f>
        <v>0</v>
      </c>
      <c r="X53" s="87">
        <f t="shared" si="56"/>
        <v>0</v>
      </c>
      <c r="Y53" s="87">
        <f t="shared" si="56"/>
        <v>0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144.07233374702446</v>
      </c>
      <c r="C54" s="87">
        <f t="shared" si="57"/>
        <v>168.57962693111367</v>
      </c>
      <c r="D54" s="87">
        <f t="shared" si="57"/>
        <v>165.15226067126355</v>
      </c>
      <c r="E54" s="87">
        <f t="shared" si="57"/>
        <v>140.40926202524892</v>
      </c>
      <c r="F54" s="87">
        <f t="shared" si="57"/>
        <v>135.55785599448416</v>
      </c>
      <c r="G54" s="87">
        <f t="shared" si="57"/>
        <v>146.22299996601498</v>
      </c>
      <c r="H54" s="87">
        <f t="shared" si="57"/>
        <v>132.746964074386</v>
      </c>
      <c r="I54" s="87">
        <f t="shared" si="57"/>
        <v>133.5460787474839</v>
      </c>
      <c r="J54" s="87">
        <f t="shared" si="57"/>
        <v>133.46371325879034</v>
      </c>
      <c r="K54" s="87">
        <f t="shared" ref="K54:V54" si="58">IF(K8=0,0,K8/K19)</f>
        <v>121.64862491456265</v>
      </c>
      <c r="L54" s="87">
        <f t="shared" si="58"/>
        <v>122.65144773789716</v>
      </c>
      <c r="M54" s="87">
        <f t="shared" si="58"/>
        <v>126.59339931183897</v>
      </c>
      <c r="N54" s="87">
        <f t="shared" si="58"/>
        <v>121.48902322860802</v>
      </c>
      <c r="O54" s="87">
        <f t="shared" si="58"/>
        <v>121.38034221779382</v>
      </c>
      <c r="P54" s="87">
        <f t="shared" si="58"/>
        <v>115.22176243794348</v>
      </c>
      <c r="Q54" s="87">
        <f t="shared" si="58"/>
        <v>116.98908865201014</v>
      </c>
      <c r="R54" s="87">
        <f t="shared" si="58"/>
        <v>121.22989492492884</v>
      </c>
      <c r="S54" s="87">
        <f t="shared" si="58"/>
        <v>121.31976217127043</v>
      </c>
      <c r="T54" s="87">
        <f t="shared" si="58"/>
        <v>124.38434903460009</v>
      </c>
      <c r="U54" s="87">
        <f t="shared" si="58"/>
        <v>142.78385371671337</v>
      </c>
      <c r="V54" s="87">
        <f t="shared" si="58"/>
        <v>92.491880088230488</v>
      </c>
      <c r="W54" s="87">
        <f t="shared" ref="W54:Y54" si="59">IF(W8=0,0,W8/W19)</f>
        <v>80.526188478296675</v>
      </c>
      <c r="X54" s="87">
        <f t="shared" si="59"/>
        <v>130.22100963520009</v>
      </c>
      <c r="Y54" s="87">
        <f t="shared" si="59"/>
        <v>126.10446846373378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467.3551020202064</v>
      </c>
      <c r="C56" s="29">
        <f t="shared" si="63"/>
        <v>621.44870735631378</v>
      </c>
      <c r="D56" s="29">
        <f t="shared" si="63"/>
        <v>623.94491524425086</v>
      </c>
      <c r="E56" s="29">
        <f t="shared" si="63"/>
        <v>585.95614627867644</v>
      </c>
      <c r="F56" s="29">
        <f t="shared" si="63"/>
        <v>555.39009911913593</v>
      </c>
      <c r="G56" s="29">
        <f t="shared" si="63"/>
        <v>736.45353702518184</v>
      </c>
      <c r="H56" s="29">
        <f t="shared" si="63"/>
        <v>718.30383579961654</v>
      </c>
      <c r="I56" s="29">
        <f t="shared" si="63"/>
        <v>676.57568168789487</v>
      </c>
      <c r="J56" s="29">
        <f t="shared" si="63"/>
        <v>749.35053068480511</v>
      </c>
      <c r="K56" s="29">
        <f t="shared" ref="K56:V56" si="64">IF(K10=0,0,K10/K21)</f>
        <v>767.00257391191587</v>
      </c>
      <c r="L56" s="29">
        <f t="shared" si="64"/>
        <v>689.51131222144511</v>
      </c>
      <c r="M56" s="29">
        <f t="shared" si="64"/>
        <v>685.72248678443827</v>
      </c>
      <c r="N56" s="29">
        <f t="shared" si="64"/>
        <v>744.44122806862572</v>
      </c>
      <c r="O56" s="29">
        <f t="shared" si="64"/>
        <v>609.34137875879401</v>
      </c>
      <c r="P56" s="29">
        <f t="shared" si="64"/>
        <v>717.35304042319797</v>
      </c>
      <c r="Q56" s="29">
        <f t="shared" si="64"/>
        <v>846.31369229677034</v>
      </c>
      <c r="R56" s="29">
        <f t="shared" si="64"/>
        <v>758.23856580941924</v>
      </c>
      <c r="S56" s="29">
        <f t="shared" si="64"/>
        <v>947.23638554449474</v>
      </c>
      <c r="T56" s="29">
        <f t="shared" si="64"/>
        <v>837.67426705213632</v>
      </c>
      <c r="U56" s="29">
        <f t="shared" si="64"/>
        <v>958.38300613883973</v>
      </c>
      <c r="V56" s="29">
        <f t="shared" si="64"/>
        <v>630.60472263814779</v>
      </c>
      <c r="W56" s="29">
        <f t="shared" ref="W56:Y56" si="65">IF(W10=0,0,W10/W21)</f>
        <v>627.50352960585667</v>
      </c>
      <c r="X56" s="29">
        <f t="shared" si="65"/>
        <v>484.68557534688267</v>
      </c>
      <c r="Y56" s="29">
        <f t="shared" si="65"/>
        <v>489.77498072996508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:Y57" si="68">IF(W11=0,0,W11/W22)</f>
        <v>0</v>
      </c>
      <c r="X57" s="87">
        <f t="shared" si="68"/>
        <v>0</v>
      </c>
      <c r="Y57" s="87">
        <f t="shared" si="68"/>
        <v>0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467.3551020202064</v>
      </c>
      <c r="C58" s="88">
        <f t="shared" si="69"/>
        <v>621.44870735631378</v>
      </c>
      <c r="D58" s="88">
        <f t="shared" si="69"/>
        <v>623.94491524425086</v>
      </c>
      <c r="E58" s="88">
        <f t="shared" si="69"/>
        <v>585.95614627867644</v>
      </c>
      <c r="F58" s="88">
        <f t="shared" si="69"/>
        <v>555.39009911913593</v>
      </c>
      <c r="G58" s="88">
        <f t="shared" si="69"/>
        <v>736.45353702518184</v>
      </c>
      <c r="H58" s="88">
        <f t="shared" si="69"/>
        <v>718.30383579961654</v>
      </c>
      <c r="I58" s="88">
        <f t="shared" si="69"/>
        <v>676.57568168789487</v>
      </c>
      <c r="J58" s="88">
        <f t="shared" si="69"/>
        <v>749.35053068480511</v>
      </c>
      <c r="K58" s="88">
        <f t="shared" ref="K58:V58" si="70">IF(K12=0,0,K12/K23)</f>
        <v>767.00257391191587</v>
      </c>
      <c r="L58" s="88">
        <f t="shared" si="70"/>
        <v>689.51131222144511</v>
      </c>
      <c r="M58" s="88">
        <f t="shared" si="70"/>
        <v>685.72248678443827</v>
      </c>
      <c r="N58" s="88">
        <f t="shared" si="70"/>
        <v>744.44122806862572</v>
      </c>
      <c r="O58" s="88">
        <f t="shared" si="70"/>
        <v>609.34137875879401</v>
      </c>
      <c r="P58" s="88">
        <f t="shared" si="70"/>
        <v>717.35304042319797</v>
      </c>
      <c r="Q58" s="88">
        <f t="shared" si="70"/>
        <v>846.31369229677034</v>
      </c>
      <c r="R58" s="88">
        <f t="shared" si="70"/>
        <v>758.23856580941924</v>
      </c>
      <c r="S58" s="88">
        <f t="shared" si="70"/>
        <v>947.23638554449474</v>
      </c>
      <c r="T58" s="88">
        <f t="shared" si="70"/>
        <v>837.67426705213632</v>
      </c>
      <c r="U58" s="88">
        <f t="shared" si="70"/>
        <v>958.38300613883973</v>
      </c>
      <c r="V58" s="88">
        <f t="shared" si="70"/>
        <v>630.60472263814779</v>
      </c>
      <c r="W58" s="88">
        <f t="shared" ref="W58:Y58" si="71">IF(W12=0,0,W12/W23)</f>
        <v>627.50352960585667</v>
      </c>
      <c r="X58" s="88">
        <f t="shared" si="71"/>
        <v>484.68557534688267</v>
      </c>
      <c r="Y58" s="88">
        <f t="shared" si="71"/>
        <v>489.77498072996508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338.71673861781181</v>
      </c>
      <c r="C61" s="29">
        <f t="shared" ref="C61" si="73">IF(C26=0,0,(C62*C27+C64*C29+C65*C30+C66*C31)/(C27+C29+C30+C31))</f>
        <v>340.57638595686984</v>
      </c>
      <c r="D61" s="29">
        <f t="shared" ref="D61" si="74">IF(D26=0,0,(D62*D27+D64*D29+D65*D30+D66*D31)/(D27+D29+D30+D31))</f>
        <v>342.4286759335746</v>
      </c>
      <c r="E61" s="29">
        <f t="shared" ref="E61" si="75">IF(E26=0,0,(E62*E27+E64*E29+E65*E30+E66*E31)/(E27+E29+E30+E31))</f>
        <v>342.54635141294438</v>
      </c>
      <c r="F61" s="29">
        <f t="shared" ref="F61" si="76">IF(F26=0,0,(F62*F27+F64*F29+F65*F30+F66*F31)/(F27+F29+F30+F31))</f>
        <v>342.62325105049177</v>
      </c>
      <c r="G61" s="29">
        <f t="shared" ref="G61" si="77">IF(G26=0,0,(G62*G27+G64*G29+G65*G30+G66*G31)/(G27+G29+G30+G31))</f>
        <v>345.42141025802886</v>
      </c>
      <c r="H61" s="29">
        <f t="shared" ref="H61" si="78">IF(H26=0,0,(H62*H27+H64*H29+H65*H30+H66*H31)/(H27+H29+H30+H31))</f>
        <v>343.39589042409278</v>
      </c>
      <c r="I61" s="29">
        <f t="shared" ref="I61" si="79">IF(I26=0,0,(I62*I27+I64*I29+I65*I30+I66*I31)/(I27+I29+I30+I31))</f>
        <v>344.92072715306676</v>
      </c>
      <c r="J61" s="29">
        <f t="shared" ref="J61" si="80">IF(J26=0,0,(J62*J27+J64*J29+J65*J30+J66*J31)/(J27+J29+J30+J31))</f>
        <v>342.4877621386413</v>
      </c>
      <c r="K61" s="29">
        <f t="shared" ref="K61" si="81">IF(K26=0,0,(K62*K27+K64*K29+K65*K30+K66*K31)/(K27+K29+K30+K31))</f>
        <v>339.79261365202768</v>
      </c>
      <c r="L61" s="29">
        <f t="shared" ref="L61" si="82">IF(L26=0,0,(L62*L27+L64*L29+L65*L30+L66*L31)/(L27+L29+L30+L31))</f>
        <v>338.11275455862312</v>
      </c>
      <c r="M61" s="29">
        <f t="shared" ref="M61" si="83">IF(M26=0,0,(M62*M27+M64*M29+M65*M30+M66*M31)/(M27+M29+M30+M31))</f>
        <v>337.42584171408765</v>
      </c>
      <c r="N61" s="29">
        <f t="shared" ref="N61" si="84">IF(N26=0,0,(N62*N27+N64*N29+N65*N30+N66*N31)/(N27+N29+N30+N31))</f>
        <v>335.99324824899935</v>
      </c>
      <c r="O61" s="29">
        <f t="shared" ref="O61" si="85">IF(O26=0,0,(O62*O27+O64*O29+O65*O30+O66*O31)/(O27+O29+O30+O31))</f>
        <v>335.20101456969184</v>
      </c>
      <c r="P61" s="29">
        <f t="shared" ref="P61" si="86">IF(P26=0,0,(P62*P27+P64*P29+P65*P30+P66*P31)/(P27+P29+P30+P31))</f>
        <v>333.24873320080121</v>
      </c>
      <c r="Q61" s="29">
        <f t="shared" ref="Q61" si="87">IF(Q26=0,0,(Q62*Q27+Q64*Q29+Q65*Q30+Q66*Q31)/(Q27+Q29+Q30+Q31))</f>
        <v>329.91483202770286</v>
      </c>
      <c r="R61" s="29">
        <f t="shared" ref="R61" si="88">IF(R26=0,0,(R62*R27+R64*R29+R65*R30+R66*R31)/(R27+R29+R30+R31))</f>
        <v>331.66343773768386</v>
      </c>
      <c r="S61" s="29">
        <f t="shared" ref="S61" si="89">IF(S26=0,0,(S62*S27+S64*S29+S65*S30+S66*S31)/(S27+S29+S30+S31))</f>
        <v>330.22595282248994</v>
      </c>
      <c r="T61" s="29">
        <f t="shared" ref="T61" si="90">IF(T26=0,0,(T62*T27+T64*T29+T65*T30+T66*T31)/(T27+T29+T30+T31))</f>
        <v>330.34216253082013</v>
      </c>
      <c r="U61" s="29">
        <f t="shared" ref="U61" si="91">IF(U26=0,0,(U62*U27+U64*U29+U65*U30+U66*U31)/(U27+U29+U30+U31))</f>
        <v>330.90931515316549</v>
      </c>
      <c r="V61" s="29">
        <f t="shared" ref="V61" si="92">IF(V26=0,0,(V62*V27+V64*V29+V65*V30+V66*V31)/(V27+V29+V30+V31))</f>
        <v>331.50035930221759</v>
      </c>
      <c r="W61" s="29">
        <f t="shared" ref="W61:Y61" si="93">IF(W26=0,0,(W62*W27+W64*W29+W65*W30+W66*W31)/(W27+W29+W30+W31))</f>
        <v>337.87222447082252</v>
      </c>
      <c r="X61" s="29">
        <f t="shared" si="93"/>
        <v>336.7495881782516</v>
      </c>
      <c r="Y61" s="29">
        <f t="shared" si="93"/>
        <v>334.665384222885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X64" s="87">
        <v>0</v>
      </c>
      <c r="Y64" s="87">
        <v>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X68" s="87">
        <v>0</v>
      </c>
      <c r="Y68" s="87">
        <v>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0.38989454212624225</v>
      </c>
      <c r="C72" s="30">
        <f t="shared" ref="C72:J72" si="138">IF(C50=0,0,C50/C61)</f>
        <v>0.43816116203730981</v>
      </c>
      <c r="D72" s="30">
        <f t="shared" si="138"/>
        <v>0.42522846419011123</v>
      </c>
      <c r="E72" s="30">
        <f t="shared" si="138"/>
        <v>0.36873798442720856</v>
      </c>
      <c r="F72" s="30">
        <f t="shared" si="138"/>
        <v>0.35680364933672731</v>
      </c>
      <c r="G72" s="30">
        <f t="shared" si="138"/>
        <v>0.37139017159818438</v>
      </c>
      <c r="H72" s="30">
        <f t="shared" si="138"/>
        <v>0.34818645888868982</v>
      </c>
      <c r="I72" s="30">
        <f t="shared" si="138"/>
        <v>0.34375180955523144</v>
      </c>
      <c r="J72" s="30">
        <f t="shared" si="138"/>
        <v>0.35364465399092709</v>
      </c>
      <c r="K72" s="30">
        <f t="shared" ref="K72:V72" si="139">IF(K50=0,0,K50/K61)</f>
        <v>0.33540041123595316</v>
      </c>
      <c r="L72" s="30">
        <f t="shared" si="139"/>
        <v>0.340444651030262</v>
      </c>
      <c r="M72" s="30">
        <f t="shared" si="139"/>
        <v>0.35086782833654012</v>
      </c>
      <c r="N72" s="30">
        <f t="shared" si="139"/>
        <v>0.34155764487511581</v>
      </c>
      <c r="O72" s="30">
        <f t="shared" si="139"/>
        <v>0.34320279284859667</v>
      </c>
      <c r="P72" s="30">
        <f t="shared" si="139"/>
        <v>0.33183857240580056</v>
      </c>
      <c r="Q72" s="30">
        <f t="shared" si="139"/>
        <v>0.34489611224774175</v>
      </c>
      <c r="R72" s="30">
        <f t="shared" si="139"/>
        <v>0.35294898890914878</v>
      </c>
      <c r="S72" s="30">
        <f t="shared" si="139"/>
        <v>0.35690269393251206</v>
      </c>
      <c r="T72" s="30">
        <f t="shared" si="139"/>
        <v>0.36470105446760565</v>
      </c>
      <c r="U72" s="30">
        <f t="shared" si="139"/>
        <v>0.41271287483084501</v>
      </c>
      <c r="V72" s="30">
        <f t="shared" si="139"/>
        <v>0.26372257819965489</v>
      </c>
      <c r="W72" s="30">
        <f t="shared" ref="W72:Y72" si="140">IF(W50=0,0,W50/W61)</f>
        <v>0.2194136616170636</v>
      </c>
      <c r="X72" s="30">
        <f t="shared" si="140"/>
        <v>0.36372519086962879</v>
      </c>
      <c r="Y72" s="30">
        <f t="shared" si="140"/>
        <v>0.35770071544002729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0.19611780214620322</v>
      </c>
      <c r="C73" s="118">
        <f t="shared" si="141"/>
        <v>0.19624294475250431</v>
      </c>
      <c r="D73" s="118">
        <f t="shared" si="141"/>
        <v>0.19302190542964173</v>
      </c>
      <c r="E73" s="118">
        <f t="shared" si="141"/>
        <v>0.19329019487519464</v>
      </c>
      <c r="F73" s="118">
        <f t="shared" si="141"/>
        <v>0.19055552223872055</v>
      </c>
      <c r="G73" s="118">
        <f t="shared" si="141"/>
        <v>0.18943237001216531</v>
      </c>
      <c r="H73" s="118">
        <f t="shared" si="141"/>
        <v>0.19019666958545542</v>
      </c>
      <c r="I73" s="118">
        <f t="shared" si="141"/>
        <v>0.18355585255656895</v>
      </c>
      <c r="J73" s="118">
        <f t="shared" si="141"/>
        <v>0.1918608429066484</v>
      </c>
      <c r="K73" s="118">
        <f t="shared" ref="K73:V73" si="142">IF(K51=0,0,K51/K62)</f>
        <v>0.191380398851353</v>
      </c>
      <c r="L73" s="118">
        <f t="shared" si="142"/>
        <v>0.19172316034880862</v>
      </c>
      <c r="M73" s="118">
        <f t="shared" si="142"/>
        <v>0.19557948660477148</v>
      </c>
      <c r="N73" s="118">
        <f t="shared" si="142"/>
        <v>0.19510932310880325</v>
      </c>
      <c r="O73" s="118">
        <f t="shared" si="142"/>
        <v>0.19549304901153458</v>
      </c>
      <c r="P73" s="118">
        <f t="shared" si="142"/>
        <v>0.19681690124982798</v>
      </c>
      <c r="Q73" s="118">
        <f t="shared" si="142"/>
        <v>0.20728638490225876</v>
      </c>
      <c r="R73" s="118">
        <f t="shared" si="142"/>
        <v>0.20936668184274931</v>
      </c>
      <c r="S73" s="118">
        <f t="shared" si="142"/>
        <v>0.21413459733775317</v>
      </c>
      <c r="T73" s="118">
        <f t="shared" si="142"/>
        <v>0.21145250925322587</v>
      </c>
      <c r="U73" s="118">
        <f t="shared" si="142"/>
        <v>0.21095463592298735</v>
      </c>
      <c r="V73" s="118">
        <f t="shared" si="142"/>
        <v>0.12901588023109181</v>
      </c>
      <c r="W73" s="118">
        <f t="shared" ref="W73:Y73" si="143">IF(W51=0,0,W51/W62)</f>
        <v>0.10975988598643382</v>
      </c>
      <c r="X73" s="118">
        <f t="shared" si="143"/>
        <v>0.18960253136449429</v>
      </c>
      <c r="Y73" s="118">
        <f t="shared" si="143"/>
        <v>0.20215935891258588</v>
      </c>
      <c r="DA73" s="203"/>
    </row>
    <row r="74" spans="1:105" ht="11.45" customHeight="1" x14ac:dyDescent="0.25">
      <c r="A74" s="109" t="s">
        <v>24</v>
      </c>
      <c r="B74" s="119">
        <f t="shared" si="141"/>
        <v>0.45022604295945146</v>
      </c>
      <c r="C74" s="119">
        <f t="shared" si="141"/>
        <v>0.52681133415973025</v>
      </c>
      <c r="D74" s="119">
        <f t="shared" si="141"/>
        <v>0.51610081459769863</v>
      </c>
      <c r="E74" s="119">
        <f t="shared" si="141"/>
        <v>0.43877894382890287</v>
      </c>
      <c r="F74" s="119">
        <f t="shared" si="141"/>
        <v>0.42361829998276301</v>
      </c>
      <c r="G74" s="119">
        <f t="shared" si="141"/>
        <v>0.45694687489379682</v>
      </c>
      <c r="H74" s="119">
        <f t="shared" si="141"/>
        <v>0.41483426273245627</v>
      </c>
      <c r="I74" s="119">
        <f t="shared" si="141"/>
        <v>0.41733149608588721</v>
      </c>
      <c r="J74" s="119">
        <f t="shared" si="141"/>
        <v>0.4170741039337198</v>
      </c>
      <c r="K74" s="119">
        <f t="shared" ref="K74:V74" si="144">IF(K52=0,0,K52/K63)</f>
        <v>0.38015195285800818</v>
      </c>
      <c r="L74" s="119">
        <f t="shared" si="144"/>
        <v>0.38328577418092863</v>
      </c>
      <c r="M74" s="119">
        <f t="shared" si="144"/>
        <v>0.39560437284949679</v>
      </c>
      <c r="N74" s="119">
        <f t="shared" si="144"/>
        <v>0.37965319758940008</v>
      </c>
      <c r="O74" s="119">
        <f t="shared" si="144"/>
        <v>0.37931356943060568</v>
      </c>
      <c r="P74" s="119">
        <f t="shared" si="144"/>
        <v>0.36006800761857338</v>
      </c>
      <c r="Q74" s="119">
        <f t="shared" si="144"/>
        <v>0.3655909020375317</v>
      </c>
      <c r="R74" s="119">
        <f t="shared" si="144"/>
        <v>0.37884342164040263</v>
      </c>
      <c r="S74" s="119">
        <f t="shared" si="144"/>
        <v>0.3791242567852201</v>
      </c>
      <c r="T74" s="119">
        <f t="shared" si="144"/>
        <v>0.38870109073312531</v>
      </c>
      <c r="U74" s="119">
        <f t="shared" si="144"/>
        <v>0.44619954286472929</v>
      </c>
      <c r="V74" s="119">
        <f t="shared" si="144"/>
        <v>0.28903712527572029</v>
      </c>
      <c r="W74" s="119">
        <f t="shared" ref="W74:Y74" si="145">IF(W52=0,0,W52/W63)</f>
        <v>0.25164433899467709</v>
      </c>
      <c r="X74" s="119">
        <f t="shared" si="145"/>
        <v>0.40694065511000027</v>
      </c>
      <c r="Y74" s="119">
        <f t="shared" si="145"/>
        <v>0.39407646394916807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:Y75" si="147">IF(W53=0,0,W53/W64)</f>
        <v>0</v>
      </c>
      <c r="X75" s="120">
        <f t="shared" si="147"/>
        <v>0</v>
      </c>
      <c r="Y75" s="120">
        <f t="shared" si="147"/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0.45022604295945146</v>
      </c>
      <c r="C76" s="120">
        <f t="shared" si="141"/>
        <v>0.52681133415973025</v>
      </c>
      <c r="D76" s="120">
        <f t="shared" si="141"/>
        <v>0.51610081459769863</v>
      </c>
      <c r="E76" s="120">
        <f t="shared" si="141"/>
        <v>0.43877894382890287</v>
      </c>
      <c r="F76" s="120">
        <f t="shared" si="141"/>
        <v>0.42361829998276301</v>
      </c>
      <c r="G76" s="120">
        <f t="shared" si="141"/>
        <v>0.45694687489379682</v>
      </c>
      <c r="H76" s="120">
        <f t="shared" si="141"/>
        <v>0.41483426273245627</v>
      </c>
      <c r="I76" s="120">
        <f t="shared" si="141"/>
        <v>0.41733149608588721</v>
      </c>
      <c r="J76" s="120">
        <f t="shared" si="141"/>
        <v>0.4170741039337198</v>
      </c>
      <c r="K76" s="120">
        <f t="shared" ref="K76:V76" si="148">IF(K54=0,0,K54/K65)</f>
        <v>0.38015195285800829</v>
      </c>
      <c r="L76" s="120">
        <f t="shared" si="148"/>
        <v>0.38328577418092863</v>
      </c>
      <c r="M76" s="120">
        <f t="shared" si="148"/>
        <v>0.39560437284949679</v>
      </c>
      <c r="N76" s="120">
        <f t="shared" si="148"/>
        <v>0.37965319758940008</v>
      </c>
      <c r="O76" s="120">
        <f t="shared" si="148"/>
        <v>0.37931356943060568</v>
      </c>
      <c r="P76" s="120">
        <f t="shared" si="148"/>
        <v>0.36006800761857338</v>
      </c>
      <c r="Q76" s="120">
        <f t="shared" si="148"/>
        <v>0.3655909020375317</v>
      </c>
      <c r="R76" s="120">
        <f t="shared" si="148"/>
        <v>0.37884342164040263</v>
      </c>
      <c r="S76" s="120">
        <f t="shared" si="148"/>
        <v>0.3791242567852201</v>
      </c>
      <c r="T76" s="120">
        <f t="shared" si="148"/>
        <v>0.38870109073312531</v>
      </c>
      <c r="U76" s="120">
        <f t="shared" si="148"/>
        <v>0.44619954286472929</v>
      </c>
      <c r="V76" s="120">
        <f t="shared" si="148"/>
        <v>0.28903712527572029</v>
      </c>
      <c r="W76" s="120">
        <f t="shared" ref="W76:Y76" si="149">IF(W54=0,0,W54/W65)</f>
        <v>0.25164433899467709</v>
      </c>
      <c r="X76" s="120">
        <f t="shared" si="149"/>
        <v>0.40694065511000027</v>
      </c>
      <c r="Y76" s="120">
        <f t="shared" si="149"/>
        <v>0.39407646394916807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0.22255004858105068</v>
      </c>
      <c r="C78" s="30">
        <f t="shared" si="141"/>
        <v>0.29592795588395893</v>
      </c>
      <c r="D78" s="30">
        <f t="shared" si="141"/>
        <v>0.29711662630678615</v>
      </c>
      <c r="E78" s="30">
        <f t="shared" si="141"/>
        <v>0.27902673632317926</v>
      </c>
      <c r="F78" s="30">
        <f t="shared" si="141"/>
        <v>0.26447147577101709</v>
      </c>
      <c r="G78" s="30">
        <f t="shared" si="141"/>
        <v>0.3506921604881818</v>
      </c>
      <c r="H78" s="30">
        <f t="shared" si="141"/>
        <v>0.34204944561886502</v>
      </c>
      <c r="I78" s="30">
        <f t="shared" si="141"/>
        <v>0.32217889604185468</v>
      </c>
      <c r="J78" s="30">
        <f t="shared" si="141"/>
        <v>0.3568335860403834</v>
      </c>
      <c r="K78" s="30">
        <f t="shared" ref="K78:V78" si="152">IF(K56=0,0,K56/K67)</f>
        <v>0.36523932091043615</v>
      </c>
      <c r="L78" s="30">
        <f t="shared" si="152"/>
        <v>0.32833872010545007</v>
      </c>
      <c r="M78" s="30">
        <f t="shared" si="152"/>
        <v>0.32653451751639917</v>
      </c>
      <c r="N78" s="30">
        <f t="shared" si="152"/>
        <v>0.35449582288982179</v>
      </c>
      <c r="O78" s="30">
        <f t="shared" si="152"/>
        <v>0.29016256131371143</v>
      </c>
      <c r="P78" s="30">
        <f t="shared" si="152"/>
        <v>0.34159668591580855</v>
      </c>
      <c r="Q78" s="30">
        <f t="shared" si="152"/>
        <v>0.40300652014131921</v>
      </c>
      <c r="R78" s="30">
        <f t="shared" si="152"/>
        <v>0.36106598371877108</v>
      </c>
      <c r="S78" s="30">
        <f t="shared" si="152"/>
        <v>0.45106494549737847</v>
      </c>
      <c r="T78" s="30">
        <f t="shared" si="152"/>
        <v>0.39889250812006494</v>
      </c>
      <c r="U78" s="30">
        <f t="shared" si="152"/>
        <v>0.45637286006611416</v>
      </c>
      <c r="V78" s="30">
        <f t="shared" si="152"/>
        <v>0.30028796316102274</v>
      </c>
      <c r="W78" s="30">
        <f t="shared" ref="W78:Y78" si="153">IF(W56=0,0,W56/W67)</f>
        <v>0.29881120457421745</v>
      </c>
      <c r="X78" s="30">
        <f t="shared" si="153"/>
        <v>0.23080265492708699</v>
      </c>
      <c r="Y78" s="30">
        <f t="shared" si="153"/>
        <v>0.23322618129998338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:Y79" si="155">IF(W57=0,0,W57/W68)</f>
        <v>0</v>
      </c>
      <c r="X79" s="120">
        <f t="shared" si="155"/>
        <v>0</v>
      </c>
      <c r="Y79" s="120">
        <f t="shared" si="155"/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0.22255004858105068</v>
      </c>
      <c r="C80" s="122">
        <f t="shared" si="141"/>
        <v>0.29592795588395893</v>
      </c>
      <c r="D80" s="122">
        <f t="shared" si="141"/>
        <v>0.29711662630678615</v>
      </c>
      <c r="E80" s="122">
        <f t="shared" si="141"/>
        <v>0.27902673632317926</v>
      </c>
      <c r="F80" s="122">
        <f t="shared" si="141"/>
        <v>0.26447147577101709</v>
      </c>
      <c r="G80" s="122">
        <f t="shared" si="141"/>
        <v>0.3506921604881818</v>
      </c>
      <c r="H80" s="122">
        <f t="shared" si="141"/>
        <v>0.34204944561886502</v>
      </c>
      <c r="I80" s="122">
        <f t="shared" si="141"/>
        <v>0.32217889604185468</v>
      </c>
      <c r="J80" s="122">
        <f t="shared" si="141"/>
        <v>0.3568335860403834</v>
      </c>
      <c r="K80" s="122">
        <f t="shared" ref="K80:V80" si="156">IF(K58=0,0,K58/K69)</f>
        <v>0.36523932091043615</v>
      </c>
      <c r="L80" s="122">
        <f t="shared" si="156"/>
        <v>0.32833872010545007</v>
      </c>
      <c r="M80" s="122">
        <f t="shared" si="156"/>
        <v>0.32653451751639917</v>
      </c>
      <c r="N80" s="122">
        <f t="shared" si="156"/>
        <v>0.35449582288982179</v>
      </c>
      <c r="O80" s="122">
        <f t="shared" si="156"/>
        <v>0.29016256131371143</v>
      </c>
      <c r="P80" s="122">
        <f t="shared" si="156"/>
        <v>0.34159668591580855</v>
      </c>
      <c r="Q80" s="122">
        <f t="shared" si="156"/>
        <v>0.40300652014131921</v>
      </c>
      <c r="R80" s="122">
        <f t="shared" si="156"/>
        <v>0.36106598371877108</v>
      </c>
      <c r="S80" s="122">
        <f t="shared" si="156"/>
        <v>0.45106494549737847</v>
      </c>
      <c r="T80" s="122">
        <f t="shared" si="156"/>
        <v>0.39889250812006494</v>
      </c>
      <c r="U80" s="122">
        <f t="shared" si="156"/>
        <v>0.45637286006611416</v>
      </c>
      <c r="V80" s="122">
        <f t="shared" si="156"/>
        <v>0.30028796316102274</v>
      </c>
      <c r="W80" s="122">
        <f t="shared" ref="W80:Y80" si="157">IF(W58=0,0,W58/W69)</f>
        <v>0.29881120457421745</v>
      </c>
      <c r="X80" s="122">
        <f t="shared" si="157"/>
        <v>0.23080265492708699</v>
      </c>
      <c r="Y80" s="122">
        <f t="shared" si="157"/>
        <v>0.23322618129998338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164943.15174408181</v>
      </c>
      <c r="C82" s="54">
        <f t="shared" si="158"/>
        <v>144124.88345330657</v>
      </c>
      <c r="D82" s="54">
        <f t="shared" si="158"/>
        <v>152140.58811725871</v>
      </c>
      <c r="E82" s="54">
        <f t="shared" si="158"/>
        <v>160812.42950823071</v>
      </c>
      <c r="F82" s="54">
        <f t="shared" si="158"/>
        <v>160990.62929980372</v>
      </c>
      <c r="G82" s="54">
        <f t="shared" si="158"/>
        <v>148629.83136198838</v>
      </c>
      <c r="H82" s="54">
        <f t="shared" si="158"/>
        <v>157232.07039763848</v>
      </c>
      <c r="I82" s="54">
        <f t="shared" si="158"/>
        <v>157047.10792824821</v>
      </c>
      <c r="J82" s="54">
        <f t="shared" si="158"/>
        <v>155242.31221348685</v>
      </c>
      <c r="K82" s="54">
        <f t="shared" ref="K82:V82" si="159">IF(K14=0,0,K14/K25*1000000)</f>
        <v>146640.90516853944</v>
      </c>
      <c r="L82" s="54">
        <f t="shared" si="159"/>
        <v>155089.74702402175</v>
      </c>
      <c r="M82" s="54">
        <f t="shared" si="159"/>
        <v>156657.11431681315</v>
      </c>
      <c r="N82" s="54">
        <f t="shared" si="159"/>
        <v>155466.14546632039</v>
      </c>
      <c r="O82" s="54">
        <f t="shared" si="159"/>
        <v>159253.50312112202</v>
      </c>
      <c r="P82" s="54">
        <f t="shared" si="159"/>
        <v>157855.39572772058</v>
      </c>
      <c r="Q82" s="54">
        <f t="shared" si="159"/>
        <v>155126.14647881745</v>
      </c>
      <c r="R82" s="54">
        <f t="shared" si="159"/>
        <v>155194.09776793051</v>
      </c>
      <c r="S82" s="54">
        <f t="shared" si="159"/>
        <v>153654.82611755966</v>
      </c>
      <c r="T82" s="54">
        <f t="shared" si="159"/>
        <v>154558.55617713323</v>
      </c>
      <c r="U82" s="54">
        <f t="shared" si="159"/>
        <v>150537.91662172039</v>
      </c>
      <c r="V82" s="54">
        <f t="shared" si="159"/>
        <v>142767.86288014794</v>
      </c>
      <c r="W82" s="54">
        <f t="shared" ref="W82:Y82" si="160">IF(W14=0,0,W14/W25*1000000)</f>
        <v>154804.45736409584</v>
      </c>
      <c r="X82" s="54">
        <f t="shared" si="160"/>
        <v>155719.47618240066</v>
      </c>
      <c r="Y82" s="54">
        <f t="shared" si="160"/>
        <v>156999.59994124706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140641.63029696557</v>
      </c>
      <c r="C83" s="28">
        <f t="shared" si="161"/>
        <v>131698.18647994427</v>
      </c>
      <c r="D83" s="28">
        <f t="shared" si="161"/>
        <v>138785.66114555471</v>
      </c>
      <c r="E83" s="28">
        <f t="shared" si="161"/>
        <v>138726.82351328011</v>
      </c>
      <c r="F83" s="28">
        <f t="shared" si="161"/>
        <v>138688.37343364753</v>
      </c>
      <c r="G83" s="28">
        <f t="shared" si="161"/>
        <v>137289.29397698693</v>
      </c>
      <c r="H83" s="28">
        <f t="shared" si="161"/>
        <v>138302.05400924402</v>
      </c>
      <c r="I83" s="28">
        <f t="shared" si="161"/>
        <v>137539.63547720027</v>
      </c>
      <c r="J83" s="28">
        <f t="shared" si="161"/>
        <v>137834.59906604214</v>
      </c>
      <c r="K83" s="28">
        <f t="shared" ref="K83:V83" si="162">IF(K15=0,0,K15/K26*1000000)</f>
        <v>136067.52877101151</v>
      </c>
      <c r="L83" s="28">
        <f t="shared" si="162"/>
        <v>138820.09372891576</v>
      </c>
      <c r="M83" s="28">
        <f t="shared" si="162"/>
        <v>141287.07851952119</v>
      </c>
      <c r="N83" s="28">
        <f t="shared" si="162"/>
        <v>142003.37549041858</v>
      </c>
      <c r="O83" s="28">
        <f t="shared" si="162"/>
        <v>142399.49132380247</v>
      </c>
      <c r="P83" s="28">
        <f t="shared" si="162"/>
        <v>143375.63296804228</v>
      </c>
      <c r="Q83" s="28">
        <f t="shared" si="162"/>
        <v>145042.58365210716</v>
      </c>
      <c r="R83" s="28">
        <f t="shared" si="162"/>
        <v>144168.28051883494</v>
      </c>
      <c r="S83" s="28">
        <f t="shared" si="162"/>
        <v>144887.02312311949</v>
      </c>
      <c r="T83" s="28">
        <f t="shared" si="162"/>
        <v>144828.91798878598</v>
      </c>
      <c r="U83" s="28">
        <f t="shared" si="162"/>
        <v>140995.17114861702</v>
      </c>
      <c r="V83" s="28">
        <f t="shared" si="162"/>
        <v>127575.85015711725</v>
      </c>
      <c r="W83" s="28">
        <f t="shared" ref="W83:Y83" si="163">IF(W15=0,0,W15/W26*1000000)</f>
        <v>140786.73903366295</v>
      </c>
      <c r="X83" s="28">
        <f t="shared" si="163"/>
        <v>138265.73910490447</v>
      </c>
      <c r="Y83" s="28">
        <f t="shared" si="163"/>
        <v>142667.30719912262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109999.99926734804</v>
      </c>
      <c r="C84" s="108">
        <f t="shared" si="161"/>
        <v>109999.99897751246</v>
      </c>
      <c r="D84" s="108">
        <f t="shared" si="161"/>
        <v>109999.99873978058</v>
      </c>
      <c r="E84" s="108">
        <f t="shared" si="161"/>
        <v>109999.99807606323</v>
      </c>
      <c r="F84" s="108">
        <f t="shared" si="161"/>
        <v>109999.99976594333</v>
      </c>
      <c r="G84" s="108">
        <f t="shared" si="161"/>
        <v>109999.99869414352</v>
      </c>
      <c r="H84" s="108">
        <f t="shared" si="161"/>
        <v>109999.99846633535</v>
      </c>
      <c r="I84" s="108">
        <f t="shared" si="161"/>
        <v>109999.99858028982</v>
      </c>
      <c r="J84" s="108">
        <f t="shared" si="161"/>
        <v>106721.70335670789</v>
      </c>
      <c r="K84" s="108">
        <f t="shared" ref="K84:V84" si="164">IF(K16=0,0,K16/K27*1000000)</f>
        <v>93686.18239237598</v>
      </c>
      <c r="L84" s="108">
        <f t="shared" si="164"/>
        <v>100620.84788564291</v>
      </c>
      <c r="M84" s="108">
        <f t="shared" si="164"/>
        <v>109999.99965917399</v>
      </c>
      <c r="N84" s="108">
        <f t="shared" si="164"/>
        <v>109999.99859979743</v>
      </c>
      <c r="O84" s="108">
        <f t="shared" si="164"/>
        <v>109999.99675605327</v>
      </c>
      <c r="P84" s="108">
        <f t="shared" si="164"/>
        <v>109999.99798558815</v>
      </c>
      <c r="Q84" s="108">
        <f t="shared" si="164"/>
        <v>109999.9981346268</v>
      </c>
      <c r="R84" s="108">
        <f t="shared" si="164"/>
        <v>109999.99910749409</v>
      </c>
      <c r="S84" s="108">
        <f t="shared" si="164"/>
        <v>109999.99887654278</v>
      </c>
      <c r="T84" s="108">
        <f t="shared" si="164"/>
        <v>109999.99838977004</v>
      </c>
      <c r="U84" s="108">
        <f t="shared" si="164"/>
        <v>109999.99640202979</v>
      </c>
      <c r="V84" s="108">
        <f t="shared" si="164"/>
        <v>109999.99798486283</v>
      </c>
      <c r="W84" s="108">
        <f t="shared" ref="W84:Y84" si="165">IF(W16=0,0,W16/W27*1000000)</f>
        <v>109999.99863152548</v>
      </c>
      <c r="X84" s="108">
        <f t="shared" si="165"/>
        <v>93954.392427679704</v>
      </c>
      <c r="Y84" s="108">
        <f t="shared" si="165"/>
        <v>109999.99945854519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149999.99970926109</v>
      </c>
      <c r="C85" s="110">
        <f t="shared" si="161"/>
        <v>139211.53429299576</v>
      </c>
      <c r="D85" s="110">
        <f t="shared" si="161"/>
        <v>149999.99925748474</v>
      </c>
      <c r="E85" s="110">
        <f t="shared" si="161"/>
        <v>149999.99966856657</v>
      </c>
      <c r="F85" s="110">
        <f t="shared" si="161"/>
        <v>149999.99864067929</v>
      </c>
      <c r="G85" s="110">
        <f t="shared" si="161"/>
        <v>149999.99929783493</v>
      </c>
      <c r="H85" s="110">
        <f t="shared" si="161"/>
        <v>149999.99953333224</v>
      </c>
      <c r="I85" s="110">
        <f t="shared" si="161"/>
        <v>149999.99926794428</v>
      </c>
      <c r="J85" s="110">
        <f t="shared" si="161"/>
        <v>149999.99940818307</v>
      </c>
      <c r="K85" s="110">
        <f t="shared" ref="K85:V85" si="166">IF(K17=0,0,K17/K28*1000000)</f>
        <v>149999.99895128104</v>
      </c>
      <c r="L85" s="110">
        <f t="shared" si="166"/>
        <v>149999.99936777801</v>
      </c>
      <c r="M85" s="110">
        <f t="shared" si="166"/>
        <v>149999.99929786319</v>
      </c>
      <c r="N85" s="110">
        <f t="shared" si="166"/>
        <v>149999.99986856463</v>
      </c>
      <c r="O85" s="110">
        <f t="shared" si="166"/>
        <v>149999.99904324356</v>
      </c>
      <c r="P85" s="110">
        <f t="shared" si="166"/>
        <v>149999.99988260653</v>
      </c>
      <c r="Q85" s="110">
        <f t="shared" si="166"/>
        <v>149999.99988259355</v>
      </c>
      <c r="R85" s="110">
        <f t="shared" si="166"/>
        <v>149999.99943549754</v>
      </c>
      <c r="S85" s="110">
        <f t="shared" si="166"/>
        <v>149999.99963077353</v>
      </c>
      <c r="T85" s="110">
        <f t="shared" si="166"/>
        <v>149999.99938253817</v>
      </c>
      <c r="U85" s="110">
        <f t="shared" si="166"/>
        <v>145889.26259216777</v>
      </c>
      <c r="V85" s="110">
        <f t="shared" si="166"/>
        <v>130526.64833597738</v>
      </c>
      <c r="W85" s="110">
        <f t="shared" ref="W85:Y85" si="167">IF(W17=0,0,W17/W28*1000000)</f>
        <v>149643.12461169696</v>
      </c>
      <c r="X85" s="110">
        <f t="shared" si="167"/>
        <v>149999.99959571206</v>
      </c>
      <c r="Y85" s="110">
        <f t="shared" si="167"/>
        <v>149999.99927734866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:Y86" si="169">IF(W18=0,0,W18/W29*1000000)</f>
        <v>0</v>
      </c>
      <c r="X86" s="84">
        <f t="shared" si="169"/>
        <v>0</v>
      </c>
      <c r="Y86" s="84">
        <f t="shared" si="169"/>
        <v>0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149999.99970926109</v>
      </c>
      <c r="C87" s="84">
        <f t="shared" si="161"/>
        <v>139211.53429299576</v>
      </c>
      <c r="D87" s="84">
        <f t="shared" si="161"/>
        <v>149999.99925748474</v>
      </c>
      <c r="E87" s="84">
        <f t="shared" si="161"/>
        <v>149999.99966856657</v>
      </c>
      <c r="F87" s="84">
        <f t="shared" si="161"/>
        <v>149999.99864067929</v>
      </c>
      <c r="G87" s="84">
        <f t="shared" si="161"/>
        <v>149999.99929783493</v>
      </c>
      <c r="H87" s="84">
        <f t="shared" si="161"/>
        <v>149999.99953333224</v>
      </c>
      <c r="I87" s="84">
        <f t="shared" si="161"/>
        <v>149999.99926794428</v>
      </c>
      <c r="J87" s="84">
        <f t="shared" si="161"/>
        <v>149999.99940818307</v>
      </c>
      <c r="K87" s="84">
        <f t="shared" ref="K87:V87" si="170">IF(K19=0,0,K19/K30*1000000)</f>
        <v>149999.99895128104</v>
      </c>
      <c r="L87" s="84">
        <f t="shared" si="170"/>
        <v>149999.99936777801</v>
      </c>
      <c r="M87" s="84">
        <f t="shared" si="170"/>
        <v>149999.99929786319</v>
      </c>
      <c r="N87" s="84">
        <f t="shared" si="170"/>
        <v>149999.99986856463</v>
      </c>
      <c r="O87" s="84">
        <f t="shared" si="170"/>
        <v>149999.99904324356</v>
      </c>
      <c r="P87" s="84">
        <f t="shared" si="170"/>
        <v>149999.99988260653</v>
      </c>
      <c r="Q87" s="84">
        <f t="shared" si="170"/>
        <v>149999.99988259355</v>
      </c>
      <c r="R87" s="84">
        <f t="shared" si="170"/>
        <v>149999.99943549754</v>
      </c>
      <c r="S87" s="84">
        <f t="shared" si="170"/>
        <v>149999.99963077353</v>
      </c>
      <c r="T87" s="84">
        <f t="shared" si="170"/>
        <v>149999.99938253817</v>
      </c>
      <c r="U87" s="84">
        <f t="shared" si="170"/>
        <v>145889.26259216777</v>
      </c>
      <c r="V87" s="84">
        <f t="shared" si="170"/>
        <v>130526.64833597738</v>
      </c>
      <c r="W87" s="84">
        <f t="shared" ref="W87:Y87" si="171">IF(W19=0,0,W19/W30*1000000)</f>
        <v>149643.12461169696</v>
      </c>
      <c r="X87" s="84">
        <f t="shared" si="171"/>
        <v>149999.99959571206</v>
      </c>
      <c r="Y87" s="84">
        <f t="shared" si="171"/>
        <v>149999.99927734866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199999.99856159711</v>
      </c>
      <c r="C89" s="28">
        <f t="shared" si="161"/>
        <v>162612.37127712392</v>
      </c>
      <c r="D89" s="28">
        <f t="shared" si="161"/>
        <v>173038.33717758363</v>
      </c>
      <c r="E89" s="28">
        <f t="shared" si="161"/>
        <v>199999.99963009582</v>
      </c>
      <c r="F89" s="28">
        <f t="shared" si="161"/>
        <v>199999.99984525624</v>
      </c>
      <c r="G89" s="28">
        <f t="shared" si="161"/>
        <v>170583.2412271919</v>
      </c>
      <c r="H89" s="28">
        <f t="shared" si="161"/>
        <v>199999.99920435221</v>
      </c>
      <c r="I89" s="28">
        <f t="shared" si="161"/>
        <v>199999.99805404933</v>
      </c>
      <c r="J89" s="28">
        <f t="shared" si="161"/>
        <v>199999.99855539709</v>
      </c>
      <c r="K89" s="28">
        <f t="shared" ref="K89:V89" si="174">IF(K21=0,0,K21/K32*1000000)</f>
        <v>181483.16062784268</v>
      </c>
      <c r="L89" s="28">
        <f t="shared" si="174"/>
        <v>199999.99998045538</v>
      </c>
      <c r="M89" s="28">
        <f t="shared" si="174"/>
        <v>199999.99828669129</v>
      </c>
      <c r="N89" s="28">
        <f t="shared" si="174"/>
        <v>199999.99857681454</v>
      </c>
      <c r="O89" s="28">
        <f t="shared" si="174"/>
        <v>199999.99843789468</v>
      </c>
      <c r="P89" s="28">
        <f t="shared" si="174"/>
        <v>199999.99958883884</v>
      </c>
      <c r="Q89" s="28">
        <f t="shared" si="174"/>
        <v>199999.99866184624</v>
      </c>
      <c r="R89" s="28">
        <f t="shared" si="174"/>
        <v>199999.99870805463</v>
      </c>
      <c r="S89" s="28">
        <f t="shared" si="174"/>
        <v>199999.99777807173</v>
      </c>
      <c r="T89" s="28">
        <f t="shared" si="174"/>
        <v>199999.99738609756</v>
      </c>
      <c r="U89" s="28">
        <f t="shared" si="174"/>
        <v>199999.99671377341</v>
      </c>
      <c r="V89" s="28">
        <f t="shared" si="174"/>
        <v>199999.99869473864</v>
      </c>
      <c r="W89" s="28">
        <f t="shared" ref="W89:Y89" si="175">IF(W21=0,0,W21/W32*1000000)</f>
        <v>199999.99715687576</v>
      </c>
      <c r="X89" s="28">
        <f t="shared" si="175"/>
        <v>199999.99967075806</v>
      </c>
      <c r="Y89" s="28">
        <f t="shared" si="175"/>
        <v>199999.9994036562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:Y90" si="177">IF(W22=0,0,W22/W33*1000000)</f>
        <v>0</v>
      </c>
      <c r="X90" s="84">
        <f t="shared" si="177"/>
        <v>0</v>
      </c>
      <c r="Y90" s="84">
        <f t="shared" si="177"/>
        <v>0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199999.99856159711</v>
      </c>
      <c r="C91" s="86">
        <f t="shared" si="161"/>
        <v>162612.37127712392</v>
      </c>
      <c r="D91" s="86">
        <f t="shared" si="161"/>
        <v>173038.33717758363</v>
      </c>
      <c r="E91" s="86">
        <f t="shared" si="161"/>
        <v>199999.99963009582</v>
      </c>
      <c r="F91" s="86">
        <f t="shared" si="161"/>
        <v>199999.99984525624</v>
      </c>
      <c r="G91" s="86">
        <f t="shared" si="161"/>
        <v>170583.2412271919</v>
      </c>
      <c r="H91" s="86">
        <f t="shared" si="161"/>
        <v>199999.99920435221</v>
      </c>
      <c r="I91" s="86">
        <f t="shared" si="161"/>
        <v>199999.99805404933</v>
      </c>
      <c r="J91" s="86">
        <f t="shared" si="161"/>
        <v>199999.99855539709</v>
      </c>
      <c r="K91" s="86">
        <f t="shared" ref="K91:V91" si="178">IF(K23=0,0,K23/K34*1000000)</f>
        <v>181483.16062784268</v>
      </c>
      <c r="L91" s="86">
        <f t="shared" si="178"/>
        <v>199999.99998045538</v>
      </c>
      <c r="M91" s="86">
        <f t="shared" si="178"/>
        <v>199999.99828669129</v>
      </c>
      <c r="N91" s="86">
        <f t="shared" si="178"/>
        <v>199999.99857681454</v>
      </c>
      <c r="O91" s="86">
        <f t="shared" si="178"/>
        <v>199999.99843789468</v>
      </c>
      <c r="P91" s="86">
        <f t="shared" si="178"/>
        <v>199999.99958883884</v>
      </c>
      <c r="Q91" s="86">
        <f t="shared" si="178"/>
        <v>199999.99866184624</v>
      </c>
      <c r="R91" s="86">
        <f t="shared" si="178"/>
        <v>199999.99870805463</v>
      </c>
      <c r="S91" s="86">
        <f t="shared" si="178"/>
        <v>199999.99777807173</v>
      </c>
      <c r="T91" s="86">
        <f t="shared" si="178"/>
        <v>199999.99738609756</v>
      </c>
      <c r="U91" s="86">
        <f t="shared" si="178"/>
        <v>199999.99671377341</v>
      </c>
      <c r="V91" s="86">
        <f t="shared" si="178"/>
        <v>199999.99869473864</v>
      </c>
      <c r="W91" s="86">
        <f t="shared" ref="W91:Y91" si="179">IF(W23=0,0,W23/W34*1000000)</f>
        <v>199999.99715687576</v>
      </c>
      <c r="X91" s="86">
        <f t="shared" si="179"/>
        <v>199999.99967075806</v>
      </c>
      <c r="Y91" s="86">
        <f t="shared" si="179"/>
        <v>199999.9994036562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18573669.220105879</v>
      </c>
      <c r="C94" s="28">
        <f t="shared" si="180"/>
        <v>19652970.714106403</v>
      </c>
      <c r="D94" s="28">
        <f t="shared" si="180"/>
        <v>20208638.404092398</v>
      </c>
      <c r="E94" s="28">
        <f t="shared" si="180"/>
        <v>17522564.434426583</v>
      </c>
      <c r="F94" s="28">
        <f t="shared" si="180"/>
        <v>16954546.35217955</v>
      </c>
      <c r="G94" s="28">
        <f t="shared" si="180"/>
        <v>17612310.406559806</v>
      </c>
      <c r="H94" s="28">
        <f t="shared" si="180"/>
        <v>16536195.60253139</v>
      </c>
      <c r="I94" s="28">
        <f t="shared" si="180"/>
        <v>16307679.029940723</v>
      </c>
      <c r="J94" s="28">
        <f t="shared" si="180"/>
        <v>16694384.136876071</v>
      </c>
      <c r="K94" s="28">
        <f t="shared" ref="K94:V94" si="181">IF(K4=0,0,K4/K26*1000000)</f>
        <v>15507151.223363539</v>
      </c>
      <c r="L94" s="28">
        <f t="shared" si="181"/>
        <v>15979397.570947587</v>
      </c>
      <c r="M94" s="28">
        <f t="shared" si="181"/>
        <v>16727241.758691194</v>
      </c>
      <c r="N94" s="28">
        <f t="shared" si="181"/>
        <v>16296458.259220423</v>
      </c>
      <c r="O94" s="28">
        <f t="shared" si="181"/>
        <v>16381911.510629956</v>
      </c>
      <c r="P94" s="28">
        <f t="shared" si="181"/>
        <v>15855163.385629222</v>
      </c>
      <c r="Q94" s="28">
        <f t="shared" si="181"/>
        <v>16503865.164229382</v>
      </c>
      <c r="R94" s="28">
        <f t="shared" si="181"/>
        <v>16876378.564914554</v>
      </c>
      <c r="S94" s="28">
        <f t="shared" si="181"/>
        <v>17076171.87559456</v>
      </c>
      <c r="T94" s="28">
        <f t="shared" si="181"/>
        <v>17448428.276983574</v>
      </c>
      <c r="U94" s="28">
        <f t="shared" si="181"/>
        <v>19255785.923073158</v>
      </c>
      <c r="V94" s="28">
        <f t="shared" si="181"/>
        <v>11153207.636187881</v>
      </c>
      <c r="W94" s="28">
        <f t="shared" ref="W94:Y94" si="182">IF(W4=0,0,W4/W26*1000000)</f>
        <v>10437053.410135653</v>
      </c>
      <c r="X94" s="28">
        <f t="shared" si="182"/>
        <v>16935383.406920999</v>
      </c>
      <c r="Y94" s="28">
        <f t="shared" si="182"/>
        <v>17078710.102891341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8629183.2369585056</v>
      </c>
      <c r="C95" s="108">
        <f t="shared" si="180"/>
        <v>8634689.4888478033</v>
      </c>
      <c r="D95" s="108">
        <f t="shared" si="180"/>
        <v>8492963.7416042555</v>
      </c>
      <c r="E95" s="108">
        <f t="shared" si="180"/>
        <v>8504768.4257573187</v>
      </c>
      <c r="F95" s="108">
        <f t="shared" si="180"/>
        <v>8384442.9606633866</v>
      </c>
      <c r="G95" s="108">
        <f t="shared" si="180"/>
        <v>8335024.1815866791</v>
      </c>
      <c r="H95" s="108">
        <f t="shared" si="180"/>
        <v>8368653.3450808739</v>
      </c>
      <c r="I95" s="108">
        <f t="shared" si="180"/>
        <v>8076457.408250588</v>
      </c>
      <c r="J95" s="108">
        <f t="shared" si="180"/>
        <v>8190286.3849805044</v>
      </c>
      <c r="K95" s="108">
        <f t="shared" ref="K95:V95" si="183">IF(K5=0,0,K5/K27*1000000)</f>
        <v>7171879.5812454075</v>
      </c>
      <c r="L95" s="108">
        <f t="shared" si="183"/>
        <v>7716538.7814448792</v>
      </c>
      <c r="M95" s="108">
        <f t="shared" si="183"/>
        <v>8605497.3839465156</v>
      </c>
      <c r="N95" s="108">
        <f t="shared" si="183"/>
        <v>8584810.1075103134</v>
      </c>
      <c r="O95" s="108">
        <f t="shared" si="183"/>
        <v>8601693.9028399065</v>
      </c>
      <c r="P95" s="108">
        <f t="shared" si="183"/>
        <v>8659943.4964043107</v>
      </c>
      <c r="Q95" s="108">
        <f t="shared" si="183"/>
        <v>9120600.7810327969</v>
      </c>
      <c r="R95" s="108">
        <f t="shared" si="183"/>
        <v>9212133.9263365697</v>
      </c>
      <c r="S95" s="108">
        <f t="shared" si="183"/>
        <v>9421922.1866327152</v>
      </c>
      <c r="T95" s="108">
        <f t="shared" si="183"/>
        <v>9303910.2709470708</v>
      </c>
      <c r="U95" s="108">
        <f t="shared" si="183"/>
        <v>9282003.6770080458</v>
      </c>
      <c r="V95" s="108">
        <f t="shared" si="183"/>
        <v>5676698.6261741621</v>
      </c>
      <c r="W95" s="108">
        <f t="shared" ref="W95:Y95" si="184">IF(W5=0,0,W5/W27*1000000)</f>
        <v>4829434.9233216457</v>
      </c>
      <c r="X95" s="108">
        <f t="shared" si="184"/>
        <v>7125596.2548404569</v>
      </c>
      <c r="Y95" s="108">
        <f t="shared" si="184"/>
        <v>8895011.7483697142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21610850.020166237</v>
      </c>
      <c r="C96" s="110">
        <f t="shared" si="180"/>
        <v>23468228.515621159</v>
      </c>
      <c r="D96" s="110">
        <f t="shared" si="180"/>
        <v>24772838.97806146</v>
      </c>
      <c r="E96" s="110">
        <f t="shared" si="180"/>
        <v>21061389.257251013</v>
      </c>
      <c r="F96" s="110">
        <f t="shared" si="180"/>
        <v>20333678.214906026</v>
      </c>
      <c r="G96" s="110">
        <f t="shared" si="180"/>
        <v>21933449.892229561</v>
      </c>
      <c r="H96" s="110">
        <f t="shared" si="180"/>
        <v>19912044.549209174</v>
      </c>
      <c r="I96" s="110">
        <f t="shared" si="180"/>
        <v>20031911.71435941</v>
      </c>
      <c r="J96" s="110">
        <f t="shared" si="180"/>
        <v>20019556.909832463</v>
      </c>
      <c r="K96" s="110">
        <f t="shared" ref="K96:V96" si="185">IF(K6=0,0,K6/K28*1000000)</f>
        <v>18247293.609609179</v>
      </c>
      <c r="L96" s="110">
        <f t="shared" si="185"/>
        <v>18397717.083141636</v>
      </c>
      <c r="M96" s="110">
        <f t="shared" si="185"/>
        <v>18989009.807889961</v>
      </c>
      <c r="N96" s="110">
        <f t="shared" si="185"/>
        <v>18223353.468323249</v>
      </c>
      <c r="O96" s="110">
        <f t="shared" si="185"/>
        <v>18207051.216537651</v>
      </c>
      <c r="P96" s="110">
        <f t="shared" si="185"/>
        <v>17283264.352165241</v>
      </c>
      <c r="Q96" s="110">
        <f t="shared" si="185"/>
        <v>17548363.284066249</v>
      </c>
      <c r="R96" s="110">
        <f t="shared" si="185"/>
        <v>18184484.170304753</v>
      </c>
      <c r="S96" s="110">
        <f t="shared" si="185"/>
        <v>18197964.280896097</v>
      </c>
      <c r="T96" s="110">
        <f t="shared" si="185"/>
        <v>18657652.278387424</v>
      </c>
      <c r="U96" s="110">
        <f t="shared" si="185"/>
        <v>20830631.128799267</v>
      </c>
      <c r="V96" s="110">
        <f t="shared" si="185"/>
        <v>12072655.10620985</v>
      </c>
      <c r="W96" s="110">
        <f t="shared" ref="W96:Y96" si="186">IF(W6=0,0,W6/W28*1000000)</f>
        <v>12050190.456962746</v>
      </c>
      <c r="X96" s="110">
        <f t="shared" si="186"/>
        <v>19533151.392633229</v>
      </c>
      <c r="Y96" s="110">
        <f t="shared" si="186"/>
        <v>18915670.178430505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:Y97" si="188">IF(W7=0,0,W7/W29*1000000)</f>
        <v>0</v>
      </c>
      <c r="X97" s="84">
        <f t="shared" si="188"/>
        <v>0</v>
      </c>
      <c r="Y97" s="84">
        <f t="shared" si="188"/>
        <v>0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21610850.020166237</v>
      </c>
      <c r="C98" s="84">
        <f t="shared" si="180"/>
        <v>23468228.515621159</v>
      </c>
      <c r="D98" s="84">
        <f t="shared" si="180"/>
        <v>24772838.97806146</v>
      </c>
      <c r="E98" s="84">
        <f t="shared" si="180"/>
        <v>21061389.257251013</v>
      </c>
      <c r="F98" s="84">
        <f t="shared" si="180"/>
        <v>20333678.214906026</v>
      </c>
      <c r="G98" s="84">
        <f t="shared" si="180"/>
        <v>21933449.892229561</v>
      </c>
      <c r="H98" s="84">
        <f t="shared" si="180"/>
        <v>19912044.549209174</v>
      </c>
      <c r="I98" s="84">
        <f t="shared" si="180"/>
        <v>20031911.71435941</v>
      </c>
      <c r="J98" s="84">
        <f t="shared" si="180"/>
        <v>20019556.909832463</v>
      </c>
      <c r="K98" s="84">
        <f t="shared" ref="K98:V98" si="189">IF(K8=0,0,K8/K30*1000000)</f>
        <v>18247293.609609179</v>
      </c>
      <c r="L98" s="84">
        <f t="shared" si="189"/>
        <v>18397717.083141636</v>
      </c>
      <c r="M98" s="84">
        <f t="shared" si="189"/>
        <v>18989009.807889961</v>
      </c>
      <c r="N98" s="84">
        <f t="shared" si="189"/>
        <v>18223353.468323249</v>
      </c>
      <c r="O98" s="84">
        <f t="shared" si="189"/>
        <v>18207051.216537651</v>
      </c>
      <c r="P98" s="84">
        <f t="shared" si="189"/>
        <v>17283264.352165241</v>
      </c>
      <c r="Q98" s="84">
        <f t="shared" si="189"/>
        <v>17548363.284066249</v>
      </c>
      <c r="R98" s="84">
        <f t="shared" si="189"/>
        <v>18184484.170304753</v>
      </c>
      <c r="S98" s="84">
        <f t="shared" si="189"/>
        <v>18197964.280896097</v>
      </c>
      <c r="T98" s="84">
        <f t="shared" si="189"/>
        <v>18657652.278387424</v>
      </c>
      <c r="U98" s="84">
        <f t="shared" si="189"/>
        <v>20830631.128799267</v>
      </c>
      <c r="V98" s="84">
        <f t="shared" si="189"/>
        <v>12072655.10620985</v>
      </c>
      <c r="W98" s="84">
        <f t="shared" ref="W98:Y98" si="190">IF(W8=0,0,W8/W30*1000000)</f>
        <v>12050190.456962746</v>
      </c>
      <c r="X98" s="84">
        <f t="shared" si="190"/>
        <v>19533151.392633229</v>
      </c>
      <c r="Y98" s="84">
        <f t="shared" si="190"/>
        <v>18915670.178430505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93471019.731796339</v>
      </c>
      <c r="C100" s="28">
        <f t="shared" si="180"/>
        <v>101055247.93031363</v>
      </c>
      <c r="D100" s="28">
        <f t="shared" si="180"/>
        <v>107966390.62427352</v>
      </c>
      <c r="E100" s="28">
        <f t="shared" si="180"/>
        <v>117191229.03898765</v>
      </c>
      <c r="F100" s="28">
        <f t="shared" si="180"/>
        <v>111078019.73788403</v>
      </c>
      <c r="G100" s="28">
        <f t="shared" si="180"/>
        <v>125626631.35898529</v>
      </c>
      <c r="H100" s="28">
        <f t="shared" si="180"/>
        <v>143660766.58840647</v>
      </c>
      <c r="I100" s="28">
        <f t="shared" si="180"/>
        <v>135315135.02099609</v>
      </c>
      <c r="J100" s="28">
        <f t="shared" si="180"/>
        <v>149870105.05444705</v>
      </c>
      <c r="K100" s="28">
        <f t="shared" ref="K100:V100" si="193">IF(K10=0,0,K10/K32*1000000)</f>
        <v>139198051.32322499</v>
      </c>
      <c r="L100" s="28">
        <f t="shared" si="193"/>
        <v>137902262.43081281</v>
      </c>
      <c r="M100" s="28">
        <f t="shared" si="193"/>
        <v>137144496.18203336</v>
      </c>
      <c r="N100" s="28">
        <f t="shared" si="193"/>
        <v>148888244.55424723</v>
      </c>
      <c r="O100" s="28">
        <f t="shared" si="193"/>
        <v>121868274.79990338</v>
      </c>
      <c r="P100" s="28">
        <f t="shared" si="193"/>
        <v>143470607.7896919</v>
      </c>
      <c r="Q100" s="28">
        <f t="shared" si="193"/>
        <v>169262737.32685623</v>
      </c>
      <c r="R100" s="28">
        <f t="shared" si="193"/>
        <v>151647712.18228105</v>
      </c>
      <c r="S100" s="28">
        <f t="shared" si="193"/>
        <v>189447275.00420764</v>
      </c>
      <c r="T100" s="28">
        <f t="shared" si="193"/>
        <v>167534851.22082844</v>
      </c>
      <c r="U100" s="28">
        <f t="shared" si="193"/>
        <v>191676598.07830423</v>
      </c>
      <c r="V100" s="28">
        <f t="shared" si="193"/>
        <v>126120943.70452559</v>
      </c>
      <c r="W100" s="28">
        <f t="shared" ref="W100:Y100" si="194">IF(W10=0,0,W10/W32*1000000)</f>
        <v>125500704.13710083</v>
      </c>
      <c r="X100" s="28">
        <f t="shared" si="194"/>
        <v>96937114.909797713</v>
      </c>
      <c r="Y100" s="28">
        <f t="shared" si="194"/>
        <v>97954995.853918746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:Y101" si="196">IF(W11=0,0,W11/W33*1000000)</f>
        <v>0</v>
      </c>
      <c r="X101" s="84">
        <f t="shared" si="196"/>
        <v>0</v>
      </c>
      <c r="Y101" s="84">
        <f t="shared" si="196"/>
        <v>0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93471019.731796339</v>
      </c>
      <c r="C102" s="86">
        <f t="shared" si="180"/>
        <v>101055247.93031363</v>
      </c>
      <c r="D102" s="86">
        <f t="shared" si="180"/>
        <v>107966390.62427352</v>
      </c>
      <c r="E102" s="86">
        <f t="shared" si="180"/>
        <v>117191229.03898765</v>
      </c>
      <c r="F102" s="86">
        <f t="shared" si="180"/>
        <v>111078019.73788403</v>
      </c>
      <c r="G102" s="86">
        <f t="shared" si="180"/>
        <v>125626631.35898529</v>
      </c>
      <c r="H102" s="86">
        <f t="shared" si="180"/>
        <v>143660766.58840647</v>
      </c>
      <c r="I102" s="86">
        <f t="shared" si="180"/>
        <v>135315135.02099609</v>
      </c>
      <c r="J102" s="86">
        <f t="shared" si="180"/>
        <v>149870105.05444705</v>
      </c>
      <c r="K102" s="86">
        <f t="shared" ref="K102:V102" si="197">IF(K12=0,0,K12/K34*1000000)</f>
        <v>139198051.32322499</v>
      </c>
      <c r="L102" s="86">
        <f t="shared" si="197"/>
        <v>137902262.43081281</v>
      </c>
      <c r="M102" s="86">
        <f t="shared" si="197"/>
        <v>137144496.18203336</v>
      </c>
      <c r="N102" s="86">
        <f t="shared" si="197"/>
        <v>148888244.55424723</v>
      </c>
      <c r="O102" s="86">
        <f t="shared" si="197"/>
        <v>121868274.79990338</v>
      </c>
      <c r="P102" s="86">
        <f t="shared" si="197"/>
        <v>143470607.7896919</v>
      </c>
      <c r="Q102" s="86">
        <f t="shared" si="197"/>
        <v>169262737.32685623</v>
      </c>
      <c r="R102" s="86">
        <f t="shared" si="197"/>
        <v>151647712.18228105</v>
      </c>
      <c r="S102" s="86">
        <f t="shared" si="197"/>
        <v>189447275.00420764</v>
      </c>
      <c r="T102" s="86">
        <f t="shared" si="197"/>
        <v>167534851.22082844</v>
      </c>
      <c r="U102" s="86">
        <f t="shared" si="197"/>
        <v>191676598.07830423</v>
      </c>
      <c r="V102" s="86">
        <f t="shared" si="197"/>
        <v>126120943.70452559</v>
      </c>
      <c r="W102" s="86">
        <f t="shared" ref="W102:Y102" si="198">IF(W12=0,0,W12/W34*1000000)</f>
        <v>125500704.13710083</v>
      </c>
      <c r="X102" s="86">
        <f t="shared" si="198"/>
        <v>96937114.909797713</v>
      </c>
      <c r="Y102" s="86">
        <f t="shared" si="198"/>
        <v>97954995.853918746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0.10869565217391304</v>
      </c>
      <c r="C106" s="123">
        <f t="shared" si="199"/>
        <v>0.1130049917928771</v>
      </c>
      <c r="D106" s="123">
        <f t="shared" si="199"/>
        <v>0.11782457065332654</v>
      </c>
      <c r="E106" s="123">
        <f t="shared" si="199"/>
        <v>0.13678898023917652</v>
      </c>
      <c r="F106" s="123">
        <f t="shared" si="199"/>
        <v>0.13984697236770369</v>
      </c>
      <c r="G106" s="123">
        <f t="shared" si="199"/>
        <v>0.15038349905514622</v>
      </c>
      <c r="H106" s="123">
        <f t="shared" si="199"/>
        <v>0.14800267649588478</v>
      </c>
      <c r="I106" s="123">
        <f t="shared" si="199"/>
        <v>0.15427639263138404</v>
      </c>
      <c r="J106" s="123">
        <f t="shared" si="199"/>
        <v>0.13790656379018329</v>
      </c>
      <c r="K106" s="123">
        <f t="shared" ref="K106:V106" si="202">IF(K5=0,0,K5/K$4)</f>
        <v>0.11442321002889115</v>
      </c>
      <c r="L106" s="123">
        <f t="shared" si="202"/>
        <v>0.10933435723237282</v>
      </c>
      <c r="M106" s="123">
        <f t="shared" si="202"/>
        <v>0.11206123926986641</v>
      </c>
      <c r="N106" s="123">
        <f t="shared" si="202"/>
        <v>0.10531352659269438</v>
      </c>
      <c r="O106" s="123">
        <f t="shared" si="202"/>
        <v>9.9770465015830465E-2</v>
      </c>
      <c r="P106" s="123">
        <f t="shared" si="202"/>
        <v>9.0454193160401458E-2</v>
      </c>
      <c r="Q106" s="123">
        <f t="shared" si="202"/>
        <v>6.8490944269582812E-2</v>
      </c>
      <c r="R106" s="123">
        <f t="shared" si="202"/>
        <v>7.9582499044261082E-2</v>
      </c>
      <c r="S106" s="123">
        <f t="shared" si="202"/>
        <v>7.0528198942658715E-2</v>
      </c>
      <c r="T106" s="123">
        <f t="shared" si="202"/>
        <v>6.8933538501881664E-2</v>
      </c>
      <c r="U106" s="123">
        <f t="shared" si="202"/>
        <v>6.5733686338392133E-2</v>
      </c>
      <c r="V106" s="123">
        <f t="shared" si="202"/>
        <v>7.3167374782374353E-2</v>
      </c>
      <c r="W106" s="123">
        <f t="shared" ref="W106:Y106" si="203">IF(W5=0,0,W5/W$4)</f>
        <v>0.10337297993154573</v>
      </c>
      <c r="X106" s="123">
        <f t="shared" si="203"/>
        <v>8.8092781785127985E-2</v>
      </c>
      <c r="Y106" s="123">
        <f t="shared" si="203"/>
        <v>9.5476154354620729E-2</v>
      </c>
      <c r="DA106" s="203"/>
    </row>
    <row r="107" spans="1:105" ht="11.45" customHeight="1" x14ac:dyDescent="0.25">
      <c r="A107" s="109" t="s">
        <v>24</v>
      </c>
      <c r="B107" s="124">
        <f t="shared" si="199"/>
        <v>0.89130434782608692</v>
      </c>
      <c r="C107" s="124">
        <f t="shared" si="199"/>
        <v>0.88699500820712296</v>
      </c>
      <c r="D107" s="124">
        <f t="shared" si="199"/>
        <v>0.88217542934667359</v>
      </c>
      <c r="E107" s="124">
        <f t="shared" si="199"/>
        <v>0.86321101976082348</v>
      </c>
      <c r="F107" s="124">
        <f t="shared" si="199"/>
        <v>0.86015302763229629</v>
      </c>
      <c r="G107" s="124">
        <f t="shared" si="199"/>
        <v>0.84961650094485375</v>
      </c>
      <c r="H107" s="124">
        <f t="shared" si="199"/>
        <v>0.85199732350411528</v>
      </c>
      <c r="I107" s="124">
        <f t="shared" si="199"/>
        <v>0.84572360736861596</v>
      </c>
      <c r="J107" s="124">
        <f t="shared" si="199"/>
        <v>0.86209343620981671</v>
      </c>
      <c r="K107" s="124">
        <f t="shared" ref="K107:V107" si="204">IF(K6=0,0,K6/K$4)</f>
        <v>0.88557678997110878</v>
      </c>
      <c r="L107" s="124">
        <f t="shared" si="204"/>
        <v>0.89066564276762716</v>
      </c>
      <c r="M107" s="124">
        <f t="shared" si="204"/>
        <v>0.88793876073013367</v>
      </c>
      <c r="N107" s="124">
        <f t="shared" si="204"/>
        <v>0.89468647340730567</v>
      </c>
      <c r="O107" s="124">
        <f t="shared" si="204"/>
        <v>0.90022953498416958</v>
      </c>
      <c r="P107" s="124">
        <f t="shared" si="204"/>
        <v>0.90954580683959851</v>
      </c>
      <c r="Q107" s="124">
        <f t="shared" si="204"/>
        <v>0.9315090557304172</v>
      </c>
      <c r="R107" s="124">
        <f t="shared" si="204"/>
        <v>0.92041750095573882</v>
      </c>
      <c r="S107" s="124">
        <f t="shared" si="204"/>
        <v>0.92947180105734117</v>
      </c>
      <c r="T107" s="124">
        <f t="shared" si="204"/>
        <v>0.93106646149811845</v>
      </c>
      <c r="U107" s="124">
        <f t="shared" si="204"/>
        <v>0.93426631366160795</v>
      </c>
      <c r="V107" s="124">
        <f t="shared" si="204"/>
        <v>0.92683262521762577</v>
      </c>
      <c r="W107" s="124">
        <f t="shared" ref="W107:Y107" si="205">IF(W6=0,0,W6/W$4)</f>
        <v>0.89662702006845429</v>
      </c>
      <c r="X107" s="124">
        <f t="shared" si="205"/>
        <v>0.91190721821487208</v>
      </c>
      <c r="Y107" s="124">
        <f t="shared" si="205"/>
        <v>0.90452384564537924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:Y108" si="207">IF(W7=0,0,W7/W$4)</f>
        <v>0</v>
      </c>
      <c r="X108" s="125">
        <f t="shared" si="207"/>
        <v>0</v>
      </c>
      <c r="Y108" s="125">
        <f t="shared" si="207"/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0.89130434782608692</v>
      </c>
      <c r="C109" s="125">
        <f t="shared" si="199"/>
        <v>0.88699500820712296</v>
      </c>
      <c r="D109" s="125">
        <f t="shared" si="199"/>
        <v>0.88217542934667359</v>
      </c>
      <c r="E109" s="125">
        <f t="shared" si="199"/>
        <v>0.86321101976082348</v>
      </c>
      <c r="F109" s="125">
        <f t="shared" si="199"/>
        <v>0.86015302763229629</v>
      </c>
      <c r="G109" s="125">
        <f t="shared" si="199"/>
        <v>0.84961650094485375</v>
      </c>
      <c r="H109" s="125">
        <f t="shared" si="199"/>
        <v>0.85199732350411528</v>
      </c>
      <c r="I109" s="125">
        <f t="shared" si="199"/>
        <v>0.84572360736861596</v>
      </c>
      <c r="J109" s="125">
        <f t="shared" si="199"/>
        <v>0.86209343620981671</v>
      </c>
      <c r="K109" s="125">
        <f t="shared" ref="K109:V109" si="208">IF(K8=0,0,K8/K$4)</f>
        <v>0.88557678997110878</v>
      </c>
      <c r="L109" s="125">
        <f t="shared" si="208"/>
        <v>0.89066564276762716</v>
      </c>
      <c r="M109" s="125">
        <f t="shared" si="208"/>
        <v>0.88793876073013367</v>
      </c>
      <c r="N109" s="125">
        <f t="shared" si="208"/>
        <v>0.89468647340730567</v>
      </c>
      <c r="O109" s="125">
        <f t="shared" si="208"/>
        <v>0.90022953498416958</v>
      </c>
      <c r="P109" s="125">
        <f t="shared" si="208"/>
        <v>0.90954580683959851</v>
      </c>
      <c r="Q109" s="125">
        <f t="shared" si="208"/>
        <v>0.9315090557304172</v>
      </c>
      <c r="R109" s="125">
        <f t="shared" si="208"/>
        <v>0.92041750095573882</v>
      </c>
      <c r="S109" s="125">
        <f t="shared" si="208"/>
        <v>0.92947180105734117</v>
      </c>
      <c r="T109" s="125">
        <f t="shared" si="208"/>
        <v>0.93106646149811845</v>
      </c>
      <c r="U109" s="125">
        <f t="shared" si="208"/>
        <v>0.93426631366160795</v>
      </c>
      <c r="V109" s="125">
        <f t="shared" si="208"/>
        <v>0.92683262521762577</v>
      </c>
      <c r="W109" s="125">
        <f t="shared" ref="W109:Y109" si="209">IF(W8=0,0,W8/W$4)</f>
        <v>0.89662702006845429</v>
      </c>
      <c r="X109" s="125">
        <f t="shared" si="209"/>
        <v>0.91190721821487208</v>
      </c>
      <c r="Y109" s="125">
        <f t="shared" si="209"/>
        <v>0.90452384564537924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:Y112" si="216">IF(W11=0,0,W11/W$10)</f>
        <v>0</v>
      </c>
      <c r="X112" s="125">
        <f t="shared" si="216"/>
        <v>0</v>
      </c>
      <c r="Y112" s="125">
        <f t="shared" si="216"/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1</v>
      </c>
      <c r="C113" s="127">
        <f t="shared" si="212"/>
        <v>1</v>
      </c>
      <c r="D113" s="127">
        <f t="shared" si="212"/>
        <v>1</v>
      </c>
      <c r="E113" s="127">
        <f t="shared" si="212"/>
        <v>1</v>
      </c>
      <c r="F113" s="127">
        <f t="shared" si="212"/>
        <v>1</v>
      </c>
      <c r="G113" s="127">
        <f t="shared" si="212"/>
        <v>1</v>
      </c>
      <c r="H113" s="127">
        <f t="shared" si="212"/>
        <v>1</v>
      </c>
      <c r="I113" s="127">
        <f t="shared" si="212"/>
        <v>1</v>
      </c>
      <c r="J113" s="127">
        <f t="shared" si="212"/>
        <v>1</v>
      </c>
      <c r="K113" s="127">
        <f t="shared" ref="K113:V113" si="217">IF(K12=0,0,K12/K$10)</f>
        <v>1</v>
      </c>
      <c r="L113" s="127">
        <f t="shared" si="217"/>
        <v>1</v>
      </c>
      <c r="M113" s="127">
        <f t="shared" si="217"/>
        <v>1</v>
      </c>
      <c r="N113" s="127">
        <f t="shared" si="217"/>
        <v>1</v>
      </c>
      <c r="O113" s="127">
        <f t="shared" si="217"/>
        <v>1</v>
      </c>
      <c r="P113" s="127">
        <f t="shared" si="217"/>
        <v>1</v>
      </c>
      <c r="Q113" s="127">
        <f t="shared" si="217"/>
        <v>1</v>
      </c>
      <c r="R113" s="127">
        <f t="shared" si="217"/>
        <v>1</v>
      </c>
      <c r="S113" s="127">
        <f t="shared" si="217"/>
        <v>1</v>
      </c>
      <c r="T113" s="127">
        <f t="shared" si="217"/>
        <v>1</v>
      </c>
      <c r="U113" s="127">
        <f t="shared" si="217"/>
        <v>1</v>
      </c>
      <c r="V113" s="127">
        <f t="shared" si="217"/>
        <v>1</v>
      </c>
      <c r="W113" s="127">
        <f t="shared" ref="W113:Y113" si="218">IF(W12=0,0,W12/W$10)</f>
        <v>1</v>
      </c>
      <c r="X113" s="127">
        <f t="shared" si="218"/>
        <v>1</v>
      </c>
      <c r="Y113" s="127">
        <f t="shared" si="218"/>
        <v>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0.18298646975109611</v>
      </c>
      <c r="C117" s="123">
        <f t="shared" si="219"/>
        <v>0.21482854991337247</v>
      </c>
      <c r="D117" s="123">
        <f t="shared" si="219"/>
        <v>0.22220904379313611</v>
      </c>
      <c r="E117" s="123">
        <f t="shared" si="219"/>
        <v>0.22346963525484922</v>
      </c>
      <c r="F117" s="123">
        <f t="shared" si="219"/>
        <v>0.2242940007016494</v>
      </c>
      <c r="G117" s="123">
        <f t="shared" si="219"/>
        <v>0.25460425702014328</v>
      </c>
      <c r="H117" s="123">
        <f t="shared" si="219"/>
        <v>0.23260210497278172</v>
      </c>
      <c r="I117" s="123">
        <f t="shared" si="219"/>
        <v>0.24913545302288095</v>
      </c>
      <c r="J117" s="123">
        <f t="shared" si="219"/>
        <v>0.21764603158224255</v>
      </c>
      <c r="K117" s="123">
        <f t="shared" ref="K117:V117" si="222">IF(K16=0,0,K16/K$15)</f>
        <v>0.17034688854259009</v>
      </c>
      <c r="L117" s="123">
        <f t="shared" si="222"/>
        <v>0.16410815180619392</v>
      </c>
      <c r="M117" s="123">
        <f t="shared" si="222"/>
        <v>0.16958756974594999</v>
      </c>
      <c r="N117" s="123">
        <f t="shared" si="222"/>
        <v>0.15486051642438312</v>
      </c>
      <c r="O117" s="123">
        <f t="shared" si="222"/>
        <v>0.14677997949731111</v>
      </c>
      <c r="P117" s="123">
        <f t="shared" si="222"/>
        <v>0.12705790684500134</v>
      </c>
      <c r="Q117" s="123">
        <f t="shared" si="222"/>
        <v>9.3992353580827651E-2</v>
      </c>
      <c r="R117" s="123">
        <f t="shared" si="222"/>
        <v>0.11123963399909644</v>
      </c>
      <c r="S117" s="123">
        <f t="shared" si="222"/>
        <v>9.7045854654423863E-2</v>
      </c>
      <c r="T117" s="123">
        <f t="shared" si="222"/>
        <v>9.8188079212281509E-2</v>
      </c>
      <c r="U117" s="123">
        <f t="shared" si="222"/>
        <v>0.10638880553681471</v>
      </c>
      <c r="V117" s="123">
        <f t="shared" si="222"/>
        <v>0.12394974230145853</v>
      </c>
      <c r="W117" s="123">
        <f t="shared" ref="W117:Y117" si="223">IF(W16=0,0,W16/W$15)</f>
        <v>0.17454987955779006</v>
      </c>
      <c r="X117" s="123">
        <f t="shared" si="223"/>
        <v>0.14227108889096204</v>
      </c>
      <c r="Y117" s="123">
        <f t="shared" si="223"/>
        <v>0.14134214490404884</v>
      </c>
      <c r="DA117" s="203"/>
    </row>
    <row r="118" spans="1:105" ht="11.45" customHeight="1" x14ac:dyDescent="0.25">
      <c r="A118" s="109" t="s">
        <v>24</v>
      </c>
      <c r="B118" s="124">
        <f t="shared" si="219"/>
        <v>0.81701353024890389</v>
      </c>
      <c r="C118" s="124">
        <f t="shared" si="219"/>
        <v>0.78517145008662748</v>
      </c>
      <c r="D118" s="124">
        <f t="shared" si="219"/>
        <v>0.77779095620686389</v>
      </c>
      <c r="E118" s="124">
        <f t="shared" si="219"/>
        <v>0.7765303647451508</v>
      </c>
      <c r="F118" s="124">
        <f t="shared" si="219"/>
        <v>0.7757059992983506</v>
      </c>
      <c r="G118" s="124">
        <f t="shared" si="219"/>
        <v>0.74539574297985667</v>
      </c>
      <c r="H118" s="124">
        <f t="shared" si="219"/>
        <v>0.76739789502721822</v>
      </c>
      <c r="I118" s="124">
        <f t="shared" si="219"/>
        <v>0.75086454697711913</v>
      </c>
      <c r="J118" s="124">
        <f t="shared" si="219"/>
        <v>0.78235396841775751</v>
      </c>
      <c r="K118" s="124">
        <f t="shared" ref="K118:V118" si="224">IF(K17=0,0,K17/K$15)</f>
        <v>0.82965311145740983</v>
      </c>
      <c r="L118" s="124">
        <f t="shared" si="224"/>
        <v>0.83589184819380602</v>
      </c>
      <c r="M118" s="124">
        <f t="shared" si="224"/>
        <v>0.83041243025404998</v>
      </c>
      <c r="N118" s="124">
        <f t="shared" si="224"/>
        <v>0.84513948357561686</v>
      </c>
      <c r="O118" s="124">
        <f t="shared" si="224"/>
        <v>0.85322002050268886</v>
      </c>
      <c r="P118" s="124">
        <f t="shared" si="224"/>
        <v>0.87294209315499871</v>
      </c>
      <c r="Q118" s="124">
        <f t="shared" si="224"/>
        <v>0.90600764641917231</v>
      </c>
      <c r="R118" s="124">
        <f t="shared" si="224"/>
        <v>0.88876036600090369</v>
      </c>
      <c r="S118" s="124">
        <f t="shared" si="224"/>
        <v>0.90295414534557605</v>
      </c>
      <c r="T118" s="124">
        <f t="shared" si="224"/>
        <v>0.90181192078771855</v>
      </c>
      <c r="U118" s="124">
        <f t="shared" si="224"/>
        <v>0.89361119446318527</v>
      </c>
      <c r="V118" s="124">
        <f t="shared" si="224"/>
        <v>0.8760502576985415</v>
      </c>
      <c r="W118" s="124">
        <f t="shared" ref="W118:Y118" si="225">IF(W17=0,0,W17/W$15)</f>
        <v>0.82545012044221</v>
      </c>
      <c r="X118" s="124">
        <f t="shared" si="225"/>
        <v>0.85772891110903804</v>
      </c>
      <c r="Y118" s="124">
        <f t="shared" si="225"/>
        <v>0.85865785509595116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:Y119" si="227">IF(W18=0,0,W18/W$15)</f>
        <v>0</v>
      </c>
      <c r="X119" s="125">
        <f t="shared" si="227"/>
        <v>0</v>
      </c>
      <c r="Y119" s="125">
        <f t="shared" si="227"/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0.81701353024890389</v>
      </c>
      <c r="C120" s="125">
        <f t="shared" si="219"/>
        <v>0.78517145008662748</v>
      </c>
      <c r="D120" s="125">
        <f t="shared" si="219"/>
        <v>0.77779095620686389</v>
      </c>
      <c r="E120" s="125">
        <f t="shared" si="219"/>
        <v>0.7765303647451508</v>
      </c>
      <c r="F120" s="125">
        <f t="shared" si="219"/>
        <v>0.7757059992983506</v>
      </c>
      <c r="G120" s="125">
        <f t="shared" si="219"/>
        <v>0.74539574297985667</v>
      </c>
      <c r="H120" s="125">
        <f t="shared" si="219"/>
        <v>0.76739789502721822</v>
      </c>
      <c r="I120" s="125">
        <f t="shared" si="219"/>
        <v>0.75086454697711913</v>
      </c>
      <c r="J120" s="125">
        <f t="shared" si="219"/>
        <v>0.78235396841775751</v>
      </c>
      <c r="K120" s="125">
        <f t="shared" ref="K120:V120" si="228">IF(K19=0,0,K19/K$15)</f>
        <v>0.82965311145740983</v>
      </c>
      <c r="L120" s="125">
        <f t="shared" si="228"/>
        <v>0.83589184819380602</v>
      </c>
      <c r="M120" s="125">
        <f t="shared" si="228"/>
        <v>0.83041243025404998</v>
      </c>
      <c r="N120" s="125">
        <f t="shared" si="228"/>
        <v>0.84513948357561686</v>
      </c>
      <c r="O120" s="125">
        <f t="shared" si="228"/>
        <v>0.85322002050268886</v>
      </c>
      <c r="P120" s="125">
        <f t="shared" si="228"/>
        <v>0.87294209315499871</v>
      </c>
      <c r="Q120" s="125">
        <f t="shared" si="228"/>
        <v>0.90600764641917231</v>
      </c>
      <c r="R120" s="125">
        <f t="shared" si="228"/>
        <v>0.88876036600090369</v>
      </c>
      <c r="S120" s="125">
        <f t="shared" si="228"/>
        <v>0.90295414534557605</v>
      </c>
      <c r="T120" s="125">
        <f t="shared" si="228"/>
        <v>0.90181192078771855</v>
      </c>
      <c r="U120" s="125">
        <f t="shared" si="228"/>
        <v>0.89361119446318527</v>
      </c>
      <c r="V120" s="125">
        <f t="shared" si="228"/>
        <v>0.8760502576985415</v>
      </c>
      <c r="W120" s="125">
        <f t="shared" ref="W120:Y120" si="229">IF(W19=0,0,W19/W$15)</f>
        <v>0.82545012044221</v>
      </c>
      <c r="X120" s="125">
        <f t="shared" si="229"/>
        <v>0.85772891110903804</v>
      </c>
      <c r="Y120" s="125">
        <f t="shared" si="229"/>
        <v>0.85865785509595116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:Y123" si="236">IF(W22=0,0,W22/W$21)</f>
        <v>0</v>
      </c>
      <c r="X123" s="125">
        <f t="shared" si="236"/>
        <v>0</v>
      </c>
      <c r="Y123" s="125">
        <f t="shared" si="236"/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1</v>
      </c>
      <c r="C124" s="127">
        <f t="shared" si="232"/>
        <v>1</v>
      </c>
      <c r="D124" s="127">
        <f t="shared" si="232"/>
        <v>1</v>
      </c>
      <c r="E124" s="127">
        <f t="shared" si="232"/>
        <v>1</v>
      </c>
      <c r="F124" s="127">
        <f t="shared" si="232"/>
        <v>1</v>
      </c>
      <c r="G124" s="127">
        <f t="shared" si="232"/>
        <v>1</v>
      </c>
      <c r="H124" s="127">
        <f t="shared" si="232"/>
        <v>1</v>
      </c>
      <c r="I124" s="127">
        <f t="shared" si="232"/>
        <v>1</v>
      </c>
      <c r="J124" s="127">
        <f t="shared" si="232"/>
        <v>1</v>
      </c>
      <c r="K124" s="127">
        <f t="shared" ref="K124:V124" si="237">IF(K23=0,0,K23/K$21)</f>
        <v>1</v>
      </c>
      <c r="L124" s="127">
        <f t="shared" si="237"/>
        <v>1</v>
      </c>
      <c r="M124" s="127">
        <f t="shared" si="237"/>
        <v>1</v>
      </c>
      <c r="N124" s="127">
        <f t="shared" si="237"/>
        <v>1</v>
      </c>
      <c r="O124" s="127">
        <f t="shared" si="237"/>
        <v>1</v>
      </c>
      <c r="P124" s="127">
        <f t="shared" si="237"/>
        <v>1</v>
      </c>
      <c r="Q124" s="127">
        <f t="shared" si="237"/>
        <v>1</v>
      </c>
      <c r="R124" s="127">
        <f t="shared" si="237"/>
        <v>1</v>
      </c>
      <c r="S124" s="127">
        <f t="shared" si="237"/>
        <v>1</v>
      </c>
      <c r="T124" s="127">
        <f t="shared" si="237"/>
        <v>1</v>
      </c>
      <c r="U124" s="127">
        <f t="shared" si="237"/>
        <v>1</v>
      </c>
      <c r="V124" s="127">
        <f t="shared" si="237"/>
        <v>1</v>
      </c>
      <c r="W124" s="127">
        <f t="shared" ref="W124:Y124" si="238">IF(W23=0,0,W23/W$21)</f>
        <v>1</v>
      </c>
      <c r="X124" s="127">
        <f t="shared" si="238"/>
        <v>1</v>
      </c>
      <c r="Y124" s="127">
        <f t="shared" si="238"/>
        <v>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82.975064488392078</v>
      </c>
      <c r="C4" s="146">
        <f t="shared" ref="C4:V4" si="0">SUM(C5,C8)</f>
        <v>59.071367153912291</v>
      </c>
      <c r="D4" s="146">
        <f t="shared" si="0"/>
        <v>54.944110060189161</v>
      </c>
      <c r="E4" s="146">
        <f t="shared" si="0"/>
        <v>55.717970765262251</v>
      </c>
      <c r="F4" s="146">
        <f t="shared" si="0"/>
        <v>53.912295786758378</v>
      </c>
      <c r="G4" s="146">
        <f t="shared" si="0"/>
        <v>42.476354256233883</v>
      </c>
      <c r="H4" s="146">
        <f t="shared" si="0"/>
        <v>45.313843508168517</v>
      </c>
      <c r="I4" s="146">
        <f t="shared" si="0"/>
        <v>44.196044711951849</v>
      </c>
      <c r="J4" s="146">
        <f t="shared" si="0"/>
        <v>40.928632846087702</v>
      </c>
      <c r="K4" s="146">
        <f t="shared" si="0"/>
        <v>36.457437661220979</v>
      </c>
      <c r="L4" s="146">
        <f t="shared" si="0"/>
        <v>39.810834049871019</v>
      </c>
      <c r="M4" s="146">
        <f t="shared" si="0"/>
        <v>39.724849527085119</v>
      </c>
      <c r="N4" s="146">
        <f t="shared" si="0"/>
        <v>37.919174548581253</v>
      </c>
      <c r="O4" s="146">
        <f t="shared" si="0"/>
        <v>42.132416165090277</v>
      </c>
      <c r="P4" s="146">
        <f t="shared" si="0"/>
        <v>41.186586414445387</v>
      </c>
      <c r="Q4" s="146">
        <f t="shared" si="0"/>
        <v>43.85210662080825</v>
      </c>
      <c r="R4" s="146">
        <f t="shared" si="0"/>
        <v>43.93809114359415</v>
      </c>
      <c r="S4" s="146">
        <f t="shared" si="0"/>
        <v>42.562338779019782</v>
      </c>
      <c r="T4" s="146">
        <f t="shared" si="0"/>
        <v>42.734307824591568</v>
      </c>
      <c r="U4" s="146">
        <f t="shared" si="0"/>
        <v>37.747205503009447</v>
      </c>
      <c r="V4" s="146">
        <f t="shared" si="0"/>
        <v>35.941530524505588</v>
      </c>
      <c r="W4" s="146">
        <f t="shared" ref="W4:Y4" si="1">SUM(W5,W8)</f>
        <v>40.068787618228718</v>
      </c>
      <c r="X4" s="146">
        <f t="shared" si="1"/>
        <v>43.078245915735167</v>
      </c>
      <c r="Y4" s="146">
        <f t="shared" si="1"/>
        <v>45.571797076526217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:Y5" si="3">SUM(W6:W7)</f>
        <v>0</v>
      </c>
      <c r="X5" s="101">
        <f t="shared" si="3"/>
        <v>0</v>
      </c>
      <c r="Y5" s="101">
        <f t="shared" si="3"/>
        <v>0</v>
      </c>
      <c r="DA5" s="175"/>
    </row>
    <row r="6" spans="1:105" ht="11.45" customHeight="1" x14ac:dyDescent="0.25">
      <c r="A6" s="164" t="s">
        <v>175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X6" s="165">
        <v>0</v>
      </c>
      <c r="Y6" s="165">
        <v>0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82.975064488392078</v>
      </c>
      <c r="C8" s="88">
        <v>59.071367153912291</v>
      </c>
      <c r="D8" s="88">
        <v>54.944110060189161</v>
      </c>
      <c r="E8" s="88">
        <v>55.717970765262251</v>
      </c>
      <c r="F8" s="88">
        <v>53.912295786758378</v>
      </c>
      <c r="G8" s="88">
        <v>42.476354256233883</v>
      </c>
      <c r="H8" s="88">
        <v>45.313843508168517</v>
      </c>
      <c r="I8" s="88">
        <v>44.196044711951849</v>
      </c>
      <c r="J8" s="88">
        <v>40.928632846087702</v>
      </c>
      <c r="K8" s="88">
        <v>36.457437661220979</v>
      </c>
      <c r="L8" s="88">
        <v>39.810834049871019</v>
      </c>
      <c r="M8" s="88">
        <v>39.724849527085119</v>
      </c>
      <c r="N8" s="88">
        <v>37.919174548581253</v>
      </c>
      <c r="O8" s="88">
        <v>42.132416165090277</v>
      </c>
      <c r="P8" s="88">
        <v>41.186586414445387</v>
      </c>
      <c r="Q8" s="88">
        <v>43.85210662080825</v>
      </c>
      <c r="R8" s="88">
        <v>43.93809114359415</v>
      </c>
      <c r="S8" s="88">
        <v>42.562338779019782</v>
      </c>
      <c r="T8" s="88">
        <v>42.734307824591568</v>
      </c>
      <c r="U8" s="88">
        <v>37.747205503009447</v>
      </c>
      <c r="V8" s="88">
        <v>35.941530524505588</v>
      </c>
      <c r="W8" s="88">
        <v>40.068787618228718</v>
      </c>
      <c r="X8" s="88">
        <v>43.078245915735167</v>
      </c>
      <c r="Y8" s="88">
        <v>45.571797076526217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82.975064488392093</v>
      </c>
      <c r="C10" s="62">
        <f t="shared" ref="C10:V10" si="5">SUM(C11,C17)</f>
        <v>59.071367153912291</v>
      </c>
      <c r="D10" s="62">
        <f t="shared" si="5"/>
        <v>54.944110060189161</v>
      </c>
      <c r="E10" s="62">
        <f t="shared" si="5"/>
        <v>55.717970765262251</v>
      </c>
      <c r="F10" s="62">
        <f t="shared" si="5"/>
        <v>53.912295786758378</v>
      </c>
      <c r="G10" s="62">
        <f t="shared" si="5"/>
        <v>42.476354256233883</v>
      </c>
      <c r="H10" s="62">
        <f t="shared" si="5"/>
        <v>45.313843508168517</v>
      </c>
      <c r="I10" s="62">
        <f t="shared" si="5"/>
        <v>44.196044711951849</v>
      </c>
      <c r="J10" s="62">
        <f t="shared" si="5"/>
        <v>40.928632846087709</v>
      </c>
      <c r="K10" s="62">
        <f t="shared" si="5"/>
        <v>36.457437661220979</v>
      </c>
      <c r="L10" s="62">
        <f t="shared" si="5"/>
        <v>39.810834049871019</v>
      </c>
      <c r="M10" s="62">
        <f t="shared" si="5"/>
        <v>39.724849527085119</v>
      </c>
      <c r="N10" s="62">
        <f t="shared" si="5"/>
        <v>37.919174548581253</v>
      </c>
      <c r="O10" s="62">
        <f t="shared" si="5"/>
        <v>42.132416165090277</v>
      </c>
      <c r="P10" s="62">
        <f t="shared" si="5"/>
        <v>41.186586414445387</v>
      </c>
      <c r="Q10" s="62">
        <f t="shared" si="5"/>
        <v>43.852106620808257</v>
      </c>
      <c r="R10" s="62">
        <f t="shared" si="5"/>
        <v>43.93809114359415</v>
      </c>
      <c r="S10" s="62">
        <f t="shared" si="5"/>
        <v>42.562338779019782</v>
      </c>
      <c r="T10" s="62">
        <f t="shared" si="5"/>
        <v>42.734307824591568</v>
      </c>
      <c r="U10" s="62">
        <f t="shared" si="5"/>
        <v>37.747205503009447</v>
      </c>
      <c r="V10" s="62">
        <f t="shared" si="5"/>
        <v>35.941530524505588</v>
      </c>
      <c r="W10" s="62">
        <f t="shared" ref="W10:Y10" si="6">SUM(W11,W17)</f>
        <v>40.068787618228711</v>
      </c>
      <c r="X10" s="62">
        <f t="shared" si="6"/>
        <v>43.078245915735174</v>
      </c>
      <c r="Y10" s="62">
        <f t="shared" si="6"/>
        <v>45.571797076526217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33.282821120330524</v>
      </c>
      <c r="C11" s="29">
        <f t="shared" ref="C11:V11" si="8">SUM(C12,C13,C16)</f>
        <v>26.75373764040555</v>
      </c>
      <c r="D11" s="29">
        <f t="shared" si="8"/>
        <v>25.037996632513924</v>
      </c>
      <c r="E11" s="29">
        <f t="shared" si="8"/>
        <v>25.10822694938787</v>
      </c>
      <c r="F11" s="29">
        <f t="shared" si="8"/>
        <v>24.142086070778991</v>
      </c>
      <c r="G11" s="29">
        <f t="shared" si="8"/>
        <v>21.555897642211075</v>
      </c>
      <c r="H11" s="29">
        <f t="shared" si="8"/>
        <v>23.257091895616984</v>
      </c>
      <c r="I11" s="29">
        <f t="shared" si="8"/>
        <v>22.207807261840077</v>
      </c>
      <c r="J11" s="29">
        <f t="shared" si="8"/>
        <v>22.370990144938656</v>
      </c>
      <c r="K11" s="29">
        <f t="shared" si="8"/>
        <v>23.14214036177508</v>
      </c>
      <c r="L11" s="29">
        <f t="shared" si="8"/>
        <v>22.81664260134983</v>
      </c>
      <c r="M11" s="29">
        <f t="shared" si="8"/>
        <v>22.920360364873389</v>
      </c>
      <c r="N11" s="29">
        <f t="shared" si="8"/>
        <v>23.486671114421409</v>
      </c>
      <c r="O11" s="29">
        <f t="shared" si="8"/>
        <v>23.183593240958086</v>
      </c>
      <c r="P11" s="29">
        <f t="shared" si="8"/>
        <v>24.861269328702761</v>
      </c>
      <c r="Q11" s="29">
        <f t="shared" si="8"/>
        <v>30.878826173624667</v>
      </c>
      <c r="R11" s="29">
        <f t="shared" si="8"/>
        <v>29.853695803496766</v>
      </c>
      <c r="S11" s="29">
        <f t="shared" si="8"/>
        <v>31.366108176909307</v>
      </c>
      <c r="T11" s="29">
        <f t="shared" si="8"/>
        <v>30.473500299199177</v>
      </c>
      <c r="U11" s="29">
        <f t="shared" si="8"/>
        <v>27.489574494432112</v>
      </c>
      <c r="V11" s="29">
        <f t="shared" si="8"/>
        <v>22.848090697536197</v>
      </c>
      <c r="W11" s="29">
        <f t="shared" ref="W11:Y11" si="9">SUM(W12,W13,W16)</f>
        <v>24.598127181376995</v>
      </c>
      <c r="X11" s="29">
        <f t="shared" si="9"/>
        <v>24.029203523090693</v>
      </c>
      <c r="Y11" s="29">
        <f t="shared" si="9"/>
        <v>27.646664856869471</v>
      </c>
      <c r="DA11" s="173" t="s">
        <v>395</v>
      </c>
    </row>
    <row r="12" spans="1:105" ht="11.45" customHeight="1" x14ac:dyDescent="0.25">
      <c r="A12" s="107" t="s">
        <v>23</v>
      </c>
      <c r="B12" s="115">
        <v>1.6487963274288313</v>
      </c>
      <c r="C12" s="115">
        <v>1.653798434219919</v>
      </c>
      <c r="D12" s="115">
        <v>1.6662111464953395</v>
      </c>
      <c r="E12" s="115">
        <v>1.6946803458022206</v>
      </c>
      <c r="F12" s="115">
        <v>1.6874359418163525</v>
      </c>
      <c r="G12" s="115">
        <v>1.7677688903350695</v>
      </c>
      <c r="H12" s="115">
        <v>1.7281670296097471</v>
      </c>
      <c r="I12" s="115">
        <v>1.8176441388474902</v>
      </c>
      <c r="J12" s="115">
        <v>1.6054284463157671</v>
      </c>
      <c r="K12" s="115">
        <v>1.2718413193626341</v>
      </c>
      <c r="L12" s="115">
        <v>1.2169133518841124</v>
      </c>
      <c r="M12" s="115">
        <v>1.2768378747367093</v>
      </c>
      <c r="N12" s="115">
        <v>1.1891381493681936</v>
      </c>
      <c r="O12" s="115">
        <v>1.1088689120098321</v>
      </c>
      <c r="P12" s="115">
        <v>1.016161166963671</v>
      </c>
      <c r="Q12" s="115">
        <v>0.9345736516221701</v>
      </c>
      <c r="R12" s="115">
        <v>1.1047902960453311</v>
      </c>
      <c r="S12" s="115">
        <v>1.0168938266059324</v>
      </c>
      <c r="T12" s="115">
        <v>1.0115695837178786</v>
      </c>
      <c r="U12" s="115">
        <v>1.0029891760529286</v>
      </c>
      <c r="V12" s="115">
        <v>0.99003262345296539</v>
      </c>
      <c r="W12" s="115">
        <v>1.5666454021942953</v>
      </c>
      <c r="X12" s="115">
        <v>1.2213635732842107</v>
      </c>
      <c r="Y12" s="115">
        <v>1.3986919234489608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31.634024792901695</v>
      </c>
      <c r="C13" s="116">
        <f t="shared" ref="C13:V13" si="11">SUM(C14:C15)</f>
        <v>25.099939206185631</v>
      </c>
      <c r="D13" s="116">
        <f t="shared" si="11"/>
        <v>23.371785486018585</v>
      </c>
      <c r="E13" s="116">
        <f t="shared" si="11"/>
        <v>23.413546603585651</v>
      </c>
      <c r="F13" s="116">
        <f t="shared" si="11"/>
        <v>22.454650128962637</v>
      </c>
      <c r="G13" s="116">
        <f t="shared" si="11"/>
        <v>19.788128751876005</v>
      </c>
      <c r="H13" s="116">
        <f t="shared" si="11"/>
        <v>21.528924866007237</v>
      </c>
      <c r="I13" s="116">
        <f t="shared" si="11"/>
        <v>20.390163122992586</v>
      </c>
      <c r="J13" s="116">
        <f t="shared" si="11"/>
        <v>20.765561698622889</v>
      </c>
      <c r="K13" s="116">
        <f t="shared" si="11"/>
        <v>21.870299042412448</v>
      </c>
      <c r="L13" s="116">
        <f t="shared" si="11"/>
        <v>21.599729249465717</v>
      </c>
      <c r="M13" s="116">
        <f t="shared" si="11"/>
        <v>21.643522490136679</v>
      </c>
      <c r="N13" s="116">
        <f t="shared" si="11"/>
        <v>22.297532965053215</v>
      </c>
      <c r="O13" s="116">
        <f t="shared" si="11"/>
        <v>22.074724328948253</v>
      </c>
      <c r="P13" s="116">
        <f t="shared" si="11"/>
        <v>23.845108161739091</v>
      </c>
      <c r="Q13" s="116">
        <f t="shared" si="11"/>
        <v>29.944252522002497</v>
      </c>
      <c r="R13" s="116">
        <f t="shared" si="11"/>
        <v>28.748905507451436</v>
      </c>
      <c r="S13" s="116">
        <f t="shared" si="11"/>
        <v>30.349214350303374</v>
      </c>
      <c r="T13" s="116">
        <f t="shared" si="11"/>
        <v>29.461930715481298</v>
      </c>
      <c r="U13" s="116">
        <f t="shared" si="11"/>
        <v>26.486585318379184</v>
      </c>
      <c r="V13" s="116">
        <f t="shared" si="11"/>
        <v>21.858058074083232</v>
      </c>
      <c r="W13" s="116">
        <f t="shared" ref="W13:Y13" si="12">SUM(W14:W15)</f>
        <v>23.031481779182698</v>
      </c>
      <c r="X13" s="116">
        <f t="shared" si="12"/>
        <v>22.807839949806482</v>
      </c>
      <c r="Y13" s="116">
        <f t="shared" si="12"/>
        <v>26.24797293342051</v>
      </c>
      <c r="DA13" s="176" t="s">
        <v>397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X14" s="87">
        <v>0</v>
      </c>
      <c r="Y14" s="87">
        <v>0</v>
      </c>
      <c r="DA14" s="171" t="s">
        <v>1108</v>
      </c>
    </row>
    <row r="15" spans="1:105" ht="11.45" customHeight="1" x14ac:dyDescent="0.25">
      <c r="A15" s="111" t="s">
        <v>93</v>
      </c>
      <c r="B15" s="87">
        <v>31.634024792901695</v>
      </c>
      <c r="C15" s="87">
        <v>25.099939206185631</v>
      </c>
      <c r="D15" s="87">
        <v>23.371785486018585</v>
      </c>
      <c r="E15" s="87">
        <v>23.413546603585651</v>
      </c>
      <c r="F15" s="87">
        <v>22.454650128962637</v>
      </c>
      <c r="G15" s="87">
        <v>19.788128751876005</v>
      </c>
      <c r="H15" s="87">
        <v>21.528924866007237</v>
      </c>
      <c r="I15" s="87">
        <v>20.390163122992586</v>
      </c>
      <c r="J15" s="87">
        <v>20.765561698622889</v>
      </c>
      <c r="K15" s="87">
        <v>21.870299042412448</v>
      </c>
      <c r="L15" s="87">
        <v>21.599729249465717</v>
      </c>
      <c r="M15" s="87">
        <v>21.643522490136679</v>
      </c>
      <c r="N15" s="87">
        <v>22.297532965053215</v>
      </c>
      <c r="O15" s="87">
        <v>22.074724328948253</v>
      </c>
      <c r="P15" s="87">
        <v>23.845108161739091</v>
      </c>
      <c r="Q15" s="87">
        <v>29.944252522002497</v>
      </c>
      <c r="R15" s="87">
        <v>28.748905507451436</v>
      </c>
      <c r="S15" s="87">
        <v>30.349214350303374</v>
      </c>
      <c r="T15" s="87">
        <v>29.461930715481298</v>
      </c>
      <c r="U15" s="87">
        <v>26.486585318379184</v>
      </c>
      <c r="V15" s="87">
        <v>21.858058074083232</v>
      </c>
      <c r="W15" s="87">
        <v>23.031481779182698</v>
      </c>
      <c r="X15" s="87">
        <v>22.807839949806482</v>
      </c>
      <c r="Y15" s="87">
        <v>26.24797293342051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49.692243368061561</v>
      </c>
      <c r="C17" s="29">
        <f t="shared" si="13"/>
        <v>32.317629513506745</v>
      </c>
      <c r="D17" s="29">
        <f t="shared" si="13"/>
        <v>29.906113427675237</v>
      </c>
      <c r="E17" s="29">
        <f t="shared" si="13"/>
        <v>30.609743815874385</v>
      </c>
      <c r="F17" s="29">
        <f t="shared" si="13"/>
        <v>29.770209715979391</v>
      </c>
      <c r="G17" s="29">
        <f t="shared" si="13"/>
        <v>20.920456614022807</v>
      </c>
      <c r="H17" s="29">
        <f t="shared" si="13"/>
        <v>22.056751612551537</v>
      </c>
      <c r="I17" s="29">
        <f t="shared" si="13"/>
        <v>21.988237450111772</v>
      </c>
      <c r="J17" s="29">
        <f t="shared" si="13"/>
        <v>18.557642701149049</v>
      </c>
      <c r="K17" s="29">
        <f t="shared" si="13"/>
        <v>13.315297299445897</v>
      </c>
      <c r="L17" s="29">
        <f t="shared" si="13"/>
        <v>16.994191448521189</v>
      </c>
      <c r="M17" s="29">
        <f t="shared" si="13"/>
        <v>16.804489162211731</v>
      </c>
      <c r="N17" s="29">
        <f t="shared" si="13"/>
        <v>14.432503434159841</v>
      </c>
      <c r="O17" s="29">
        <f t="shared" si="13"/>
        <v>18.948822924132195</v>
      </c>
      <c r="P17" s="29">
        <f t="shared" si="13"/>
        <v>16.325317085742626</v>
      </c>
      <c r="Q17" s="29">
        <f t="shared" si="13"/>
        <v>12.973280447183587</v>
      </c>
      <c r="R17" s="29">
        <f t="shared" si="13"/>
        <v>14.084395340097384</v>
      </c>
      <c r="S17" s="29">
        <f t="shared" si="13"/>
        <v>11.196230602110472</v>
      </c>
      <c r="T17" s="29">
        <f t="shared" si="13"/>
        <v>12.260807525392392</v>
      </c>
      <c r="U17" s="29">
        <f t="shared" si="13"/>
        <v>10.257631008577334</v>
      </c>
      <c r="V17" s="29">
        <f t="shared" si="13"/>
        <v>13.093439826969393</v>
      </c>
      <c r="W17" s="29">
        <f t="shared" si="13"/>
        <v>15.47066043685172</v>
      </c>
      <c r="X17" s="29">
        <f t="shared" ref="X17:Y17" si="14">SUM(X18:X19)</f>
        <v>19.049042392644481</v>
      </c>
      <c r="Y17" s="29">
        <f t="shared" si="14"/>
        <v>17.925132219656746</v>
      </c>
      <c r="DA17" s="173" t="s">
        <v>402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DA18" s="171" t="s">
        <v>1110</v>
      </c>
    </row>
    <row r="19" spans="1:105" ht="11.45" customHeight="1" x14ac:dyDescent="0.25">
      <c r="A19" s="85" t="s">
        <v>93</v>
      </c>
      <c r="B19" s="88">
        <v>49.692243368061561</v>
      </c>
      <c r="C19" s="88">
        <v>32.317629513506745</v>
      </c>
      <c r="D19" s="88">
        <v>29.906113427675237</v>
      </c>
      <c r="E19" s="88">
        <v>30.609743815874385</v>
      </c>
      <c r="F19" s="88">
        <v>29.770209715979391</v>
      </c>
      <c r="G19" s="88">
        <v>20.920456614022807</v>
      </c>
      <c r="H19" s="88">
        <v>22.056751612551537</v>
      </c>
      <c r="I19" s="88">
        <v>21.988237450111772</v>
      </c>
      <c r="J19" s="88">
        <v>18.557642701149049</v>
      </c>
      <c r="K19" s="88">
        <v>13.315297299445897</v>
      </c>
      <c r="L19" s="88">
        <v>16.994191448521189</v>
      </c>
      <c r="M19" s="88">
        <v>16.804489162211731</v>
      </c>
      <c r="N19" s="88">
        <v>14.432503434159841</v>
      </c>
      <c r="O19" s="88">
        <v>18.948822924132195</v>
      </c>
      <c r="P19" s="88">
        <v>16.325317085742626</v>
      </c>
      <c r="Q19" s="88">
        <v>12.973280447183587</v>
      </c>
      <c r="R19" s="88">
        <v>14.084395340097384</v>
      </c>
      <c r="S19" s="88">
        <v>11.196230602110472</v>
      </c>
      <c r="T19" s="88">
        <v>12.260807525392392</v>
      </c>
      <c r="U19" s="88">
        <v>10.257631008577334</v>
      </c>
      <c r="V19" s="88">
        <v>13.093439826969393</v>
      </c>
      <c r="W19" s="88">
        <v>15.47066043685172</v>
      </c>
      <c r="X19" s="88">
        <v>19.049042392644481</v>
      </c>
      <c r="Y19" s="88">
        <v>17.925132219656746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171.37443740473668</v>
      </c>
      <c r="C23" s="62">
        <f>IF(C10=0,0,C10/TrRail_act!C14*100)</f>
        <v>152.32622262781646</v>
      </c>
      <c r="D23" s="62">
        <f>IF(D10=0,0,D10/TrRail_act!D14*100)</f>
        <v>146.458402477508</v>
      </c>
      <c r="E23" s="62">
        <f>IF(E10=0,0,E10/TrRail_act!E14*100)</f>
        <v>144.7203842821514</v>
      </c>
      <c r="F23" s="62">
        <f>IF(F10=0,0,F10/TrRail_act!F14*100)</f>
        <v>139.46333416466726</v>
      </c>
      <c r="G23" s="62">
        <f>IF(G10=0,0,G10/TrRail_act!G14*100)</f>
        <v>129.22974013517793</v>
      </c>
      <c r="H23" s="62">
        <f>IF(H10=0,0,H10/TrRail_act!H14*100)</f>
        <v>127.18318677808983</v>
      </c>
      <c r="I23" s="62">
        <f>IF(I10=0,0,I10/TrRail_act!I14*100)</f>
        <v>123.2832455707656</v>
      </c>
      <c r="J23" s="62">
        <f>IF(J10=0,0,J10/TrRail_act!J14*100)</f>
        <v>118.98408963925857</v>
      </c>
      <c r="K23" s="62">
        <f>IF(K10=0,0,K10/TrRail_act!K14*100)</f>
        <v>115.69477189169464</v>
      </c>
      <c r="L23" s="62">
        <f>IF(L10=0,0,L10/TrRail_act!L14*100)</f>
        <v>116.14647987984689</v>
      </c>
      <c r="M23" s="62">
        <f>IF(M10=0,0,M10/TrRail_act!M14*100)</f>
        <v>114.37172065712598</v>
      </c>
      <c r="N23" s="62">
        <f>IF(N10=0,0,N10/TrRail_act!N14*100)</f>
        <v>111.04939074065972</v>
      </c>
      <c r="O23" s="62">
        <f>IF(O10=0,0,O10/TrRail_act!O14*100)</f>
        <v>111.06641759728507</v>
      </c>
      <c r="P23" s="62">
        <f>IF(P10=0,0,P10/TrRail_act!P14*100)</f>
        <v>108.41911997059646</v>
      </c>
      <c r="Q23" s="62">
        <f>IF(Q10=0,0,Q10/TrRail_act!Q14*100)</f>
        <v>104.03118414054646</v>
      </c>
      <c r="R23" s="62">
        <f>IF(R10=0,0,R10/TrRail_act!R14*100)</f>
        <v>101.2992398313433</v>
      </c>
      <c r="S23" s="62">
        <f>IF(S10=0,0,S10/TrRail_act!S14*100)</f>
        <v>98.483253872611101</v>
      </c>
      <c r="T23" s="62">
        <f>IF(T10=0,0,T10/TrRail_act!T14*100)</f>
        <v>97.564742994341941</v>
      </c>
      <c r="U23" s="62">
        <f>IF(U10=0,0,U10/TrRail_act!U14*100)</f>
        <v>95.562969954550681</v>
      </c>
      <c r="V23" s="62">
        <f>IF(V10=0,0,V10/TrRail_act!V14*100)</f>
        <v>96.412403282484689</v>
      </c>
      <c r="W23" s="62">
        <f>IF(W10=0,0,W10/TrRail_act!W14*100)</f>
        <v>93.895195869075991</v>
      </c>
      <c r="X23" s="62">
        <f>IF(X10=0,0,X10/TrRail_act!X14*100)</f>
        <v>96.730200186413839</v>
      </c>
      <c r="Y23" s="62">
        <f>IF(Y10=0,0,Y10/TrRail_act!Y14*100)</f>
        <v>94.923053119944541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136.50484747239094</v>
      </c>
      <c r="C24" s="29">
        <f>IF(C11=0,0,C11/TrRail_act!C15*100)</f>
        <v>126.24703475026263</v>
      </c>
      <c r="D24" s="29">
        <f>IF(D11=0,0,D11/TrRail_act!D15*100)</f>
        <v>119.91905986704852</v>
      </c>
      <c r="E24" s="29">
        <f>IF(E11=0,0,E11/TrRail_act!E15*100)</f>
        <v>118.20386844122982</v>
      </c>
      <c r="F24" s="29">
        <f>IF(F11=0,0,F11/TrRail_act!F15*100)</f>
        <v>113.94137316498001</v>
      </c>
      <c r="G24" s="29">
        <f>IF(G11=0,0,G11/TrRail_act!G15*100)</f>
        <v>107.67477288125782</v>
      </c>
      <c r="H24" s="29">
        <f>IF(H11=0,0,H11/TrRail_act!H15*100)</f>
        <v>107.05801731646388</v>
      </c>
      <c r="I24" s="29">
        <f>IF(I11=0,0,I11/TrRail_act!I15*100)</f>
        <v>102.85857860109762</v>
      </c>
      <c r="J24" s="29">
        <f>IF(J11=0,0,J11/TrRail_act!J15*100)</f>
        <v>101.73720830679795</v>
      </c>
      <c r="K24" s="29">
        <f>IF(K11=0,0,K11/TrRail_act!K15*100)</f>
        <v>103.16463625047257</v>
      </c>
      <c r="L24" s="29">
        <f>IF(L11=0,0,L11/TrRail_act!L15*100)</f>
        <v>101.30959414309852</v>
      </c>
      <c r="M24" s="29">
        <f>IF(M11=0,0,M11/TrRail_act!M15*100)</f>
        <v>99.115456574827149</v>
      </c>
      <c r="N24" s="29">
        <f>IF(N11=0,0,N11/TrRail_act!N15*100)</f>
        <v>98.068237399903296</v>
      </c>
      <c r="O24" s="29">
        <f>IF(O11=0,0,O11/TrRail_act!O15*100)</f>
        <v>96.61926967795587</v>
      </c>
      <c r="P24" s="29">
        <f>IF(P11=0,0,P11/TrRail_act!P15*100)</f>
        <v>96.80969275295304</v>
      </c>
      <c r="Q24" s="29">
        <f>IF(Q11=0,0,Q11/TrRail_act!Q15*100)</f>
        <v>95.95249769577579</v>
      </c>
      <c r="R24" s="29">
        <f>IF(R11=0,0,R11/TrRail_act!R15*100)</f>
        <v>92.323947373718553</v>
      </c>
      <c r="S24" s="29">
        <f>IF(S11=0,0,S11/TrRail_act!S15*100)</f>
        <v>91.530031969933162</v>
      </c>
      <c r="T24" s="29">
        <f>IF(T11=0,0,T11/TrRail_act!T15*100)</f>
        <v>90.143771105870272</v>
      </c>
      <c r="U24" s="29">
        <f>IF(U11=0,0,U11/TrRail_act!U15*100)</f>
        <v>88.639983643715397</v>
      </c>
      <c r="V24" s="29">
        <f>IF(V11=0,0,V11/TrRail_act!V15*100)</f>
        <v>86.794396507472698</v>
      </c>
      <c r="W24" s="29">
        <f>IF(W11=0,0,W11/TrRail_act!W15*100)</f>
        <v>83.03941959114907</v>
      </c>
      <c r="X24" s="29">
        <f>IF(X11=0,0,X11/TrRail_act!X15*100)</f>
        <v>84.719875724223755</v>
      </c>
      <c r="Y24" s="29">
        <f>IF(Y11=0,0,Y11/TrRail_act!Y15*100)</f>
        <v>84.493289552279094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36.955235648237036</v>
      </c>
      <c r="C25" s="115">
        <f>IF(C12=0,0,C12/TrRail_act!C16*100)</f>
        <v>36.32681330253785</v>
      </c>
      <c r="D25" s="115">
        <f>IF(D12=0,0,D12/TrRail_act!D16*100)</f>
        <v>35.913434786540947</v>
      </c>
      <c r="E25" s="115">
        <f>IF(E12=0,0,E12/TrRail_act!E16*100)</f>
        <v>35.701372871833406</v>
      </c>
      <c r="F25" s="115">
        <f>IF(F12=0,0,F12/TrRail_act!F16*100)</f>
        <v>35.507189083781007</v>
      </c>
      <c r="G25" s="115">
        <f>IF(G12=0,0,G12/TrRail_act!G16*100)</f>
        <v>34.682282998327601</v>
      </c>
      <c r="H25" s="115">
        <f>IF(H12=0,0,H12/TrRail_act!H16*100)</f>
        <v>34.200768264286289</v>
      </c>
      <c r="I25" s="115">
        <f>IF(I12=0,0,I12/TrRail_act!I16*100)</f>
        <v>33.791554071839293</v>
      </c>
      <c r="J25" s="115">
        <f>IF(J12=0,0,J12/TrRail_act!J16*100)</f>
        <v>33.545541812987864</v>
      </c>
      <c r="K25" s="115">
        <f>IF(K12=0,0,K12/TrRail_act!K16*100)</f>
        <v>33.283274947654476</v>
      </c>
      <c r="L25" s="115">
        <f>IF(L12=0,0,L12/TrRail_act!L16*100)</f>
        <v>32.925193620008223</v>
      </c>
      <c r="M25" s="115">
        <f>IF(M12=0,0,M12/TrRail_act!M16*100)</f>
        <v>32.558297288002521</v>
      </c>
      <c r="N25" s="115">
        <f>IF(N12=0,0,N12/TrRail_act!N16*100)</f>
        <v>32.062583412817716</v>
      </c>
      <c r="O25" s="115">
        <f>IF(O12=0,0,O12/TrRail_act!O16*100)</f>
        <v>31.484470017353239</v>
      </c>
      <c r="P25" s="115">
        <f>IF(P12=0,0,P12/TrRail_act!P16*100)</f>
        <v>31.142712825090662</v>
      </c>
      <c r="Q25" s="115">
        <f>IF(Q12=0,0,Q12/TrRail_act!Q16*100)</f>
        <v>30.897014004124419</v>
      </c>
      <c r="R25" s="115">
        <f>IF(R12=0,0,R12/TrRail_act!R16*100)</f>
        <v>30.714012820273151</v>
      </c>
      <c r="S25" s="115">
        <f>IF(S12=0,0,S12/TrRail_act!S16*100)</f>
        <v>30.577473596894272</v>
      </c>
      <c r="T25" s="115">
        <f>IF(T12=0,0,T12/TrRail_act!T16*100)</f>
        <v>30.475467661346833</v>
      </c>
      <c r="U25" s="115">
        <f>IF(U12=0,0,U12/TrRail_act!U16*100)</f>
        <v>30.399186587196358</v>
      </c>
      <c r="V25" s="115">
        <f>IF(V12=0,0,V12/TrRail_act!V16*100)</f>
        <v>30.342101108162971</v>
      </c>
      <c r="W25" s="115">
        <f>IF(W12=0,0,W12/TrRail_act!W16*100)</f>
        <v>30.299357359020608</v>
      </c>
      <c r="X25" s="115">
        <f>IF(X12=0,0,X12/TrRail_act!X16*100)</f>
        <v>30.267339067432896</v>
      </c>
      <c r="Y25" s="115">
        <f>IF(Y12=0,0,Y12/TrRail_act!Y16*100)</f>
        <v>30.243347554580318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158.8009678649679</v>
      </c>
      <c r="C26" s="116">
        <f>IF(C13=0,0,C13/TrRail_act!C17*100)</f>
        <v>150.84985338226048</v>
      </c>
      <c r="D26" s="116">
        <f>IF(D13=0,0,D13/TrRail_act!D17*100)</f>
        <v>143.91883702236373</v>
      </c>
      <c r="E26" s="116">
        <f>IF(E13=0,0,E13/TrRail_act!E17*100)</f>
        <v>141.9464075994488</v>
      </c>
      <c r="F26" s="116">
        <f>IF(F13=0,0,F13/TrRail_act!F17*100)</f>
        <v>136.62047704615989</v>
      </c>
      <c r="G26" s="116">
        <f>IF(G13=0,0,G13/TrRail_act!G17*100)</f>
        <v>132.60676213625413</v>
      </c>
      <c r="H26" s="116">
        <f>IF(H13=0,0,H13/TrRail_act!H17*100)</f>
        <v>129.14141056249517</v>
      </c>
      <c r="I26" s="116">
        <f>IF(I13=0,0,I13/TrRail_act!I17*100)</f>
        <v>125.77488822619907</v>
      </c>
      <c r="J26" s="116">
        <f>IF(J13=0,0,J13/TrRail_act!J17*100)</f>
        <v>120.70770784855071</v>
      </c>
      <c r="K26" s="116">
        <f>IF(K13=0,0,K13/TrRail_act!K17*100)</f>
        <v>117.51288891253316</v>
      </c>
      <c r="L26" s="116">
        <f>IF(L13=0,0,L13/TrRail_act!L17*100)</f>
        <v>114.73529940206033</v>
      </c>
      <c r="M26" s="116">
        <f>IF(M13=0,0,M13/TrRail_act!M17*100)</f>
        <v>112.70781921467051</v>
      </c>
      <c r="N26" s="116">
        <f>IF(N13=0,0,N13/TrRail_act!N17*100)</f>
        <v>110.16289143277768</v>
      </c>
      <c r="O26" s="116">
        <f>IF(O13=0,0,O13/TrRail_act!O17*100)</f>
        <v>107.82445043908243</v>
      </c>
      <c r="P26" s="116">
        <f>IF(P13=0,0,P13/TrRail_act!P17*100)</f>
        <v>106.36761083697131</v>
      </c>
      <c r="Q26" s="116">
        <f>IF(Q13=0,0,Q13/TrRail_act!Q17*100)</f>
        <v>102.7015776286933</v>
      </c>
      <c r="R26" s="116">
        <f>IF(R13=0,0,R13/TrRail_act!R17*100)</f>
        <v>100.03521222373838</v>
      </c>
      <c r="S26" s="116">
        <f>IF(S13=0,0,S13/TrRail_act!S17*100)</f>
        <v>98.080966091201731</v>
      </c>
      <c r="T26" s="116">
        <f>IF(T13=0,0,T13/TrRail_act!T17*100)</f>
        <v>96.640376406846812</v>
      </c>
      <c r="U26" s="116">
        <f>IF(U13=0,0,U13/TrRail_act!U17*100)</f>
        <v>95.573836834842083</v>
      </c>
      <c r="V26" s="116">
        <f>IF(V13=0,0,V13/TrRail_act!V17*100)</f>
        <v>94.781663682591869</v>
      </c>
      <c r="W26" s="116">
        <f>IF(W13=0,0,W13/TrRail_act!W17*100)</f>
        <v>94.191845743266711</v>
      </c>
      <c r="X26" s="116">
        <f>IF(X13=0,0,X13/TrRail_act!X17*100)</f>
        <v>93.751892230487726</v>
      </c>
      <c r="Y26" s="116">
        <f>IF(Y13=0,0,Y13/TrRail_act!Y17*100)</f>
        <v>93.423276178929299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X27" s="87">
        <f>IF(X14=0,0,X14/TrRail_act!X18*100)</f>
        <v>0</v>
      </c>
      <c r="Y27" s="87">
        <f>IF(Y14=0,0,Y14/TrRail_act!Y18*100)</f>
        <v>0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158.8009678649679</v>
      </c>
      <c r="C28" s="87">
        <f>IF(C15=0,0,C15/TrRail_act!C19*100)</f>
        <v>150.84985338226048</v>
      </c>
      <c r="D28" s="87">
        <f>IF(D15=0,0,D15/TrRail_act!D19*100)</f>
        <v>143.91883702236373</v>
      </c>
      <c r="E28" s="87">
        <f>IF(E15=0,0,E15/TrRail_act!E19*100)</f>
        <v>141.9464075994488</v>
      </c>
      <c r="F28" s="87">
        <f>IF(F15=0,0,F15/TrRail_act!F19*100)</f>
        <v>136.62047704615989</v>
      </c>
      <c r="G28" s="87">
        <f>IF(G15=0,0,G15/TrRail_act!G19*100)</f>
        <v>132.60676213625413</v>
      </c>
      <c r="H28" s="87">
        <f>IF(H15=0,0,H15/TrRail_act!H19*100)</f>
        <v>129.14141056249517</v>
      </c>
      <c r="I28" s="87">
        <f>IF(I15=0,0,I15/TrRail_act!I19*100)</f>
        <v>125.77488822619907</v>
      </c>
      <c r="J28" s="87">
        <f>IF(J15=0,0,J15/TrRail_act!J19*100)</f>
        <v>120.70770784855071</v>
      </c>
      <c r="K28" s="87">
        <f>IF(K15=0,0,K15/TrRail_act!K19*100)</f>
        <v>117.51288891253316</v>
      </c>
      <c r="L28" s="87">
        <f>IF(L15=0,0,L15/TrRail_act!L19*100)</f>
        <v>114.73529940206033</v>
      </c>
      <c r="M28" s="87">
        <f>IF(M15=0,0,M15/TrRail_act!M19*100)</f>
        <v>112.70781921467051</v>
      </c>
      <c r="N28" s="87">
        <f>IF(N15=0,0,N15/TrRail_act!N19*100)</f>
        <v>110.16289143277768</v>
      </c>
      <c r="O28" s="87">
        <f>IF(O15=0,0,O15/TrRail_act!O19*100)</f>
        <v>107.82445043908243</v>
      </c>
      <c r="P28" s="87">
        <f>IF(P15=0,0,P15/TrRail_act!P19*100)</f>
        <v>106.36761083697131</v>
      </c>
      <c r="Q28" s="87">
        <f>IF(Q15=0,0,Q15/TrRail_act!Q19*100)</f>
        <v>102.7015776286933</v>
      </c>
      <c r="R28" s="87">
        <f>IF(R15=0,0,R15/TrRail_act!R19*100)</f>
        <v>100.03521222373838</v>
      </c>
      <c r="S28" s="87">
        <f>IF(S15=0,0,S15/TrRail_act!S19*100)</f>
        <v>98.080966091201731</v>
      </c>
      <c r="T28" s="87">
        <f>IF(T15=0,0,T15/TrRail_act!T19*100)</f>
        <v>96.640376406846812</v>
      </c>
      <c r="U28" s="87">
        <f>IF(U15=0,0,U15/TrRail_act!U19*100)</f>
        <v>95.573836834842083</v>
      </c>
      <c r="V28" s="87">
        <f>IF(V15=0,0,V15/TrRail_act!V19*100)</f>
        <v>94.781663682591869</v>
      </c>
      <c r="W28" s="87">
        <f>IF(W15=0,0,W15/TrRail_act!W19*100)</f>
        <v>94.191845743266711</v>
      </c>
      <c r="X28" s="87">
        <f>IF(X15=0,0,X15/TrRail_act!X19*100)</f>
        <v>93.751892230487726</v>
      </c>
      <c r="Y28" s="87">
        <f>IF(Y15=0,0,Y15/TrRail_act!Y19*100)</f>
        <v>93.423276178929299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206.74729341131788</v>
      </c>
      <c r="C30" s="29">
        <f>IF(C17=0,0,C17/TrRail_act!C21*100)</f>
        <v>183.74884799623993</v>
      </c>
      <c r="D30" s="29">
        <f>IF(D17=0,0,D17/TrRail_act!D21*100)</f>
        <v>179.76654535564333</v>
      </c>
      <c r="E30" s="29">
        <f>IF(E17=0,0,E17/TrRail_act!E21*100)</f>
        <v>177.35555745008702</v>
      </c>
      <c r="F30" s="29">
        <f>IF(F17=0,0,F17/TrRail_act!F21*100)</f>
        <v>170.41929215579529</v>
      </c>
      <c r="G30" s="29">
        <f>IF(G17=0,0,G17/TrRail_act!G21*100)</f>
        <v>162.81247246728265</v>
      </c>
      <c r="H30" s="29">
        <f>IF(H17=0,0,H17/TrRail_act!H21*100)</f>
        <v>158.62484269698786</v>
      </c>
      <c r="I30" s="29">
        <f>IF(I17=0,0,I17/TrRail_act!I21*100)</f>
        <v>154.21070531693451</v>
      </c>
      <c r="J30" s="29">
        <f>IF(J17=0,0,J17/TrRail_act!J21*100)</f>
        <v>149.54489091692699</v>
      </c>
      <c r="K30" s="29">
        <f>IF(K17=0,0,K17/TrRail_act!K21*100)</f>
        <v>146.65231621305836</v>
      </c>
      <c r="L30" s="29">
        <f>IF(L17=0,0,L17/TrRail_act!L21*100)</f>
        <v>144.57356256400132</v>
      </c>
      <c r="M30" s="29">
        <f>IF(M17=0,0,M17/TrRail_act!M21*100)</f>
        <v>144.76402132479862</v>
      </c>
      <c r="N30" s="29">
        <f>IF(N17=0,0,N17/TrRail_act!N21*100)</f>
        <v>141.53801318180228</v>
      </c>
      <c r="O30" s="29">
        <f>IF(O17=0,0,O17/TrRail_act!O21*100)</f>
        <v>135.93479969916359</v>
      </c>
      <c r="P30" s="29">
        <f>IF(P17=0,0,P17/TrRail_act!P21*100)</f>
        <v>132.64260785287411</v>
      </c>
      <c r="Q30" s="29">
        <f>IF(Q17=0,0,Q17/TrRail_act!Q21*100)</f>
        <v>130.10386155299724</v>
      </c>
      <c r="R30" s="29">
        <f>IF(R17=0,0,R17/TrRail_act!R21*100)</f>
        <v>127.5905821143167</v>
      </c>
      <c r="S30" s="29">
        <f>IF(S17=0,0,S17/TrRail_act!S21*100)</f>
        <v>125.10884755533542</v>
      </c>
      <c r="T30" s="29">
        <f>IF(T17=0,0,T17/TrRail_act!T21*100)</f>
        <v>122.66288017795759</v>
      </c>
      <c r="U30" s="29">
        <f>IF(U17=0,0,U17/TrRail_act!U21*100)</f>
        <v>120.85983823289064</v>
      </c>
      <c r="V30" s="29">
        <f>IF(V17=0,0,V17/TrRail_act!V21*100)</f>
        <v>119.52497091003636</v>
      </c>
      <c r="W30" s="29">
        <f>IF(W17=0,0,W17/TrRail_act!W21*100)</f>
        <v>118.53350463318853</v>
      </c>
      <c r="X30" s="29">
        <f>IF(X17=0,0,X17/TrRail_act!X21*100)</f>
        <v>117.79530584187354</v>
      </c>
      <c r="Y30" s="29">
        <f>IF(Y17=0,0,Y17/TrRail_act!Y21*100)</f>
        <v>117.24467531336083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X31" s="87">
        <f>IF(X18=0,0,X18/TrRail_act!X22*100)</f>
        <v>0</v>
      </c>
      <c r="Y31" s="87">
        <f>IF(Y18=0,0,Y18/TrRail_act!Y22*100)</f>
        <v>0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206.74729341131788</v>
      </c>
      <c r="C32" s="88">
        <f>IF(C19=0,0,C19/TrRail_act!C23*100)</f>
        <v>183.74884799623993</v>
      </c>
      <c r="D32" s="88">
        <f>IF(D19=0,0,D19/TrRail_act!D23*100)</f>
        <v>179.76654535564333</v>
      </c>
      <c r="E32" s="88">
        <f>IF(E19=0,0,E19/TrRail_act!E23*100)</f>
        <v>177.35555745008702</v>
      </c>
      <c r="F32" s="88">
        <f>IF(F19=0,0,F19/TrRail_act!F23*100)</f>
        <v>170.41929215579529</v>
      </c>
      <c r="G32" s="88">
        <f>IF(G19=0,0,G19/TrRail_act!G23*100)</f>
        <v>162.81247246728265</v>
      </c>
      <c r="H32" s="88">
        <f>IF(H19=0,0,H19/TrRail_act!H23*100)</f>
        <v>158.62484269698786</v>
      </c>
      <c r="I32" s="88">
        <f>IF(I19=0,0,I19/TrRail_act!I23*100)</f>
        <v>154.21070531693451</v>
      </c>
      <c r="J32" s="88">
        <f>IF(J19=0,0,J19/TrRail_act!J23*100)</f>
        <v>149.54489091692699</v>
      </c>
      <c r="K32" s="88">
        <f>IF(K19=0,0,K19/TrRail_act!K23*100)</f>
        <v>146.65231621305836</v>
      </c>
      <c r="L32" s="88">
        <f>IF(L19=0,0,L19/TrRail_act!L23*100)</f>
        <v>144.57356256400132</v>
      </c>
      <c r="M32" s="88">
        <f>IF(M19=0,0,M19/TrRail_act!M23*100)</f>
        <v>144.76402132479862</v>
      </c>
      <c r="N32" s="88">
        <f>IF(N19=0,0,N19/TrRail_act!N23*100)</f>
        <v>141.53801318180228</v>
      </c>
      <c r="O32" s="88">
        <f>IF(O19=0,0,O19/TrRail_act!O23*100)</f>
        <v>135.93479969916359</v>
      </c>
      <c r="P32" s="88">
        <f>IF(P19=0,0,P19/TrRail_act!P23*100)</f>
        <v>132.64260785287411</v>
      </c>
      <c r="Q32" s="88">
        <f>IF(Q19=0,0,Q19/TrRail_act!Q23*100)</f>
        <v>130.10386155299724</v>
      </c>
      <c r="R32" s="88">
        <f>IF(R19=0,0,R19/TrRail_act!R23*100)</f>
        <v>127.5905821143167</v>
      </c>
      <c r="S32" s="88">
        <f>IF(S19=0,0,S19/TrRail_act!S23*100)</f>
        <v>125.10884755533542</v>
      </c>
      <c r="T32" s="88">
        <f>IF(T19=0,0,T19/TrRail_act!T23*100)</f>
        <v>122.66288017795759</v>
      </c>
      <c r="U32" s="88">
        <f>IF(U19=0,0,U19/TrRail_act!U23*100)</f>
        <v>120.85983823289064</v>
      </c>
      <c r="V32" s="88">
        <f>IF(V19=0,0,V19/TrRail_act!V23*100)</f>
        <v>119.52497091003636</v>
      </c>
      <c r="W32" s="88">
        <f>IF(W19=0,0,W19/TrRail_act!W23*100)</f>
        <v>118.53350463318853</v>
      </c>
      <c r="X32" s="88">
        <f>IF(X19=0,0,X19/TrRail_act!X23*100)</f>
        <v>117.79530584187354</v>
      </c>
      <c r="Y32" s="88">
        <f>IF(Y19=0,0,Y19/TrRail_act!Y23*100)</f>
        <v>117.24467531336083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10.336279851034325</v>
      </c>
      <c r="C35" s="29">
        <f>IF(C11=0,0,C11/TrRail_act!C4*1000)</f>
        <v>8.4600469653913493</v>
      </c>
      <c r="D35" s="29">
        <f>IF(D11=0,0,D11/TrRail_act!D4*1000)</f>
        <v>8.2356097797421839</v>
      </c>
      <c r="E35" s="29">
        <f>IF(E11=0,0,E11/TrRail_act!E4*1000)</f>
        <v>9.3582461957544449</v>
      </c>
      <c r="F35" s="29">
        <f>IF(F11=0,0,F11/TrRail_act!F4*1000)</f>
        <v>9.3204167087702139</v>
      </c>
      <c r="G35" s="29">
        <f>IF(G11=0,0,G11/TrRail_act!G4*1000)</f>
        <v>8.3933301235109052</v>
      </c>
      <c r="H35" s="29">
        <f>IF(H11=0,0,H11/TrRail_act!H4*1000)</f>
        <v>8.9538997051761946</v>
      </c>
      <c r="I35" s="29">
        <f>IF(I11=0,0,I11/TrRail_act!I4*1000)</f>
        <v>8.6751348125775216</v>
      </c>
      <c r="J35" s="29">
        <f>IF(J11=0,0,J11/TrRail_act!J4*1000)</f>
        <v>8.3997751591751353</v>
      </c>
      <c r="K35" s="29">
        <f>IF(K11=0,0,K11/TrRail_act!K4*1000)</f>
        <v>9.0521830276685549</v>
      </c>
      <c r="L35" s="29">
        <f>IF(L11=0,0,L11/TrRail_act!L4*1000)</f>
        <v>8.801212493863348</v>
      </c>
      <c r="M35" s="29">
        <f>IF(M11=0,0,M11/TrRail_act!M4*1000)</f>
        <v>8.3718125783108803</v>
      </c>
      <c r="N35" s="29">
        <f>IF(N11=0,0,N11/TrRail_act!N4*1000)</f>
        <v>8.5454277964371386</v>
      </c>
      <c r="O35" s="29">
        <f>IF(O11=0,0,O11/TrRail_act!O4*1000)</f>
        <v>8.3986138279959093</v>
      </c>
      <c r="P35" s="29">
        <f>IF(P11=0,0,P11/TrRail_act!P4*1000)</f>
        <v>8.7543411810420118</v>
      </c>
      <c r="Q35" s="29">
        <f>IF(Q11=0,0,Q11/TrRail_act!Q4*1000)</f>
        <v>8.4326901820747011</v>
      </c>
      <c r="R35" s="29">
        <f>IF(R11=0,0,R11/TrRail_act!R4*1000)</f>
        <v>7.8868725848872909</v>
      </c>
      <c r="S35" s="29">
        <f>IF(S11=0,0,S11/TrRail_act!S4*1000)</f>
        <v>7.7660929833114789</v>
      </c>
      <c r="T35" s="29">
        <f>IF(T11=0,0,T11/TrRail_act!T4*1000)</f>
        <v>7.4822927460541218</v>
      </c>
      <c r="U35" s="29">
        <f>IF(U11=0,0,U11/TrRail_act!U4*1000)</f>
        <v>6.490417848632613</v>
      </c>
      <c r="V35" s="29">
        <f>IF(V11=0,0,V11/TrRail_act!V4*1000)</f>
        <v>9.9279680648888355</v>
      </c>
      <c r="W35" s="29">
        <f>IF(W11=0,0,W11/TrRail_act!W4*1000)</f>
        <v>11.201292774963383</v>
      </c>
      <c r="X35" s="29">
        <f>IF(X11=0,0,X11/TrRail_act!X4*1000)</f>
        <v>6.916794236319646</v>
      </c>
      <c r="Y35" s="29">
        <f>IF(Y11=0,0,Y11/TrRail_act!Y4*1000)</f>
        <v>7.0581619011020411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4.710846649796661</v>
      </c>
      <c r="C36" s="115">
        <f>IF(C12=0,0,C12/TrRail_act!C5*1000)</f>
        <v>4.6277858993035563</v>
      </c>
      <c r="D36" s="115">
        <f>IF(D12=0,0,D12/TrRail_act!D5*1000)</f>
        <v>4.6514713843750393</v>
      </c>
      <c r="E36" s="115">
        <f>IF(E12=0,0,E12/TrRail_act!E5*1000)</f>
        <v>4.6175871588940902</v>
      </c>
      <c r="F36" s="115">
        <f>IF(F12=0,0,F12/TrRail_act!F5*1000)</f>
        <v>4.6583783910627083</v>
      </c>
      <c r="G36" s="115">
        <f>IF(G12=0,0,G12/TrRail_act!G5*1000)</f>
        <v>4.5771325930331113</v>
      </c>
      <c r="H36" s="115">
        <f>IF(H12=0,0,H12/TrRail_act!H5*1000)</f>
        <v>4.4954478354995429</v>
      </c>
      <c r="I36" s="115">
        <f>IF(I12=0,0,I12/TrRail_act!I5*1000)</f>
        <v>4.602353125927336</v>
      </c>
      <c r="J36" s="115">
        <f>IF(J12=0,0,J12/TrRail_act!J5*1000)</f>
        <v>4.3710771443485399</v>
      </c>
      <c r="K36" s="115">
        <f>IF(K12=0,0,K12/TrRail_act!K5*1000)</f>
        <v>4.3477904669727847</v>
      </c>
      <c r="L36" s="115">
        <f>IF(L12=0,0,L12/TrRail_act!L5*1000)</f>
        <v>4.2933250161464942</v>
      </c>
      <c r="M36" s="115">
        <f>IF(M12=0,0,M12/TrRail_act!M5*1000)</f>
        <v>4.1617730280932506</v>
      </c>
      <c r="N36" s="115">
        <f>IF(N12=0,0,N12/TrRail_act!N5*1000)</f>
        <v>4.1082843841011538</v>
      </c>
      <c r="O36" s="115">
        <f>IF(O12=0,0,O12/TrRail_act!O5*1000)</f>
        <v>4.0262902155021854</v>
      </c>
      <c r="P36" s="115">
        <f>IF(P12=0,0,P12/TrRail_act!P5*1000)</f>
        <v>3.9557975747163989</v>
      </c>
      <c r="Q36" s="115">
        <f>IF(Q12=0,0,Q12/TrRail_act!Q5*1000)</f>
        <v>3.7263679930899967</v>
      </c>
      <c r="R36" s="115">
        <f>IF(R12=0,0,R12/TrRail_act!R5*1000)</f>
        <v>3.6674905183029267</v>
      </c>
      <c r="S36" s="115">
        <f>IF(S12=0,0,S12/TrRail_act!S5*1000)</f>
        <v>3.5698894500294851</v>
      </c>
      <c r="T36" s="115">
        <f>IF(T12=0,0,T12/TrRail_act!T5*1000)</f>
        <v>3.603110193510497</v>
      </c>
      <c r="U36" s="115">
        <f>IF(U12=0,0,U12/TrRail_act!U5*1000)</f>
        <v>3.6025738963013487</v>
      </c>
      <c r="V36" s="115">
        <f>IF(V12=0,0,V12/TrRail_act!V5*1000)</f>
        <v>5.8795283677122798</v>
      </c>
      <c r="W36" s="115">
        <f>IF(W12=0,0,W12/TrRail_act!W5*1000)</f>
        <v>6.9012820773988324</v>
      </c>
      <c r="X36" s="115">
        <f>IF(X12=0,0,X12/TrRail_act!X5*1000)</f>
        <v>3.9908933242624527</v>
      </c>
      <c r="Y36" s="115">
        <f>IF(Y12=0,0,Y12/TrRail_act!Y5*1000)</f>
        <v>3.7400380221399496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11.022308290209649</v>
      </c>
      <c r="C37" s="116">
        <f>IF(C13=0,0,C13/TrRail_act!C6*1000)</f>
        <v>8.9482849219913128</v>
      </c>
      <c r="D37" s="116">
        <f>IF(D13=0,0,D13/TrRail_act!D6*1000)</f>
        <v>8.7143122617518962</v>
      </c>
      <c r="E37" s="116">
        <f>IF(E13=0,0,E13/TrRail_act!E6*1000)</f>
        <v>10.109476080995531</v>
      </c>
      <c r="F37" s="116">
        <f>IF(F13=0,0,F13/TrRail_act!F6*1000)</f>
        <v>10.078388747290232</v>
      </c>
      <c r="G37" s="116">
        <f>IF(G13=0,0,G13/TrRail_act!G6*1000)</f>
        <v>9.06880327767003</v>
      </c>
      <c r="H37" s="116">
        <f>IF(H13=0,0,H13/TrRail_act!H6*1000)</f>
        <v>9.7283890040701468</v>
      </c>
      <c r="I37" s="116">
        <f>IF(I13=0,0,I13/TrRail_act!I6*1000)</f>
        <v>9.4180892023060441</v>
      </c>
      <c r="J37" s="116">
        <f>IF(J13=0,0,J13/TrRail_act!J6*1000)</f>
        <v>9.0442341892956826</v>
      </c>
      <c r="K37" s="116">
        <f>IF(K13=0,0,K13/TrRail_act!K6*1000)</f>
        <v>9.6600260788040853</v>
      </c>
      <c r="L37" s="116">
        <f>IF(L13=0,0,L13/TrRail_act!L6*1000)</f>
        <v>9.3545817451129132</v>
      </c>
      <c r="M37" s="116">
        <f>IF(M13=0,0,M13/TrRail_act!M6*1000)</f>
        <v>8.9031355368723482</v>
      </c>
      <c r="N37" s="116">
        <f>IF(N13=0,0,N13/TrRail_act!N6*1000)</f>
        <v>9.0677238572806882</v>
      </c>
      <c r="O37" s="116">
        <f>IF(O13=0,0,O13/TrRail_act!O6*1000)</f>
        <v>8.8831888647679094</v>
      </c>
      <c r="P37" s="116">
        <f>IF(P13=0,0,P13/TrRail_act!P6*1000)</f>
        <v>9.2315556181723153</v>
      </c>
      <c r="Q37" s="116">
        <f>IF(Q13=0,0,Q13/TrRail_act!Q6*1000)</f>
        <v>8.7787313169165913</v>
      </c>
      <c r="R37" s="116">
        <f>IF(R13=0,0,R13/TrRail_act!R6*1000)</f>
        <v>8.2516950365819284</v>
      </c>
      <c r="S37" s="116">
        <f>IF(S13=0,0,S13/TrRail_act!S6*1000)</f>
        <v>8.0845003596972234</v>
      </c>
      <c r="T37" s="116">
        <f>IF(T13=0,0,T13/TrRail_act!T6*1000)</f>
        <v>7.7694964966986539</v>
      </c>
      <c r="U37" s="116">
        <f>IF(U13=0,0,U13/TrRail_act!U6*1000)</f>
        <v>6.6936025570834428</v>
      </c>
      <c r="V37" s="116">
        <f>IF(V13=0,0,V13/TrRail_act!V6*1000)</f>
        <v>10.247565904399076</v>
      </c>
      <c r="W37" s="116">
        <f>IF(W13=0,0,W13/TrRail_act!W6*1000)</f>
        <v>11.697045088462518</v>
      </c>
      <c r="X37" s="116">
        <f>IF(X13=0,0,X13/TrRail_act!X6*1000)</f>
        <v>7.1994444286005308</v>
      </c>
      <c r="Y37" s="116">
        <f>IF(Y13=0,0,Y13/TrRail_act!Y6*1000)</f>
        <v>7.4084033117190264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X38" s="87">
        <f>IF(X14=0,0,X14/TrRail_act!X7*1000)</f>
        <v>0</v>
      </c>
      <c r="Y38" s="87">
        <f>IF(Y14=0,0,Y14/TrRail_act!Y7*1000)</f>
        <v>0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11.022308290209649</v>
      </c>
      <c r="C39" s="87">
        <f>IF(C15=0,0,C15/TrRail_act!C8*1000)</f>
        <v>8.9482849219913128</v>
      </c>
      <c r="D39" s="87">
        <f>IF(D15=0,0,D15/TrRail_act!D8*1000)</f>
        <v>8.7143122617518962</v>
      </c>
      <c r="E39" s="87">
        <f>IF(E15=0,0,E15/TrRail_act!E8*1000)</f>
        <v>10.109476080995531</v>
      </c>
      <c r="F39" s="87">
        <f>IF(F15=0,0,F15/TrRail_act!F8*1000)</f>
        <v>10.078388747290232</v>
      </c>
      <c r="G39" s="87">
        <f>IF(G15=0,0,G15/TrRail_act!G8*1000)</f>
        <v>9.06880327767003</v>
      </c>
      <c r="H39" s="87">
        <f>IF(H15=0,0,H15/TrRail_act!H8*1000)</f>
        <v>9.7283890040701468</v>
      </c>
      <c r="I39" s="87">
        <f>IF(I15=0,0,I15/TrRail_act!I8*1000)</f>
        <v>9.4180892023060441</v>
      </c>
      <c r="J39" s="87">
        <f>IF(J15=0,0,J15/TrRail_act!J8*1000)</f>
        <v>9.0442341892956826</v>
      </c>
      <c r="K39" s="87">
        <f>IF(K15=0,0,K15/TrRail_act!K8*1000)</f>
        <v>9.6600260788040853</v>
      </c>
      <c r="L39" s="87">
        <f>IF(L15=0,0,L15/TrRail_act!L8*1000)</f>
        <v>9.3545817451129132</v>
      </c>
      <c r="M39" s="87">
        <f>IF(M15=0,0,M15/TrRail_act!M8*1000)</f>
        <v>8.9031355368723482</v>
      </c>
      <c r="N39" s="87">
        <f>IF(N15=0,0,N15/TrRail_act!N8*1000)</f>
        <v>9.0677238572806882</v>
      </c>
      <c r="O39" s="87">
        <f>IF(O15=0,0,O15/TrRail_act!O8*1000)</f>
        <v>8.8831888647679094</v>
      </c>
      <c r="P39" s="87">
        <f>IF(P15=0,0,P15/TrRail_act!P8*1000)</f>
        <v>9.2315556181723153</v>
      </c>
      <c r="Q39" s="87">
        <f>IF(Q15=0,0,Q15/TrRail_act!Q8*1000)</f>
        <v>8.7787313169165913</v>
      </c>
      <c r="R39" s="87">
        <f>IF(R15=0,0,R15/TrRail_act!R8*1000)</f>
        <v>8.2516950365819284</v>
      </c>
      <c r="S39" s="87">
        <f>IF(S15=0,0,S15/TrRail_act!S8*1000)</f>
        <v>8.0845003596972234</v>
      </c>
      <c r="T39" s="87">
        <f>IF(T15=0,0,T15/TrRail_act!T8*1000)</f>
        <v>7.7694964966986539</v>
      </c>
      <c r="U39" s="87">
        <f>IF(U15=0,0,U15/TrRail_act!U8*1000)</f>
        <v>6.6936025570834428</v>
      </c>
      <c r="V39" s="87">
        <f>IF(V15=0,0,V15/TrRail_act!V8*1000)</f>
        <v>10.247565904399076</v>
      </c>
      <c r="W39" s="87">
        <f>IF(W15=0,0,W15/TrRail_act!W8*1000)</f>
        <v>11.697045088462518</v>
      </c>
      <c r="X39" s="87">
        <f>IF(X15=0,0,X15/TrRail_act!X8*1000)</f>
        <v>7.1994444286005308</v>
      </c>
      <c r="Y39" s="87">
        <f>IF(Y15=0,0,Y15/TrRail_act!Y8*1000)</f>
        <v>7.4084033117190264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4.4237731120859571</v>
      </c>
      <c r="C41" s="29">
        <f>IF(C17=0,0,C17/TrRail_act!C10*1000)</f>
        <v>2.9567822061762801</v>
      </c>
      <c r="D41" s="29">
        <f>IF(D17=0,0,D17/TrRail_act!D10*1000)</f>
        <v>2.8811284612403889</v>
      </c>
      <c r="E41" s="29">
        <f>IF(E17=0,0,E17/TrRail_act!E10*1000)</f>
        <v>3.0267718595742497</v>
      </c>
      <c r="F41" s="29">
        <f>IF(F17=0,0,F17/TrRail_act!F10*1000)</f>
        <v>3.0684611127581314</v>
      </c>
      <c r="G41" s="29">
        <f>IF(G17=0,0,G17/TrRail_act!G10*1000)</f>
        <v>2.2107636705085918</v>
      </c>
      <c r="H41" s="29">
        <f>IF(H17=0,0,H17/TrRail_act!H10*1000)</f>
        <v>2.208325151436878</v>
      </c>
      <c r="I41" s="29">
        <f>IF(I17=0,0,I17/TrRail_act!I10*1000)</f>
        <v>2.2792824142336241</v>
      </c>
      <c r="J41" s="29">
        <f>IF(J17=0,0,J17/TrRail_act!J10*1000)</f>
        <v>1.9956600388374071</v>
      </c>
      <c r="K41" s="29">
        <f>IF(K17=0,0,K17/TrRail_act!K10*1000)</f>
        <v>1.9120185668359988</v>
      </c>
      <c r="L41" s="29">
        <f>IF(L17=0,0,L17/TrRail_act!L10*1000)</f>
        <v>2.0967540343641193</v>
      </c>
      <c r="M41" s="29">
        <f>IF(M17=0,0,M17/TrRail_act!M10*1000)</f>
        <v>2.1111167289210715</v>
      </c>
      <c r="N41" s="29">
        <f>IF(N17=0,0,N17/TrRail_act!N10*1000)</f>
        <v>1.9012651079119802</v>
      </c>
      <c r="O41" s="29">
        <f>IF(O17=0,0,O17/TrRail_act!O10*1000)</f>
        <v>2.230848001428325</v>
      </c>
      <c r="P41" s="29">
        <f>IF(P17=0,0,P17/TrRail_act!P10*1000)</f>
        <v>1.8490561882141381</v>
      </c>
      <c r="Q41" s="29">
        <f>IF(Q17=0,0,Q17/TrRail_act!Q10*1000)</f>
        <v>1.537300681026613</v>
      </c>
      <c r="R41" s="29">
        <f>IF(R17=0,0,R17/TrRail_act!R10*1000)</f>
        <v>1.6827234575982537</v>
      </c>
      <c r="S41" s="29">
        <f>IF(S17=0,0,S17/TrRail_act!S10*1000)</f>
        <v>1.3207774686929896</v>
      </c>
      <c r="T41" s="29">
        <f>IF(T17=0,0,T17/TrRail_act!T10*1000)</f>
        <v>1.4643267079174003</v>
      </c>
      <c r="U41" s="29">
        <f>IF(U17=0,0,U17/TrRail_act!U10*1000)</f>
        <v>1.261080773122367</v>
      </c>
      <c r="V41" s="29">
        <f>IF(V17=0,0,V17/TrRail_act!V10*1000)</f>
        <v>1.8954024069150828</v>
      </c>
      <c r="W41" s="29">
        <f>IF(W17=0,0,W17/TrRail_act!W10*1000)</f>
        <v>1.8889695283091235</v>
      </c>
      <c r="X41" s="29">
        <f>IF(X17=0,0,X17/TrRail_act!X10*1000)</f>
        <v>2.4303447808936567</v>
      </c>
      <c r="Y41" s="29">
        <f>IF(Y17=0,0,Y17/TrRail_act!Y10*1000)</f>
        <v>2.3938477857447578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X42" s="87">
        <f>IF(X18=0,0,X18/TrRail_act!X11*1000)</f>
        <v>0</v>
      </c>
      <c r="Y42" s="87">
        <f>IF(Y18=0,0,Y18/TrRail_act!Y11*1000)</f>
        <v>0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4.4237731120859571</v>
      </c>
      <c r="C43" s="88">
        <f>IF(C19=0,0,C19/TrRail_act!C12*1000)</f>
        <v>2.9567822061762801</v>
      </c>
      <c r="D43" s="88">
        <f>IF(D19=0,0,D19/TrRail_act!D12*1000)</f>
        <v>2.8811284612403889</v>
      </c>
      <c r="E43" s="88">
        <f>IF(E19=0,0,E19/TrRail_act!E12*1000)</f>
        <v>3.0267718595742497</v>
      </c>
      <c r="F43" s="88">
        <f>IF(F19=0,0,F19/TrRail_act!F12*1000)</f>
        <v>3.0684611127581314</v>
      </c>
      <c r="G43" s="88">
        <f>IF(G19=0,0,G19/TrRail_act!G12*1000)</f>
        <v>2.2107636705085918</v>
      </c>
      <c r="H43" s="88">
        <f>IF(H19=0,0,H19/TrRail_act!H12*1000)</f>
        <v>2.208325151436878</v>
      </c>
      <c r="I43" s="88">
        <f>IF(I19=0,0,I19/TrRail_act!I12*1000)</f>
        <v>2.2792824142336241</v>
      </c>
      <c r="J43" s="88">
        <f>IF(J19=0,0,J19/TrRail_act!J12*1000)</f>
        <v>1.9956600388374071</v>
      </c>
      <c r="K43" s="88">
        <f>IF(K19=0,0,K19/TrRail_act!K12*1000)</f>
        <v>1.9120185668359988</v>
      </c>
      <c r="L43" s="88">
        <f>IF(L19=0,0,L19/TrRail_act!L12*1000)</f>
        <v>2.0967540343641193</v>
      </c>
      <c r="M43" s="88">
        <f>IF(M19=0,0,M19/TrRail_act!M12*1000)</f>
        <v>2.1111167289210715</v>
      </c>
      <c r="N43" s="88">
        <f>IF(N19=0,0,N19/TrRail_act!N12*1000)</f>
        <v>1.9012651079119802</v>
      </c>
      <c r="O43" s="88">
        <f>IF(O19=0,0,O19/TrRail_act!O12*1000)</f>
        <v>2.230848001428325</v>
      </c>
      <c r="P43" s="88">
        <f>IF(P19=0,0,P19/TrRail_act!P12*1000)</f>
        <v>1.8490561882141381</v>
      </c>
      <c r="Q43" s="88">
        <f>IF(Q19=0,0,Q19/TrRail_act!Q12*1000)</f>
        <v>1.537300681026613</v>
      </c>
      <c r="R43" s="88">
        <f>IF(R19=0,0,R19/TrRail_act!R12*1000)</f>
        <v>1.6827234575982537</v>
      </c>
      <c r="S43" s="88">
        <f>IF(S19=0,0,S19/TrRail_act!S12*1000)</f>
        <v>1.3207774686929896</v>
      </c>
      <c r="T43" s="88">
        <f>IF(T19=0,0,T19/TrRail_act!T12*1000)</f>
        <v>1.4643267079174003</v>
      </c>
      <c r="U43" s="88">
        <f>IF(U19=0,0,U19/TrRail_act!U12*1000)</f>
        <v>1.261080773122367</v>
      </c>
      <c r="V43" s="88">
        <f>IF(V19=0,0,V19/TrRail_act!V12*1000)</f>
        <v>1.8954024069150828</v>
      </c>
      <c r="W43" s="88">
        <f>IF(W19=0,0,W19/TrRail_act!W12*1000)</f>
        <v>1.8889695283091235</v>
      </c>
      <c r="X43" s="88">
        <f>IF(X19=0,0,X19/TrRail_act!X12*1000)</f>
        <v>2.4303447808936567</v>
      </c>
      <c r="Y43" s="88">
        <f>IF(Y19=0,0,Y19/TrRail_act!Y12*1000)</f>
        <v>2.3938477857447578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282670.39833906136</v>
      </c>
      <c r="C45" s="54">
        <f>IF(C10=0,0,1000000*C10/TrRail_act!C25)</f>
        <v>219539.99083116479</v>
      </c>
      <c r="D45" s="54">
        <f>IF(D10=0,0,1000000*D10/TrRail_act!D25)</f>
        <v>222822.67487642248</v>
      </c>
      <c r="E45" s="54">
        <f>IF(E10=0,0,1000000*E10/TrRail_act!E25)</f>
        <v>232728.36595777533</v>
      </c>
      <c r="F45" s="54">
        <f>IF(F10=0,0,1000000*F10/TrRail_act!F25)</f>
        <v>224522.89931418598</v>
      </c>
      <c r="G45" s="54">
        <f>IF(G10=0,0,1000000*G10/TrRail_act!G25)</f>
        <v>192073.9448324508</v>
      </c>
      <c r="H45" s="54">
        <f>IF(H10=0,0,1000000*H10/TrRail_act!H25)</f>
        <v>199972.75776888625</v>
      </c>
      <c r="I45" s="54">
        <f>IF(I10=0,0,1000000*I10/TrRail_act!I25)</f>
        <v>193612.77172896755</v>
      </c>
      <c r="J45" s="54">
        <f>IF(J10=0,0,1000000*J10/TrRail_act!J25)</f>
        <v>184713.65192215284</v>
      </c>
      <c r="K45" s="54">
        <f>IF(K10=0,0,1000000*K10/TrRail_act!K25)</f>
        <v>169655.860734658</v>
      </c>
      <c r="L45" s="54">
        <f>IF(L10=0,0,1000000*L10/TrRail_act!L25)</f>
        <v>180131.28182296091</v>
      </c>
      <c r="M45" s="54">
        <f>IF(M10=0,0,1000000*M10/TrRail_act!M25)</f>
        <v>179171.43717594002</v>
      </c>
      <c r="N45" s="54">
        <f>IF(N10=0,0,1000000*N10/TrRail_act!N25)</f>
        <v>172644.20734833655</v>
      </c>
      <c r="O45" s="54">
        <f>IF(O10=0,0,1000000*O10/TrRail_act!O25)</f>
        <v>176877.16081481078</v>
      </c>
      <c r="P45" s="54">
        <f>IF(P10=0,0,1000000*P10/TrRail_act!P25)</f>
        <v>171145.43087409719</v>
      </c>
      <c r="Q45" s="54">
        <f>IF(Q10=0,0,1000000*Q10/TrRail_act!Q25)</f>
        <v>161379.56709351245</v>
      </c>
      <c r="R45" s="54">
        <f>IF(R10=0,0,1000000*R10/TrRail_act!R25)</f>
        <v>157210.44130202531</v>
      </c>
      <c r="S45" s="54">
        <f>IF(S10=0,0,1000000*S10/TrRail_act!S25)</f>
        <v>151324.2724928754</v>
      </c>
      <c r="T45" s="54">
        <f>IF(T10=0,0,1000000*T10/TrRail_act!T25)</f>
        <v>150794.65810998564</v>
      </c>
      <c r="U45" s="54">
        <f>IF(U10=0,0,1000000*U10/TrRail_act!U25)</f>
        <v>143858.50403142121</v>
      </c>
      <c r="V45" s="54">
        <f>IF(V10=0,0,1000000*V10/TrRail_act!V25)</f>
        <v>137645.92771779295</v>
      </c>
      <c r="W45" s="54">
        <f>IF(W10=0,0,1000000*W10/TrRail_act!W25)</f>
        <v>145353.94845607801</v>
      </c>
      <c r="X45" s="54">
        <f>IF(X10=0,0,1000000*X10/TrRail_act!X25)</f>
        <v>150627.76104047114</v>
      </c>
      <c r="Y45" s="54">
        <f>IF(Y10=0,0,1000000*Y10/TrRail_act!Y25)</f>
        <v>149028.81365033035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191982.64291955679</v>
      </c>
      <c r="C46" s="28">
        <f>IF(C11=0,0,1000000*C11/TrRail_act!C26)</f>
        <v>166265.05525080094</v>
      </c>
      <c r="D46" s="28">
        <f>IF(D11=0,0,1000000*D11/TrRail_act!D26)</f>
        <v>166430.46007601684</v>
      </c>
      <c r="E46" s="28">
        <f>IF(E11=0,0,1000000*E11/TrRail_act!E26)</f>
        <v>163980.4719583347</v>
      </c>
      <c r="F46" s="28">
        <f>IF(F11=0,0,1000000*F11/TrRail_act!F26)</f>
        <v>158023.43711047334</v>
      </c>
      <c r="G46" s="28">
        <f>IF(G11=0,0,1000000*G11/TrRail_act!G26)</f>
        <v>147825.93548000304</v>
      </c>
      <c r="H46" s="28">
        <f>IF(H11=0,0,1000000*H11/TrRail_act!H26)</f>
        <v>148063.4369302417</v>
      </c>
      <c r="I46" s="28">
        <f>IF(I11=0,0,1000000*I11/TrRail_act!I26)</f>
        <v>141471.3140649792</v>
      </c>
      <c r="J46" s="28">
        <f>IF(J11=0,0,1000000*J11/TrRail_act!J26)</f>
        <v>140229.07317065907</v>
      </c>
      <c r="K46" s="28">
        <f>IF(K11=0,0,1000000*K11/TrRail_act!K26)</f>
        <v>140373.57111162113</v>
      </c>
      <c r="L46" s="28">
        <f>IF(L11=0,0,1000000*L11/TrRail_act!L26)</f>
        <v>140638.07354583355</v>
      </c>
      <c r="M46" s="28">
        <f>IF(M11=0,0,1000000*M11/TrRail_act!M26)</f>
        <v>140037.33295585794</v>
      </c>
      <c r="N46" s="28">
        <f>IF(N11=0,0,1000000*N11/TrRail_act!N26)</f>
        <v>139260.20739181977</v>
      </c>
      <c r="O46" s="28">
        <f>IF(O11=0,0,1000000*O11/TrRail_act!O26)</f>
        <v>137585.3485421821</v>
      </c>
      <c r="P46" s="28">
        <f>IF(P11=0,0,1000000*P11/TrRail_act!P26)</f>
        <v>138801.5097589634</v>
      </c>
      <c r="Q46" s="28">
        <f>IF(Q11=0,0,1000000*Q11/TrRail_act!Q26)</f>
        <v>139171.9817366818</v>
      </c>
      <c r="R46" s="28">
        <f>IF(R11=0,0,1000000*R11/TrRail_act!R26)</f>
        <v>133101.84743580411</v>
      </c>
      <c r="S46" s="28">
        <f>IF(S11=0,0,1000000*S11/TrRail_act!S26)</f>
        <v>132615.13858487573</v>
      </c>
      <c r="T46" s="28">
        <f>IF(T11=0,0,1000000*T11/TrRail_act!T26)</f>
        <v>130554.24832691983</v>
      </c>
      <c r="U46" s="28">
        <f>IF(U11=0,0,1000000*U11/TrRail_act!U26)</f>
        <v>124978.09664456265</v>
      </c>
      <c r="V46" s="28">
        <f>IF(V11=0,0,1000000*V11/TrRail_act!V26)</f>
        <v>110728.68923314758</v>
      </c>
      <c r="W46" s="28">
        <f>IF(W11=0,0,1000000*W11/TrRail_act!W26)</f>
        <v>116908.49095485942</v>
      </c>
      <c r="X46" s="28">
        <f>IF(X11=0,0,1000000*X11/TrRail_act!X26)</f>
        <v>117138.56233885454</v>
      </c>
      <c r="Y46" s="28">
        <f>IF(Y11=0,0,1000000*Y11/TrRail_act!Y26)</f>
        <v>120544.30096819419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40650.758942307482</v>
      </c>
      <c r="C47" s="108">
        <f>IF(C12=0,0,1000000*C12/TrRail_act!C27)</f>
        <v>39959.494261354499</v>
      </c>
      <c r="D47" s="108">
        <f>IF(D12=0,0,1000000*D12/TrRail_act!D27)</f>
        <v>39504.777812606953</v>
      </c>
      <c r="E47" s="108">
        <f>IF(E12=0,0,1000000*E12/TrRail_act!E27)</f>
        <v>39271.509472144899</v>
      </c>
      <c r="F47" s="108">
        <f>IF(F12=0,0,1000000*F12/TrRail_act!F27)</f>
        <v>39057.907909052163</v>
      </c>
      <c r="G47" s="108">
        <f>IF(G12=0,0,1000000*G12/TrRail_act!G27)</f>
        <v>38150.510845259523</v>
      </c>
      <c r="H47" s="108">
        <f>IF(H12=0,0,1000000*H12/TrRail_act!H27)</f>
        <v>37620.844566189822</v>
      </c>
      <c r="I47" s="108">
        <f>IF(I12=0,0,1000000*I12/TrRail_act!I27)</f>
        <v>37170.708999281094</v>
      </c>
      <c r="J47" s="108">
        <f>IF(J12=0,0,1000000*J12/TrRail_act!J27)</f>
        <v>35800.373623057312</v>
      </c>
      <c r="K47" s="108">
        <f>IF(K12=0,0,1000000*K12/TrRail_act!K27)</f>
        <v>31181.829673615553</v>
      </c>
      <c r="L47" s="108">
        <f>IF(L12=0,0,1000000*L12/TrRail_act!L27)</f>
        <v>33129.608988441883</v>
      </c>
      <c r="M47" s="108">
        <f>IF(M12=0,0,1000000*M12/TrRail_act!M27)</f>
        <v>35814.126905835634</v>
      </c>
      <c r="N47" s="108">
        <f>IF(N12=0,0,1000000*N12/TrRail_act!N27)</f>
        <v>35268.84130515837</v>
      </c>
      <c r="O47" s="108">
        <f>IF(O12=0,0,1000000*O12/TrRail_act!O27)</f>
        <v>34632.915997749122</v>
      </c>
      <c r="P47" s="108">
        <f>IF(P12=0,0,1000000*P12/TrRail_act!P27)</f>
        <v>34256.98348025723</v>
      </c>
      <c r="Q47" s="108">
        <f>IF(Q12=0,0,1000000*Q12/TrRail_act!Q27)</f>
        <v>33986.714828192242</v>
      </c>
      <c r="R47" s="108">
        <f>IF(R12=0,0,1000000*R12/TrRail_act!R27)</f>
        <v>33785.413828176082</v>
      </c>
      <c r="S47" s="108">
        <f>IF(S12=0,0,1000000*S12/TrRail_act!S27)</f>
        <v>33635.220613058867</v>
      </c>
      <c r="T47" s="108">
        <f>IF(T12=0,0,1000000*T12/TrRail_act!T27)</f>
        <v>33523.013936756404</v>
      </c>
      <c r="U47" s="108">
        <f>IF(U12=0,0,1000000*U12/TrRail_act!U27)</f>
        <v>33439.104152162319</v>
      </c>
      <c r="V47" s="108">
        <f>IF(V12=0,0,1000000*V12/TrRail_act!V27)</f>
        <v>33376.310607544314</v>
      </c>
      <c r="W47" s="108">
        <f>IF(W12=0,0,1000000*W12/TrRail_act!W27)</f>
        <v>33329.292680283681</v>
      </c>
      <c r="X47" s="108">
        <f>IF(X12=0,0,1000000*X12/TrRail_act!X27)</f>
        <v>28437.494524832309</v>
      </c>
      <c r="Y47" s="108">
        <f>IF(Y12=0,0,1000000*Y12/TrRail_act!Y27)</f>
        <v>33267.682146284293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238201.45133575567</v>
      </c>
      <c r="C48" s="110">
        <f>IF(C13=0,0,1000000*C13/TrRail_act!C28)</f>
        <v>210000.39537217937</v>
      </c>
      <c r="D48" s="110">
        <f>IF(D13=0,0,1000000*D13/TrRail_act!D28)</f>
        <v>215878.25446492629</v>
      </c>
      <c r="E48" s="110">
        <f>IF(E13=0,0,1000000*E13/TrRail_act!E28)</f>
        <v>212919.61092871532</v>
      </c>
      <c r="F48" s="110">
        <f>IF(F13=0,0,1000000*F13/TrRail_act!F28)</f>
        <v>204930.71371212939</v>
      </c>
      <c r="G48" s="110">
        <f>IF(G13=0,0,1000000*G13/TrRail_act!G28)</f>
        <v>198910.14227326281</v>
      </c>
      <c r="H48" s="110">
        <f>IF(H13=0,0,1000000*H13/TrRail_act!H28)</f>
        <v>193712.11524108145</v>
      </c>
      <c r="I48" s="110">
        <f>IF(I13=0,0,1000000*I13/TrRail_act!I28)</f>
        <v>188662.33141855634</v>
      </c>
      <c r="J48" s="110">
        <f>IF(J13=0,0,1000000*J13/TrRail_act!J28)</f>
        <v>181061.56105845742</v>
      </c>
      <c r="K48" s="110">
        <f>IF(K13=0,0,1000000*K13/TrRail_act!K28)</f>
        <v>176269.33213641981</v>
      </c>
      <c r="L48" s="110">
        <f>IF(L13=0,0,1000000*L13/TrRail_act!L28)</f>
        <v>172102.94837770876</v>
      </c>
      <c r="M48" s="110">
        <f>IF(M13=0,0,1000000*M13/TrRail_act!M28)</f>
        <v>169061.72803064267</v>
      </c>
      <c r="N48" s="110">
        <f>IF(N13=0,0,1000000*N13/TrRail_act!N28)</f>
        <v>165244.33700437352</v>
      </c>
      <c r="O48" s="110">
        <f>IF(O13=0,0,1000000*O13/TrRail_act!O28)</f>
        <v>161736.67462700623</v>
      </c>
      <c r="P48" s="110">
        <f>IF(P13=0,0,1000000*P13/TrRail_act!P28)</f>
        <v>159551.41613058833</v>
      </c>
      <c r="Q48" s="110">
        <f>IF(Q13=0,0,1000000*Q13/TrRail_act!Q28)</f>
        <v>154052.36632246166</v>
      </c>
      <c r="R48" s="110">
        <f>IF(R13=0,0,1000000*R13/TrRail_act!R28)</f>
        <v>150052.81777090635</v>
      </c>
      <c r="S48" s="110">
        <f>IF(S13=0,0,1000000*S13/TrRail_act!S28)</f>
        <v>147121.44877466172</v>
      </c>
      <c r="T48" s="110">
        <f>IF(T13=0,0,1000000*T13/TrRail_act!T28)</f>
        <v>144960.56401355276</v>
      </c>
      <c r="U48" s="110">
        <f>IF(U13=0,0,1000000*U13/TrRail_act!U28)</f>
        <v>139431.96578939274</v>
      </c>
      <c r="V48" s="110">
        <f>IF(V13=0,0,1000000*V13/TrRail_act!V28)</f>
        <v>123715.32884196546</v>
      </c>
      <c r="W48" s="110">
        <f>IF(W13=0,0,1000000*W13/TrRail_act!W28)</f>
        <v>140951.621099654</v>
      </c>
      <c r="X48" s="110">
        <f>IF(X13=0,0,1000000*X13/TrRail_act!X28)</f>
        <v>140627.83796670401</v>
      </c>
      <c r="Y48" s="110">
        <f>IF(Y13=0,0,1000000*Y13/TrRail_act!Y28)</f>
        <v>140134.91359326939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X49" s="84">
        <f>IF(X14=0,0,1000000*X14/TrRail_act!X29)</f>
        <v>0</v>
      </c>
      <c r="Y49" s="84">
        <f>IF(Y14=0,0,1000000*Y14/TrRail_act!Y29)</f>
        <v>0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238201.45133575567</v>
      </c>
      <c r="C50" s="84">
        <f>IF(C15=0,0,1000000*C15/TrRail_act!C30)</f>
        <v>210000.39537217937</v>
      </c>
      <c r="D50" s="84">
        <f>IF(D15=0,0,1000000*D15/TrRail_act!D30)</f>
        <v>215878.25446492629</v>
      </c>
      <c r="E50" s="84">
        <f>IF(E15=0,0,1000000*E15/TrRail_act!E30)</f>
        <v>212919.61092871532</v>
      </c>
      <c r="F50" s="84">
        <f>IF(F15=0,0,1000000*F15/TrRail_act!F30)</f>
        <v>204930.71371212939</v>
      </c>
      <c r="G50" s="84">
        <f>IF(G15=0,0,1000000*G15/TrRail_act!G30)</f>
        <v>198910.14227326281</v>
      </c>
      <c r="H50" s="84">
        <f>IF(H15=0,0,1000000*H15/TrRail_act!H30)</f>
        <v>193712.11524108145</v>
      </c>
      <c r="I50" s="84">
        <f>IF(I15=0,0,1000000*I15/TrRail_act!I30)</f>
        <v>188662.33141855634</v>
      </c>
      <c r="J50" s="84">
        <f>IF(J15=0,0,1000000*J15/TrRail_act!J30)</f>
        <v>181061.56105845742</v>
      </c>
      <c r="K50" s="84">
        <f>IF(K15=0,0,1000000*K15/TrRail_act!K30)</f>
        <v>176269.33213641981</v>
      </c>
      <c r="L50" s="84">
        <f>IF(L15=0,0,1000000*L15/TrRail_act!L30)</f>
        <v>172102.94837770876</v>
      </c>
      <c r="M50" s="84">
        <f>IF(M15=0,0,1000000*M15/TrRail_act!M30)</f>
        <v>169061.72803064267</v>
      </c>
      <c r="N50" s="84">
        <f>IF(N15=0,0,1000000*N15/TrRail_act!N30)</f>
        <v>165244.33700437352</v>
      </c>
      <c r="O50" s="84">
        <f>IF(O15=0,0,1000000*O15/TrRail_act!O30)</f>
        <v>161736.67462700623</v>
      </c>
      <c r="P50" s="84">
        <f>IF(P15=0,0,1000000*P15/TrRail_act!P30)</f>
        <v>159551.41613058833</v>
      </c>
      <c r="Q50" s="84">
        <f>IF(Q15=0,0,1000000*Q15/TrRail_act!Q30)</f>
        <v>154052.36632246166</v>
      </c>
      <c r="R50" s="84">
        <f>IF(R15=0,0,1000000*R15/TrRail_act!R30)</f>
        <v>150052.81777090635</v>
      </c>
      <c r="S50" s="84">
        <f>IF(S15=0,0,1000000*S15/TrRail_act!S30)</f>
        <v>147121.44877466172</v>
      </c>
      <c r="T50" s="84">
        <f>IF(T15=0,0,1000000*T15/TrRail_act!T30)</f>
        <v>144960.56401355276</v>
      </c>
      <c r="U50" s="84">
        <f>IF(U15=0,0,1000000*U15/TrRail_act!U30)</f>
        <v>139431.96578939274</v>
      </c>
      <c r="V50" s="84">
        <f>IF(V15=0,0,1000000*V15/TrRail_act!V30)</f>
        <v>123715.32884196546</v>
      </c>
      <c r="W50" s="84">
        <f>IF(W15=0,0,1000000*W15/TrRail_act!W30)</f>
        <v>140951.621099654</v>
      </c>
      <c r="X50" s="84">
        <f>IF(X15=0,0,1000000*X15/TrRail_act!X30)</f>
        <v>140627.83796670401</v>
      </c>
      <c r="Y50" s="84">
        <f>IF(Y15=0,0,1000000*Y15/TrRail_act!Y30)</f>
        <v>140134.91359326939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413494.5838487767</v>
      </c>
      <c r="C52" s="28">
        <f>IF(C17=0,0,1000000*C17/TrRail_act!C32)</f>
        <v>298798.35892108374</v>
      </c>
      <c r="D52" s="28">
        <f>IF(D17=0,0,1000000*D17/TrRail_act!D32)</f>
        <v>311065.04088499193</v>
      </c>
      <c r="E52" s="28">
        <f>IF(E17=0,0,1000000*E17/TrRail_act!E32)</f>
        <v>354711.11424412846</v>
      </c>
      <c r="F52" s="28">
        <f>IF(F17=0,0,1000000*F17/TrRail_act!F32)</f>
        <v>340838.58404787729</v>
      </c>
      <c r="G52" s="28">
        <f>IF(G17=0,0,1000000*G17/TrRail_act!G32)</f>
        <v>277730.79265682015</v>
      </c>
      <c r="H52" s="28">
        <f>IF(H17=0,0,1000000*H17/TrRail_act!H32)</f>
        <v>317249.68413188064</v>
      </c>
      <c r="I52" s="28">
        <f>IF(I17=0,0,1000000*I17/TrRail_act!I32)</f>
        <v>308421.40763300477</v>
      </c>
      <c r="J52" s="28">
        <f>IF(J17=0,0,1000000*J17/TrRail_act!J32)</f>
        <v>299089.77967352414</v>
      </c>
      <c r="K52" s="28">
        <f>IF(K17=0,0,1000000*K17/TrRail_act!K32)</f>
        <v>266149.25859739649</v>
      </c>
      <c r="L52" s="28">
        <f>IF(L17=0,0,1000000*L17/TrRail_act!L32)</f>
        <v>289147.12509974634</v>
      </c>
      <c r="M52" s="28">
        <f>IF(M17=0,0,1000000*M17/TrRail_act!M32)</f>
        <v>289528.04016934265</v>
      </c>
      <c r="N52" s="28">
        <f>IF(N17=0,0,1000000*N17/TrRail_act!N32)</f>
        <v>283076.02434925613</v>
      </c>
      <c r="O52" s="28">
        <f>IF(O17=0,0,1000000*O17/TrRail_act!O32)</f>
        <v>271869.59727488237</v>
      </c>
      <c r="P52" s="28">
        <f>IF(P17=0,0,1000000*P17/TrRail_act!P32)</f>
        <v>265285.21516037331</v>
      </c>
      <c r="Q52" s="28">
        <f>IF(Q17=0,0,1000000*Q17/TrRail_act!Q32)</f>
        <v>260207.72136500475</v>
      </c>
      <c r="R52" s="28">
        <f>IF(R17=0,0,1000000*R17/TrRail_act!R32)</f>
        <v>255181.16258023281</v>
      </c>
      <c r="S52" s="28">
        <f>IF(S17=0,0,1000000*S17/TrRail_act!S32)</f>
        <v>250217.69233084202</v>
      </c>
      <c r="T52" s="28">
        <f>IF(T17=0,0,1000000*T17/TrRail_act!T32)</f>
        <v>245325.75714962717</v>
      </c>
      <c r="U52" s="28">
        <f>IF(U17=0,0,1000000*U17/TrRail_act!U32)</f>
        <v>241719.67249405314</v>
      </c>
      <c r="V52" s="28">
        <f>IF(V17=0,0,1000000*V17/TrRail_act!V32)</f>
        <v>239049.94025995946</v>
      </c>
      <c r="W52" s="28">
        <f>IF(W17=0,0,1000000*W17/TrRail_act!W32)</f>
        <v>237067.00589632223</v>
      </c>
      <c r="X52" s="28">
        <f>IF(X17=0,0,1000000*X17/TrRail_act!X32)</f>
        <v>235590.61129591553</v>
      </c>
      <c r="Y52" s="28">
        <f>IF(Y17=0,0,1000000*Y17/TrRail_act!Y32)</f>
        <v>234489.34992754034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X53" s="84">
        <f>IF(X18=0,0,1000000*X18/TrRail_act!X33)</f>
        <v>0</v>
      </c>
      <c r="Y53" s="84">
        <f>IF(Y18=0,0,1000000*Y18/TrRail_act!Y33)</f>
        <v>0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413494.5838487767</v>
      </c>
      <c r="C54" s="86">
        <f>IF(C19=0,0,1000000*C19/TrRail_act!C34)</f>
        <v>298798.35892108374</v>
      </c>
      <c r="D54" s="86">
        <f>IF(D19=0,0,1000000*D19/TrRail_act!D34)</f>
        <v>311065.04088499193</v>
      </c>
      <c r="E54" s="86">
        <f>IF(E19=0,0,1000000*E19/TrRail_act!E34)</f>
        <v>354711.11424412846</v>
      </c>
      <c r="F54" s="86">
        <f>IF(F19=0,0,1000000*F19/TrRail_act!F34)</f>
        <v>340838.58404787729</v>
      </c>
      <c r="G54" s="86">
        <f>IF(G19=0,0,1000000*G19/TrRail_act!G34)</f>
        <v>277730.79265682015</v>
      </c>
      <c r="H54" s="86">
        <f>IF(H19=0,0,1000000*H19/TrRail_act!H34)</f>
        <v>317249.68413188064</v>
      </c>
      <c r="I54" s="86">
        <f>IF(I19=0,0,1000000*I19/TrRail_act!I34)</f>
        <v>308421.40763300477</v>
      </c>
      <c r="J54" s="86">
        <f>IF(J19=0,0,1000000*J19/TrRail_act!J34)</f>
        <v>299089.77967352414</v>
      </c>
      <c r="K54" s="86">
        <f>IF(K19=0,0,1000000*K19/TrRail_act!K34)</f>
        <v>266149.25859739649</v>
      </c>
      <c r="L54" s="86">
        <f>IF(L19=0,0,1000000*L19/TrRail_act!L34)</f>
        <v>289147.12509974634</v>
      </c>
      <c r="M54" s="86">
        <f>IF(M19=0,0,1000000*M19/TrRail_act!M34)</f>
        <v>289528.04016934265</v>
      </c>
      <c r="N54" s="86">
        <f>IF(N19=0,0,1000000*N19/TrRail_act!N34)</f>
        <v>283076.02434925613</v>
      </c>
      <c r="O54" s="86">
        <f>IF(O19=0,0,1000000*O19/TrRail_act!O34)</f>
        <v>271869.59727488237</v>
      </c>
      <c r="P54" s="86">
        <f>IF(P19=0,0,1000000*P19/TrRail_act!P34)</f>
        <v>265285.21516037331</v>
      </c>
      <c r="Q54" s="86">
        <f>IF(Q19=0,0,1000000*Q19/TrRail_act!Q34)</f>
        <v>260207.72136500475</v>
      </c>
      <c r="R54" s="86">
        <f>IF(R19=0,0,1000000*R19/TrRail_act!R34)</f>
        <v>255181.16258023281</v>
      </c>
      <c r="S54" s="86">
        <f>IF(S19=0,0,1000000*S19/TrRail_act!S34)</f>
        <v>250217.69233084202</v>
      </c>
      <c r="T54" s="86">
        <f>IF(T19=0,0,1000000*T19/TrRail_act!T34)</f>
        <v>245325.75714962717</v>
      </c>
      <c r="U54" s="86">
        <f>IF(U19=0,0,1000000*U19/TrRail_act!U34)</f>
        <v>241719.67249405314</v>
      </c>
      <c r="V54" s="86">
        <f>IF(V19=0,0,1000000*V19/TrRail_act!V34)</f>
        <v>239049.94025995946</v>
      </c>
      <c r="W54" s="86">
        <f>IF(W19=0,0,1000000*W19/TrRail_act!W34)</f>
        <v>237067.00589632223</v>
      </c>
      <c r="X54" s="86">
        <f>IF(X19=0,0,1000000*X19/TrRail_act!X34)</f>
        <v>235590.61129591553</v>
      </c>
      <c r="Y54" s="86">
        <f>IF(Y19=0,0,1000000*Y19/TrRail_act!Y34)</f>
        <v>234489.34992754034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0.40111835194761036</v>
      </c>
      <c r="C57" s="31">
        <f t="shared" ref="C57:V57" si="18">IF(C11=0,0,C11/C$10)</f>
        <v>0.45290534025897611</v>
      </c>
      <c r="D57" s="31">
        <f t="shared" si="18"/>
        <v>0.45569937533041777</v>
      </c>
      <c r="E57" s="31">
        <f t="shared" si="18"/>
        <v>0.45063067811941504</v>
      </c>
      <c r="F57" s="31">
        <f t="shared" si="18"/>
        <v>0.44780296810711273</v>
      </c>
      <c r="G57" s="31">
        <f t="shared" si="18"/>
        <v>0.50747993841885586</v>
      </c>
      <c r="H57" s="31">
        <f t="shared" si="18"/>
        <v>0.51324474145355903</v>
      </c>
      <c r="I57" s="31">
        <f t="shared" si="18"/>
        <v>0.50248404368715971</v>
      </c>
      <c r="J57" s="31">
        <f t="shared" si="18"/>
        <v>0.54658532644041291</v>
      </c>
      <c r="K57" s="31">
        <f t="shared" si="18"/>
        <v>0.63477144435717969</v>
      </c>
      <c r="L57" s="31">
        <f t="shared" si="18"/>
        <v>0.57312646534276146</v>
      </c>
      <c r="M57" s="31">
        <f t="shared" si="18"/>
        <v>0.57697790269150984</v>
      </c>
      <c r="N57" s="31">
        <f t="shared" si="18"/>
        <v>0.61938772122612473</v>
      </c>
      <c r="O57" s="31">
        <f t="shared" si="18"/>
        <v>0.5502554885558012</v>
      </c>
      <c r="P57" s="31">
        <f t="shared" si="18"/>
        <v>0.60362539100796075</v>
      </c>
      <c r="Q57" s="31">
        <f t="shared" si="18"/>
        <v>0.70415833019461738</v>
      </c>
      <c r="R57" s="31">
        <f t="shared" si="18"/>
        <v>0.67944908452968178</v>
      </c>
      <c r="S57" s="31">
        <f t="shared" si="18"/>
        <v>0.7369451274696065</v>
      </c>
      <c r="T57" s="31">
        <f t="shared" si="18"/>
        <v>0.7130921699792484</v>
      </c>
      <c r="U57" s="31">
        <f t="shared" si="18"/>
        <v>0.72825455892994428</v>
      </c>
      <c r="V57" s="31">
        <f t="shared" si="18"/>
        <v>0.63570166223049274</v>
      </c>
      <c r="W57" s="31">
        <f t="shared" ref="W57:Y57" si="19">IF(W11=0,0,W11/W$10)</f>
        <v>0.6138974659214903</v>
      </c>
      <c r="X57" s="31">
        <f t="shared" si="19"/>
        <v>0.55780366661386172</v>
      </c>
      <c r="Y57" s="31">
        <f t="shared" si="19"/>
        <v>0.60666172129319251</v>
      </c>
      <c r="DA57" s="173"/>
    </row>
    <row r="58" spans="1:105" ht="11.45" customHeight="1" x14ac:dyDescent="0.25">
      <c r="A58" s="107" t="s">
        <v>23</v>
      </c>
      <c r="B58" s="123">
        <f t="shared" si="15"/>
        <v>1.9870985790670787E-2</v>
      </c>
      <c r="C58" s="123">
        <f t="shared" ref="C58:V58" si="20">IF(C12=0,0,C12/C$10)</f>
        <v>2.7996616870418718E-2</v>
      </c>
      <c r="D58" s="123">
        <f t="shared" si="20"/>
        <v>3.032556437205133E-2</v>
      </c>
      <c r="E58" s="123">
        <f t="shared" si="20"/>
        <v>3.0415327811234301E-2</v>
      </c>
      <c r="F58" s="123">
        <f t="shared" si="20"/>
        <v>3.1299649128108745E-2</v>
      </c>
      <c r="G58" s="123">
        <f t="shared" si="20"/>
        <v>4.1617716993111044E-2</v>
      </c>
      <c r="H58" s="123">
        <f t="shared" si="20"/>
        <v>3.8137727807137312E-2</v>
      </c>
      <c r="I58" s="123">
        <f t="shared" si="20"/>
        <v>4.1126850845907219E-2</v>
      </c>
      <c r="J58" s="123">
        <f t="shared" si="20"/>
        <v>3.9225068971958758E-2</v>
      </c>
      <c r="K58" s="123">
        <f t="shared" si="20"/>
        <v>3.4885647509876029E-2</v>
      </c>
      <c r="L58" s="123">
        <f t="shared" si="20"/>
        <v>3.056739153868732E-2</v>
      </c>
      <c r="M58" s="123">
        <f t="shared" si="20"/>
        <v>3.2142044335904611E-2</v>
      </c>
      <c r="N58" s="123">
        <f t="shared" si="20"/>
        <v>3.1359811059301794E-2</v>
      </c>
      <c r="O58" s="123">
        <f t="shared" si="20"/>
        <v>2.6318664176886428E-2</v>
      </c>
      <c r="P58" s="123">
        <f t="shared" si="20"/>
        <v>2.4672138563230684E-2</v>
      </c>
      <c r="Q58" s="123">
        <f t="shared" si="20"/>
        <v>2.1311944251697721E-2</v>
      </c>
      <c r="R58" s="123">
        <f t="shared" si="20"/>
        <v>2.5144248812147166E-2</v>
      </c>
      <c r="S58" s="123">
        <f t="shared" si="20"/>
        <v>2.3891869097832308E-2</v>
      </c>
      <c r="T58" s="123">
        <f t="shared" si="20"/>
        <v>2.3671135329253381E-2</v>
      </c>
      <c r="U58" s="123">
        <f t="shared" si="20"/>
        <v>2.6571216668554814E-2</v>
      </c>
      <c r="V58" s="123">
        <f t="shared" si="20"/>
        <v>2.754564452334447E-2</v>
      </c>
      <c r="W58" s="123">
        <f t="shared" ref="W58:Y58" si="21">IF(W12=0,0,W12/W$10)</f>
        <v>3.9098897054763215E-2</v>
      </c>
      <c r="X58" s="123">
        <f t="shared" si="21"/>
        <v>2.8352212290010715E-2</v>
      </c>
      <c r="Y58" s="123">
        <f t="shared" si="21"/>
        <v>3.0692051074927201E-2</v>
      </c>
      <c r="DA58" s="203"/>
    </row>
    <row r="59" spans="1:105" ht="11.45" customHeight="1" x14ac:dyDescent="0.25">
      <c r="A59" s="109" t="s">
        <v>24</v>
      </c>
      <c r="B59" s="124">
        <f t="shared" si="15"/>
        <v>0.3812473661569396</v>
      </c>
      <c r="C59" s="124">
        <f t="shared" ref="C59:V59" si="22">IF(C13=0,0,C13/C$10)</f>
        <v>0.4249087233885574</v>
      </c>
      <c r="D59" s="124">
        <f t="shared" si="22"/>
        <v>0.42537381095836646</v>
      </c>
      <c r="E59" s="124">
        <f t="shared" si="22"/>
        <v>0.42021535030818075</v>
      </c>
      <c r="F59" s="124">
        <f t="shared" si="22"/>
        <v>0.416503318979004</v>
      </c>
      <c r="G59" s="124">
        <f t="shared" si="22"/>
        <v>0.46586222142574479</v>
      </c>
      <c r="H59" s="124">
        <f t="shared" si="22"/>
        <v>0.47510701364642172</v>
      </c>
      <c r="I59" s="124">
        <f t="shared" si="22"/>
        <v>0.46135719284125248</v>
      </c>
      <c r="J59" s="124">
        <f t="shared" si="22"/>
        <v>0.50736025746845415</v>
      </c>
      <c r="K59" s="124">
        <f t="shared" si="22"/>
        <v>0.5998857968473037</v>
      </c>
      <c r="L59" s="124">
        <f t="shared" si="22"/>
        <v>0.54255907380407409</v>
      </c>
      <c r="M59" s="124">
        <f t="shared" si="22"/>
        <v>0.54483585835560522</v>
      </c>
      <c r="N59" s="124">
        <f t="shared" si="22"/>
        <v>0.58802791016682288</v>
      </c>
      <c r="O59" s="124">
        <f t="shared" si="22"/>
        <v>0.52393682437891476</v>
      </c>
      <c r="P59" s="124">
        <f t="shared" si="22"/>
        <v>0.57895325244473006</v>
      </c>
      <c r="Q59" s="124">
        <f t="shared" si="22"/>
        <v>0.68284638594291969</v>
      </c>
      <c r="R59" s="124">
        <f t="shared" si="22"/>
        <v>0.65430483571753473</v>
      </c>
      <c r="S59" s="124">
        <f t="shared" si="22"/>
        <v>0.71305325837177413</v>
      </c>
      <c r="T59" s="124">
        <f t="shared" si="22"/>
        <v>0.68942103464999505</v>
      </c>
      <c r="U59" s="124">
        <f t="shared" si="22"/>
        <v>0.70168334226138951</v>
      </c>
      <c r="V59" s="124">
        <f t="shared" si="22"/>
        <v>0.60815601770714833</v>
      </c>
      <c r="W59" s="124">
        <f t="shared" ref="W59:Y59" si="23">IF(W13=0,0,W13/W$10)</f>
        <v>0.57479856886672709</v>
      </c>
      <c r="X59" s="124">
        <f t="shared" si="23"/>
        <v>0.52945145432385099</v>
      </c>
      <c r="Y59" s="124">
        <f t="shared" si="23"/>
        <v>0.57596967021826528</v>
      </c>
      <c r="DA59" s="176"/>
    </row>
    <row r="60" spans="1:105" ht="11.45" customHeight="1" x14ac:dyDescent="0.25">
      <c r="A60" s="111" t="s">
        <v>92</v>
      </c>
      <c r="B60" s="125">
        <f t="shared" si="15"/>
        <v>0</v>
      </c>
      <c r="C60" s="125">
        <f t="shared" ref="C60:V60" si="24">IF(C14=0,0,C14/C$10)</f>
        <v>0</v>
      </c>
      <c r="D60" s="125">
        <f t="shared" si="24"/>
        <v>0</v>
      </c>
      <c r="E60" s="125">
        <f t="shared" si="24"/>
        <v>0</v>
      </c>
      <c r="F60" s="125">
        <f t="shared" si="24"/>
        <v>0</v>
      </c>
      <c r="G60" s="125">
        <f t="shared" si="24"/>
        <v>0</v>
      </c>
      <c r="H60" s="125">
        <f t="shared" si="24"/>
        <v>0</v>
      </c>
      <c r="I60" s="125">
        <f t="shared" si="24"/>
        <v>0</v>
      </c>
      <c r="J60" s="125">
        <f t="shared" si="24"/>
        <v>0</v>
      </c>
      <c r="K60" s="125">
        <f t="shared" si="24"/>
        <v>0</v>
      </c>
      <c r="L60" s="125">
        <f t="shared" si="24"/>
        <v>0</v>
      </c>
      <c r="M60" s="125">
        <f t="shared" si="24"/>
        <v>0</v>
      </c>
      <c r="N60" s="125">
        <f t="shared" si="24"/>
        <v>0</v>
      </c>
      <c r="O60" s="125">
        <f t="shared" si="24"/>
        <v>0</v>
      </c>
      <c r="P60" s="125">
        <f t="shared" si="24"/>
        <v>0</v>
      </c>
      <c r="Q60" s="125">
        <f t="shared" si="24"/>
        <v>0</v>
      </c>
      <c r="R60" s="125">
        <f t="shared" si="24"/>
        <v>0</v>
      </c>
      <c r="S60" s="125">
        <f t="shared" si="24"/>
        <v>0</v>
      </c>
      <c r="T60" s="125">
        <f t="shared" si="24"/>
        <v>0</v>
      </c>
      <c r="U60" s="125">
        <f t="shared" si="24"/>
        <v>0</v>
      </c>
      <c r="V60" s="125">
        <f t="shared" si="24"/>
        <v>0</v>
      </c>
      <c r="W60" s="125">
        <f t="shared" ref="W60:Y60" si="25">IF(W14=0,0,W14/W$10)</f>
        <v>0</v>
      </c>
      <c r="X60" s="125">
        <f t="shared" si="25"/>
        <v>0</v>
      </c>
      <c r="Y60" s="125">
        <f t="shared" si="25"/>
        <v>0</v>
      </c>
      <c r="DA60" s="171"/>
    </row>
    <row r="61" spans="1:105" ht="11.45" customHeight="1" x14ac:dyDescent="0.25">
      <c r="A61" s="111" t="s">
        <v>93</v>
      </c>
      <c r="B61" s="125">
        <f t="shared" si="15"/>
        <v>0.3812473661569396</v>
      </c>
      <c r="C61" s="125">
        <f t="shared" ref="C61:V61" si="26">IF(C15=0,0,C15/C$10)</f>
        <v>0.4249087233885574</v>
      </c>
      <c r="D61" s="125">
        <f t="shared" si="26"/>
        <v>0.42537381095836646</v>
      </c>
      <c r="E61" s="125">
        <f t="shared" si="26"/>
        <v>0.42021535030818075</v>
      </c>
      <c r="F61" s="125">
        <f t="shared" si="26"/>
        <v>0.416503318979004</v>
      </c>
      <c r="G61" s="125">
        <f t="shared" si="26"/>
        <v>0.46586222142574479</v>
      </c>
      <c r="H61" s="125">
        <f t="shared" si="26"/>
        <v>0.47510701364642172</v>
      </c>
      <c r="I61" s="125">
        <f t="shared" si="26"/>
        <v>0.46135719284125248</v>
      </c>
      <c r="J61" s="125">
        <f t="shared" si="26"/>
        <v>0.50736025746845415</v>
      </c>
      <c r="K61" s="125">
        <f t="shared" si="26"/>
        <v>0.5998857968473037</v>
      </c>
      <c r="L61" s="125">
        <f t="shared" si="26"/>
        <v>0.54255907380407409</v>
      </c>
      <c r="M61" s="125">
        <f t="shared" si="26"/>
        <v>0.54483585835560522</v>
      </c>
      <c r="N61" s="125">
        <f t="shared" si="26"/>
        <v>0.58802791016682288</v>
      </c>
      <c r="O61" s="125">
        <f t="shared" si="26"/>
        <v>0.52393682437891476</v>
      </c>
      <c r="P61" s="125">
        <f t="shared" si="26"/>
        <v>0.57895325244473006</v>
      </c>
      <c r="Q61" s="125">
        <f t="shared" si="26"/>
        <v>0.68284638594291969</v>
      </c>
      <c r="R61" s="125">
        <f t="shared" si="26"/>
        <v>0.65430483571753473</v>
      </c>
      <c r="S61" s="125">
        <f t="shared" si="26"/>
        <v>0.71305325837177413</v>
      </c>
      <c r="T61" s="125">
        <f t="shared" si="26"/>
        <v>0.68942103464999505</v>
      </c>
      <c r="U61" s="125">
        <f t="shared" si="26"/>
        <v>0.70168334226138951</v>
      </c>
      <c r="V61" s="125">
        <f t="shared" si="26"/>
        <v>0.60815601770714833</v>
      </c>
      <c r="W61" s="125">
        <f t="shared" ref="W61:Y61" si="27">IF(W15=0,0,W15/W$10)</f>
        <v>0.57479856886672709</v>
      </c>
      <c r="X61" s="125">
        <f t="shared" si="27"/>
        <v>0.52945145432385099</v>
      </c>
      <c r="Y61" s="125">
        <f t="shared" si="27"/>
        <v>0.57596967021826528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0.59888164805238953</v>
      </c>
      <c r="C63" s="31">
        <f t="shared" ref="C63:V63" si="30">IF(C17=0,0,C17/C$10)</f>
        <v>0.547094659741024</v>
      </c>
      <c r="D63" s="31">
        <f t="shared" si="30"/>
        <v>0.54430062466958218</v>
      </c>
      <c r="E63" s="31">
        <f t="shared" si="30"/>
        <v>0.54936932188058507</v>
      </c>
      <c r="F63" s="31">
        <f t="shared" si="30"/>
        <v>0.55219703189288727</v>
      </c>
      <c r="G63" s="31">
        <f t="shared" si="30"/>
        <v>0.4925200615811442</v>
      </c>
      <c r="H63" s="31">
        <f t="shared" si="30"/>
        <v>0.48675525854644108</v>
      </c>
      <c r="I63" s="31">
        <f t="shared" si="30"/>
        <v>0.49751595631284029</v>
      </c>
      <c r="J63" s="31">
        <f t="shared" si="30"/>
        <v>0.45341467355958703</v>
      </c>
      <c r="K63" s="31">
        <f t="shared" si="30"/>
        <v>0.36522855564282025</v>
      </c>
      <c r="L63" s="31">
        <f t="shared" si="30"/>
        <v>0.42687353465723854</v>
      </c>
      <c r="M63" s="31">
        <f t="shared" si="30"/>
        <v>0.42302209730849016</v>
      </c>
      <c r="N63" s="31">
        <f t="shared" si="30"/>
        <v>0.38061227877387521</v>
      </c>
      <c r="O63" s="31">
        <f t="shared" si="30"/>
        <v>0.44974451144419891</v>
      </c>
      <c r="P63" s="31">
        <f t="shared" si="30"/>
        <v>0.39637460899203925</v>
      </c>
      <c r="Q63" s="31">
        <f t="shared" si="30"/>
        <v>0.29584166980538257</v>
      </c>
      <c r="R63" s="31">
        <f t="shared" si="30"/>
        <v>0.32055091547031817</v>
      </c>
      <c r="S63" s="31">
        <f t="shared" si="30"/>
        <v>0.26305487253039345</v>
      </c>
      <c r="T63" s="31">
        <f t="shared" si="30"/>
        <v>0.2869078300207516</v>
      </c>
      <c r="U63" s="31">
        <f t="shared" si="30"/>
        <v>0.27174544107005566</v>
      </c>
      <c r="V63" s="31">
        <f t="shared" si="30"/>
        <v>0.36429833776950726</v>
      </c>
      <c r="W63" s="31">
        <f t="shared" ref="W63:Y63" si="31">IF(W17=0,0,W17/W$10)</f>
        <v>0.38610253407850975</v>
      </c>
      <c r="X63" s="31">
        <f t="shared" si="31"/>
        <v>0.44219633338613828</v>
      </c>
      <c r="Y63" s="31">
        <f t="shared" si="31"/>
        <v>0.39333827870680754</v>
      </c>
      <c r="DA63" s="173"/>
    </row>
    <row r="64" spans="1:105" ht="11.45" customHeight="1" x14ac:dyDescent="0.25">
      <c r="A64" s="83" t="s">
        <v>92</v>
      </c>
      <c r="B64" s="125">
        <f t="shared" si="15"/>
        <v>0</v>
      </c>
      <c r="C64" s="125">
        <f t="shared" ref="C64:V64" si="32">IF(C18=0,0,C18/C$10)</f>
        <v>0</v>
      </c>
      <c r="D64" s="125">
        <f t="shared" si="32"/>
        <v>0</v>
      </c>
      <c r="E64" s="125">
        <f t="shared" si="32"/>
        <v>0</v>
      </c>
      <c r="F64" s="125">
        <f t="shared" si="32"/>
        <v>0</v>
      </c>
      <c r="G64" s="125">
        <f t="shared" si="32"/>
        <v>0</v>
      </c>
      <c r="H64" s="125">
        <f t="shared" si="32"/>
        <v>0</v>
      </c>
      <c r="I64" s="125">
        <f t="shared" si="32"/>
        <v>0</v>
      </c>
      <c r="J64" s="125">
        <f t="shared" si="32"/>
        <v>0</v>
      </c>
      <c r="K64" s="125">
        <f t="shared" si="32"/>
        <v>0</v>
      </c>
      <c r="L64" s="125">
        <f t="shared" si="32"/>
        <v>0</v>
      </c>
      <c r="M64" s="125">
        <f t="shared" si="32"/>
        <v>0</v>
      </c>
      <c r="N64" s="125">
        <f t="shared" si="32"/>
        <v>0</v>
      </c>
      <c r="O64" s="125">
        <f t="shared" si="32"/>
        <v>0</v>
      </c>
      <c r="P64" s="125">
        <f t="shared" si="32"/>
        <v>0</v>
      </c>
      <c r="Q64" s="125">
        <f t="shared" si="32"/>
        <v>0</v>
      </c>
      <c r="R64" s="125">
        <f t="shared" si="32"/>
        <v>0</v>
      </c>
      <c r="S64" s="125">
        <f t="shared" si="32"/>
        <v>0</v>
      </c>
      <c r="T64" s="125">
        <f t="shared" si="32"/>
        <v>0</v>
      </c>
      <c r="U64" s="125">
        <f t="shared" si="32"/>
        <v>0</v>
      </c>
      <c r="V64" s="125">
        <f t="shared" si="32"/>
        <v>0</v>
      </c>
      <c r="W64" s="125">
        <f t="shared" ref="W64:Y64" si="33">IF(W18=0,0,W18/W$10)</f>
        <v>0</v>
      </c>
      <c r="X64" s="125">
        <f t="shared" si="33"/>
        <v>0</v>
      </c>
      <c r="Y64" s="125">
        <f t="shared" si="33"/>
        <v>0</v>
      </c>
      <c r="DA64" s="171"/>
    </row>
    <row r="65" spans="1:105" ht="11.45" customHeight="1" x14ac:dyDescent="0.25">
      <c r="A65" s="85" t="s">
        <v>93</v>
      </c>
      <c r="B65" s="127">
        <f t="shared" si="15"/>
        <v>0.59888164805238953</v>
      </c>
      <c r="C65" s="127">
        <f t="shared" ref="C65:V65" si="34">IF(C19=0,0,C19/C$10)</f>
        <v>0.547094659741024</v>
      </c>
      <c r="D65" s="127">
        <f t="shared" si="34"/>
        <v>0.54430062466958218</v>
      </c>
      <c r="E65" s="127">
        <f t="shared" si="34"/>
        <v>0.54936932188058507</v>
      </c>
      <c r="F65" s="127">
        <f t="shared" si="34"/>
        <v>0.55219703189288727</v>
      </c>
      <c r="G65" s="127">
        <f t="shared" si="34"/>
        <v>0.4925200615811442</v>
      </c>
      <c r="H65" s="127">
        <f t="shared" si="34"/>
        <v>0.48675525854644108</v>
      </c>
      <c r="I65" s="127">
        <f t="shared" si="34"/>
        <v>0.49751595631284029</v>
      </c>
      <c r="J65" s="127">
        <f t="shared" si="34"/>
        <v>0.45341467355958703</v>
      </c>
      <c r="K65" s="127">
        <f t="shared" si="34"/>
        <v>0.36522855564282025</v>
      </c>
      <c r="L65" s="127">
        <f t="shared" si="34"/>
        <v>0.42687353465723854</v>
      </c>
      <c r="M65" s="127">
        <f t="shared" si="34"/>
        <v>0.42302209730849016</v>
      </c>
      <c r="N65" s="127">
        <f t="shared" si="34"/>
        <v>0.38061227877387521</v>
      </c>
      <c r="O65" s="127">
        <f t="shared" si="34"/>
        <v>0.44974451144419891</v>
      </c>
      <c r="P65" s="127">
        <f t="shared" si="34"/>
        <v>0.39637460899203925</v>
      </c>
      <c r="Q65" s="127">
        <f t="shared" si="34"/>
        <v>0.29584166980538257</v>
      </c>
      <c r="R65" s="127">
        <f t="shared" si="34"/>
        <v>0.32055091547031817</v>
      </c>
      <c r="S65" s="127">
        <f t="shared" si="34"/>
        <v>0.26305487253039345</v>
      </c>
      <c r="T65" s="127">
        <f t="shared" si="34"/>
        <v>0.2869078300207516</v>
      </c>
      <c r="U65" s="127">
        <f t="shared" si="34"/>
        <v>0.27174544107005566</v>
      </c>
      <c r="V65" s="127">
        <f t="shared" si="34"/>
        <v>0.36429833776950726</v>
      </c>
      <c r="W65" s="127">
        <f t="shared" ref="W65:Y65" si="35">IF(W19=0,0,W19/W$10)</f>
        <v>0.38610253407850975</v>
      </c>
      <c r="X65" s="127">
        <f t="shared" si="35"/>
        <v>0.44219633338613828</v>
      </c>
      <c r="Y65" s="127">
        <f t="shared" si="35"/>
        <v>0.39333827870680754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X4" s="26">
        <f t="shared" ref="X4:Y4" si="1">SUM(X5:X6)</f>
        <v>0</v>
      </c>
      <c r="Y4" s="26">
        <f t="shared" si="1"/>
        <v>0</v>
      </c>
      <c r="DA4" s="202" t="s">
        <v>1137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X5" s="129">
        <v>0</v>
      </c>
      <c r="Y5" s="129">
        <v>0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0</v>
      </c>
      <c r="C8" s="79">
        <f t="shared" si="2"/>
        <v>0</v>
      </c>
      <c r="D8" s="79">
        <f t="shared" si="2"/>
        <v>0</v>
      </c>
      <c r="E8" s="79">
        <f t="shared" si="2"/>
        <v>0</v>
      </c>
      <c r="F8" s="79">
        <f t="shared" si="2"/>
        <v>0</v>
      </c>
      <c r="G8" s="79">
        <f t="shared" si="2"/>
        <v>0</v>
      </c>
      <c r="H8" s="79">
        <f t="shared" si="2"/>
        <v>0</v>
      </c>
      <c r="I8" s="79">
        <f t="shared" si="2"/>
        <v>0</v>
      </c>
      <c r="J8" s="79">
        <f t="shared" si="2"/>
        <v>0</v>
      </c>
      <c r="K8" s="79">
        <f t="shared" si="2"/>
        <v>0</v>
      </c>
      <c r="L8" s="79">
        <f t="shared" si="2"/>
        <v>0</v>
      </c>
      <c r="M8" s="79">
        <f t="shared" si="2"/>
        <v>0</v>
      </c>
      <c r="N8" s="79">
        <f t="shared" si="2"/>
        <v>0</v>
      </c>
      <c r="O8" s="79">
        <f t="shared" si="2"/>
        <v>0</v>
      </c>
      <c r="P8" s="79">
        <f t="shared" si="2"/>
        <v>0</v>
      </c>
      <c r="Q8" s="79">
        <f t="shared" si="2"/>
        <v>0</v>
      </c>
      <c r="R8" s="79">
        <f t="shared" si="2"/>
        <v>0</v>
      </c>
      <c r="S8" s="79">
        <f t="shared" si="2"/>
        <v>0</v>
      </c>
      <c r="T8" s="79">
        <f t="shared" si="2"/>
        <v>0</v>
      </c>
      <c r="U8" s="79">
        <f t="shared" si="2"/>
        <v>0</v>
      </c>
      <c r="V8" s="79">
        <f t="shared" si="2"/>
        <v>0</v>
      </c>
      <c r="W8" s="79">
        <f t="shared" si="2"/>
        <v>0</v>
      </c>
      <c r="X8" s="79">
        <f t="shared" ref="X8:Y8" si="3">SUM(X9,X15)</f>
        <v>0</v>
      </c>
      <c r="Y8" s="79">
        <f t="shared" si="3"/>
        <v>0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0</v>
      </c>
      <c r="C9" s="32">
        <f t="shared" si="4"/>
        <v>0</v>
      </c>
      <c r="D9" s="32">
        <f t="shared" si="4"/>
        <v>0</v>
      </c>
      <c r="E9" s="32">
        <f t="shared" si="4"/>
        <v>0</v>
      </c>
      <c r="F9" s="32">
        <f t="shared" si="4"/>
        <v>0</v>
      </c>
      <c r="G9" s="32">
        <f t="shared" si="4"/>
        <v>0</v>
      </c>
      <c r="H9" s="32">
        <f t="shared" si="4"/>
        <v>0</v>
      </c>
      <c r="I9" s="32">
        <f t="shared" si="4"/>
        <v>0</v>
      </c>
      <c r="J9" s="32">
        <f t="shared" si="4"/>
        <v>0</v>
      </c>
      <c r="K9" s="32">
        <f t="shared" si="4"/>
        <v>0</v>
      </c>
      <c r="L9" s="32">
        <f t="shared" si="4"/>
        <v>0</v>
      </c>
      <c r="M9" s="32">
        <f t="shared" si="4"/>
        <v>0</v>
      </c>
      <c r="N9" s="32">
        <f t="shared" si="4"/>
        <v>0</v>
      </c>
      <c r="O9" s="32">
        <f t="shared" si="4"/>
        <v>0</v>
      </c>
      <c r="P9" s="32">
        <f t="shared" si="4"/>
        <v>0</v>
      </c>
      <c r="Q9" s="32">
        <f t="shared" si="4"/>
        <v>0</v>
      </c>
      <c r="R9" s="32">
        <f t="shared" si="4"/>
        <v>0</v>
      </c>
      <c r="S9" s="32">
        <f t="shared" si="4"/>
        <v>0</v>
      </c>
      <c r="T9" s="32">
        <f t="shared" si="4"/>
        <v>0</v>
      </c>
      <c r="U9" s="32">
        <f t="shared" si="4"/>
        <v>0</v>
      </c>
      <c r="V9" s="32">
        <f t="shared" si="4"/>
        <v>0</v>
      </c>
      <c r="W9" s="32">
        <f t="shared" si="4"/>
        <v>0</v>
      </c>
      <c r="X9" s="32">
        <f t="shared" ref="X9:Y9" si="5">SUM(X10,X11,X14)</f>
        <v>0</v>
      </c>
      <c r="Y9" s="32">
        <f t="shared" si="5"/>
        <v>0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0</v>
      </c>
      <c r="C11" s="130">
        <f t="shared" si="6"/>
        <v>0</v>
      </c>
      <c r="D11" s="130">
        <f t="shared" si="6"/>
        <v>0</v>
      </c>
      <c r="E11" s="130">
        <f t="shared" si="6"/>
        <v>0</v>
      </c>
      <c r="F11" s="130">
        <f t="shared" si="6"/>
        <v>0</v>
      </c>
      <c r="G11" s="130">
        <f t="shared" si="6"/>
        <v>0</v>
      </c>
      <c r="H11" s="130">
        <f t="shared" si="6"/>
        <v>0</v>
      </c>
      <c r="I11" s="130">
        <f t="shared" si="6"/>
        <v>0</v>
      </c>
      <c r="J11" s="130">
        <f t="shared" si="6"/>
        <v>0</v>
      </c>
      <c r="K11" s="130">
        <f t="shared" si="6"/>
        <v>0</v>
      </c>
      <c r="L11" s="130">
        <f t="shared" si="6"/>
        <v>0</v>
      </c>
      <c r="M11" s="130">
        <f t="shared" si="6"/>
        <v>0</v>
      </c>
      <c r="N11" s="130">
        <f t="shared" si="6"/>
        <v>0</v>
      </c>
      <c r="O11" s="130">
        <f t="shared" si="6"/>
        <v>0</v>
      </c>
      <c r="P11" s="130">
        <f t="shared" si="6"/>
        <v>0</v>
      </c>
      <c r="Q11" s="130">
        <f t="shared" si="6"/>
        <v>0</v>
      </c>
      <c r="R11" s="130">
        <f t="shared" si="6"/>
        <v>0</v>
      </c>
      <c r="S11" s="130">
        <f t="shared" si="6"/>
        <v>0</v>
      </c>
      <c r="T11" s="130">
        <f t="shared" si="6"/>
        <v>0</v>
      </c>
      <c r="U11" s="130">
        <f t="shared" si="6"/>
        <v>0</v>
      </c>
      <c r="V11" s="130">
        <f t="shared" si="6"/>
        <v>0</v>
      </c>
      <c r="W11" s="130">
        <f t="shared" si="6"/>
        <v>0</v>
      </c>
      <c r="X11" s="130">
        <f t="shared" ref="X11:Y11" si="7">SUM(X12:X13)</f>
        <v>0</v>
      </c>
      <c r="Y11" s="130">
        <f t="shared" si="7"/>
        <v>0</v>
      </c>
      <c r="DA11" s="176" t="s">
        <v>409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X12" s="96">
        <v>0</v>
      </c>
      <c r="Y12" s="96">
        <v>0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0</v>
      </c>
      <c r="C15" s="32">
        <f t="shared" si="8"/>
        <v>0</v>
      </c>
      <c r="D15" s="32">
        <f t="shared" si="8"/>
        <v>0</v>
      </c>
      <c r="E15" s="32">
        <f t="shared" si="8"/>
        <v>0</v>
      </c>
      <c r="F15" s="32">
        <f t="shared" si="8"/>
        <v>0</v>
      </c>
      <c r="G15" s="32">
        <f t="shared" si="8"/>
        <v>0</v>
      </c>
      <c r="H15" s="32">
        <f t="shared" si="8"/>
        <v>0</v>
      </c>
      <c r="I15" s="32">
        <f t="shared" si="8"/>
        <v>0</v>
      </c>
      <c r="J15" s="32">
        <f t="shared" si="8"/>
        <v>0</v>
      </c>
      <c r="K15" s="32">
        <f t="shared" si="8"/>
        <v>0</v>
      </c>
      <c r="L15" s="32">
        <f t="shared" si="8"/>
        <v>0</v>
      </c>
      <c r="M15" s="32">
        <f t="shared" si="8"/>
        <v>0</v>
      </c>
      <c r="N15" s="32">
        <f t="shared" si="8"/>
        <v>0</v>
      </c>
      <c r="O15" s="32">
        <f t="shared" si="8"/>
        <v>0</v>
      </c>
      <c r="P15" s="32">
        <f t="shared" si="8"/>
        <v>0</v>
      </c>
      <c r="Q15" s="32">
        <f t="shared" si="8"/>
        <v>0</v>
      </c>
      <c r="R15" s="32">
        <f t="shared" si="8"/>
        <v>0</v>
      </c>
      <c r="S15" s="32">
        <f t="shared" si="8"/>
        <v>0</v>
      </c>
      <c r="T15" s="32">
        <f t="shared" si="8"/>
        <v>0</v>
      </c>
      <c r="U15" s="32">
        <f t="shared" si="8"/>
        <v>0</v>
      </c>
      <c r="V15" s="32">
        <f t="shared" si="8"/>
        <v>0</v>
      </c>
      <c r="W15" s="32">
        <f t="shared" si="8"/>
        <v>0</v>
      </c>
      <c r="X15" s="32">
        <f t="shared" ref="X15:Y15" si="9">SUM(X16:X17)</f>
        <v>0</v>
      </c>
      <c r="Y15" s="32">
        <f t="shared" si="9"/>
        <v>0</v>
      </c>
      <c r="DA15" s="173" t="s">
        <v>414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X22" s="134">
        <f>IF(X4=0,0,X4/TrRail_ene!X4)</f>
        <v>0</v>
      </c>
      <c r="Y22" s="134">
        <f>IF(Y4=0,0,Y4/TrRail_ene!Y4)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X23" s="129">
        <f>IF(X5=0,0,X5/SUM(TrRail_ene!X5:X7))</f>
        <v>0</v>
      </c>
      <c r="Y23" s="129">
        <f>IF(Y5=0,0,Y5/SUM(TrRail_ene!Y5:Y7))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X26" s="54">
        <f>IF(X8=0,0,X8/TrRail_act!X14*1000)</f>
        <v>0</v>
      </c>
      <c r="Y26" s="54">
        <f>IF(Y8=0,0,Y8/TrRail_act!Y14*1000)</f>
        <v>0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X27" s="28">
        <f>IF(X9=0,0,X9/TrRail_act!X15*1000)</f>
        <v>0</v>
      </c>
      <c r="Y27" s="28">
        <f>IF(Y9=0,0,Y9/TrRail_act!Y15*1000)</f>
        <v>0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X29" s="110">
        <f>IF(X11=0,0,X11/TrRail_act!X17*1000)</f>
        <v>0</v>
      </c>
      <c r="Y29" s="110">
        <f>IF(Y11=0,0,Y11/TrRail_act!Y17*1000)</f>
        <v>0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X30" s="84">
        <f>IF(X12=0,0,X12/TrRail_act!X18*1000)</f>
        <v>0</v>
      </c>
      <c r="Y30" s="84">
        <f>IF(Y12=0,0,Y12/TrRail_act!Y18*1000)</f>
        <v>0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X33" s="28">
        <f>IF(X15=0,0,X15/TrRail_act!X21*1000)</f>
        <v>0</v>
      </c>
      <c r="Y33" s="28">
        <f>IF(Y15=0,0,Y15/TrRail_act!Y21*1000)</f>
        <v>0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X34" s="84">
        <f>IF(X16=0,0,X16/TrRail_act!X22*1000)</f>
        <v>0</v>
      </c>
      <c r="Y34" s="84">
        <f>IF(Y16=0,0,Y16/TrRail_act!Y22*1000)</f>
        <v>0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X38" s="29">
        <f>IF(X9=0,0,X9/TrRail_act!X4*1000)</f>
        <v>0</v>
      </c>
      <c r="Y38" s="29">
        <f>IF(Y9=0,0,Y9/TrRail_act!Y4*1000)</f>
        <v>0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X40" s="116">
        <f>IF(X11=0,0,X11/TrRail_act!X6*1000)</f>
        <v>0</v>
      </c>
      <c r="Y40" s="116">
        <f>IF(Y11=0,0,Y11/TrRail_act!Y6*1000)</f>
        <v>0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X41" s="87">
        <f>IF(X12=0,0,X12/TrRail_act!X7*1000)</f>
        <v>0</v>
      </c>
      <c r="Y41" s="87">
        <f>IF(Y12=0,0,Y12/TrRail_act!Y7*1000)</f>
        <v>0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X44" s="29">
        <f>IF(X15=0,0,X15/TrRail_act!X10*1000)</f>
        <v>0</v>
      </c>
      <c r="Y44" s="29">
        <f>IF(Y15=0,0,Y15/TrRail_act!Y10*1000)</f>
        <v>0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X45" s="87">
        <f>IF(X16=0,0,X16/TrRail_act!X11*1000)</f>
        <v>0</v>
      </c>
      <c r="Y45" s="87">
        <f>IF(Y16=0,0,Y16/TrRail_act!Y11*1000)</f>
        <v>0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X48" s="62">
        <f>IF(X8=0,0,1000000*X8/TrRail_act!X25/1000)</f>
        <v>0</v>
      </c>
      <c r="Y48" s="62">
        <f>IF(Y8=0,0,1000000*Y8/TrRail_act!Y25/1000)</f>
        <v>0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X49" s="29">
        <f>IF(X9=0,0,1000000*X9/TrRail_act!X26/1000)</f>
        <v>0</v>
      </c>
      <c r="Y49" s="29">
        <f>IF(Y9=0,0,1000000*Y9/TrRail_act!Y26/1000)</f>
        <v>0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X51" s="116">
        <f>IF(X11=0,0,1000000*X11/TrRail_act!X28/1000)</f>
        <v>0</v>
      </c>
      <c r="Y51" s="116">
        <f>IF(Y11=0,0,1000000*Y11/TrRail_act!Y28/1000)</f>
        <v>0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X52" s="87">
        <f>IF(X12=0,0,1000000*X12/TrRail_act!X29/1000)</f>
        <v>0</v>
      </c>
      <c r="Y52" s="87">
        <f>IF(Y12=0,0,1000000*Y12/TrRail_act!Y29/1000)</f>
        <v>0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X55" s="29">
        <f>IF(X15=0,0,1000000*X15/TrRail_act!X32/1000)</f>
        <v>0</v>
      </c>
      <c r="Y55" s="29">
        <f>IF(Y15=0,0,1000000*Y15/TrRail_act!Y32/1000)</f>
        <v>0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X56" s="87">
        <f>IF(X16=0,0,1000000*X16/TrRail_act!X33/1000)</f>
        <v>0</v>
      </c>
      <c r="Y56" s="87">
        <f>IF(Y16=0,0,1000000*Y16/TrRail_act!Y33/1000)</f>
        <v>0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0</v>
      </c>
      <c r="C59" s="65">
        <f t="shared" ref="C59:V59" si="11">IF(C8=0,0,C8/C$8)</f>
        <v>0</v>
      </c>
      <c r="D59" s="65">
        <f t="shared" si="11"/>
        <v>0</v>
      </c>
      <c r="E59" s="65">
        <f t="shared" si="11"/>
        <v>0</v>
      </c>
      <c r="F59" s="65">
        <f t="shared" si="11"/>
        <v>0</v>
      </c>
      <c r="G59" s="65">
        <f t="shared" si="11"/>
        <v>0</v>
      </c>
      <c r="H59" s="65">
        <f t="shared" si="11"/>
        <v>0</v>
      </c>
      <c r="I59" s="65">
        <f t="shared" si="11"/>
        <v>0</v>
      </c>
      <c r="J59" s="65">
        <f t="shared" si="11"/>
        <v>0</v>
      </c>
      <c r="K59" s="65">
        <f t="shared" si="11"/>
        <v>0</v>
      </c>
      <c r="L59" s="65">
        <f t="shared" si="11"/>
        <v>0</v>
      </c>
      <c r="M59" s="65">
        <f t="shared" si="11"/>
        <v>0</v>
      </c>
      <c r="N59" s="65">
        <f t="shared" si="11"/>
        <v>0</v>
      </c>
      <c r="O59" s="65">
        <f t="shared" si="11"/>
        <v>0</v>
      </c>
      <c r="P59" s="65">
        <f t="shared" si="11"/>
        <v>0</v>
      </c>
      <c r="Q59" s="65">
        <f t="shared" si="11"/>
        <v>0</v>
      </c>
      <c r="R59" s="65">
        <f t="shared" si="11"/>
        <v>0</v>
      </c>
      <c r="S59" s="65">
        <f t="shared" si="11"/>
        <v>0</v>
      </c>
      <c r="T59" s="65">
        <f t="shared" si="11"/>
        <v>0</v>
      </c>
      <c r="U59" s="65">
        <f t="shared" si="11"/>
        <v>0</v>
      </c>
      <c r="V59" s="65">
        <f t="shared" si="11"/>
        <v>0</v>
      </c>
      <c r="W59" s="65">
        <f t="shared" ref="W59:Y59" si="12">IF(W8=0,0,W8/W$8)</f>
        <v>0</v>
      </c>
      <c r="X59" s="65">
        <f t="shared" si="12"/>
        <v>0</v>
      </c>
      <c r="Y59" s="65">
        <f t="shared" si="12"/>
        <v>0</v>
      </c>
      <c r="DA59" s="172"/>
    </row>
    <row r="60" spans="1:105" ht="11.45" customHeight="1" x14ac:dyDescent="0.25">
      <c r="A60" s="27" t="s">
        <v>33</v>
      </c>
      <c r="B60" s="31">
        <f t="shared" si="10"/>
        <v>0</v>
      </c>
      <c r="C60" s="31">
        <f t="shared" ref="C60:V60" si="13">IF(C9=0,0,C9/C$8)</f>
        <v>0</v>
      </c>
      <c r="D60" s="31">
        <f t="shared" si="13"/>
        <v>0</v>
      </c>
      <c r="E60" s="31">
        <f t="shared" si="13"/>
        <v>0</v>
      </c>
      <c r="F60" s="31">
        <f t="shared" si="13"/>
        <v>0</v>
      </c>
      <c r="G60" s="31">
        <f t="shared" si="13"/>
        <v>0</v>
      </c>
      <c r="H60" s="31">
        <f t="shared" si="13"/>
        <v>0</v>
      </c>
      <c r="I60" s="31">
        <f t="shared" si="13"/>
        <v>0</v>
      </c>
      <c r="J60" s="31">
        <f t="shared" si="13"/>
        <v>0</v>
      </c>
      <c r="K60" s="31">
        <f t="shared" si="13"/>
        <v>0</v>
      </c>
      <c r="L60" s="31">
        <f t="shared" si="13"/>
        <v>0</v>
      </c>
      <c r="M60" s="31">
        <f t="shared" si="13"/>
        <v>0</v>
      </c>
      <c r="N60" s="31">
        <f t="shared" si="13"/>
        <v>0</v>
      </c>
      <c r="O60" s="31">
        <f t="shared" si="13"/>
        <v>0</v>
      </c>
      <c r="P60" s="31">
        <f t="shared" si="13"/>
        <v>0</v>
      </c>
      <c r="Q60" s="31">
        <f t="shared" si="13"/>
        <v>0</v>
      </c>
      <c r="R60" s="31">
        <f t="shared" si="13"/>
        <v>0</v>
      </c>
      <c r="S60" s="31">
        <f t="shared" si="13"/>
        <v>0</v>
      </c>
      <c r="T60" s="31">
        <f t="shared" si="13"/>
        <v>0</v>
      </c>
      <c r="U60" s="31">
        <f t="shared" si="13"/>
        <v>0</v>
      </c>
      <c r="V60" s="31">
        <f t="shared" si="13"/>
        <v>0</v>
      </c>
      <c r="W60" s="31">
        <f t="shared" ref="W60:Y60" si="14">IF(W9=0,0,W9/W$8)</f>
        <v>0</v>
      </c>
      <c r="X60" s="31">
        <f t="shared" si="14"/>
        <v>0</v>
      </c>
      <c r="Y60" s="31">
        <f t="shared" si="14"/>
        <v>0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</v>
      </c>
      <c r="C62" s="124">
        <f t="shared" ref="C62:V62" si="17">IF(C11=0,0,C11/C$8)</f>
        <v>0</v>
      </c>
      <c r="D62" s="124">
        <f t="shared" si="17"/>
        <v>0</v>
      </c>
      <c r="E62" s="124">
        <f t="shared" si="17"/>
        <v>0</v>
      </c>
      <c r="F62" s="124">
        <f t="shared" si="17"/>
        <v>0</v>
      </c>
      <c r="G62" s="124">
        <f t="shared" si="17"/>
        <v>0</v>
      </c>
      <c r="H62" s="124">
        <f t="shared" si="17"/>
        <v>0</v>
      </c>
      <c r="I62" s="124">
        <f t="shared" si="17"/>
        <v>0</v>
      </c>
      <c r="J62" s="124">
        <f t="shared" si="17"/>
        <v>0</v>
      </c>
      <c r="K62" s="124">
        <f t="shared" si="17"/>
        <v>0</v>
      </c>
      <c r="L62" s="124">
        <f t="shared" si="17"/>
        <v>0</v>
      </c>
      <c r="M62" s="124">
        <f t="shared" si="17"/>
        <v>0</v>
      </c>
      <c r="N62" s="124">
        <f t="shared" si="17"/>
        <v>0</v>
      </c>
      <c r="O62" s="124">
        <f t="shared" si="17"/>
        <v>0</v>
      </c>
      <c r="P62" s="124">
        <f t="shared" si="17"/>
        <v>0</v>
      </c>
      <c r="Q62" s="124">
        <f t="shared" si="17"/>
        <v>0</v>
      </c>
      <c r="R62" s="124">
        <f t="shared" si="17"/>
        <v>0</v>
      </c>
      <c r="S62" s="124">
        <f t="shared" si="17"/>
        <v>0</v>
      </c>
      <c r="T62" s="124">
        <f t="shared" si="17"/>
        <v>0</v>
      </c>
      <c r="U62" s="124">
        <f t="shared" si="17"/>
        <v>0</v>
      </c>
      <c r="V62" s="124">
        <f t="shared" si="17"/>
        <v>0</v>
      </c>
      <c r="W62" s="124">
        <f t="shared" ref="W62:Y62" si="18">IF(W11=0,0,W11/W$8)</f>
        <v>0</v>
      </c>
      <c r="X62" s="124">
        <f t="shared" si="18"/>
        <v>0</v>
      </c>
      <c r="Y62" s="124">
        <f t="shared" si="18"/>
        <v>0</v>
      </c>
      <c r="DA62" s="176"/>
    </row>
    <row r="63" spans="1:105" ht="11.45" customHeight="1" x14ac:dyDescent="0.25">
      <c r="A63" s="111" t="s">
        <v>92</v>
      </c>
      <c r="B63" s="125">
        <f t="shared" si="10"/>
        <v>0</v>
      </c>
      <c r="C63" s="125">
        <f t="shared" ref="C63:V63" si="19">IF(C12=0,0,C12/C$8)</f>
        <v>0</v>
      </c>
      <c r="D63" s="125">
        <f t="shared" si="19"/>
        <v>0</v>
      </c>
      <c r="E63" s="125">
        <f t="shared" si="19"/>
        <v>0</v>
      </c>
      <c r="F63" s="125">
        <f t="shared" si="19"/>
        <v>0</v>
      </c>
      <c r="G63" s="125">
        <f t="shared" si="19"/>
        <v>0</v>
      </c>
      <c r="H63" s="125">
        <f t="shared" si="19"/>
        <v>0</v>
      </c>
      <c r="I63" s="125">
        <f t="shared" si="19"/>
        <v>0</v>
      </c>
      <c r="J63" s="125">
        <f t="shared" si="19"/>
        <v>0</v>
      </c>
      <c r="K63" s="125">
        <f t="shared" si="19"/>
        <v>0</v>
      </c>
      <c r="L63" s="125">
        <f t="shared" si="19"/>
        <v>0</v>
      </c>
      <c r="M63" s="125">
        <f t="shared" si="19"/>
        <v>0</v>
      </c>
      <c r="N63" s="125">
        <f t="shared" si="19"/>
        <v>0</v>
      </c>
      <c r="O63" s="125">
        <f t="shared" si="19"/>
        <v>0</v>
      </c>
      <c r="P63" s="125">
        <f t="shared" si="19"/>
        <v>0</v>
      </c>
      <c r="Q63" s="125">
        <f t="shared" si="19"/>
        <v>0</v>
      </c>
      <c r="R63" s="125">
        <f t="shared" si="19"/>
        <v>0</v>
      </c>
      <c r="S63" s="125">
        <f t="shared" si="19"/>
        <v>0</v>
      </c>
      <c r="T63" s="125">
        <f t="shared" si="19"/>
        <v>0</v>
      </c>
      <c r="U63" s="125">
        <f t="shared" si="19"/>
        <v>0</v>
      </c>
      <c r="V63" s="125">
        <f t="shared" si="19"/>
        <v>0</v>
      </c>
      <c r="W63" s="125">
        <f t="shared" ref="W63:Y63" si="20">IF(W12=0,0,W12/W$8)</f>
        <v>0</v>
      </c>
      <c r="X63" s="125">
        <f t="shared" si="20"/>
        <v>0</v>
      </c>
      <c r="Y63" s="125">
        <f t="shared" si="20"/>
        <v>0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</v>
      </c>
      <c r="C66" s="31">
        <f t="shared" ref="C66:V66" si="25">IF(C15=0,0,C15/C$8)</f>
        <v>0</v>
      </c>
      <c r="D66" s="31">
        <f t="shared" si="25"/>
        <v>0</v>
      </c>
      <c r="E66" s="31">
        <f t="shared" si="25"/>
        <v>0</v>
      </c>
      <c r="F66" s="31">
        <f t="shared" si="25"/>
        <v>0</v>
      </c>
      <c r="G66" s="31">
        <f t="shared" si="25"/>
        <v>0</v>
      </c>
      <c r="H66" s="31">
        <f t="shared" si="25"/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1">
        <f t="shared" si="25"/>
        <v>0</v>
      </c>
      <c r="S66" s="31">
        <f t="shared" si="25"/>
        <v>0</v>
      </c>
      <c r="T66" s="31">
        <f t="shared" si="25"/>
        <v>0</v>
      </c>
      <c r="U66" s="31">
        <f t="shared" si="25"/>
        <v>0</v>
      </c>
      <c r="V66" s="31">
        <f t="shared" si="25"/>
        <v>0</v>
      </c>
      <c r="W66" s="31">
        <f t="shared" ref="W66:Y66" si="26">IF(W15=0,0,W15/W$8)</f>
        <v>0</v>
      </c>
      <c r="X66" s="31">
        <f t="shared" si="26"/>
        <v>0</v>
      </c>
      <c r="Y66" s="31">
        <f t="shared" si="26"/>
        <v>0</v>
      </c>
      <c r="DA66" s="173"/>
    </row>
    <row r="67" spans="1:105" ht="11.45" customHeight="1" x14ac:dyDescent="0.25">
      <c r="A67" s="83" t="s">
        <v>92</v>
      </c>
      <c r="B67" s="125">
        <f t="shared" si="10"/>
        <v>0</v>
      </c>
      <c r="C67" s="125">
        <f t="shared" ref="C67:V67" si="27">IF(C16=0,0,C16/C$8)</f>
        <v>0</v>
      </c>
      <c r="D67" s="125">
        <f t="shared" si="27"/>
        <v>0</v>
      </c>
      <c r="E67" s="125">
        <f t="shared" si="27"/>
        <v>0</v>
      </c>
      <c r="F67" s="125">
        <f t="shared" si="27"/>
        <v>0</v>
      </c>
      <c r="G67" s="125">
        <f t="shared" si="27"/>
        <v>0</v>
      </c>
      <c r="H67" s="125">
        <f t="shared" si="27"/>
        <v>0</v>
      </c>
      <c r="I67" s="125">
        <f t="shared" si="27"/>
        <v>0</v>
      </c>
      <c r="J67" s="125">
        <f t="shared" si="27"/>
        <v>0</v>
      </c>
      <c r="K67" s="125">
        <f t="shared" si="27"/>
        <v>0</v>
      </c>
      <c r="L67" s="125">
        <f t="shared" si="27"/>
        <v>0</v>
      </c>
      <c r="M67" s="125">
        <f t="shared" si="27"/>
        <v>0</v>
      </c>
      <c r="N67" s="125">
        <f t="shared" si="27"/>
        <v>0</v>
      </c>
      <c r="O67" s="125">
        <f t="shared" si="27"/>
        <v>0</v>
      </c>
      <c r="P67" s="125">
        <f t="shared" si="27"/>
        <v>0</v>
      </c>
      <c r="Q67" s="125">
        <f t="shared" si="27"/>
        <v>0</v>
      </c>
      <c r="R67" s="125">
        <f t="shared" si="27"/>
        <v>0</v>
      </c>
      <c r="S67" s="125">
        <f t="shared" si="27"/>
        <v>0</v>
      </c>
      <c r="T67" s="125">
        <f t="shared" si="27"/>
        <v>0</v>
      </c>
      <c r="U67" s="125">
        <f t="shared" si="27"/>
        <v>0</v>
      </c>
      <c r="V67" s="125">
        <f t="shared" si="27"/>
        <v>0</v>
      </c>
      <c r="W67" s="125">
        <f t="shared" ref="W67:Y67" si="28">IF(W16=0,0,W16/W$8)</f>
        <v>0</v>
      </c>
      <c r="X67" s="125">
        <f t="shared" si="28"/>
        <v>0</v>
      </c>
      <c r="Y67" s="125">
        <f t="shared" si="28"/>
        <v>0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412.8202928377201</v>
      </c>
      <c r="C4" s="11">
        <f t="shared" si="0"/>
        <v>474.18690272142987</v>
      </c>
      <c r="D4" s="11">
        <f t="shared" ref="D4:V4" si="1">SUM(D5:D7)</f>
        <v>590.98765053463467</v>
      </c>
      <c r="E4" s="11">
        <f t="shared" si="1"/>
        <v>824.54144169782671</v>
      </c>
      <c r="F4" s="11">
        <f t="shared" si="1"/>
        <v>1321.6197685299901</v>
      </c>
      <c r="G4" s="11">
        <f t="shared" si="1"/>
        <v>1429.7793784717585</v>
      </c>
      <c r="H4" s="11">
        <f t="shared" si="1"/>
        <v>1462.7377390254601</v>
      </c>
      <c r="I4" s="11">
        <f t="shared" si="1"/>
        <v>1522.6532523207929</v>
      </c>
      <c r="J4" s="11">
        <f t="shared" si="1"/>
        <v>1743.7859761468792</v>
      </c>
      <c r="K4" s="11">
        <f t="shared" si="1"/>
        <v>1295.0137080798568</v>
      </c>
      <c r="L4" s="11">
        <f t="shared" si="1"/>
        <v>1343.0012291367475</v>
      </c>
      <c r="M4" s="11">
        <f t="shared" si="1"/>
        <v>1347.627543281897</v>
      </c>
      <c r="N4" s="11">
        <f t="shared" si="1"/>
        <v>1150.2031306169599</v>
      </c>
      <c r="O4" s="11">
        <f t="shared" si="1"/>
        <v>1077.7895031757371</v>
      </c>
      <c r="P4" s="11">
        <f t="shared" si="1"/>
        <v>1178.9578210643806</v>
      </c>
      <c r="Q4" s="11">
        <f t="shared" si="1"/>
        <v>1351.9528597272233</v>
      </c>
      <c r="R4" s="11">
        <f t="shared" si="1"/>
        <v>1482.7528406293686</v>
      </c>
      <c r="S4" s="11">
        <f t="shared" si="1"/>
        <v>1705.4787738159916</v>
      </c>
      <c r="T4" s="11">
        <f t="shared" si="1"/>
        <v>1990.05375087538</v>
      </c>
      <c r="U4" s="11">
        <f t="shared" si="1"/>
        <v>2024.6436568952911</v>
      </c>
      <c r="V4" s="11">
        <f t="shared" si="1"/>
        <v>349.57538334955973</v>
      </c>
      <c r="W4" s="11">
        <f t="shared" ref="W4:Y4" si="2">SUM(W5:W7)</f>
        <v>453.17560067607099</v>
      </c>
      <c r="X4" s="11">
        <f t="shared" si="2"/>
        <v>1421.6344692429482</v>
      </c>
      <c r="Y4" s="11">
        <f t="shared" si="2"/>
        <v>1817.8473652017069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254.51140813323974</v>
      </c>
      <c r="C6" s="84">
        <v>292.38413589447595</v>
      </c>
      <c r="D6" s="84">
        <v>316.4441261715574</v>
      </c>
      <c r="E6" s="84">
        <v>455.24522451784418</v>
      </c>
      <c r="F6" s="84">
        <v>760.94172290032157</v>
      </c>
      <c r="G6" s="84">
        <v>961.82111031393265</v>
      </c>
      <c r="H6" s="84">
        <v>1170.3308852275572</v>
      </c>
      <c r="I6" s="84">
        <v>1105.8611496128904</v>
      </c>
      <c r="J6" s="84">
        <v>1288.4805886431463</v>
      </c>
      <c r="K6" s="84">
        <v>938.70938619542687</v>
      </c>
      <c r="L6" s="84">
        <v>950.87503647025812</v>
      </c>
      <c r="M6" s="84">
        <v>982.58085632948473</v>
      </c>
      <c r="N6" s="84">
        <v>805.85937176571747</v>
      </c>
      <c r="O6" s="84">
        <v>791.37944592413203</v>
      </c>
      <c r="P6" s="84">
        <v>882.01262349063813</v>
      </c>
      <c r="Q6" s="84">
        <v>994.84961743308304</v>
      </c>
      <c r="R6" s="84">
        <v>1136.0694073947013</v>
      </c>
      <c r="S6" s="84">
        <v>1113.7485192464735</v>
      </c>
      <c r="T6" s="84">
        <v>1241.6131115352225</v>
      </c>
      <c r="U6" s="84">
        <v>1219.6793226813907</v>
      </c>
      <c r="V6" s="84">
        <v>256.63078708836457</v>
      </c>
      <c r="W6" s="84">
        <v>338.69690121006153</v>
      </c>
      <c r="X6" s="84">
        <v>912.28620769797487</v>
      </c>
      <c r="Y6" s="84">
        <v>1167.6008368453818</v>
      </c>
      <c r="DA6" s="171" t="s">
        <v>192</v>
      </c>
    </row>
    <row r="7" spans="1:105" ht="11.45" customHeight="1" x14ac:dyDescent="0.25">
      <c r="A7" s="83" t="s">
        <v>182</v>
      </c>
      <c r="B7" s="84">
        <v>158.30888470448036</v>
      </c>
      <c r="C7" s="84">
        <v>181.80276682695393</v>
      </c>
      <c r="D7" s="84">
        <v>274.54352436307721</v>
      </c>
      <c r="E7" s="84">
        <v>369.29621717998248</v>
      </c>
      <c r="F7" s="84">
        <v>560.67804562966853</v>
      </c>
      <c r="G7" s="84">
        <v>467.95826815782578</v>
      </c>
      <c r="H7" s="84">
        <v>292.40685379790273</v>
      </c>
      <c r="I7" s="84">
        <v>416.79210270790259</v>
      </c>
      <c r="J7" s="84">
        <v>455.30538750373285</v>
      </c>
      <c r="K7" s="84">
        <v>356.30432188442984</v>
      </c>
      <c r="L7" s="84">
        <v>392.12619266648949</v>
      </c>
      <c r="M7" s="84">
        <v>365.04668695241241</v>
      </c>
      <c r="N7" s="84">
        <v>344.3437588512424</v>
      </c>
      <c r="O7" s="84">
        <v>286.41005725160505</v>
      </c>
      <c r="P7" s="84">
        <v>296.94519757374252</v>
      </c>
      <c r="Q7" s="84">
        <v>357.10324229414039</v>
      </c>
      <c r="R7" s="84">
        <v>346.6834332346674</v>
      </c>
      <c r="S7" s="84">
        <v>591.73025456951814</v>
      </c>
      <c r="T7" s="84">
        <v>748.44063934015742</v>
      </c>
      <c r="U7" s="84">
        <v>804.96433421390043</v>
      </c>
      <c r="V7" s="84">
        <v>92.944596261195187</v>
      </c>
      <c r="W7" s="84">
        <v>114.47869946600945</v>
      </c>
      <c r="X7" s="84">
        <v>509.34826154497335</v>
      </c>
      <c r="Y7" s="84">
        <v>650.24652835632514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6.8446367444020311</v>
      </c>
      <c r="C8" s="13">
        <f t="shared" si="3"/>
        <v>7.0626369892262169</v>
      </c>
      <c r="D8" s="13">
        <f t="shared" ref="D8:V8" si="4">SUM(D9:D11)</f>
        <v>2.8040998993522734</v>
      </c>
      <c r="E8" s="13">
        <f t="shared" si="4"/>
        <v>10.246969827685266</v>
      </c>
      <c r="F8" s="13">
        <f t="shared" si="4"/>
        <v>6.9717237872694984</v>
      </c>
      <c r="G8" s="13">
        <f t="shared" si="4"/>
        <v>4.8437387469225008</v>
      </c>
      <c r="H8" s="13">
        <f t="shared" si="4"/>
        <v>6.0653723027405562</v>
      </c>
      <c r="I8" s="13">
        <f t="shared" si="4"/>
        <v>4.3440274041495712</v>
      </c>
      <c r="J8" s="13">
        <f t="shared" si="4"/>
        <v>6.221416945254985</v>
      </c>
      <c r="K8" s="13">
        <f t="shared" si="4"/>
        <v>8.8639683629790547</v>
      </c>
      <c r="L8" s="13">
        <f t="shared" si="4"/>
        <v>12.61586154962156</v>
      </c>
      <c r="M8" s="13">
        <f t="shared" si="4"/>
        <v>14.402385853834357</v>
      </c>
      <c r="N8" s="13">
        <f t="shared" si="4"/>
        <v>13.689866693400033</v>
      </c>
      <c r="O8" s="13">
        <f t="shared" si="4"/>
        <v>12.214305277875695</v>
      </c>
      <c r="P8" s="13">
        <f t="shared" si="4"/>
        <v>11.603625902398164</v>
      </c>
      <c r="Q8" s="13">
        <f t="shared" si="4"/>
        <v>13.349020807152783</v>
      </c>
      <c r="R8" s="13">
        <f t="shared" si="4"/>
        <v>12.867732947700683</v>
      </c>
      <c r="S8" s="13">
        <f t="shared" si="4"/>
        <v>13.61916828442631</v>
      </c>
      <c r="T8" s="13">
        <f t="shared" si="4"/>
        <v>11.04510104227939</v>
      </c>
      <c r="U8" s="13">
        <f t="shared" si="4"/>
        <v>8.5245395736018121</v>
      </c>
      <c r="V8" s="13">
        <f t="shared" si="4"/>
        <v>10.65003528443607</v>
      </c>
      <c r="W8" s="13">
        <f t="shared" ref="W8:Y8" si="5">SUM(W9:W11)</f>
        <v>7.2118207318567631</v>
      </c>
      <c r="X8" s="13">
        <f t="shared" si="5"/>
        <v>6.2797335144583668</v>
      </c>
      <c r="Y8" s="13">
        <f t="shared" si="5"/>
        <v>3.5978655628057075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2.0238580858922384</v>
      </c>
      <c r="C10" s="102">
        <v>2.0108438571718996</v>
      </c>
      <c r="D10" s="102">
        <v>1.6527698723150859</v>
      </c>
      <c r="E10" s="102">
        <v>1.4295916285280905</v>
      </c>
      <c r="F10" s="102">
        <v>1.0246734483761526</v>
      </c>
      <c r="G10" s="102">
        <v>0.67280766917723778</v>
      </c>
      <c r="H10" s="102">
        <v>0.50640057998984789</v>
      </c>
      <c r="I10" s="102">
        <v>0.44656500586081893</v>
      </c>
      <c r="J10" s="102">
        <v>4.5239007698180318</v>
      </c>
      <c r="K10" s="102">
        <v>7.6485139394118553</v>
      </c>
      <c r="L10" s="102">
        <v>9.6727295113813376</v>
      </c>
      <c r="M10" s="102">
        <v>14.129805708357596</v>
      </c>
      <c r="N10" s="102">
        <v>13.404080993781999</v>
      </c>
      <c r="O10" s="102">
        <v>11.764034373567771</v>
      </c>
      <c r="P10" s="102">
        <v>8.5707865007145063</v>
      </c>
      <c r="Q10" s="102">
        <v>10.476963813676553</v>
      </c>
      <c r="R10" s="102">
        <v>10.185082138844034</v>
      </c>
      <c r="S10" s="102">
        <v>12.188818835277189</v>
      </c>
      <c r="T10" s="102">
        <v>9.4931596979660355</v>
      </c>
      <c r="U10" s="102">
        <v>8.0826215469977889</v>
      </c>
      <c r="V10" s="102">
        <v>10.157235758540532</v>
      </c>
      <c r="W10" s="102">
        <v>7.1413790608545042</v>
      </c>
      <c r="X10" s="102">
        <v>6.1737959277179852</v>
      </c>
      <c r="Y10" s="102">
        <v>3.5232113936568683</v>
      </c>
      <c r="DA10" s="175" t="s">
        <v>196</v>
      </c>
    </row>
    <row r="11" spans="1:105" ht="11.45" customHeight="1" x14ac:dyDescent="0.25">
      <c r="A11" s="85" t="s">
        <v>182</v>
      </c>
      <c r="B11" s="86">
        <v>4.8207786585097931</v>
      </c>
      <c r="C11" s="86">
        <v>5.0517931320543177</v>
      </c>
      <c r="D11" s="86">
        <v>1.1513300270371873</v>
      </c>
      <c r="E11" s="86">
        <v>8.8173781991571758</v>
      </c>
      <c r="F11" s="86">
        <v>5.9470503388933453</v>
      </c>
      <c r="G11" s="86">
        <v>4.1709310777452631</v>
      </c>
      <c r="H11" s="86">
        <v>5.5589717227507087</v>
      </c>
      <c r="I11" s="86">
        <v>3.8974623982887522</v>
      </c>
      <c r="J11" s="86">
        <v>1.697516175436953</v>
      </c>
      <c r="K11" s="86">
        <v>1.2154544235672</v>
      </c>
      <c r="L11" s="86">
        <v>2.9431320382402224</v>
      </c>
      <c r="M11" s="86">
        <v>0.27258014547676002</v>
      </c>
      <c r="N11" s="86">
        <v>0.28578569961803296</v>
      </c>
      <c r="O11" s="86">
        <v>0.45027090430792388</v>
      </c>
      <c r="P11" s="86">
        <v>3.0328394016836584</v>
      </c>
      <c r="Q11" s="86">
        <v>2.8720569934762299</v>
      </c>
      <c r="R11" s="86">
        <v>2.6826508088566481</v>
      </c>
      <c r="S11" s="86">
        <v>1.4303494491491211</v>
      </c>
      <c r="T11" s="86">
        <v>1.5519413443133536</v>
      </c>
      <c r="U11" s="86">
        <v>0.44191802660402307</v>
      </c>
      <c r="V11" s="86">
        <v>0.49279952589553783</v>
      </c>
      <c r="W11" s="86">
        <v>7.0441671002258982E-2</v>
      </c>
      <c r="X11" s="86">
        <v>0.10593758674038155</v>
      </c>
      <c r="Y11" s="86">
        <v>7.4654169148838961E-2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3.9044129336187723</v>
      </c>
      <c r="C13" s="54">
        <f t="shared" si="6"/>
        <v>4.4082710755889876</v>
      </c>
      <c r="D13" s="54">
        <f t="shared" ref="D13:V13" si="7">SUM(D14,D18)</f>
        <v>5.4081061356833686</v>
      </c>
      <c r="E13" s="54">
        <f t="shared" si="7"/>
        <v>7.6385712943321655</v>
      </c>
      <c r="F13" s="54">
        <f t="shared" si="7"/>
        <v>12.110955973056909</v>
      </c>
      <c r="G13" s="54">
        <f t="shared" si="7"/>
        <v>12.93384644896369</v>
      </c>
      <c r="H13" s="54">
        <f t="shared" si="7"/>
        <v>13.401611098169575</v>
      </c>
      <c r="I13" s="54">
        <f t="shared" si="7"/>
        <v>13.570651387678685</v>
      </c>
      <c r="J13" s="54">
        <f t="shared" si="7"/>
        <v>16.558368607231273</v>
      </c>
      <c r="K13" s="54">
        <f t="shared" si="7"/>
        <v>12.249502135737409</v>
      </c>
      <c r="L13" s="54">
        <f t="shared" si="7"/>
        <v>11.713733586827557</v>
      </c>
      <c r="M13" s="54">
        <f t="shared" si="7"/>
        <v>11.573239704805166</v>
      </c>
      <c r="N13" s="54">
        <f t="shared" si="7"/>
        <v>9.6065094222517011</v>
      </c>
      <c r="O13" s="54">
        <f t="shared" si="7"/>
        <v>9.2147276621673768</v>
      </c>
      <c r="P13" s="54">
        <f t="shared" si="7"/>
        <v>9.3994276819600753</v>
      </c>
      <c r="Q13" s="54">
        <f t="shared" si="7"/>
        <v>11.099691782020878</v>
      </c>
      <c r="R13" s="54">
        <f t="shared" si="7"/>
        <v>12.187092516297032</v>
      </c>
      <c r="S13" s="54">
        <f t="shared" si="7"/>
        <v>13.271010996390597</v>
      </c>
      <c r="T13" s="54">
        <f t="shared" si="7"/>
        <v>15.056582556601539</v>
      </c>
      <c r="U13" s="54">
        <f t="shared" si="7"/>
        <v>15.198779788747094</v>
      </c>
      <c r="V13" s="54">
        <f t="shared" si="7"/>
        <v>4.0485985095682722</v>
      </c>
      <c r="W13" s="54">
        <f t="shared" ref="W13:Y13" si="8">SUM(W14,W18)</f>
        <v>5.4234440893679707</v>
      </c>
      <c r="X13" s="54">
        <f t="shared" si="8"/>
        <v>11.002973375716078</v>
      </c>
      <c r="Y13" s="54">
        <f t="shared" si="8"/>
        <v>12.612708467479768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3.7731680119019284</v>
      </c>
      <c r="C14" s="11">
        <f t="shared" si="9"/>
        <v>4.2796218219581723</v>
      </c>
      <c r="D14" s="11">
        <f t="shared" ref="D14:V14" si="10">SUM(D15:D17)</f>
        <v>5.3397202399003323</v>
      </c>
      <c r="E14" s="11">
        <f t="shared" si="10"/>
        <v>7.4525909408800306</v>
      </c>
      <c r="F14" s="11">
        <f t="shared" si="10"/>
        <v>11.977270954427777</v>
      </c>
      <c r="G14" s="11">
        <f t="shared" si="10"/>
        <v>12.83625974828967</v>
      </c>
      <c r="H14" s="11">
        <f t="shared" si="10"/>
        <v>13.277648416544391</v>
      </c>
      <c r="I14" s="11">
        <f t="shared" si="10"/>
        <v>13.477673322586398</v>
      </c>
      <c r="J14" s="11">
        <f t="shared" si="10"/>
        <v>16.334360609178663</v>
      </c>
      <c r="K14" s="11">
        <f t="shared" si="10"/>
        <v>11.913923969281457</v>
      </c>
      <c r="L14" s="11">
        <f t="shared" si="10"/>
        <v>11.265698065840215</v>
      </c>
      <c r="M14" s="11">
        <f t="shared" si="10"/>
        <v>11.020657136051987</v>
      </c>
      <c r="N14" s="11">
        <f t="shared" si="10"/>
        <v>9.1061542732718905</v>
      </c>
      <c r="O14" s="11">
        <f t="shared" si="10"/>
        <v>8.7496427179484648</v>
      </c>
      <c r="P14" s="11">
        <f t="shared" si="10"/>
        <v>9.0801331935038068</v>
      </c>
      <c r="Q14" s="11">
        <f t="shared" si="10"/>
        <v>10.697482013404775</v>
      </c>
      <c r="R14" s="11">
        <f t="shared" si="10"/>
        <v>11.823156275630405</v>
      </c>
      <c r="S14" s="11">
        <f t="shared" si="10"/>
        <v>12.825187844210642</v>
      </c>
      <c r="T14" s="11">
        <f t="shared" si="10"/>
        <v>14.706229169399194</v>
      </c>
      <c r="U14" s="11">
        <f t="shared" si="10"/>
        <v>14.922716434709827</v>
      </c>
      <c r="V14" s="11">
        <f t="shared" si="10"/>
        <v>3.6399143130091027</v>
      </c>
      <c r="W14" s="11">
        <f t="shared" ref="W14:Y14" si="11">SUM(W15:W17)</f>
        <v>5.0943654720840197</v>
      </c>
      <c r="X14" s="11">
        <f t="shared" si="11"/>
        <v>10.732925792821341</v>
      </c>
      <c r="Y14" s="11">
        <f t="shared" si="11"/>
        <v>12.466813024287813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2.2633509407206418</v>
      </c>
      <c r="C16" s="84">
        <v>2.5659066254083513</v>
      </c>
      <c r="D16" s="84">
        <v>2.7667200864402615</v>
      </c>
      <c r="E16" s="84">
        <v>4.0033143200623318</v>
      </c>
      <c r="F16" s="84">
        <v>6.7608772470827825</v>
      </c>
      <c r="G16" s="84">
        <v>8.5265985210475943</v>
      </c>
      <c r="H16" s="84">
        <v>10.601047543628566</v>
      </c>
      <c r="I16" s="84">
        <v>10.093058240479584</v>
      </c>
      <c r="J16" s="84">
        <v>12.283308950431525</v>
      </c>
      <c r="K16" s="84">
        <v>8.8546863418390132</v>
      </c>
      <c r="L16" s="84">
        <v>8.3404117797726141</v>
      </c>
      <c r="M16" s="84">
        <v>8.0213434767627092</v>
      </c>
      <c r="N16" s="84">
        <v>6.2649843909189498</v>
      </c>
      <c r="O16" s="84">
        <v>6.1981396488736795</v>
      </c>
      <c r="P16" s="84">
        <v>6.8407233166415127</v>
      </c>
      <c r="Q16" s="84">
        <v>7.7314805147001735</v>
      </c>
      <c r="R16" s="84">
        <v>8.8207290447599629</v>
      </c>
      <c r="S16" s="84">
        <v>8.4631860438493156</v>
      </c>
      <c r="T16" s="84">
        <v>9.3767641392025656</v>
      </c>
      <c r="U16" s="84">
        <v>9.2362986362023634</v>
      </c>
      <c r="V16" s="84">
        <v>2.81186035596853</v>
      </c>
      <c r="W16" s="84">
        <v>3.9823414563669268</v>
      </c>
      <c r="X16" s="84">
        <v>7.2461998868016844</v>
      </c>
      <c r="Y16" s="84">
        <v>8.2116007334317818</v>
      </c>
      <c r="DA16" s="171" t="s">
        <v>201</v>
      </c>
    </row>
    <row r="17" spans="1:105" ht="11.45" customHeight="1" x14ac:dyDescent="0.25">
      <c r="A17" s="83" t="s">
        <v>182</v>
      </c>
      <c r="B17" s="84">
        <v>1.5098170711812868</v>
      </c>
      <c r="C17" s="84">
        <v>1.7137151965498207</v>
      </c>
      <c r="D17" s="84">
        <v>2.5730001534600708</v>
      </c>
      <c r="E17" s="84">
        <v>3.4492766208176988</v>
      </c>
      <c r="F17" s="84">
        <v>5.2163937073449933</v>
      </c>
      <c r="G17" s="84">
        <v>4.3096612272420769</v>
      </c>
      <c r="H17" s="84">
        <v>2.6766008729158246</v>
      </c>
      <c r="I17" s="84">
        <v>3.3846150821068131</v>
      </c>
      <c r="J17" s="84">
        <v>4.051051658747137</v>
      </c>
      <c r="K17" s="84">
        <v>3.0592376274424442</v>
      </c>
      <c r="L17" s="84">
        <v>2.9252862860676014</v>
      </c>
      <c r="M17" s="84">
        <v>2.9993136592892773</v>
      </c>
      <c r="N17" s="84">
        <v>2.8411698823529412</v>
      </c>
      <c r="O17" s="84">
        <v>2.5515030690747857</v>
      </c>
      <c r="P17" s="84">
        <v>2.2394098768622936</v>
      </c>
      <c r="Q17" s="84">
        <v>2.9660014987046015</v>
      </c>
      <c r="R17" s="84">
        <v>3.0024272308704414</v>
      </c>
      <c r="S17" s="84">
        <v>4.3620018003613277</v>
      </c>
      <c r="T17" s="84">
        <v>5.3294650301966282</v>
      </c>
      <c r="U17" s="84">
        <v>5.6864177985074624</v>
      </c>
      <c r="V17" s="84">
        <v>0.82805395704057272</v>
      </c>
      <c r="W17" s="84">
        <v>1.1120240157170924</v>
      </c>
      <c r="X17" s="84">
        <v>3.486725906019656</v>
      </c>
      <c r="Y17" s="84">
        <v>4.255212290856031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0.13124492171684399</v>
      </c>
      <c r="C18" s="13">
        <f t="shared" si="12"/>
        <v>0.12864925363081564</v>
      </c>
      <c r="D18" s="13">
        <f t="shared" ref="D18:V18" si="13">SUM(D19:D21)</f>
        <v>6.8385895783036166E-2</v>
      </c>
      <c r="E18" s="13">
        <f t="shared" si="13"/>
        <v>0.18598035345213487</v>
      </c>
      <c r="F18" s="13">
        <f t="shared" si="13"/>
        <v>0.13368501862913118</v>
      </c>
      <c r="G18" s="13">
        <f t="shared" si="13"/>
        <v>9.7586700674019616E-2</v>
      </c>
      <c r="H18" s="13">
        <f t="shared" si="13"/>
        <v>0.12396268162518265</v>
      </c>
      <c r="I18" s="13">
        <f t="shared" si="13"/>
        <v>9.2978065092288092E-2</v>
      </c>
      <c r="J18" s="13">
        <f t="shared" si="13"/>
        <v>0.22400799805260857</v>
      </c>
      <c r="K18" s="13">
        <f t="shared" si="13"/>
        <v>0.33557816645595034</v>
      </c>
      <c r="L18" s="13">
        <f t="shared" si="13"/>
        <v>0.44803552098734095</v>
      </c>
      <c r="M18" s="13">
        <f t="shared" si="13"/>
        <v>0.55258256875317902</v>
      </c>
      <c r="N18" s="13">
        <f t="shared" si="13"/>
        <v>0.50035514897980982</v>
      </c>
      <c r="O18" s="13">
        <f t="shared" si="13"/>
        <v>0.46508494421891206</v>
      </c>
      <c r="P18" s="13">
        <f t="shared" si="13"/>
        <v>0.31929448845626907</v>
      </c>
      <c r="Q18" s="13">
        <f t="shared" si="13"/>
        <v>0.40220976861610408</v>
      </c>
      <c r="R18" s="13">
        <f t="shared" si="13"/>
        <v>0.36393624066662689</v>
      </c>
      <c r="S18" s="13">
        <f t="shared" si="13"/>
        <v>0.44582315217995522</v>
      </c>
      <c r="T18" s="13">
        <f t="shared" si="13"/>
        <v>0.35035338720234543</v>
      </c>
      <c r="U18" s="13">
        <f t="shared" si="13"/>
        <v>0.27606335403726706</v>
      </c>
      <c r="V18" s="13">
        <f t="shared" si="13"/>
        <v>0.40868419655916977</v>
      </c>
      <c r="W18" s="13">
        <f t="shared" ref="W18:Y18" si="14">SUM(W19:W21)</f>
        <v>0.32907861728395066</v>
      </c>
      <c r="X18" s="13">
        <f t="shared" si="14"/>
        <v>0.27004758289473679</v>
      </c>
      <c r="Y18" s="13">
        <f t="shared" si="14"/>
        <v>0.14589544319195522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6.0931025704749314E-2</v>
      </c>
      <c r="C20" s="102">
        <v>5.8335357618720995E-2</v>
      </c>
      <c r="D20" s="102">
        <v>5.1413576055978828E-2</v>
      </c>
      <c r="E20" s="102">
        <v>4.2927944324080258E-2</v>
      </c>
      <c r="F20" s="102">
        <v>3.4275717370652548E-2</v>
      </c>
      <c r="G20" s="102">
        <v>2.3449744791666664E-2</v>
      </c>
      <c r="H20" s="102">
        <v>2.1750988524417252E-2</v>
      </c>
      <c r="I20" s="102">
        <v>2.0100463297890607E-2</v>
      </c>
      <c r="J20" s="102">
        <v>0.19161392077787445</v>
      </c>
      <c r="K20" s="102">
        <v>0.3150117917029967</v>
      </c>
      <c r="L20" s="102">
        <v>0.39904807912687584</v>
      </c>
      <c r="M20" s="102">
        <v>0.54830132793706265</v>
      </c>
      <c r="N20" s="102">
        <v>0.49639954897980981</v>
      </c>
      <c r="O20" s="102">
        <v>0.45832331046128089</v>
      </c>
      <c r="P20" s="102">
        <v>0.28085655708183671</v>
      </c>
      <c r="Q20" s="102">
        <v>0.36497437181903286</v>
      </c>
      <c r="R20" s="102">
        <v>0.33422341689100976</v>
      </c>
      <c r="S20" s="102">
        <v>0.42911162259230323</v>
      </c>
      <c r="T20" s="102">
        <v>0.33155022457258765</v>
      </c>
      <c r="U20" s="102">
        <v>0.27081615102974826</v>
      </c>
      <c r="V20" s="102">
        <v>0.39955021696733301</v>
      </c>
      <c r="W20" s="102">
        <v>0.3278682469135803</v>
      </c>
      <c r="X20" s="102">
        <v>0.26840195789473681</v>
      </c>
      <c r="Y20" s="102">
        <v>0.14476739056037627</v>
      </c>
      <c r="DA20" s="175" t="s">
        <v>205</v>
      </c>
    </row>
    <row r="21" spans="1:105" ht="11.45" customHeight="1" x14ac:dyDescent="0.25">
      <c r="A21" s="85" t="s">
        <v>182</v>
      </c>
      <c r="B21" s="86">
        <v>7.0313896012094659E-2</v>
      </c>
      <c r="C21" s="86">
        <v>7.0313896012094659E-2</v>
      </c>
      <c r="D21" s="86">
        <v>1.6972319727057331E-2</v>
      </c>
      <c r="E21" s="86">
        <v>0.14305240912805461</v>
      </c>
      <c r="F21" s="86">
        <v>9.9409301258478647E-2</v>
      </c>
      <c r="G21" s="86">
        <v>7.4136955882352945E-2</v>
      </c>
      <c r="H21" s="86">
        <v>0.10221169310076539</v>
      </c>
      <c r="I21" s="86">
        <v>7.2877601794397492E-2</v>
      </c>
      <c r="J21" s="86">
        <v>3.2394077274734125E-2</v>
      </c>
      <c r="K21" s="86">
        <v>2.0566374752953656E-2</v>
      </c>
      <c r="L21" s="86">
        <v>4.8987441860465115E-2</v>
      </c>
      <c r="M21" s="86">
        <v>4.2812408161163155E-3</v>
      </c>
      <c r="N21" s="86">
        <v>3.9556000000000001E-3</v>
      </c>
      <c r="O21" s="86">
        <v>6.7616337576311674E-3</v>
      </c>
      <c r="P21" s="86">
        <v>3.8437931374432355E-2</v>
      </c>
      <c r="Q21" s="86">
        <v>3.7235396797071198E-2</v>
      </c>
      <c r="R21" s="86">
        <v>2.9712823775617108E-2</v>
      </c>
      <c r="S21" s="86">
        <v>1.671152958765201E-2</v>
      </c>
      <c r="T21" s="86">
        <v>1.8803162629757786E-2</v>
      </c>
      <c r="U21" s="86">
        <v>5.247203007518797E-3</v>
      </c>
      <c r="V21" s="86">
        <v>9.1339795918367345E-3</v>
      </c>
      <c r="W21" s="86">
        <v>1.2103703703703703E-3</v>
      </c>
      <c r="X21" s="86">
        <v>1.645625E-3</v>
      </c>
      <c r="Y21" s="86">
        <v>1.1280526315789474E-3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3719</v>
      </c>
      <c r="C23" s="54">
        <f t="shared" si="15"/>
        <v>4202</v>
      </c>
      <c r="D23" s="54">
        <f t="shared" ref="D23:V23" si="16">SUM(D24,D28)</f>
        <v>4727</v>
      </c>
      <c r="E23" s="54">
        <f t="shared" si="16"/>
        <v>6916</v>
      </c>
      <c r="F23" s="54">
        <f t="shared" si="16"/>
        <v>10854</v>
      </c>
      <c r="G23" s="54">
        <f t="shared" si="16"/>
        <v>12209</v>
      </c>
      <c r="H23" s="54">
        <f t="shared" si="16"/>
        <v>13075</v>
      </c>
      <c r="I23" s="54">
        <f t="shared" si="16"/>
        <v>12520</v>
      </c>
      <c r="J23" s="54">
        <f t="shared" si="16"/>
        <v>14519</v>
      </c>
      <c r="K23" s="54">
        <f t="shared" si="16"/>
        <v>11225</v>
      </c>
      <c r="L23" s="54">
        <f t="shared" si="16"/>
        <v>10597</v>
      </c>
      <c r="M23" s="54">
        <f t="shared" si="16"/>
        <v>9853</v>
      </c>
      <c r="N23" s="54">
        <f t="shared" si="16"/>
        <v>7987</v>
      </c>
      <c r="O23" s="54">
        <f t="shared" si="16"/>
        <v>7797</v>
      </c>
      <c r="P23" s="54">
        <f t="shared" si="16"/>
        <v>7967</v>
      </c>
      <c r="Q23" s="54">
        <f t="shared" si="16"/>
        <v>8912</v>
      </c>
      <c r="R23" s="54">
        <f t="shared" si="16"/>
        <v>10080</v>
      </c>
      <c r="S23" s="54">
        <f t="shared" si="16"/>
        <v>10810</v>
      </c>
      <c r="T23" s="54">
        <f t="shared" si="16"/>
        <v>11885</v>
      </c>
      <c r="U23" s="54">
        <f t="shared" si="16"/>
        <v>11711</v>
      </c>
      <c r="V23" s="54">
        <f t="shared" si="16"/>
        <v>3622</v>
      </c>
      <c r="W23" s="54">
        <f t="shared" ref="W23:Y23" si="17">SUM(W24,W28)</f>
        <v>4275</v>
      </c>
      <c r="X23" s="54">
        <f t="shared" si="17"/>
        <v>8214</v>
      </c>
      <c r="Y23" s="54">
        <f t="shared" si="17"/>
        <v>9132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3622</v>
      </c>
      <c r="C24" s="11">
        <f t="shared" si="18"/>
        <v>4108</v>
      </c>
      <c r="D24" s="11">
        <f t="shared" ref="D24:V24" si="19">SUM(D25:D27)</f>
        <v>4663</v>
      </c>
      <c r="E24" s="11">
        <f t="shared" si="19"/>
        <v>6809</v>
      </c>
      <c r="F24" s="11">
        <f t="shared" si="19"/>
        <v>10775</v>
      </c>
      <c r="G24" s="11">
        <f t="shared" si="19"/>
        <v>12153</v>
      </c>
      <c r="H24" s="11">
        <f t="shared" si="19"/>
        <v>13010</v>
      </c>
      <c r="I24" s="11">
        <f t="shared" si="19"/>
        <v>12472</v>
      </c>
      <c r="J24" s="11">
        <f t="shared" si="19"/>
        <v>14283</v>
      </c>
      <c r="K24" s="11">
        <f t="shared" si="19"/>
        <v>10807</v>
      </c>
      <c r="L24" s="11">
        <f t="shared" si="19"/>
        <v>10051</v>
      </c>
      <c r="M24" s="11">
        <f t="shared" si="19"/>
        <v>9186</v>
      </c>
      <c r="N24" s="11">
        <f t="shared" si="19"/>
        <v>7342</v>
      </c>
      <c r="O24" s="11">
        <f t="shared" si="19"/>
        <v>7177</v>
      </c>
      <c r="P24" s="11">
        <f t="shared" si="19"/>
        <v>7547</v>
      </c>
      <c r="Q24" s="11">
        <f t="shared" si="19"/>
        <v>8387</v>
      </c>
      <c r="R24" s="11">
        <f t="shared" si="19"/>
        <v>9567</v>
      </c>
      <c r="S24" s="11">
        <f t="shared" si="19"/>
        <v>10132</v>
      </c>
      <c r="T24" s="11">
        <f t="shared" si="19"/>
        <v>11349</v>
      </c>
      <c r="U24" s="11">
        <f t="shared" si="19"/>
        <v>11281</v>
      </c>
      <c r="V24" s="11">
        <f t="shared" si="19"/>
        <v>3015</v>
      </c>
      <c r="W24" s="11">
        <f t="shared" ref="W24:Y24" si="20">SUM(W25:W27)</f>
        <v>3777</v>
      </c>
      <c r="X24" s="11">
        <f t="shared" si="20"/>
        <v>7787</v>
      </c>
      <c r="Y24" s="11">
        <f t="shared" si="20"/>
        <v>8915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3000</v>
      </c>
      <c r="C26" s="84">
        <v>3402</v>
      </c>
      <c r="D26" s="84">
        <v>3603</v>
      </c>
      <c r="E26" s="84">
        <v>5388</v>
      </c>
      <c r="F26" s="84">
        <v>8626</v>
      </c>
      <c r="G26" s="84">
        <v>10353</v>
      </c>
      <c r="H26" s="84">
        <v>11864</v>
      </c>
      <c r="I26" s="84">
        <v>11177</v>
      </c>
      <c r="J26" s="84">
        <v>12568</v>
      </c>
      <c r="K26" s="84">
        <v>9358</v>
      </c>
      <c r="L26" s="84">
        <v>8740</v>
      </c>
      <c r="M26" s="84">
        <v>7700</v>
      </c>
      <c r="N26" s="84">
        <v>5886</v>
      </c>
      <c r="O26" s="84">
        <v>5781</v>
      </c>
      <c r="P26" s="84">
        <v>6329</v>
      </c>
      <c r="Q26" s="84">
        <v>6916</v>
      </c>
      <c r="R26" s="84">
        <v>8050</v>
      </c>
      <c r="S26" s="84">
        <v>7844</v>
      </c>
      <c r="T26" s="84">
        <v>8610</v>
      </c>
      <c r="U26" s="84">
        <v>8213</v>
      </c>
      <c r="V26" s="84">
        <v>2586</v>
      </c>
      <c r="W26" s="84">
        <v>3210</v>
      </c>
      <c r="X26" s="84">
        <v>6212</v>
      </c>
      <c r="Y26" s="84">
        <v>6933</v>
      </c>
      <c r="DA26" s="171" t="s">
        <v>210</v>
      </c>
    </row>
    <row r="27" spans="1:105" ht="11.45" customHeight="1" x14ac:dyDescent="0.25">
      <c r="A27" s="83" t="s">
        <v>182</v>
      </c>
      <c r="B27" s="84">
        <v>622</v>
      </c>
      <c r="C27" s="84">
        <v>706</v>
      </c>
      <c r="D27" s="84">
        <v>1060</v>
      </c>
      <c r="E27" s="84">
        <v>1421</v>
      </c>
      <c r="F27" s="84">
        <v>2149</v>
      </c>
      <c r="G27" s="84">
        <v>1800</v>
      </c>
      <c r="H27" s="84">
        <v>1146</v>
      </c>
      <c r="I27" s="84">
        <v>1295</v>
      </c>
      <c r="J27" s="84">
        <v>1715</v>
      </c>
      <c r="K27" s="84">
        <v>1449</v>
      </c>
      <c r="L27" s="84">
        <v>1311</v>
      </c>
      <c r="M27" s="84">
        <v>1486</v>
      </c>
      <c r="N27" s="84">
        <v>1456</v>
      </c>
      <c r="O27" s="84">
        <v>1396</v>
      </c>
      <c r="P27" s="84">
        <v>1218</v>
      </c>
      <c r="Q27" s="84">
        <v>1471</v>
      </c>
      <c r="R27" s="84">
        <v>1517</v>
      </c>
      <c r="S27" s="84">
        <v>2288</v>
      </c>
      <c r="T27" s="84">
        <v>2739</v>
      </c>
      <c r="U27" s="84">
        <v>3068</v>
      </c>
      <c r="V27" s="84">
        <v>429</v>
      </c>
      <c r="W27" s="84">
        <v>567</v>
      </c>
      <c r="X27" s="84">
        <v>1575</v>
      </c>
      <c r="Y27" s="84">
        <v>1982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97</v>
      </c>
      <c r="C28" s="13">
        <f t="shared" si="21"/>
        <v>94</v>
      </c>
      <c r="D28" s="13">
        <f t="shared" ref="D28:V28" si="22">SUM(D29:D31)</f>
        <v>64</v>
      </c>
      <c r="E28" s="13">
        <f t="shared" si="22"/>
        <v>107</v>
      </c>
      <c r="F28" s="13">
        <f t="shared" si="22"/>
        <v>79</v>
      </c>
      <c r="G28" s="13">
        <f t="shared" si="22"/>
        <v>56</v>
      </c>
      <c r="H28" s="13">
        <f t="shared" si="22"/>
        <v>65</v>
      </c>
      <c r="I28" s="13">
        <f t="shared" si="22"/>
        <v>48</v>
      </c>
      <c r="J28" s="13">
        <f t="shared" si="22"/>
        <v>236</v>
      </c>
      <c r="K28" s="13">
        <f t="shared" si="22"/>
        <v>418</v>
      </c>
      <c r="L28" s="13">
        <f t="shared" si="22"/>
        <v>546</v>
      </c>
      <c r="M28" s="13">
        <f t="shared" si="22"/>
        <v>667</v>
      </c>
      <c r="N28" s="13">
        <f t="shared" si="22"/>
        <v>645</v>
      </c>
      <c r="O28" s="13">
        <f t="shared" si="22"/>
        <v>620</v>
      </c>
      <c r="P28" s="13">
        <f t="shared" si="22"/>
        <v>420</v>
      </c>
      <c r="Q28" s="13">
        <f t="shared" si="22"/>
        <v>525</v>
      </c>
      <c r="R28" s="13">
        <f t="shared" si="22"/>
        <v>513</v>
      </c>
      <c r="S28" s="13">
        <f t="shared" si="22"/>
        <v>678</v>
      </c>
      <c r="T28" s="13">
        <f t="shared" si="22"/>
        <v>536</v>
      </c>
      <c r="U28" s="13">
        <f t="shared" si="22"/>
        <v>430</v>
      </c>
      <c r="V28" s="13">
        <f t="shared" si="22"/>
        <v>607</v>
      </c>
      <c r="W28" s="13">
        <f t="shared" ref="W28:Y28" si="23">SUM(W29:W31)</f>
        <v>498</v>
      </c>
      <c r="X28" s="13">
        <f t="shared" si="23"/>
        <v>427</v>
      </c>
      <c r="Y28" s="13">
        <f t="shared" si="23"/>
        <v>217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68</v>
      </c>
      <c r="C30" s="102">
        <v>65</v>
      </c>
      <c r="D30" s="102">
        <v>57</v>
      </c>
      <c r="E30" s="102">
        <v>48</v>
      </c>
      <c r="F30" s="102">
        <v>38</v>
      </c>
      <c r="G30" s="102">
        <v>25</v>
      </c>
      <c r="H30" s="102">
        <v>22</v>
      </c>
      <c r="I30" s="102">
        <v>21</v>
      </c>
      <c r="J30" s="102">
        <v>223</v>
      </c>
      <c r="K30" s="102">
        <v>409</v>
      </c>
      <c r="L30" s="102">
        <v>526</v>
      </c>
      <c r="M30" s="102">
        <v>665</v>
      </c>
      <c r="N30" s="102">
        <v>643</v>
      </c>
      <c r="O30" s="102">
        <v>616</v>
      </c>
      <c r="P30" s="102">
        <v>395</v>
      </c>
      <c r="Q30" s="102">
        <v>501</v>
      </c>
      <c r="R30" s="102">
        <v>491</v>
      </c>
      <c r="S30" s="102">
        <v>663</v>
      </c>
      <c r="T30" s="102">
        <v>517</v>
      </c>
      <c r="U30" s="102">
        <v>424</v>
      </c>
      <c r="V30" s="102">
        <v>602</v>
      </c>
      <c r="W30" s="102">
        <v>497</v>
      </c>
      <c r="X30" s="102">
        <v>426</v>
      </c>
      <c r="Y30" s="102">
        <v>216</v>
      </c>
      <c r="DA30" s="175" t="s">
        <v>214</v>
      </c>
    </row>
    <row r="31" spans="1:105" ht="11.45" customHeight="1" x14ac:dyDescent="0.25">
      <c r="A31" s="85" t="s">
        <v>182</v>
      </c>
      <c r="B31" s="86">
        <v>29</v>
      </c>
      <c r="C31" s="86">
        <v>29</v>
      </c>
      <c r="D31" s="86">
        <v>7</v>
      </c>
      <c r="E31" s="86">
        <v>59</v>
      </c>
      <c r="F31" s="86">
        <v>41</v>
      </c>
      <c r="G31" s="86">
        <v>31</v>
      </c>
      <c r="H31" s="86">
        <v>43</v>
      </c>
      <c r="I31" s="86">
        <v>27</v>
      </c>
      <c r="J31" s="86">
        <v>13</v>
      </c>
      <c r="K31" s="86">
        <v>9</v>
      </c>
      <c r="L31" s="86">
        <v>20</v>
      </c>
      <c r="M31" s="86">
        <v>2</v>
      </c>
      <c r="N31" s="86">
        <v>2</v>
      </c>
      <c r="O31" s="86">
        <v>4</v>
      </c>
      <c r="P31" s="86">
        <v>25</v>
      </c>
      <c r="Q31" s="86">
        <v>24</v>
      </c>
      <c r="R31" s="86">
        <v>22</v>
      </c>
      <c r="S31" s="86">
        <v>15</v>
      </c>
      <c r="T31" s="86">
        <v>19</v>
      </c>
      <c r="U31" s="86">
        <v>6</v>
      </c>
      <c r="V31" s="86">
        <v>5</v>
      </c>
      <c r="W31" s="86">
        <v>1</v>
      </c>
      <c r="X31" s="86">
        <v>1</v>
      </c>
      <c r="Y31" s="86">
        <v>1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258925</v>
      </c>
      <c r="C34" s="11">
        <f t="shared" si="24"/>
        <v>296074</v>
      </c>
      <c r="D34" s="11">
        <f t="shared" ref="D34:V34" si="25">SUM(D35:D37)</f>
        <v>352292</v>
      </c>
      <c r="E34" s="11">
        <f t="shared" si="25"/>
        <v>505314</v>
      </c>
      <c r="F34" s="11">
        <f t="shared" si="25"/>
        <v>834939</v>
      </c>
      <c r="G34" s="11">
        <f t="shared" si="25"/>
        <v>956213</v>
      </c>
      <c r="H34" s="11">
        <f t="shared" si="25"/>
        <v>1039094</v>
      </c>
      <c r="I34" s="11">
        <f t="shared" si="25"/>
        <v>1059867</v>
      </c>
      <c r="J34" s="11">
        <f t="shared" si="25"/>
        <v>1209104</v>
      </c>
      <c r="K34" s="11">
        <f t="shared" si="25"/>
        <v>923873</v>
      </c>
      <c r="L34" s="11">
        <f t="shared" si="25"/>
        <v>931843</v>
      </c>
      <c r="M34" s="11">
        <f t="shared" si="25"/>
        <v>897802</v>
      </c>
      <c r="N34" s="11">
        <f t="shared" si="25"/>
        <v>775289</v>
      </c>
      <c r="O34" s="11">
        <f t="shared" si="25"/>
        <v>777734</v>
      </c>
      <c r="P34" s="11">
        <f t="shared" si="25"/>
        <v>838219</v>
      </c>
      <c r="Q34" s="11">
        <f t="shared" si="25"/>
        <v>972870</v>
      </c>
      <c r="R34" s="11">
        <f t="shared" si="25"/>
        <v>1083521</v>
      </c>
      <c r="S34" s="11">
        <f t="shared" si="25"/>
        <v>1206837</v>
      </c>
      <c r="T34" s="11">
        <f t="shared" si="25"/>
        <v>1402040</v>
      </c>
      <c r="U34" s="11">
        <f t="shared" si="25"/>
        <v>1423748</v>
      </c>
      <c r="V34" s="11">
        <f t="shared" si="25"/>
        <v>253202</v>
      </c>
      <c r="W34" s="11">
        <f t="shared" ref="W34:Y34" si="26">SUM(W35:W37)</f>
        <v>326357</v>
      </c>
      <c r="X34" s="11">
        <f t="shared" si="26"/>
        <v>977744</v>
      </c>
      <c r="Y34" s="11">
        <f t="shared" si="26"/>
        <v>1219779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197000</v>
      </c>
      <c r="C36" s="84">
        <v>224959</v>
      </c>
      <c r="D36" s="84">
        <v>244900</v>
      </c>
      <c r="E36" s="84">
        <v>360858</v>
      </c>
      <c r="F36" s="84">
        <v>615621</v>
      </c>
      <c r="G36" s="84">
        <v>770633</v>
      </c>
      <c r="H36" s="84">
        <v>920221</v>
      </c>
      <c r="I36" s="84">
        <v>908450</v>
      </c>
      <c r="J36" s="84">
        <v>1026086</v>
      </c>
      <c r="K36" s="84">
        <v>763633</v>
      </c>
      <c r="L36" s="84">
        <v>764982</v>
      </c>
      <c r="M36" s="84">
        <v>728815</v>
      </c>
      <c r="N36" s="84">
        <v>616856</v>
      </c>
      <c r="O36" s="84">
        <v>623688</v>
      </c>
      <c r="P36" s="84">
        <v>684286</v>
      </c>
      <c r="Q36" s="84">
        <v>800565</v>
      </c>
      <c r="R36" s="84">
        <v>925066</v>
      </c>
      <c r="S36" s="84">
        <v>912188</v>
      </c>
      <c r="T36" s="84">
        <v>1016517</v>
      </c>
      <c r="U36" s="84">
        <v>978905</v>
      </c>
      <c r="V36" s="84">
        <v>202777</v>
      </c>
      <c r="W36" s="84">
        <v>267623</v>
      </c>
      <c r="X36" s="84">
        <v>744175</v>
      </c>
      <c r="Y36" s="84">
        <v>909556</v>
      </c>
      <c r="DA36" s="171" t="s">
        <v>218</v>
      </c>
    </row>
    <row r="37" spans="1:105" ht="11.45" customHeight="1" x14ac:dyDescent="0.25">
      <c r="A37" s="83" t="s">
        <v>182</v>
      </c>
      <c r="B37" s="84">
        <v>61925</v>
      </c>
      <c r="C37" s="84">
        <v>71115</v>
      </c>
      <c r="D37" s="84">
        <v>107392</v>
      </c>
      <c r="E37" s="84">
        <v>144456</v>
      </c>
      <c r="F37" s="84">
        <v>219318</v>
      </c>
      <c r="G37" s="84">
        <v>185580</v>
      </c>
      <c r="H37" s="84">
        <v>118873</v>
      </c>
      <c r="I37" s="84">
        <v>151417</v>
      </c>
      <c r="J37" s="84">
        <v>183018</v>
      </c>
      <c r="K37" s="84">
        <v>160240</v>
      </c>
      <c r="L37" s="84">
        <v>166861</v>
      </c>
      <c r="M37" s="84">
        <v>168987</v>
      </c>
      <c r="N37" s="84">
        <v>158433</v>
      </c>
      <c r="O37" s="84">
        <v>154046</v>
      </c>
      <c r="P37" s="84">
        <v>153933</v>
      </c>
      <c r="Q37" s="84">
        <v>172305</v>
      </c>
      <c r="R37" s="84">
        <v>158455</v>
      </c>
      <c r="S37" s="84">
        <v>294649</v>
      </c>
      <c r="T37" s="84">
        <v>385523</v>
      </c>
      <c r="U37" s="84">
        <v>444843</v>
      </c>
      <c r="V37" s="84">
        <v>50425</v>
      </c>
      <c r="W37" s="84">
        <v>58734</v>
      </c>
      <c r="X37" s="84">
        <v>233569</v>
      </c>
      <c r="Y37" s="84">
        <v>310223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2611.4222879758518</v>
      </c>
      <c r="C38" s="13">
        <f t="shared" si="27"/>
        <v>2624.7436442973012</v>
      </c>
      <c r="D38" s="13">
        <f t="shared" ref="D38:V38" si="28">SUM(D39:D41)</f>
        <v>1303.1355233488289</v>
      </c>
      <c r="E38" s="13">
        <f t="shared" si="28"/>
        <v>3701.511136585606</v>
      </c>
      <c r="F38" s="13">
        <f t="shared" si="28"/>
        <v>2580.9511963946193</v>
      </c>
      <c r="G38" s="13">
        <f t="shared" si="28"/>
        <v>1750.7436776691022</v>
      </c>
      <c r="H38" s="13">
        <f t="shared" si="28"/>
        <v>2250.4503585418665</v>
      </c>
      <c r="I38" s="13">
        <f t="shared" si="28"/>
        <v>1509.5409167816833</v>
      </c>
      <c r="J38" s="13">
        <f t="shared" si="28"/>
        <v>3640.3195989163914</v>
      </c>
      <c r="K38" s="13">
        <f t="shared" si="28"/>
        <v>6051.9471511243028</v>
      </c>
      <c r="L38" s="13">
        <f t="shared" si="28"/>
        <v>8680.0698673545521</v>
      </c>
      <c r="M38" s="13">
        <f t="shared" si="28"/>
        <v>10480.136826760394</v>
      </c>
      <c r="N38" s="13">
        <f t="shared" si="28"/>
        <v>10835.86329399153</v>
      </c>
      <c r="O38" s="13">
        <f t="shared" si="28"/>
        <v>10560.974820724963</v>
      </c>
      <c r="P38" s="13">
        <f t="shared" si="28"/>
        <v>8949.0632066241978</v>
      </c>
      <c r="Q38" s="13">
        <f t="shared" si="28"/>
        <v>10847.627186070724</v>
      </c>
      <c r="R38" s="13">
        <f t="shared" si="28"/>
        <v>11852.059396583963</v>
      </c>
      <c r="S38" s="13">
        <f t="shared" si="28"/>
        <v>13947.188161504213</v>
      </c>
      <c r="T38" s="13">
        <f t="shared" si="28"/>
        <v>11337.82551383532</v>
      </c>
      <c r="U38" s="13">
        <f t="shared" si="28"/>
        <v>8806.3109526323206</v>
      </c>
      <c r="V38" s="13">
        <f t="shared" si="28"/>
        <v>10872.225857174024</v>
      </c>
      <c r="W38" s="13">
        <f t="shared" ref="W38:Y38" si="29">SUM(W39:W41)</f>
        <v>8884.4797025112712</v>
      </c>
      <c r="X38" s="13">
        <f t="shared" si="29"/>
        <v>7681.8436535015744</v>
      </c>
      <c r="Y38" s="13">
        <f t="shared" si="29"/>
        <v>3944.5954853798357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1099.4109280493471</v>
      </c>
      <c r="C40" s="102">
        <v>1062.589565715941</v>
      </c>
      <c r="D40" s="102">
        <v>932.81320429935192</v>
      </c>
      <c r="E40" s="102">
        <v>826.64144051081757</v>
      </c>
      <c r="F40" s="102">
        <v>610.50599460011949</v>
      </c>
      <c r="G40" s="102">
        <v>380.06189735108336</v>
      </c>
      <c r="H40" s="102">
        <v>308.39265252985564</v>
      </c>
      <c r="I40" s="102">
        <v>289.52371900843912</v>
      </c>
      <c r="J40" s="102">
        <v>3056.4490419902331</v>
      </c>
      <c r="K40" s="102">
        <v>5602.8477500100971</v>
      </c>
      <c r="L40" s="102">
        <v>7629.5113546910388</v>
      </c>
      <c r="M40" s="102">
        <v>10370.003999683404</v>
      </c>
      <c r="N40" s="102">
        <v>10717.699181941758</v>
      </c>
      <c r="O40" s="102">
        <v>10322.316056391364</v>
      </c>
      <c r="P40" s="102">
        <v>7287.5180080724813</v>
      </c>
      <c r="Q40" s="102">
        <v>9257.2808858052886</v>
      </c>
      <c r="R40" s="102">
        <v>10236.32842688432</v>
      </c>
      <c r="S40" s="102">
        <v>12847.299197706034</v>
      </c>
      <c r="T40" s="102">
        <v>9939.5634384914301</v>
      </c>
      <c r="U40" s="102">
        <v>8353.9018138759493</v>
      </c>
      <c r="V40" s="102">
        <v>10619.58468092222</v>
      </c>
      <c r="W40" s="102">
        <v>8830.8926904684904</v>
      </c>
      <c r="X40" s="102">
        <v>7621.3419794400779</v>
      </c>
      <c r="Y40" s="102">
        <v>3881.5280445620238</v>
      </c>
      <c r="DA40" s="175" t="s">
        <v>222</v>
      </c>
    </row>
    <row r="41" spans="1:105" ht="11.45" customHeight="1" x14ac:dyDescent="0.25">
      <c r="A41" s="85" t="s">
        <v>182</v>
      </c>
      <c r="B41" s="86">
        <v>1512.0113599265044</v>
      </c>
      <c r="C41" s="86">
        <v>1562.1540785813602</v>
      </c>
      <c r="D41" s="86">
        <v>370.32231904947685</v>
      </c>
      <c r="E41" s="86">
        <v>2874.8696960747884</v>
      </c>
      <c r="F41" s="86">
        <v>1970.4452017944998</v>
      </c>
      <c r="G41" s="86">
        <v>1370.6817803180188</v>
      </c>
      <c r="H41" s="86">
        <v>1942.0577060120111</v>
      </c>
      <c r="I41" s="86">
        <v>1220.0171977732441</v>
      </c>
      <c r="J41" s="86">
        <v>583.87055692615843</v>
      </c>
      <c r="K41" s="86">
        <v>449.0994011142061</v>
      </c>
      <c r="L41" s="86">
        <v>1050.5585126635124</v>
      </c>
      <c r="M41" s="86">
        <v>110.13282707698941</v>
      </c>
      <c r="N41" s="86">
        <v>118.16411204977247</v>
      </c>
      <c r="O41" s="86">
        <v>238.6587643335985</v>
      </c>
      <c r="P41" s="86">
        <v>1661.5451985517159</v>
      </c>
      <c r="Q41" s="86">
        <v>1590.346300265436</v>
      </c>
      <c r="R41" s="86">
        <v>1615.7309696996433</v>
      </c>
      <c r="S41" s="86">
        <v>1099.8889637981795</v>
      </c>
      <c r="T41" s="86">
        <v>1398.26207534389</v>
      </c>
      <c r="U41" s="86">
        <v>452.40913875637074</v>
      </c>
      <c r="V41" s="86">
        <v>252.64117625180421</v>
      </c>
      <c r="W41" s="86">
        <v>53.587012042781261</v>
      </c>
      <c r="X41" s="86">
        <v>60.501674061496317</v>
      </c>
      <c r="Y41" s="86">
        <v>63.067440817812056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2.977039354874031</v>
      </c>
      <c r="C43" s="54">
        <f t="shared" si="30"/>
        <v>3.359337646767794</v>
      </c>
      <c r="D43" s="54">
        <f t="shared" ref="D43:V43" si="31">SUM(D44,D48)</f>
        <v>4.0435724398251685</v>
      </c>
      <c r="E43" s="54">
        <f t="shared" si="31"/>
        <v>5.7912219480821063</v>
      </c>
      <c r="F43" s="54">
        <f t="shared" si="31"/>
        <v>9.0213626730322769</v>
      </c>
      <c r="G43" s="54">
        <f t="shared" si="31"/>
        <v>10.147372607715623</v>
      </c>
      <c r="H43" s="54">
        <f t="shared" si="31"/>
        <v>11.293535014718795</v>
      </c>
      <c r="I43" s="54">
        <f t="shared" si="31"/>
        <v>11.082273857755169</v>
      </c>
      <c r="J43" s="54">
        <f t="shared" si="31"/>
        <v>12.064415575741744</v>
      </c>
      <c r="K43" s="54">
        <f t="shared" si="31"/>
        <v>11.924843490124873</v>
      </c>
      <c r="L43" s="54">
        <f t="shared" si="31"/>
        <v>11.731910590150667</v>
      </c>
      <c r="M43" s="54">
        <f t="shared" si="31"/>
        <v>11.575045767195626</v>
      </c>
      <c r="N43" s="54">
        <f t="shared" si="31"/>
        <v>11.321581323591053</v>
      </c>
      <c r="O43" s="54">
        <f t="shared" si="31"/>
        <v>11.06435899256668</v>
      </c>
      <c r="P43" s="54">
        <f t="shared" si="31"/>
        <v>10.778435322579558</v>
      </c>
      <c r="Q43" s="54">
        <f t="shared" si="31"/>
        <v>10.480731387092154</v>
      </c>
      <c r="R43" s="54">
        <f t="shared" si="31"/>
        <v>10.183027451604753</v>
      </c>
      <c r="S43" s="54">
        <f t="shared" si="31"/>
        <v>10.807999364617105</v>
      </c>
      <c r="T43" s="54">
        <f t="shared" si="31"/>
        <v>11.312562629883063</v>
      </c>
      <c r="U43" s="54">
        <f t="shared" si="31"/>
        <v>11.419226762170757</v>
      </c>
      <c r="V43" s="54">
        <f t="shared" si="31"/>
        <v>11.272724968748122</v>
      </c>
      <c r="W43" s="54">
        <f t="shared" ref="W43:Y43" si="32">SUM(W44,W48)</f>
        <v>11.127236824427047</v>
      </c>
      <c r="X43" s="54">
        <f t="shared" si="32"/>
        <v>10.978384856683347</v>
      </c>
      <c r="Y43" s="54">
        <f t="shared" si="32"/>
        <v>10.829532888939644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2.8670037895870495</v>
      </c>
      <c r="C44" s="11">
        <f t="shared" si="33"/>
        <v>3.2519663798822331</v>
      </c>
      <c r="D44" s="11">
        <f t="shared" ref="D44:V44" si="34">SUM(D45:D47)</f>
        <v>3.9468642073343672</v>
      </c>
      <c r="E44" s="11">
        <f t="shared" si="34"/>
        <v>5.6451462771790251</v>
      </c>
      <c r="F44" s="11">
        <f t="shared" si="34"/>
        <v>8.886290558657894</v>
      </c>
      <c r="G44" s="11">
        <f t="shared" si="34"/>
        <v>10.023304049869937</v>
      </c>
      <c r="H44" s="11">
        <f t="shared" si="34"/>
        <v>11.179142359688587</v>
      </c>
      <c r="I44" s="11">
        <f t="shared" si="34"/>
        <v>10.978502054353298</v>
      </c>
      <c r="J44" s="11">
        <f t="shared" si="34"/>
        <v>11.791706226882471</v>
      </c>
      <c r="K44" s="11">
        <f t="shared" si="34"/>
        <v>11.505005847923767</v>
      </c>
      <c r="L44" s="11">
        <f t="shared" si="34"/>
        <v>11.218305468965063</v>
      </c>
      <c r="M44" s="11">
        <f t="shared" si="34"/>
        <v>10.931605090006355</v>
      </c>
      <c r="N44" s="11">
        <f t="shared" si="34"/>
        <v>10.689144202930482</v>
      </c>
      <c r="O44" s="11">
        <f t="shared" si="34"/>
        <v>10.442925428434807</v>
      </c>
      <c r="P44" s="11">
        <f t="shared" si="34"/>
        <v>10.167639551335087</v>
      </c>
      <c r="Q44" s="11">
        <f t="shared" si="34"/>
        <v>9.8809391723763813</v>
      </c>
      <c r="R44" s="11">
        <f t="shared" si="34"/>
        <v>9.5942387934176772</v>
      </c>
      <c r="S44" s="11">
        <f t="shared" si="34"/>
        <v>10.230214262958729</v>
      </c>
      <c r="T44" s="11">
        <f t="shared" si="34"/>
        <v>10.745548905484021</v>
      </c>
      <c r="U44" s="11">
        <f t="shared" si="34"/>
        <v>10.862681716687566</v>
      </c>
      <c r="V44" s="11">
        <f t="shared" si="34"/>
        <v>10.719331527208213</v>
      </c>
      <c r="W44" s="11">
        <f t="shared" ref="W44:Y44" si="35">SUM(W45:W47)</f>
        <v>10.575981337728861</v>
      </c>
      <c r="X44" s="11">
        <f t="shared" si="35"/>
        <v>10.432631148249509</v>
      </c>
      <c r="Y44" s="11">
        <f t="shared" si="35"/>
        <v>10.289280958770156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1.8981564375621272</v>
      </c>
      <c r="C46" s="84">
        <v>2.1522779063619839</v>
      </c>
      <c r="D46" s="84">
        <v>2.2957738646552395</v>
      </c>
      <c r="E46" s="84">
        <v>3.4317506385497412</v>
      </c>
      <c r="F46" s="84">
        <v>5.5389385337357755</v>
      </c>
      <c r="G46" s="84">
        <v>6.7728367601503114</v>
      </c>
      <c r="H46" s="84">
        <v>8.0255598051714543</v>
      </c>
      <c r="I46" s="84">
        <v>7.9218042350386568</v>
      </c>
      <c r="J46" s="84">
        <v>8.8318931427703227</v>
      </c>
      <c r="K46" s="84">
        <v>8.6420774990141105</v>
      </c>
      <c r="L46" s="84">
        <v>8.4522618552578983</v>
      </c>
      <c r="M46" s="84">
        <v>8.2624462115016843</v>
      </c>
      <c r="N46" s="84">
        <v>8.1168700596283028</v>
      </c>
      <c r="O46" s="84">
        <v>7.9675360203351193</v>
      </c>
      <c r="P46" s="84">
        <v>7.7891348784378929</v>
      </c>
      <c r="Q46" s="84">
        <v>7.5993192346816798</v>
      </c>
      <c r="R46" s="84">
        <v>7.4095035909254667</v>
      </c>
      <c r="S46" s="84">
        <v>7.2196879471692545</v>
      </c>
      <c r="T46" s="84">
        <v>7.0886730710380945</v>
      </c>
      <c r="U46" s="84">
        <v>6.8988574272818814</v>
      </c>
      <c r="V46" s="84">
        <v>6.8039496054037745</v>
      </c>
      <c r="W46" s="84">
        <v>6.7090417835256684</v>
      </c>
      <c r="X46" s="84">
        <v>6.6141339616475623</v>
      </c>
      <c r="Y46" s="84">
        <v>6.5192261397694562</v>
      </c>
      <c r="DA46" s="171" t="s">
        <v>227</v>
      </c>
    </row>
    <row r="47" spans="1:105" ht="11.45" customHeight="1" x14ac:dyDescent="0.25">
      <c r="A47" s="83" t="s">
        <v>182</v>
      </c>
      <c r="B47" s="84">
        <v>0.96884735202492211</v>
      </c>
      <c r="C47" s="84">
        <v>1.0996884735202492</v>
      </c>
      <c r="D47" s="84">
        <v>1.6510903426791277</v>
      </c>
      <c r="E47" s="84">
        <v>2.2133956386292835</v>
      </c>
      <c r="F47" s="84">
        <v>3.3473520249221185</v>
      </c>
      <c r="G47" s="84">
        <v>3.2504672897196261</v>
      </c>
      <c r="H47" s="84">
        <v>3.1535825545171337</v>
      </c>
      <c r="I47" s="84">
        <v>3.0566978193146412</v>
      </c>
      <c r="J47" s="84">
        <v>2.9598130841121488</v>
      </c>
      <c r="K47" s="84">
        <v>2.8629283489096564</v>
      </c>
      <c r="L47" s="84">
        <v>2.766043613707164</v>
      </c>
      <c r="M47" s="84">
        <v>2.6691588785046716</v>
      </c>
      <c r="N47" s="84">
        <v>2.5722741433021792</v>
      </c>
      <c r="O47" s="84">
        <v>2.4753894080996868</v>
      </c>
      <c r="P47" s="84">
        <v>2.3785046728971944</v>
      </c>
      <c r="Q47" s="84">
        <v>2.2816199376947019</v>
      </c>
      <c r="R47" s="84">
        <v>2.1847352024922095</v>
      </c>
      <c r="S47" s="84">
        <v>3.0105263157894737</v>
      </c>
      <c r="T47" s="84">
        <v>3.6568758344459278</v>
      </c>
      <c r="U47" s="84">
        <v>3.9638242894056845</v>
      </c>
      <c r="V47" s="84">
        <v>3.9153819218044386</v>
      </c>
      <c r="W47" s="84">
        <v>3.8669395542031926</v>
      </c>
      <c r="X47" s="84">
        <v>3.8184971866019466</v>
      </c>
      <c r="Y47" s="84">
        <v>3.7700548190007006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0.1100355652869817</v>
      </c>
      <c r="C48" s="13">
        <f t="shared" si="36"/>
        <v>0.10737126688556076</v>
      </c>
      <c r="D48" s="13">
        <f t="shared" ref="D48:V48" si="37">SUM(D49:D51)</f>
        <v>9.670823249080128E-2</v>
      </c>
      <c r="E48" s="13">
        <f t="shared" si="37"/>
        <v>0.14607567090308118</v>
      </c>
      <c r="F48" s="13">
        <f t="shared" si="37"/>
        <v>0.13507211437438302</v>
      </c>
      <c r="G48" s="13">
        <f t="shared" si="37"/>
        <v>0.12406855784568484</v>
      </c>
      <c r="H48" s="13">
        <f t="shared" si="37"/>
        <v>0.11439265503020836</v>
      </c>
      <c r="I48" s="13">
        <f t="shared" si="37"/>
        <v>0.10377180340187141</v>
      </c>
      <c r="J48" s="13">
        <f t="shared" si="37"/>
        <v>0.27270934885927328</v>
      </c>
      <c r="K48" s="13">
        <f t="shared" si="37"/>
        <v>0.41983764220110598</v>
      </c>
      <c r="L48" s="13">
        <f t="shared" si="37"/>
        <v>0.51360512118560331</v>
      </c>
      <c r="M48" s="13">
        <f t="shared" si="37"/>
        <v>0.64344067718926923</v>
      </c>
      <c r="N48" s="13">
        <f t="shared" si="37"/>
        <v>0.63243712066057101</v>
      </c>
      <c r="O48" s="13">
        <f t="shared" si="37"/>
        <v>0.6214335641318729</v>
      </c>
      <c r="P48" s="13">
        <f t="shared" si="37"/>
        <v>0.61079577124447115</v>
      </c>
      <c r="Q48" s="13">
        <f t="shared" si="37"/>
        <v>0.59979221471577293</v>
      </c>
      <c r="R48" s="13">
        <f t="shared" si="37"/>
        <v>0.58878865818707482</v>
      </c>
      <c r="S48" s="13">
        <f t="shared" si="37"/>
        <v>0.5777851016583766</v>
      </c>
      <c r="T48" s="13">
        <f t="shared" si="37"/>
        <v>0.56701372439904107</v>
      </c>
      <c r="U48" s="13">
        <f t="shared" si="37"/>
        <v>0.55654504548318995</v>
      </c>
      <c r="V48" s="13">
        <f t="shared" si="37"/>
        <v>0.5533934415399081</v>
      </c>
      <c r="W48" s="13">
        <f t="shared" ref="W48:Y48" si="38">SUM(W49:W51)</f>
        <v>0.55125548669818658</v>
      </c>
      <c r="X48" s="13">
        <f t="shared" si="38"/>
        <v>0.54575370843383741</v>
      </c>
      <c r="Y48" s="13">
        <f t="shared" si="38"/>
        <v>0.54025193016948836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6.113168670350784E-2</v>
      </c>
      <c r="C50" s="102">
        <v>5.8467388302086885E-2</v>
      </c>
      <c r="D50" s="102">
        <v>5.2694741765674805E-2</v>
      </c>
      <c r="E50" s="102">
        <v>4.6581573095324021E-2</v>
      </c>
      <c r="F50" s="102">
        <v>4.046840442497323E-2</v>
      </c>
      <c r="G50" s="102">
        <v>3.4355235754622446E-2</v>
      </c>
      <c r="H50" s="102">
        <v>2.9569720797493357E-2</v>
      </c>
      <c r="I50" s="102">
        <v>2.3839257027503797E-2</v>
      </c>
      <c r="J50" s="102">
        <v>0.19766719034325306</v>
      </c>
      <c r="K50" s="102">
        <v>0.34968587154343317</v>
      </c>
      <c r="L50" s="102">
        <v>0.44834373838627783</v>
      </c>
      <c r="M50" s="102">
        <v>0.58306968224829114</v>
      </c>
      <c r="N50" s="102">
        <v>0.57695651357794031</v>
      </c>
      <c r="O50" s="102">
        <v>0.57084334490758959</v>
      </c>
      <c r="P50" s="102">
        <v>0.56509593987853524</v>
      </c>
      <c r="Q50" s="102">
        <v>0.5589827712081844</v>
      </c>
      <c r="R50" s="102">
        <v>0.55286960253783368</v>
      </c>
      <c r="S50" s="102">
        <v>0.54675643386748285</v>
      </c>
      <c r="T50" s="102">
        <v>0.54087544446649471</v>
      </c>
      <c r="U50" s="102">
        <v>0.53529715340899098</v>
      </c>
      <c r="V50" s="102">
        <v>0.53459074339488288</v>
      </c>
      <c r="W50" s="102">
        <v>0.534897982482335</v>
      </c>
      <c r="X50" s="102">
        <v>0.53184139814715958</v>
      </c>
      <c r="Y50" s="102">
        <v>0.52878481381198417</v>
      </c>
      <c r="DA50" s="175" t="s">
        <v>231</v>
      </c>
    </row>
    <row r="51" spans="1:105" ht="11.45" customHeight="1" x14ac:dyDescent="0.25">
      <c r="A51" s="85" t="s">
        <v>182</v>
      </c>
      <c r="B51" s="86">
        <v>4.8903878583473864E-2</v>
      </c>
      <c r="C51" s="86">
        <v>4.8903878583473864E-2</v>
      </c>
      <c r="D51" s="86">
        <v>4.4013490725126475E-2</v>
      </c>
      <c r="E51" s="86">
        <v>9.949409780775717E-2</v>
      </c>
      <c r="F51" s="86">
        <v>9.4603709949409781E-2</v>
      </c>
      <c r="G51" s="86">
        <v>8.9713322091062392E-2</v>
      </c>
      <c r="H51" s="86">
        <v>8.4822934232715003E-2</v>
      </c>
      <c r="I51" s="86">
        <v>7.9932546374367613E-2</v>
      </c>
      <c r="J51" s="86">
        <v>7.5042158516020224E-2</v>
      </c>
      <c r="K51" s="86">
        <v>7.0151770657672835E-2</v>
      </c>
      <c r="L51" s="86">
        <v>6.5261382799325446E-2</v>
      </c>
      <c r="M51" s="86">
        <v>6.0370994940978057E-2</v>
      </c>
      <c r="N51" s="86">
        <v>5.5480607082630667E-2</v>
      </c>
      <c r="O51" s="86">
        <v>5.0590219224283278E-2</v>
      </c>
      <c r="P51" s="86">
        <v>4.5699831365935889E-2</v>
      </c>
      <c r="Q51" s="86">
        <v>4.08094435075885E-2</v>
      </c>
      <c r="R51" s="86">
        <v>3.5919055649241111E-2</v>
      </c>
      <c r="S51" s="86">
        <v>3.1028667790893725E-2</v>
      </c>
      <c r="T51" s="86">
        <v>2.6138279932546339E-2</v>
      </c>
      <c r="U51" s="86">
        <v>2.1247892074198953E-2</v>
      </c>
      <c r="V51" s="86">
        <v>1.8802698145025259E-2</v>
      </c>
      <c r="W51" s="86">
        <v>1.6357504215851564E-2</v>
      </c>
      <c r="X51" s="86">
        <v>1.3912310286677871E-2</v>
      </c>
      <c r="Y51" s="86">
        <v>1.1467116357504178E-2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0.80334954054962215</v>
      </c>
      <c r="C53" s="54">
        <f t="shared" si="39"/>
        <v>0.49510510628918364</v>
      </c>
      <c r="D53" s="54">
        <f t="shared" ref="D53:V53" si="40">SUM(D54,D58)</f>
        <v>0.80363904711205159</v>
      </c>
      <c r="E53" s="54">
        <f t="shared" si="40"/>
        <v>1.871237013340536</v>
      </c>
      <c r="F53" s="54">
        <f t="shared" si="40"/>
        <v>3.349771993760787</v>
      </c>
      <c r="G53" s="54">
        <f t="shared" si="40"/>
        <v>1.3057969566509116</v>
      </c>
      <c r="H53" s="54">
        <f t="shared" si="40"/>
        <v>1.3255662808574271</v>
      </c>
      <c r="I53" s="54">
        <f t="shared" si="40"/>
        <v>7.8999268922507082E-2</v>
      </c>
      <c r="J53" s="54">
        <f t="shared" si="40"/>
        <v>1.1576083508694155</v>
      </c>
      <c r="K53" s="54">
        <f t="shared" si="40"/>
        <v>0.15396759414318015</v>
      </c>
      <c r="L53" s="54">
        <f t="shared" si="40"/>
        <v>0.10083379454178337</v>
      </c>
      <c r="M53" s="54">
        <f t="shared" si="40"/>
        <v>0.1369018715609519</v>
      </c>
      <c r="N53" s="54">
        <f t="shared" si="40"/>
        <v>4.4010658930914437E-2</v>
      </c>
      <c r="O53" s="54">
        <f t="shared" si="40"/>
        <v>4.0252771511110189E-2</v>
      </c>
      <c r="P53" s="54">
        <f t="shared" si="40"/>
        <v>1.132441779242706E-2</v>
      </c>
      <c r="Q53" s="54">
        <f t="shared" si="40"/>
        <v>0</v>
      </c>
      <c r="R53" s="54">
        <f t="shared" si="40"/>
        <v>0</v>
      </c>
      <c r="S53" s="54">
        <f t="shared" si="40"/>
        <v>0.86244739574826434</v>
      </c>
      <c r="T53" s="54">
        <f t="shared" si="40"/>
        <v>0.68301096562087815</v>
      </c>
      <c r="U53" s="54">
        <f t="shared" si="40"/>
        <v>0.34391260026766479</v>
      </c>
      <c r="V53" s="54">
        <f t="shared" si="40"/>
        <v>2.2934206320978988E-3</v>
      </c>
      <c r="W53" s="54">
        <f t="shared" ref="W53:Y53" si="41">SUM(W54,W58)</f>
        <v>3.3070697336581986E-3</v>
      </c>
      <c r="X53" s="54">
        <f t="shared" si="41"/>
        <v>0</v>
      </c>
      <c r="Y53" s="54">
        <f t="shared" si="41"/>
        <v>0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0.772531590287444</v>
      </c>
      <c r="C54" s="11">
        <f t="shared" si="42"/>
        <v>0.49336146962518362</v>
      </c>
      <c r="D54" s="11">
        <f t="shared" ref="D54:V54" si="43">SUM(D55:D57)</f>
        <v>0.80352553973405161</v>
      </c>
      <c r="E54" s="11">
        <f t="shared" si="43"/>
        <v>1.8141262769719053</v>
      </c>
      <c r="F54" s="11">
        <f t="shared" si="43"/>
        <v>3.349771993760787</v>
      </c>
      <c r="G54" s="11">
        <f t="shared" si="43"/>
        <v>1.3057969566509116</v>
      </c>
      <c r="H54" s="11">
        <f t="shared" si="43"/>
        <v>1.3244656419001442</v>
      </c>
      <c r="I54" s="11">
        <f t="shared" si="43"/>
        <v>7.8843578778084566E-2</v>
      </c>
      <c r="J54" s="11">
        <f t="shared" si="43"/>
        <v>0.98183150461066615</v>
      </c>
      <c r="K54" s="11">
        <f t="shared" si="43"/>
        <v>0</v>
      </c>
      <c r="L54" s="11">
        <f t="shared" si="43"/>
        <v>0</v>
      </c>
      <c r="M54" s="11">
        <f t="shared" si="43"/>
        <v>0</v>
      </c>
      <c r="N54" s="11">
        <f t="shared" si="43"/>
        <v>4.4010658930914437E-2</v>
      </c>
      <c r="O54" s="11">
        <f t="shared" si="43"/>
        <v>4.0252771511110189E-2</v>
      </c>
      <c r="P54" s="11">
        <f t="shared" si="43"/>
        <v>1.1185668907069304E-2</v>
      </c>
      <c r="Q54" s="11">
        <f t="shared" si="43"/>
        <v>0</v>
      </c>
      <c r="R54" s="11">
        <f t="shared" si="43"/>
        <v>0</v>
      </c>
      <c r="S54" s="11">
        <f t="shared" si="43"/>
        <v>0.86244739574826434</v>
      </c>
      <c r="T54" s="11">
        <f t="shared" si="43"/>
        <v>0.68300580110745424</v>
      </c>
      <c r="U54" s="11">
        <f t="shared" si="43"/>
        <v>0.34360473741075648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0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0.51157624241588329</v>
      </c>
      <c r="C56" s="84">
        <v>0.32586406567885656</v>
      </c>
      <c r="D56" s="84">
        <v>0.21546738812417318</v>
      </c>
      <c r="E56" s="84">
        <v>1.2151646985707494</v>
      </c>
      <c r="F56" s="84">
        <v>2.1791593250169519</v>
      </c>
      <c r="G56" s="84">
        <v>1.3057969566509116</v>
      </c>
      <c r="H56" s="84">
        <v>1.3244656419001442</v>
      </c>
      <c r="I56" s="84">
        <v>7.8843578778084566E-2</v>
      </c>
      <c r="J56" s="84">
        <v>0.98183150461066615</v>
      </c>
      <c r="K56" s="84">
        <v>0</v>
      </c>
      <c r="L56" s="84">
        <v>0</v>
      </c>
      <c r="M56" s="84">
        <v>0</v>
      </c>
      <c r="N56" s="84">
        <v>4.4010658930914437E-2</v>
      </c>
      <c r="O56" s="84">
        <v>4.0252771511110189E-2</v>
      </c>
      <c r="P56" s="84">
        <v>1.1185668907069304E-2</v>
      </c>
      <c r="Q56" s="84">
        <v>0</v>
      </c>
      <c r="R56" s="84">
        <v>0</v>
      </c>
      <c r="S56" s="84">
        <v>0</v>
      </c>
      <c r="T56" s="84">
        <v>0</v>
      </c>
      <c r="U56" s="84">
        <v>0</v>
      </c>
      <c r="V56" s="84">
        <v>0</v>
      </c>
      <c r="W56" s="84">
        <v>0</v>
      </c>
      <c r="X56" s="84">
        <v>0</v>
      </c>
      <c r="Y56" s="84">
        <v>0</v>
      </c>
      <c r="DA56" s="171" t="s">
        <v>236</v>
      </c>
    </row>
    <row r="57" spans="1:105" ht="11.45" customHeight="1" x14ac:dyDescent="0.25">
      <c r="A57" s="83" t="s">
        <v>182</v>
      </c>
      <c r="B57" s="84">
        <v>0.26095534787156072</v>
      </c>
      <c r="C57" s="84">
        <v>0.16749740394632706</v>
      </c>
      <c r="D57" s="84">
        <v>0.5880581516098784</v>
      </c>
      <c r="E57" s="84">
        <v>0.59896157840115594</v>
      </c>
      <c r="F57" s="84">
        <v>1.1706126687438352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0.86244739574826434</v>
      </c>
      <c r="T57" s="84">
        <v>0.68300580110745424</v>
      </c>
      <c r="U57" s="84">
        <v>0.34360473741075648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3.0817950262178109E-2</v>
      </c>
      <c r="C58" s="13">
        <f t="shared" si="45"/>
        <v>1.7436366640000023E-3</v>
      </c>
      <c r="D58" s="13">
        <f t="shared" ref="D58:V58" si="46">SUM(D59:D61)</f>
        <v>1.1350737799999989E-4</v>
      </c>
      <c r="E58" s="13">
        <f t="shared" si="46"/>
        <v>5.7110736368630691E-2</v>
      </c>
      <c r="F58" s="13">
        <f t="shared" si="46"/>
        <v>0</v>
      </c>
      <c r="G58" s="13">
        <f t="shared" si="46"/>
        <v>0</v>
      </c>
      <c r="H58" s="13">
        <f t="shared" si="46"/>
        <v>1.10063895728299E-3</v>
      </c>
      <c r="I58" s="13">
        <f t="shared" si="46"/>
        <v>1.5569014442251778E-4</v>
      </c>
      <c r="J58" s="13">
        <f t="shared" si="46"/>
        <v>0.17577684625874923</v>
      </c>
      <c r="K58" s="13">
        <f t="shared" si="46"/>
        <v>0.15396759414318015</v>
      </c>
      <c r="L58" s="13">
        <f t="shared" si="46"/>
        <v>0.10083379454178337</v>
      </c>
      <c r="M58" s="13">
        <f t="shared" si="46"/>
        <v>0.1369018715609519</v>
      </c>
      <c r="N58" s="13">
        <f t="shared" si="46"/>
        <v>0</v>
      </c>
      <c r="O58" s="13">
        <f t="shared" si="46"/>
        <v>0</v>
      </c>
      <c r="P58" s="13">
        <f t="shared" si="46"/>
        <v>1.3874888535775473E-4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5.1645134239121024E-6</v>
      </c>
      <c r="U58" s="13">
        <f t="shared" si="46"/>
        <v>3.0786285690832414E-4</v>
      </c>
      <c r="V58" s="13">
        <f t="shared" si="46"/>
        <v>2.2934206320978988E-3</v>
      </c>
      <c r="W58" s="13">
        <f t="shared" ref="W58:Y58" si="47">SUM(W59:W61)</f>
        <v>3.3070697336581986E-3</v>
      </c>
      <c r="X58" s="13">
        <f t="shared" si="47"/>
        <v>0</v>
      </c>
      <c r="Y58" s="13">
        <f t="shared" si="47"/>
        <v>0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1.9069777131321443E-2</v>
      </c>
      <c r="C60" s="102">
        <v>1.1350737799999989E-4</v>
      </c>
      <c r="D60" s="102">
        <v>1.1350737799999989E-4</v>
      </c>
      <c r="E60" s="102">
        <v>0</v>
      </c>
      <c r="F60" s="102">
        <v>0</v>
      </c>
      <c r="G60" s="102">
        <v>0</v>
      </c>
      <c r="H60" s="102">
        <v>1.10063895728299E-3</v>
      </c>
      <c r="I60" s="102">
        <v>1.5569014442251778E-4</v>
      </c>
      <c r="J60" s="102">
        <v>0.17577684625874923</v>
      </c>
      <c r="K60" s="102">
        <v>0.15396759414318015</v>
      </c>
      <c r="L60" s="102">
        <v>0.10083379454178337</v>
      </c>
      <c r="M60" s="102">
        <v>0.1369018715609519</v>
      </c>
      <c r="N60" s="102">
        <v>0</v>
      </c>
      <c r="O60" s="102">
        <v>0</v>
      </c>
      <c r="P60" s="102">
        <v>1.3874888535775473E-4</v>
      </c>
      <c r="Q60" s="102">
        <v>0</v>
      </c>
      <c r="R60" s="102">
        <v>0</v>
      </c>
      <c r="S60" s="102">
        <v>0</v>
      </c>
      <c r="T60" s="102">
        <v>5.1645134239121024E-6</v>
      </c>
      <c r="U60" s="102">
        <v>3.0786285690832414E-4</v>
      </c>
      <c r="V60" s="102">
        <v>2.2934206320978988E-3</v>
      </c>
      <c r="W60" s="102">
        <v>3.3070697336581986E-3</v>
      </c>
      <c r="X60" s="102">
        <v>0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1.1748173130856666E-2</v>
      </c>
      <c r="C61" s="86">
        <v>1.6301292860000025E-3</v>
      </c>
      <c r="D61" s="86">
        <v>0</v>
      </c>
      <c r="E61" s="86">
        <v>5.7110736368630691E-2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71.486747653230253</v>
      </c>
      <c r="C66" s="14">
        <f t="shared" si="48"/>
        <v>72.072541382667964</v>
      </c>
      <c r="D66" s="14">
        <f t="shared" ref="D66:V66" si="49">IF(D34=0,0,D34/D24)</f>
        <v>75.55050396740296</v>
      </c>
      <c r="E66" s="14">
        <f t="shared" si="49"/>
        <v>74.212659715082978</v>
      </c>
      <c r="F66" s="14">
        <f t="shared" si="49"/>
        <v>77.488538283062638</v>
      </c>
      <c r="G66" s="14">
        <f t="shared" si="49"/>
        <v>78.681230971776515</v>
      </c>
      <c r="H66" s="14">
        <f t="shared" si="49"/>
        <v>79.868870099923143</v>
      </c>
      <c r="I66" s="14">
        <f t="shared" si="49"/>
        <v>84.979714560615776</v>
      </c>
      <c r="J66" s="14">
        <f t="shared" si="49"/>
        <v>84.653364139186451</v>
      </c>
      <c r="K66" s="14">
        <f t="shared" si="49"/>
        <v>85.488387156472655</v>
      </c>
      <c r="L66" s="14">
        <f t="shared" si="49"/>
        <v>92.711471495373601</v>
      </c>
      <c r="M66" s="14">
        <f t="shared" si="49"/>
        <v>97.735902460265621</v>
      </c>
      <c r="N66" s="14">
        <f t="shared" si="49"/>
        <v>105.5964314900572</v>
      </c>
      <c r="O66" s="14">
        <f t="shared" si="49"/>
        <v>108.36477636895638</v>
      </c>
      <c r="P66" s="14">
        <f t="shared" si="49"/>
        <v>111.06651649662118</v>
      </c>
      <c r="Q66" s="14">
        <f t="shared" si="49"/>
        <v>115.99737689281031</v>
      </c>
      <c r="R66" s="14">
        <f t="shared" si="49"/>
        <v>113.25608863802655</v>
      </c>
      <c r="S66" s="14">
        <f t="shared" si="49"/>
        <v>119.11142913541255</v>
      </c>
      <c r="T66" s="14">
        <f t="shared" si="49"/>
        <v>123.53863776544189</v>
      </c>
      <c r="U66" s="14">
        <f t="shared" si="49"/>
        <v>126.20760570871377</v>
      </c>
      <c r="V66" s="14">
        <f t="shared" si="49"/>
        <v>83.980762852404638</v>
      </c>
      <c r="W66" s="14">
        <f t="shared" ref="W66:Y66" si="50">IF(W34=0,0,W34/W24)</f>
        <v>86.406407201482665</v>
      </c>
      <c r="X66" s="14">
        <f t="shared" si="50"/>
        <v>125.56106331064595</v>
      </c>
      <c r="Y66" s="14">
        <f t="shared" si="50"/>
        <v>136.82321929332585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65.666666666666671</v>
      </c>
      <c r="C68" s="87">
        <f t="shared" si="48"/>
        <v>66.125514403292186</v>
      </c>
      <c r="D68" s="87">
        <f t="shared" ref="D68:V68" si="53">IF(D36=0,0,D36/D26)</f>
        <v>67.971135165140154</v>
      </c>
      <c r="E68" s="87">
        <f t="shared" si="53"/>
        <v>66.974387527839639</v>
      </c>
      <c r="F68" s="87">
        <f t="shared" si="53"/>
        <v>71.368073266867611</v>
      </c>
      <c r="G68" s="87">
        <f t="shared" si="53"/>
        <v>74.435719115232303</v>
      </c>
      <c r="H68" s="87">
        <f t="shared" si="53"/>
        <v>77.564143627781519</v>
      </c>
      <c r="I68" s="87">
        <f t="shared" si="53"/>
        <v>81.278518385971196</v>
      </c>
      <c r="J68" s="87">
        <f t="shared" si="53"/>
        <v>81.642743475493319</v>
      </c>
      <c r="K68" s="87">
        <f t="shared" si="53"/>
        <v>81.602158580893359</v>
      </c>
      <c r="L68" s="87">
        <f t="shared" si="53"/>
        <v>87.526544622425632</v>
      </c>
      <c r="M68" s="87">
        <f t="shared" si="53"/>
        <v>94.6512987012987</v>
      </c>
      <c r="N68" s="87">
        <f t="shared" si="53"/>
        <v>104.80054366292899</v>
      </c>
      <c r="O68" s="87">
        <f t="shared" si="53"/>
        <v>107.88583290088221</v>
      </c>
      <c r="P68" s="87">
        <f t="shared" si="53"/>
        <v>108.1191341444146</v>
      </c>
      <c r="Q68" s="87">
        <f t="shared" si="53"/>
        <v>115.75549450549451</v>
      </c>
      <c r="R68" s="87">
        <f t="shared" si="53"/>
        <v>114.91503105590063</v>
      </c>
      <c r="S68" s="87">
        <f t="shared" si="53"/>
        <v>116.29117797042325</v>
      </c>
      <c r="T68" s="87">
        <f t="shared" si="53"/>
        <v>118.06236933797909</v>
      </c>
      <c r="U68" s="87">
        <f t="shared" si="53"/>
        <v>119.18969925727505</v>
      </c>
      <c r="V68" s="87">
        <f t="shared" si="53"/>
        <v>78.413379737045631</v>
      </c>
      <c r="W68" s="87">
        <f t="shared" ref="W68:Y68" si="54">IF(W36=0,0,W36/W26)</f>
        <v>83.371651090342681</v>
      </c>
      <c r="X68" s="87">
        <f t="shared" si="54"/>
        <v>119.79636188023181</v>
      </c>
      <c r="Y68" s="87">
        <f t="shared" si="54"/>
        <v>131.19226885907977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99.557877813504817</v>
      </c>
      <c r="C69" s="87">
        <f t="shared" si="48"/>
        <v>100.72946175637394</v>
      </c>
      <c r="D69" s="87">
        <f t="shared" ref="D69:V69" si="55">IF(D37=0,0,D37/D27)</f>
        <v>101.31320754716981</v>
      </c>
      <c r="E69" s="87">
        <f t="shared" si="55"/>
        <v>101.65798733286418</v>
      </c>
      <c r="F69" s="87">
        <f t="shared" si="55"/>
        <v>102.05583992554676</v>
      </c>
      <c r="G69" s="87">
        <f t="shared" si="55"/>
        <v>103.1</v>
      </c>
      <c r="H69" s="87">
        <f t="shared" si="55"/>
        <v>103.72862129144852</v>
      </c>
      <c r="I69" s="87">
        <f t="shared" si="55"/>
        <v>116.92432432432433</v>
      </c>
      <c r="J69" s="87">
        <f t="shared" si="55"/>
        <v>106.71603498542274</v>
      </c>
      <c r="K69" s="87">
        <f t="shared" si="55"/>
        <v>110.58661145617667</v>
      </c>
      <c r="L69" s="87">
        <f t="shared" si="55"/>
        <v>127.27765064836004</v>
      </c>
      <c r="M69" s="87">
        <f t="shared" si="55"/>
        <v>113.71938088829071</v>
      </c>
      <c r="N69" s="87">
        <f t="shared" si="55"/>
        <v>108.81387362637362</v>
      </c>
      <c r="O69" s="87">
        <f t="shared" si="55"/>
        <v>110.34813753581662</v>
      </c>
      <c r="P69" s="87">
        <f t="shared" si="55"/>
        <v>126.38177339901478</v>
      </c>
      <c r="Q69" s="87">
        <f t="shared" si="55"/>
        <v>117.13460231135282</v>
      </c>
      <c r="R69" s="87">
        <f t="shared" si="55"/>
        <v>104.45286750164799</v>
      </c>
      <c r="S69" s="87">
        <f t="shared" si="55"/>
        <v>128.78015734265733</v>
      </c>
      <c r="T69" s="87">
        <f t="shared" si="55"/>
        <v>140.75319459656808</v>
      </c>
      <c r="U69" s="87">
        <f t="shared" si="55"/>
        <v>144.99445893089961</v>
      </c>
      <c r="V69" s="87">
        <f t="shared" si="55"/>
        <v>117.54079254079254</v>
      </c>
      <c r="W69" s="87">
        <f t="shared" ref="W69:Y69" si="56">IF(W37=0,0,W37/W27)</f>
        <v>103.58730158730158</v>
      </c>
      <c r="X69" s="87">
        <f t="shared" si="56"/>
        <v>148.29777777777778</v>
      </c>
      <c r="Y69" s="87">
        <f t="shared" si="56"/>
        <v>156.5201816347124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26.921879257483006</v>
      </c>
      <c r="C70" s="15">
        <f t="shared" si="48"/>
        <v>27.922804726567033</v>
      </c>
      <c r="D70" s="15">
        <f t="shared" ref="D70:V70" si="57">IF(D38=0,0,D38/D28)</f>
        <v>20.361492552325451</v>
      </c>
      <c r="E70" s="15">
        <f t="shared" si="57"/>
        <v>34.593562024164541</v>
      </c>
      <c r="F70" s="15">
        <f t="shared" si="57"/>
        <v>32.67026830879265</v>
      </c>
      <c r="G70" s="15">
        <f t="shared" si="57"/>
        <v>31.263279958376824</v>
      </c>
      <c r="H70" s="15">
        <f t="shared" si="57"/>
        <v>34.622313208336408</v>
      </c>
      <c r="I70" s="15">
        <f t="shared" si="57"/>
        <v>31.448769099618403</v>
      </c>
      <c r="J70" s="15">
        <f t="shared" si="57"/>
        <v>15.425083046255896</v>
      </c>
      <c r="K70" s="15">
        <f t="shared" si="57"/>
        <v>14.478342466804552</v>
      </c>
      <c r="L70" s="15">
        <f t="shared" si="57"/>
        <v>15.897563859623721</v>
      </c>
      <c r="M70" s="15">
        <f t="shared" si="57"/>
        <v>15.712349065607787</v>
      </c>
      <c r="N70" s="15">
        <f t="shared" si="57"/>
        <v>16.799788052700045</v>
      </c>
      <c r="O70" s="15">
        <f t="shared" si="57"/>
        <v>17.033830356008004</v>
      </c>
      <c r="P70" s="15">
        <f t="shared" si="57"/>
        <v>21.307293349105233</v>
      </c>
      <c r="Q70" s="15">
        <f t="shared" si="57"/>
        <v>20.662147021087094</v>
      </c>
      <c r="R70" s="15">
        <f t="shared" si="57"/>
        <v>23.10342962297069</v>
      </c>
      <c r="S70" s="15">
        <f t="shared" si="57"/>
        <v>20.571073984519487</v>
      </c>
      <c r="T70" s="15">
        <f t="shared" si="57"/>
        <v>21.152659540737538</v>
      </c>
      <c r="U70" s="15">
        <f t="shared" si="57"/>
        <v>20.479792913098422</v>
      </c>
      <c r="V70" s="15">
        <f t="shared" si="57"/>
        <v>17.911409978869891</v>
      </c>
      <c r="W70" s="15">
        <f t="shared" ref="W70:Y70" si="58">IF(W38=0,0,W38/W28)</f>
        <v>17.840320687773637</v>
      </c>
      <c r="X70" s="15">
        <f t="shared" si="58"/>
        <v>17.990266167450994</v>
      </c>
      <c r="Y70" s="15">
        <f t="shared" si="58"/>
        <v>18.177859379630579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15.202475894043335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13.698894254303417</v>
      </c>
      <c r="L72" s="41">
        <f t="shared" si="61"/>
        <v>14.504774438576119</v>
      </c>
      <c r="M72" s="41">
        <f t="shared" si="61"/>
        <v>15.593990976967525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20.847919403023056</v>
      </c>
      <c r="S72" s="41">
        <f t="shared" si="61"/>
        <v>19.377525185076973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17.7683957554698</v>
      </c>
      <c r="X72" s="41">
        <f t="shared" si="62"/>
        <v>17.89047413014103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1049.8555884965776</v>
      </c>
      <c r="C75" s="62">
        <f t="shared" si="65"/>
        <v>1049.0887852425005</v>
      </c>
      <c r="D75" s="62">
        <f t="shared" ref="D75:V75" si="66">IF(D13=0,0,D13*1000000/D23)</f>
        <v>1144.0884568824558</v>
      </c>
      <c r="E75" s="62">
        <f t="shared" si="66"/>
        <v>1104.4782091284219</v>
      </c>
      <c r="F75" s="62">
        <f t="shared" si="66"/>
        <v>1115.8057834030687</v>
      </c>
      <c r="G75" s="62">
        <f t="shared" si="66"/>
        <v>1059.3698459303539</v>
      </c>
      <c r="H75" s="62">
        <f t="shared" si="66"/>
        <v>1024.9798163036003</v>
      </c>
      <c r="I75" s="62">
        <f t="shared" si="66"/>
        <v>1083.9178424663487</v>
      </c>
      <c r="J75" s="62">
        <f t="shared" si="66"/>
        <v>1140.4620571135251</v>
      </c>
      <c r="K75" s="62">
        <f t="shared" si="66"/>
        <v>1091.2696780166955</v>
      </c>
      <c r="L75" s="62">
        <f t="shared" si="66"/>
        <v>1105.3820502809813</v>
      </c>
      <c r="M75" s="62">
        <f t="shared" si="66"/>
        <v>1174.5904500969416</v>
      </c>
      <c r="N75" s="62">
        <f t="shared" si="66"/>
        <v>1202.7681760675725</v>
      </c>
      <c r="O75" s="62">
        <f t="shared" si="66"/>
        <v>1181.8298912616874</v>
      </c>
      <c r="P75" s="62">
        <f t="shared" si="66"/>
        <v>1179.7951150947754</v>
      </c>
      <c r="Q75" s="62">
        <f t="shared" si="66"/>
        <v>1245.4770850562027</v>
      </c>
      <c r="R75" s="62">
        <f t="shared" si="66"/>
        <v>1209.0369559818482</v>
      </c>
      <c r="S75" s="62">
        <f t="shared" si="66"/>
        <v>1227.6605917105087</v>
      </c>
      <c r="T75" s="62">
        <f t="shared" si="66"/>
        <v>1266.8559155743828</v>
      </c>
      <c r="U75" s="62">
        <f t="shared" si="66"/>
        <v>1297.8208341514041</v>
      </c>
      <c r="V75" s="62">
        <f t="shared" si="66"/>
        <v>1117.7798204219416</v>
      </c>
      <c r="W75" s="62">
        <f t="shared" ref="W75:Y75" si="67">IF(W13=0,0,W13*1000000/W23)</f>
        <v>1268.6418922498178</v>
      </c>
      <c r="X75" s="62">
        <f t="shared" si="67"/>
        <v>1339.5390036177353</v>
      </c>
      <c r="Y75" s="62">
        <f t="shared" si="67"/>
        <v>1381.1551103241097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1041.7360607128462</v>
      </c>
      <c r="C76" s="14">
        <f t="shared" si="65"/>
        <v>1041.7774639625541</v>
      </c>
      <c r="D76" s="14">
        <f t="shared" ref="D76:V76" si="68">IF(D14=0,0,D14*1000000/D24)</f>
        <v>1145.125507162842</v>
      </c>
      <c r="E76" s="14">
        <f t="shared" si="68"/>
        <v>1094.5206257717771</v>
      </c>
      <c r="F76" s="14">
        <f t="shared" si="68"/>
        <v>1111.5796709445733</v>
      </c>
      <c r="G76" s="14">
        <f t="shared" si="68"/>
        <v>1056.2214883806196</v>
      </c>
      <c r="H76" s="14">
        <f t="shared" si="68"/>
        <v>1020.5725147228586</v>
      </c>
      <c r="I76" s="14">
        <f t="shared" si="68"/>
        <v>1080.6344870579217</v>
      </c>
      <c r="J76" s="14">
        <f t="shared" si="68"/>
        <v>1143.6225309233819</v>
      </c>
      <c r="K76" s="14">
        <f t="shared" si="68"/>
        <v>1102.4265725253499</v>
      </c>
      <c r="L76" s="14">
        <f t="shared" si="68"/>
        <v>1120.8534539687807</v>
      </c>
      <c r="M76" s="14">
        <f t="shared" si="68"/>
        <v>1199.7231804977125</v>
      </c>
      <c r="N76" s="14">
        <f t="shared" si="68"/>
        <v>1240.282521557054</v>
      </c>
      <c r="O76" s="14">
        <f t="shared" si="68"/>
        <v>1219.1225746061675</v>
      </c>
      <c r="P76" s="14">
        <f t="shared" si="68"/>
        <v>1203.1447188954294</v>
      </c>
      <c r="Q76" s="14">
        <f t="shared" si="68"/>
        <v>1275.4837264104895</v>
      </c>
      <c r="R76" s="14">
        <f t="shared" si="68"/>
        <v>1235.8269337964257</v>
      </c>
      <c r="S76" s="14">
        <f t="shared" si="68"/>
        <v>1265.810091217</v>
      </c>
      <c r="T76" s="14">
        <f t="shared" si="68"/>
        <v>1295.8171794342404</v>
      </c>
      <c r="U76" s="14">
        <f t="shared" si="68"/>
        <v>1322.8185829899678</v>
      </c>
      <c r="V76" s="14">
        <f t="shared" si="68"/>
        <v>1207.2684288587407</v>
      </c>
      <c r="W76" s="14">
        <f t="shared" ref="W76:Y76" si="69">IF(W14=0,0,W14*1000000/W24)</f>
        <v>1348.7861985925388</v>
      </c>
      <c r="X76" s="14">
        <f t="shared" si="69"/>
        <v>1378.3133161450289</v>
      </c>
      <c r="Y76" s="14">
        <f t="shared" si="69"/>
        <v>1398.4086398528113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754.45031357354731</v>
      </c>
      <c r="C78" s="39">
        <f t="shared" si="65"/>
        <v>754.23475173672887</v>
      </c>
      <c r="D78" s="39">
        <f t="shared" ref="D78:V78" si="72">IF(D16=0,0,D16*1000000/D26)</f>
        <v>767.89344613940091</v>
      </c>
      <c r="E78" s="39">
        <f t="shared" si="72"/>
        <v>743.0056273315389</v>
      </c>
      <c r="F78" s="39">
        <f t="shared" si="72"/>
        <v>783.77895282666157</v>
      </c>
      <c r="G78" s="39">
        <f t="shared" si="72"/>
        <v>823.58722312832936</v>
      </c>
      <c r="H78" s="39">
        <f t="shared" si="72"/>
        <v>893.54750030584671</v>
      </c>
      <c r="I78" s="39">
        <f t="shared" si="72"/>
        <v>903.02033107985903</v>
      </c>
      <c r="J78" s="39">
        <f t="shared" si="72"/>
        <v>977.34794322338678</v>
      </c>
      <c r="K78" s="39">
        <f t="shared" si="72"/>
        <v>946.21568089752225</v>
      </c>
      <c r="L78" s="39">
        <f t="shared" si="72"/>
        <v>954.28052400144327</v>
      </c>
      <c r="M78" s="39">
        <f t="shared" si="72"/>
        <v>1041.7329190600922</v>
      </c>
      <c r="N78" s="39">
        <f t="shared" si="72"/>
        <v>1064.3874262519453</v>
      </c>
      <c r="O78" s="39">
        <f t="shared" si="72"/>
        <v>1072.1570055135235</v>
      </c>
      <c r="P78" s="39">
        <f t="shared" si="72"/>
        <v>1080.8537393966681</v>
      </c>
      <c r="Q78" s="39">
        <f t="shared" si="72"/>
        <v>1117.9121623337439</v>
      </c>
      <c r="R78" s="39">
        <f t="shared" si="72"/>
        <v>1095.7427384794985</v>
      </c>
      <c r="S78" s="39">
        <f t="shared" si="72"/>
        <v>1078.937537461667</v>
      </c>
      <c r="T78" s="39">
        <f t="shared" si="72"/>
        <v>1089.0550684323537</v>
      </c>
      <c r="U78" s="39">
        <f t="shared" si="72"/>
        <v>1124.5949879705788</v>
      </c>
      <c r="V78" s="39">
        <f t="shared" si="72"/>
        <v>1087.33965814715</v>
      </c>
      <c r="W78" s="39">
        <f t="shared" ref="W78:Y78" si="73">IF(W16=0,0,W16*1000000/W26)</f>
        <v>1240.6048150675786</v>
      </c>
      <c r="X78" s="39">
        <f t="shared" si="73"/>
        <v>1166.4842058598977</v>
      </c>
      <c r="Y78" s="39">
        <f t="shared" si="73"/>
        <v>1184.4224337850544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2427.3586353396895</v>
      </c>
      <c r="C79" s="39">
        <f t="shared" si="65"/>
        <v>2427.3586353396895</v>
      </c>
      <c r="D79" s="39">
        <f t="shared" ref="D79:V79" si="74">IF(D17=0,0,D17*1000000/D27)</f>
        <v>2427.3586353396895</v>
      </c>
      <c r="E79" s="39">
        <f t="shared" si="74"/>
        <v>2427.3586353396895</v>
      </c>
      <c r="F79" s="39">
        <f t="shared" si="74"/>
        <v>2427.3586353396895</v>
      </c>
      <c r="G79" s="39">
        <f t="shared" si="74"/>
        <v>2394.2562373567093</v>
      </c>
      <c r="H79" s="39">
        <f t="shared" si="74"/>
        <v>2335.6028559474908</v>
      </c>
      <c r="I79" s="39">
        <f t="shared" si="74"/>
        <v>2613.6023800052608</v>
      </c>
      <c r="J79" s="39">
        <f t="shared" si="74"/>
        <v>2362.1292470828789</v>
      </c>
      <c r="K79" s="39">
        <f t="shared" si="74"/>
        <v>2111.2751052052754</v>
      </c>
      <c r="L79" s="39">
        <f t="shared" si="74"/>
        <v>2231.3396537510307</v>
      </c>
      <c r="M79" s="39">
        <f t="shared" si="74"/>
        <v>2018.3806590102806</v>
      </c>
      <c r="N79" s="39">
        <f t="shared" si="74"/>
        <v>1951.3529411764705</v>
      </c>
      <c r="O79" s="39">
        <f t="shared" si="74"/>
        <v>1827.7242615148896</v>
      </c>
      <c r="P79" s="39">
        <f t="shared" si="74"/>
        <v>1838.5959580150193</v>
      </c>
      <c r="Q79" s="39">
        <f t="shared" si="74"/>
        <v>2016.3164505129855</v>
      </c>
      <c r="R79" s="39">
        <f t="shared" si="74"/>
        <v>1979.1873637906667</v>
      </c>
      <c r="S79" s="39">
        <f t="shared" si="74"/>
        <v>1906.4693183397412</v>
      </c>
      <c r="T79" s="39">
        <f t="shared" si="74"/>
        <v>1945.770365168539</v>
      </c>
      <c r="U79" s="39">
        <f t="shared" si="74"/>
        <v>1853.4608208955221</v>
      </c>
      <c r="V79" s="39">
        <f t="shared" si="74"/>
        <v>1930.1957040572793</v>
      </c>
      <c r="W79" s="39">
        <f t="shared" ref="W79:Y79" si="75">IF(W17=0,0,W17*1000000/W27)</f>
        <v>1961.2416502946955</v>
      </c>
      <c r="X79" s="39">
        <f t="shared" si="75"/>
        <v>2213.794226044226</v>
      </c>
      <c r="Y79" s="39">
        <f t="shared" si="75"/>
        <v>2146.9285019455251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1353.0404300705566</v>
      </c>
      <c r="C80" s="15">
        <f t="shared" si="65"/>
        <v>1368.6090811788897</v>
      </c>
      <c r="D80" s="15">
        <f t="shared" ref="D80:V80" si="76">IF(D18=0,0,D18*1000000/D28)</f>
        <v>1068.52962160994</v>
      </c>
      <c r="E80" s="15">
        <f t="shared" si="76"/>
        <v>1738.1341444124755</v>
      </c>
      <c r="F80" s="15">
        <f t="shared" si="76"/>
        <v>1692.2154256852048</v>
      </c>
      <c r="G80" s="15">
        <f t="shared" si="76"/>
        <v>1742.6196548932076</v>
      </c>
      <c r="H80" s="15">
        <f t="shared" si="76"/>
        <v>1907.1181788489639</v>
      </c>
      <c r="I80" s="15">
        <f t="shared" si="76"/>
        <v>1937.0430227560018</v>
      </c>
      <c r="J80" s="15">
        <f t="shared" si="76"/>
        <v>949.18643242630753</v>
      </c>
      <c r="K80" s="15">
        <f t="shared" si="76"/>
        <v>802.81858003815876</v>
      </c>
      <c r="L80" s="15">
        <f t="shared" si="76"/>
        <v>820.57787726619222</v>
      </c>
      <c r="M80" s="15">
        <f t="shared" si="76"/>
        <v>828.45962331810949</v>
      </c>
      <c r="N80" s="15">
        <f t="shared" si="76"/>
        <v>775.74441702296099</v>
      </c>
      <c r="O80" s="15">
        <f t="shared" si="76"/>
        <v>750.13700680469685</v>
      </c>
      <c r="P80" s="15">
        <f t="shared" si="76"/>
        <v>760.22497251492643</v>
      </c>
      <c r="Q80" s="15">
        <f t="shared" si="76"/>
        <v>766.1138449830554</v>
      </c>
      <c r="R80" s="15">
        <f t="shared" si="76"/>
        <v>709.42736972052023</v>
      </c>
      <c r="S80" s="15">
        <f t="shared" si="76"/>
        <v>657.55627165185138</v>
      </c>
      <c r="T80" s="15">
        <f t="shared" si="76"/>
        <v>653.6443791088534</v>
      </c>
      <c r="U80" s="15">
        <f t="shared" si="76"/>
        <v>642.00780008666754</v>
      </c>
      <c r="V80" s="15">
        <f t="shared" si="76"/>
        <v>673.28533205794031</v>
      </c>
      <c r="W80" s="15">
        <f t="shared" ref="W80:Y80" si="77">IF(W18=0,0,W18*1000000/W28)</f>
        <v>660.80043631315402</v>
      </c>
      <c r="X80" s="15">
        <f t="shared" si="77"/>
        <v>632.42993652163182</v>
      </c>
      <c r="Y80" s="15">
        <f t="shared" si="77"/>
        <v>672.32923129933283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896.04449565807818</v>
      </c>
      <c r="C82" s="41">
        <f t="shared" si="65"/>
        <v>897.46704028801537</v>
      </c>
      <c r="D82" s="41">
        <f t="shared" ref="D82:V82" si="80">IF(D20=0,0,D20*1000000/D30)</f>
        <v>901.99256238559337</v>
      </c>
      <c r="E82" s="41">
        <f t="shared" si="80"/>
        <v>894.3321734183387</v>
      </c>
      <c r="F82" s="41">
        <f t="shared" si="80"/>
        <v>901.99256238559337</v>
      </c>
      <c r="G82" s="41">
        <f t="shared" si="80"/>
        <v>937.98979166666652</v>
      </c>
      <c r="H82" s="41">
        <f t="shared" si="80"/>
        <v>988.68129656442045</v>
      </c>
      <c r="I82" s="41">
        <f t="shared" si="80"/>
        <v>957.16491894717183</v>
      </c>
      <c r="J82" s="41">
        <f t="shared" si="80"/>
        <v>859.25525012499747</v>
      </c>
      <c r="K82" s="41">
        <f t="shared" si="80"/>
        <v>770.19997971392843</v>
      </c>
      <c r="L82" s="41">
        <f t="shared" si="80"/>
        <v>758.64653826402252</v>
      </c>
      <c r="M82" s="41">
        <f t="shared" si="80"/>
        <v>824.51327509332725</v>
      </c>
      <c r="N82" s="41">
        <f t="shared" si="80"/>
        <v>772.00551940872447</v>
      </c>
      <c r="O82" s="41">
        <f t="shared" si="80"/>
        <v>744.03134815142994</v>
      </c>
      <c r="P82" s="41">
        <f t="shared" si="80"/>
        <v>711.02925843502953</v>
      </c>
      <c r="Q82" s="41">
        <f t="shared" si="80"/>
        <v>728.49176011783015</v>
      </c>
      <c r="R82" s="41">
        <f t="shared" si="80"/>
        <v>680.69942340327862</v>
      </c>
      <c r="S82" s="41">
        <f t="shared" si="80"/>
        <v>647.22718339713902</v>
      </c>
      <c r="T82" s="41">
        <f t="shared" si="80"/>
        <v>641.29637248082713</v>
      </c>
      <c r="U82" s="41">
        <f t="shared" si="80"/>
        <v>638.71733733431188</v>
      </c>
      <c r="V82" s="41">
        <f t="shared" si="80"/>
        <v>663.70467934772921</v>
      </c>
      <c r="W82" s="41">
        <f t="shared" ref="W82:Y82" si="81">IF(W20=0,0,W20*1000000/W30)</f>
        <v>659.69466179794824</v>
      </c>
      <c r="X82" s="41">
        <f t="shared" si="81"/>
        <v>630.05154435384225</v>
      </c>
      <c r="Y82" s="41">
        <f t="shared" si="81"/>
        <v>670.21940074248278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2424.6171038653329</v>
      </c>
      <c r="C83" s="40">
        <f t="shared" si="65"/>
        <v>2424.6171038653329</v>
      </c>
      <c r="D83" s="40">
        <f t="shared" ref="D83:V83" si="82">IF(D21=0,0,D21*1000000/D31)</f>
        <v>2424.6171038653329</v>
      </c>
      <c r="E83" s="40">
        <f t="shared" si="82"/>
        <v>2424.6171038653329</v>
      </c>
      <c r="F83" s="40">
        <f t="shared" si="82"/>
        <v>2424.6171038653329</v>
      </c>
      <c r="G83" s="40">
        <f t="shared" si="82"/>
        <v>2391.5147058823532</v>
      </c>
      <c r="H83" s="40">
        <f t="shared" si="82"/>
        <v>2377.0161186224509</v>
      </c>
      <c r="I83" s="40">
        <f t="shared" si="82"/>
        <v>2699.1704368295364</v>
      </c>
      <c r="J83" s="40">
        <f t="shared" si="82"/>
        <v>2491.8520980564713</v>
      </c>
      <c r="K83" s="40">
        <f t="shared" si="82"/>
        <v>2285.1527503281841</v>
      </c>
      <c r="L83" s="40">
        <f t="shared" si="82"/>
        <v>2449.3720930232557</v>
      </c>
      <c r="M83" s="40">
        <f t="shared" si="82"/>
        <v>2140.6204080581579</v>
      </c>
      <c r="N83" s="40">
        <f t="shared" si="82"/>
        <v>1977.8</v>
      </c>
      <c r="O83" s="40">
        <f t="shared" si="82"/>
        <v>1690.4084394077918</v>
      </c>
      <c r="P83" s="40">
        <f t="shared" si="82"/>
        <v>1537.517254977294</v>
      </c>
      <c r="Q83" s="40">
        <f t="shared" si="82"/>
        <v>1551.4748665446332</v>
      </c>
      <c r="R83" s="40">
        <f t="shared" si="82"/>
        <v>1350.5828988916867</v>
      </c>
      <c r="S83" s="40">
        <f t="shared" si="82"/>
        <v>1114.1019725101339</v>
      </c>
      <c r="T83" s="40">
        <f t="shared" si="82"/>
        <v>989.64013840830455</v>
      </c>
      <c r="U83" s="40">
        <f t="shared" si="82"/>
        <v>874.53383458646613</v>
      </c>
      <c r="V83" s="40">
        <f t="shared" si="82"/>
        <v>1826.795918367347</v>
      </c>
      <c r="W83" s="40">
        <f t="shared" ref="W83:Y83" si="83">IF(W21=0,0,W21*1000000/W31)</f>
        <v>1210.3703703703704</v>
      </c>
      <c r="X83" s="40">
        <f t="shared" si="83"/>
        <v>1645.625</v>
      </c>
      <c r="Y83" s="40">
        <f t="shared" si="83"/>
        <v>1128.0526315789473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113975.7848806516</v>
      </c>
      <c r="C86" s="11">
        <f t="shared" si="84"/>
        <v>115430.11263910173</v>
      </c>
      <c r="D86" s="11">
        <f t="shared" ref="D86:V86" si="85">IF(D4=0,0,D4*1000000/D24)</f>
        <v>126739.79209406706</v>
      </c>
      <c r="E86" s="11">
        <f t="shared" si="85"/>
        <v>121095.82048727079</v>
      </c>
      <c r="F86" s="11">
        <f t="shared" si="85"/>
        <v>122656.12700974387</v>
      </c>
      <c r="G86" s="11">
        <f t="shared" si="85"/>
        <v>117648.26614595232</v>
      </c>
      <c r="H86" s="11">
        <f t="shared" si="85"/>
        <v>112431.80161609993</v>
      </c>
      <c r="I86" s="11">
        <f t="shared" si="85"/>
        <v>122085.73222584934</v>
      </c>
      <c r="J86" s="11">
        <f t="shared" si="85"/>
        <v>122088.21509114886</v>
      </c>
      <c r="K86" s="11">
        <f t="shared" si="85"/>
        <v>119831.00842785758</v>
      </c>
      <c r="L86" s="11">
        <f t="shared" si="85"/>
        <v>133618.6677083621</v>
      </c>
      <c r="M86" s="11">
        <f t="shared" si="85"/>
        <v>146704.50068385556</v>
      </c>
      <c r="N86" s="11">
        <f t="shared" si="85"/>
        <v>156660.73694047396</v>
      </c>
      <c r="O86" s="11">
        <f t="shared" si="85"/>
        <v>150172.70491510897</v>
      </c>
      <c r="P86" s="11">
        <f t="shared" si="85"/>
        <v>156215.42613811855</v>
      </c>
      <c r="Q86" s="11">
        <f t="shared" si="85"/>
        <v>161196.2393856234</v>
      </c>
      <c r="R86" s="11">
        <f t="shared" si="85"/>
        <v>154986.18591296839</v>
      </c>
      <c r="S86" s="11">
        <f t="shared" si="85"/>
        <v>168325.97451796205</v>
      </c>
      <c r="T86" s="11">
        <f t="shared" si="85"/>
        <v>175350.58162616796</v>
      </c>
      <c r="U86" s="11">
        <f t="shared" si="85"/>
        <v>179473.77509930779</v>
      </c>
      <c r="V86" s="11">
        <f t="shared" si="85"/>
        <v>115945.40077929012</v>
      </c>
      <c r="W86" s="11">
        <f t="shared" ref="W86:Y86" si="86">IF(W4=0,0,W4*1000000/W24)</f>
        <v>119982.94960976197</v>
      </c>
      <c r="X86" s="11">
        <f t="shared" si="86"/>
        <v>182565.10456439553</v>
      </c>
      <c r="Y86" s="11">
        <f t="shared" si="86"/>
        <v>203908.84634904171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84837.136044413244</v>
      </c>
      <c r="C88" s="36">
        <f t="shared" si="84"/>
        <v>85944.778334649018</v>
      </c>
      <c r="D88" s="36">
        <f t="shared" ref="D88:V88" si="89">IF(D6=0,0,D6*1000000/D26)</f>
        <v>87827.9561952699</v>
      </c>
      <c r="E88" s="36">
        <f t="shared" si="89"/>
        <v>84492.432167380146</v>
      </c>
      <c r="F88" s="36">
        <f t="shared" si="89"/>
        <v>88214.899478358639</v>
      </c>
      <c r="G88" s="36">
        <f t="shared" si="89"/>
        <v>92902.647572098198</v>
      </c>
      <c r="H88" s="36">
        <f t="shared" si="89"/>
        <v>98645.556745411086</v>
      </c>
      <c r="I88" s="36">
        <f t="shared" si="89"/>
        <v>98940.784612408534</v>
      </c>
      <c r="J88" s="36">
        <f t="shared" si="89"/>
        <v>102520.73429687669</v>
      </c>
      <c r="K88" s="36">
        <f t="shared" si="89"/>
        <v>100310.89828974426</v>
      </c>
      <c r="L88" s="36">
        <f t="shared" si="89"/>
        <v>108795.77076318742</v>
      </c>
      <c r="M88" s="36">
        <f t="shared" si="89"/>
        <v>127607.9034194136</v>
      </c>
      <c r="N88" s="36">
        <f t="shared" si="89"/>
        <v>136911.20825105632</v>
      </c>
      <c r="O88" s="36">
        <f t="shared" si="89"/>
        <v>136893.17521607541</v>
      </c>
      <c r="P88" s="36">
        <f t="shared" si="89"/>
        <v>139360.50300057483</v>
      </c>
      <c r="Q88" s="36">
        <f t="shared" si="89"/>
        <v>143847.54445244116</v>
      </c>
      <c r="R88" s="36">
        <f t="shared" si="89"/>
        <v>141126.63445896909</v>
      </c>
      <c r="S88" s="36">
        <f t="shared" si="89"/>
        <v>141987.3175989895</v>
      </c>
      <c r="T88" s="36">
        <f t="shared" si="89"/>
        <v>144205.93629909671</v>
      </c>
      <c r="U88" s="36">
        <f t="shared" si="89"/>
        <v>148505.94456123107</v>
      </c>
      <c r="V88" s="36">
        <f t="shared" si="89"/>
        <v>99238.51008830803</v>
      </c>
      <c r="W88" s="36">
        <f t="shared" ref="W88:Y88" si="90">IF(W6=0,0,W6*1000000/W26)</f>
        <v>105513.05333646777</v>
      </c>
      <c r="X88" s="36">
        <f t="shared" si="90"/>
        <v>146858.69409175386</v>
      </c>
      <c r="Y88" s="36">
        <f t="shared" si="90"/>
        <v>168412.06358652556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254515.89180784623</v>
      </c>
      <c r="C89" s="36">
        <f t="shared" si="84"/>
        <v>257511.00117132283</v>
      </c>
      <c r="D89" s="36">
        <f t="shared" ref="D89:V89" si="91">IF(D7=0,0,D7*1000000/D27)</f>
        <v>259003.32487082758</v>
      </c>
      <c r="E89" s="36">
        <f t="shared" si="91"/>
        <v>259884.7411541045</v>
      </c>
      <c r="F89" s="36">
        <f t="shared" si="91"/>
        <v>260901.83603055769</v>
      </c>
      <c r="G89" s="36">
        <f t="shared" si="91"/>
        <v>259976.81564323654</v>
      </c>
      <c r="H89" s="36">
        <f t="shared" si="91"/>
        <v>255154.32268577899</v>
      </c>
      <c r="I89" s="36">
        <f t="shared" si="91"/>
        <v>321847.18355822598</v>
      </c>
      <c r="J89" s="36">
        <f t="shared" si="91"/>
        <v>265484.19096427574</v>
      </c>
      <c r="K89" s="36">
        <f t="shared" si="91"/>
        <v>245896.70247372659</v>
      </c>
      <c r="L89" s="36">
        <f t="shared" si="91"/>
        <v>299104.64734286</v>
      </c>
      <c r="M89" s="36">
        <f t="shared" si="91"/>
        <v>245657.25905276745</v>
      </c>
      <c r="N89" s="36">
        <f t="shared" si="91"/>
        <v>236499.8343758533</v>
      </c>
      <c r="O89" s="36">
        <f t="shared" si="91"/>
        <v>205164.79745816981</v>
      </c>
      <c r="P89" s="36">
        <f t="shared" si="91"/>
        <v>243797.3707501991</v>
      </c>
      <c r="Q89" s="36">
        <f t="shared" si="91"/>
        <v>242762.23133524161</v>
      </c>
      <c r="R89" s="36">
        <f t="shared" si="91"/>
        <v>228532.25658185064</v>
      </c>
      <c r="S89" s="36">
        <f t="shared" si="91"/>
        <v>258623.36301115301</v>
      </c>
      <c r="T89" s="36">
        <f t="shared" si="91"/>
        <v>273253.24546920677</v>
      </c>
      <c r="U89" s="36">
        <f t="shared" si="91"/>
        <v>262374.29407232738</v>
      </c>
      <c r="V89" s="36">
        <f t="shared" si="91"/>
        <v>216654.07053891651</v>
      </c>
      <c r="W89" s="36">
        <f t="shared" ref="W89:Y89" si="92">IF(W7=0,0,W7*1000000/W27)</f>
        <v>201902.46819402018</v>
      </c>
      <c r="X89" s="36">
        <f t="shared" si="92"/>
        <v>323395.72161585611</v>
      </c>
      <c r="Y89" s="36">
        <f t="shared" si="92"/>
        <v>328075.94770753034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70563.265406206512</v>
      </c>
      <c r="C90" s="13">
        <f t="shared" si="84"/>
        <v>75134.436055598053</v>
      </c>
      <c r="D90" s="13">
        <f t="shared" ref="D90:V90" si="93">IF(D8=0,0,D8*1000000/D28)</f>
        <v>43814.060927379272</v>
      </c>
      <c r="E90" s="13">
        <f t="shared" si="93"/>
        <v>95766.073155937076</v>
      </c>
      <c r="F90" s="13">
        <f t="shared" si="93"/>
        <v>88249.668193284786</v>
      </c>
      <c r="G90" s="13">
        <f t="shared" si="93"/>
        <v>86495.334766473228</v>
      </c>
      <c r="H90" s="13">
        <f t="shared" si="93"/>
        <v>93313.420042162397</v>
      </c>
      <c r="I90" s="13">
        <f t="shared" si="93"/>
        <v>90500.570919782738</v>
      </c>
      <c r="J90" s="13">
        <f t="shared" si="93"/>
        <v>26361.936208707564</v>
      </c>
      <c r="K90" s="13">
        <f t="shared" si="93"/>
        <v>21205.66594014128</v>
      </c>
      <c r="L90" s="13">
        <f t="shared" si="93"/>
        <v>23105.973534105422</v>
      </c>
      <c r="M90" s="13">
        <f t="shared" si="93"/>
        <v>21592.782389556756</v>
      </c>
      <c r="N90" s="13">
        <f t="shared" si="93"/>
        <v>21224.599524651214</v>
      </c>
      <c r="O90" s="13">
        <f t="shared" si="93"/>
        <v>19700.492383670477</v>
      </c>
      <c r="P90" s="13">
        <f t="shared" si="93"/>
        <v>27627.680719995627</v>
      </c>
      <c r="Q90" s="13">
        <f t="shared" si="93"/>
        <v>25426.706299338635</v>
      </c>
      <c r="R90" s="13">
        <f t="shared" si="93"/>
        <v>25083.300092983787</v>
      </c>
      <c r="S90" s="13">
        <f t="shared" si="93"/>
        <v>20087.268856086004</v>
      </c>
      <c r="T90" s="13">
        <f t="shared" si="93"/>
        <v>20606.531795297367</v>
      </c>
      <c r="U90" s="13">
        <f t="shared" si="93"/>
        <v>19824.510636283285</v>
      </c>
      <c r="V90" s="13">
        <f t="shared" si="93"/>
        <v>17545.362906813953</v>
      </c>
      <c r="W90" s="13">
        <f t="shared" ref="W90:Y90" si="94">IF(W8=0,0,W8*1000000/W28)</f>
        <v>14481.567734652135</v>
      </c>
      <c r="X90" s="13">
        <f t="shared" si="94"/>
        <v>14706.635865242077</v>
      </c>
      <c r="Y90" s="13">
        <f t="shared" si="94"/>
        <v>16580.025635049344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29762.618910179976</v>
      </c>
      <c r="C92" s="34">
        <f t="shared" si="84"/>
        <v>30936.059341106149</v>
      </c>
      <c r="D92" s="34">
        <f t="shared" ref="D92:V92" si="97">IF(D10=0,0,D10*1000000/D30)</f>
        <v>28995.962672194491</v>
      </c>
      <c r="E92" s="34">
        <f t="shared" si="97"/>
        <v>29783.158927668552</v>
      </c>
      <c r="F92" s="34">
        <f t="shared" si="97"/>
        <v>26965.090746740858</v>
      </c>
      <c r="G92" s="34">
        <f t="shared" si="97"/>
        <v>26912.306767089511</v>
      </c>
      <c r="H92" s="34">
        <f t="shared" si="97"/>
        <v>23018.208181356724</v>
      </c>
      <c r="I92" s="34">
        <f t="shared" si="97"/>
        <v>21265.000279086617</v>
      </c>
      <c r="J92" s="34">
        <f t="shared" si="97"/>
        <v>20286.550537300594</v>
      </c>
      <c r="K92" s="34">
        <f t="shared" si="97"/>
        <v>18700.523079246588</v>
      </c>
      <c r="L92" s="34">
        <f t="shared" si="97"/>
        <v>18389.219603386573</v>
      </c>
      <c r="M92" s="34">
        <f t="shared" si="97"/>
        <v>21247.828132868566</v>
      </c>
      <c r="N92" s="34">
        <f t="shared" si="97"/>
        <v>20846.160176954898</v>
      </c>
      <c r="O92" s="34">
        <f t="shared" si="97"/>
        <v>19097.458398648978</v>
      </c>
      <c r="P92" s="34">
        <f t="shared" si="97"/>
        <v>21698.193672694953</v>
      </c>
      <c r="Q92" s="34">
        <f t="shared" si="97"/>
        <v>20912.103420512081</v>
      </c>
      <c r="R92" s="34">
        <f t="shared" si="97"/>
        <v>20743.5481442852</v>
      </c>
      <c r="S92" s="34">
        <f t="shared" si="97"/>
        <v>18384.342134656392</v>
      </c>
      <c r="T92" s="34">
        <f t="shared" si="97"/>
        <v>18362.011021210899</v>
      </c>
      <c r="U92" s="34">
        <f t="shared" si="97"/>
        <v>19062.786667447617</v>
      </c>
      <c r="V92" s="34">
        <f t="shared" si="97"/>
        <v>16872.484648738424</v>
      </c>
      <c r="W92" s="34">
        <f t="shared" ref="W92:Y92" si="98">IF(W10=0,0,W10*1000000/W30)</f>
        <v>14368.971953429585</v>
      </c>
      <c r="X92" s="34">
        <f t="shared" si="98"/>
        <v>14492.478703563347</v>
      </c>
      <c r="Y92" s="34">
        <f t="shared" si="98"/>
        <v>16311.163859522539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166233.74684516527</v>
      </c>
      <c r="C93" s="35">
        <f t="shared" si="84"/>
        <v>174199.76317428681</v>
      </c>
      <c r="D93" s="35">
        <f t="shared" ref="D93:V93" si="99">IF(D11=0,0,D11*1000000/D31)</f>
        <v>164475.7181481696</v>
      </c>
      <c r="E93" s="35">
        <f t="shared" si="99"/>
        <v>149447.08812130807</v>
      </c>
      <c r="F93" s="35">
        <f t="shared" si="99"/>
        <v>145050.00826569134</v>
      </c>
      <c r="G93" s="35">
        <f t="shared" si="99"/>
        <v>134546.16379823428</v>
      </c>
      <c r="H93" s="35">
        <f t="shared" si="99"/>
        <v>129278.41215699322</v>
      </c>
      <c r="I93" s="35">
        <f t="shared" si="99"/>
        <v>144350.4591958797</v>
      </c>
      <c r="J93" s="35">
        <f t="shared" si="99"/>
        <v>130578.16734130408</v>
      </c>
      <c r="K93" s="35">
        <f t="shared" si="99"/>
        <v>135050.49150746668</v>
      </c>
      <c r="L93" s="35">
        <f t="shared" si="99"/>
        <v>147156.6019120111</v>
      </c>
      <c r="M93" s="35">
        <f t="shared" si="99"/>
        <v>136290.07273838</v>
      </c>
      <c r="N93" s="35">
        <f t="shared" si="99"/>
        <v>142892.84980901648</v>
      </c>
      <c r="O93" s="35">
        <f t="shared" si="99"/>
        <v>112567.72607698097</v>
      </c>
      <c r="P93" s="35">
        <f t="shared" si="99"/>
        <v>121313.57606734634</v>
      </c>
      <c r="Q93" s="35">
        <f t="shared" si="99"/>
        <v>119669.0413948429</v>
      </c>
      <c r="R93" s="35">
        <f t="shared" si="99"/>
        <v>121938.67312984764</v>
      </c>
      <c r="S93" s="35">
        <f t="shared" si="99"/>
        <v>95356.629943274733</v>
      </c>
      <c r="T93" s="35">
        <f t="shared" si="99"/>
        <v>81681.123384913342</v>
      </c>
      <c r="U93" s="35">
        <f t="shared" si="99"/>
        <v>73653.004434003844</v>
      </c>
      <c r="V93" s="35">
        <f t="shared" si="99"/>
        <v>98559.905179107562</v>
      </c>
      <c r="W93" s="35">
        <f t="shared" ref="W93:Y93" si="100">IF(W11=0,0,W11*1000000/W31)</f>
        <v>70441.671002258983</v>
      </c>
      <c r="X93" s="35">
        <f t="shared" si="100"/>
        <v>105937.58674038155</v>
      </c>
      <c r="Y93" s="35">
        <f t="shared" si="100"/>
        <v>74654.169148838962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1249.2276912333139</v>
      </c>
      <c r="C95" s="62">
        <f t="shared" si="101"/>
        <v>1250.841815214073</v>
      </c>
      <c r="D95" s="62">
        <f t="shared" ref="D95:V95" si="102">IF(D23=0,0,D23/D43)</f>
        <v>1169.0157825401493</v>
      </c>
      <c r="E95" s="62">
        <f t="shared" si="102"/>
        <v>1194.2211958031394</v>
      </c>
      <c r="F95" s="62">
        <f t="shared" si="102"/>
        <v>1203.1441804735396</v>
      </c>
      <c r="G95" s="62">
        <f t="shared" si="102"/>
        <v>1203.1685907263134</v>
      </c>
      <c r="H95" s="62">
        <f t="shared" si="102"/>
        <v>1157.7420163801178</v>
      </c>
      <c r="I95" s="62">
        <f t="shared" si="102"/>
        <v>1129.7320532499507</v>
      </c>
      <c r="J95" s="62">
        <f t="shared" si="102"/>
        <v>1203.4565544305151</v>
      </c>
      <c r="K95" s="62">
        <f t="shared" si="102"/>
        <v>941.31214462442017</v>
      </c>
      <c r="L95" s="62">
        <f t="shared" si="102"/>
        <v>903.26293561225543</v>
      </c>
      <c r="M95" s="62">
        <f t="shared" si="102"/>
        <v>851.22773578347255</v>
      </c>
      <c r="N95" s="62">
        <f t="shared" si="102"/>
        <v>705.46682232077376</v>
      </c>
      <c r="O95" s="62">
        <f t="shared" si="102"/>
        <v>704.6951391615388</v>
      </c>
      <c r="P95" s="62">
        <f t="shared" si="102"/>
        <v>739.16108985782648</v>
      </c>
      <c r="Q95" s="62">
        <f t="shared" si="102"/>
        <v>850.32233637585921</v>
      </c>
      <c r="R95" s="62">
        <f t="shared" si="102"/>
        <v>989.88243407037885</v>
      </c>
      <c r="S95" s="62">
        <f t="shared" si="102"/>
        <v>1000.1851069115941</v>
      </c>
      <c r="T95" s="62">
        <f t="shared" si="102"/>
        <v>1050.6019183137867</v>
      </c>
      <c r="U95" s="62">
        <f t="shared" si="102"/>
        <v>1025.551050338699</v>
      </c>
      <c r="V95" s="62">
        <f t="shared" si="102"/>
        <v>321.30651728321521</v>
      </c>
      <c r="W95" s="62">
        <f t="shared" ref="W95:Y95" si="103">IF(W23=0,0,W23/W43)</f>
        <v>384.19241609159548</v>
      </c>
      <c r="X95" s="62">
        <f t="shared" si="103"/>
        <v>748.19749054429781</v>
      </c>
      <c r="Y95" s="62">
        <f t="shared" si="103"/>
        <v>843.249666781717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1263.3398020452903</v>
      </c>
      <c r="C96" s="11">
        <f t="shared" si="104"/>
        <v>1263.2356919227336</v>
      </c>
      <c r="D96" s="11">
        <f t="shared" ref="D96:V96" si="105">IF(D24=0,0,D24/D44)</f>
        <v>1181.4442441001274</v>
      </c>
      <c r="E96" s="11">
        <f t="shared" si="105"/>
        <v>1206.1689220571575</v>
      </c>
      <c r="F96" s="11">
        <f t="shared" si="105"/>
        <v>1212.5419407428603</v>
      </c>
      <c r="G96" s="11">
        <f t="shared" si="105"/>
        <v>1212.4744435102414</v>
      </c>
      <c r="H96" s="11">
        <f t="shared" si="105"/>
        <v>1163.7744275368916</v>
      </c>
      <c r="I96" s="11">
        <f t="shared" si="105"/>
        <v>1136.0384083595891</v>
      </c>
      <c r="J96" s="11">
        <f t="shared" si="105"/>
        <v>1211.275088200377</v>
      </c>
      <c r="K96" s="11">
        <f t="shared" si="105"/>
        <v>939.33024831536852</v>
      </c>
      <c r="L96" s="11">
        <f t="shared" si="105"/>
        <v>895.94636443138745</v>
      </c>
      <c r="M96" s="11">
        <f t="shared" si="105"/>
        <v>840.3157564114548</v>
      </c>
      <c r="N96" s="11">
        <f t="shared" si="105"/>
        <v>686.86509047068091</v>
      </c>
      <c r="O96" s="11">
        <f t="shared" si="105"/>
        <v>687.25952791522468</v>
      </c>
      <c r="P96" s="11">
        <f t="shared" si="105"/>
        <v>742.25683964269001</v>
      </c>
      <c r="Q96" s="11">
        <f t="shared" si="105"/>
        <v>848.80595393675651</v>
      </c>
      <c r="R96" s="11">
        <f t="shared" si="105"/>
        <v>997.16092188195637</v>
      </c>
      <c r="S96" s="11">
        <f t="shared" si="105"/>
        <v>990.3995888615608</v>
      </c>
      <c r="T96" s="11">
        <f t="shared" si="105"/>
        <v>1056.1582381527301</v>
      </c>
      <c r="U96" s="11">
        <f t="shared" si="105"/>
        <v>1038.5096695477878</v>
      </c>
      <c r="V96" s="11">
        <f t="shared" si="105"/>
        <v>281.26753915085214</v>
      </c>
      <c r="W96" s="11">
        <f t="shared" ref="W96:Y96" si="106">IF(W24=0,0,W24/W44)</f>
        <v>357.12997965738583</v>
      </c>
      <c r="X96" s="11">
        <f t="shared" si="106"/>
        <v>746.40806229467626</v>
      </c>
      <c r="Y96" s="11">
        <f t="shared" si="106"/>
        <v>866.43566598317284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1580.4809027505717</v>
      </c>
      <c r="C98" s="36">
        <f t="shared" si="104"/>
        <v>1580.6508954740113</v>
      </c>
      <c r="D98" s="36">
        <f t="shared" ref="D98:V98" si="109">IF(D26=0,0,D26/D46)</f>
        <v>1569.4054433976532</v>
      </c>
      <c r="E98" s="36">
        <f t="shared" si="109"/>
        <v>1570.0441458290136</v>
      </c>
      <c r="F98" s="36">
        <f t="shared" si="109"/>
        <v>1557.3380978073671</v>
      </c>
      <c r="G98" s="36">
        <f t="shared" si="109"/>
        <v>1528.6061611457226</v>
      </c>
      <c r="H98" s="36">
        <f t="shared" si="109"/>
        <v>1478.2769411742665</v>
      </c>
      <c r="I98" s="36">
        <f t="shared" si="109"/>
        <v>1410.9159565649704</v>
      </c>
      <c r="J98" s="36">
        <f t="shared" si="109"/>
        <v>1423.0244633663856</v>
      </c>
      <c r="K98" s="36">
        <f t="shared" si="109"/>
        <v>1082.8414812373023</v>
      </c>
      <c r="L98" s="36">
        <f t="shared" si="109"/>
        <v>1034.0427390525185</v>
      </c>
      <c r="M98" s="36">
        <f t="shared" si="109"/>
        <v>931.92739812106311</v>
      </c>
      <c r="N98" s="36">
        <f t="shared" si="109"/>
        <v>725.15636652553962</v>
      </c>
      <c r="O98" s="36">
        <f t="shared" si="109"/>
        <v>725.5693586129338</v>
      </c>
      <c r="P98" s="36">
        <f t="shared" si="109"/>
        <v>812.54209854808391</v>
      </c>
      <c r="Q98" s="36">
        <f t="shared" si="109"/>
        <v>910.08151999153347</v>
      </c>
      <c r="R98" s="36">
        <f t="shared" si="109"/>
        <v>1086.4425532985717</v>
      </c>
      <c r="S98" s="36">
        <f t="shared" si="109"/>
        <v>1086.4735508513952</v>
      </c>
      <c r="T98" s="36">
        <f t="shared" si="109"/>
        <v>1214.6137808467327</v>
      </c>
      <c r="U98" s="36">
        <f t="shared" si="109"/>
        <v>1190.4869881092593</v>
      </c>
      <c r="V98" s="36">
        <f t="shared" si="109"/>
        <v>380.07336179359254</v>
      </c>
      <c r="W98" s="36">
        <f t="shared" ref="W98:Y98" si="110">IF(W26=0,0,W26/W46)</f>
        <v>478.45878794230924</v>
      </c>
      <c r="X98" s="36">
        <f t="shared" si="110"/>
        <v>939.20081389651932</v>
      </c>
      <c r="Y98" s="36">
        <f t="shared" si="110"/>
        <v>1063.4697817439383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642</v>
      </c>
      <c r="C99" s="36">
        <f t="shared" si="104"/>
        <v>642</v>
      </c>
      <c r="D99" s="36">
        <f t="shared" ref="D99:V99" si="111">IF(D27=0,0,D27/D47)</f>
        <v>642</v>
      </c>
      <c r="E99" s="36">
        <f t="shared" si="111"/>
        <v>642</v>
      </c>
      <c r="F99" s="36">
        <f t="shared" si="111"/>
        <v>642</v>
      </c>
      <c r="G99" s="36">
        <f t="shared" si="111"/>
        <v>553.76653248993671</v>
      </c>
      <c r="H99" s="36">
        <f t="shared" si="111"/>
        <v>363.39622641509436</v>
      </c>
      <c r="I99" s="36">
        <f t="shared" si="111"/>
        <v>423.65980432123939</v>
      </c>
      <c r="J99" s="36">
        <f t="shared" si="111"/>
        <v>579.42848121250404</v>
      </c>
      <c r="K99" s="36">
        <f t="shared" si="111"/>
        <v>506.1251360174104</v>
      </c>
      <c r="L99" s="36">
        <f t="shared" si="111"/>
        <v>473.96215790066469</v>
      </c>
      <c r="M99" s="36">
        <f t="shared" si="111"/>
        <v>556.72969187675096</v>
      </c>
      <c r="N99" s="36">
        <f t="shared" si="111"/>
        <v>566.03609058980294</v>
      </c>
      <c r="O99" s="36">
        <f t="shared" si="111"/>
        <v>563.95167379813779</v>
      </c>
      <c r="P99" s="36">
        <f t="shared" si="111"/>
        <v>512.08644400785897</v>
      </c>
      <c r="Q99" s="36">
        <f t="shared" si="111"/>
        <v>644.71736755871166</v>
      </c>
      <c r="R99" s="36">
        <f t="shared" si="111"/>
        <v>694.36332525310206</v>
      </c>
      <c r="S99" s="36">
        <f t="shared" si="111"/>
        <v>760</v>
      </c>
      <c r="T99" s="36">
        <f t="shared" si="111"/>
        <v>749</v>
      </c>
      <c r="U99" s="36">
        <f t="shared" si="111"/>
        <v>774</v>
      </c>
      <c r="V99" s="36">
        <f t="shared" si="111"/>
        <v>109.56785533767075</v>
      </c>
      <c r="W99" s="36">
        <f t="shared" ref="W99:Y99" si="112">IF(W27=0,0,W27/W47)</f>
        <v>146.62758288623778</v>
      </c>
      <c r="X99" s="36">
        <f t="shared" si="112"/>
        <v>412.46593176138521</v>
      </c>
      <c r="Y99" s="36">
        <f t="shared" si="112"/>
        <v>525.72179852953798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881.53316381858997</v>
      </c>
      <c r="C100" s="13">
        <f t="shared" si="104"/>
        <v>875.46699155732028</v>
      </c>
      <c r="D100" s="13">
        <f t="shared" ref="D100:V100" si="113">IF(D28=0,0,D28/D48)</f>
        <v>661.78440399153783</v>
      </c>
      <c r="E100" s="13">
        <f t="shared" si="113"/>
        <v>732.49706360063715</v>
      </c>
      <c r="F100" s="13">
        <f t="shared" si="113"/>
        <v>584.87275753330971</v>
      </c>
      <c r="G100" s="13">
        <f t="shared" si="113"/>
        <v>451.36335081489551</v>
      </c>
      <c r="H100" s="13">
        <f t="shared" si="113"/>
        <v>568.21830022946017</v>
      </c>
      <c r="I100" s="13">
        <f t="shared" si="113"/>
        <v>462.55339530058097</v>
      </c>
      <c r="J100" s="13">
        <f t="shared" si="113"/>
        <v>865.39020751277405</v>
      </c>
      <c r="K100" s="13">
        <f t="shared" si="113"/>
        <v>995.62296941391037</v>
      </c>
      <c r="L100" s="13">
        <f t="shared" si="113"/>
        <v>1063.0735120779491</v>
      </c>
      <c r="M100" s="13">
        <f t="shared" si="113"/>
        <v>1036.6145996762973</v>
      </c>
      <c r="N100" s="13">
        <f t="shared" si="113"/>
        <v>1019.8642346077145</v>
      </c>
      <c r="O100" s="13">
        <f t="shared" si="113"/>
        <v>997.69313372399586</v>
      </c>
      <c r="P100" s="13">
        <f t="shared" si="113"/>
        <v>687.62755044008793</v>
      </c>
      <c r="Q100" s="13">
        <f t="shared" si="113"/>
        <v>875.30312518108428</v>
      </c>
      <c r="R100" s="13">
        <f t="shared" si="113"/>
        <v>871.28037007296666</v>
      </c>
      <c r="S100" s="13">
        <f t="shared" si="113"/>
        <v>1173.446663913596</v>
      </c>
      <c r="T100" s="13">
        <f t="shared" si="113"/>
        <v>945.30339731739036</v>
      </c>
      <c r="U100" s="13">
        <f t="shared" si="113"/>
        <v>772.62389359099564</v>
      </c>
      <c r="V100" s="13">
        <f t="shared" si="113"/>
        <v>1096.8687997293985</v>
      </c>
      <c r="W100" s="13">
        <f t="shared" ref="W100:Y100" si="114">IF(W28=0,0,W28/W48)</f>
        <v>903.39236890472159</v>
      </c>
      <c r="X100" s="13">
        <f t="shared" si="114"/>
        <v>782.40421164589463</v>
      </c>
      <c r="Y100" s="13">
        <f t="shared" si="114"/>
        <v>401.66446037855439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1112.3527529970484</v>
      </c>
      <c r="C102" s="34">
        <f t="shared" si="104"/>
        <v>1111.7308620689655</v>
      </c>
      <c r="D102" s="34">
        <f t="shared" ref="D102:V102" si="117">IF(D30=0,0,D30/D50)</f>
        <v>1081.7018565812505</v>
      </c>
      <c r="E102" s="34">
        <f t="shared" si="117"/>
        <v>1030.4503865031206</v>
      </c>
      <c r="F102" s="34">
        <f t="shared" si="117"/>
        <v>939.00415743967494</v>
      </c>
      <c r="G102" s="34">
        <f t="shared" si="117"/>
        <v>727.69112046149439</v>
      </c>
      <c r="H102" s="34">
        <f t="shared" si="117"/>
        <v>744.00431950865607</v>
      </c>
      <c r="I102" s="34">
        <f t="shared" si="117"/>
        <v>880.89993642720947</v>
      </c>
      <c r="J102" s="34">
        <f t="shared" si="117"/>
        <v>1128.1588998799245</v>
      </c>
      <c r="K102" s="34">
        <f t="shared" si="117"/>
        <v>1169.621175127173</v>
      </c>
      <c r="L102" s="34">
        <f t="shared" si="117"/>
        <v>1173.2069726081825</v>
      </c>
      <c r="M102" s="34">
        <f t="shared" si="117"/>
        <v>1140.5154825333898</v>
      </c>
      <c r="N102" s="34">
        <f t="shared" si="117"/>
        <v>1114.4687422150716</v>
      </c>
      <c r="O102" s="34">
        <f t="shared" si="117"/>
        <v>1079.1051616792004</v>
      </c>
      <c r="P102" s="34">
        <f t="shared" si="117"/>
        <v>698.99635110615634</v>
      </c>
      <c r="Q102" s="34">
        <f t="shared" si="117"/>
        <v>896.27091532202223</v>
      </c>
      <c r="R102" s="34">
        <f t="shared" si="117"/>
        <v>888.09368022073545</v>
      </c>
      <c r="S102" s="34">
        <f t="shared" si="117"/>
        <v>1212.6057581257307</v>
      </c>
      <c r="T102" s="34">
        <f t="shared" si="117"/>
        <v>955.85777703396241</v>
      </c>
      <c r="U102" s="34">
        <f t="shared" si="117"/>
        <v>792.08342002156144</v>
      </c>
      <c r="V102" s="34">
        <f t="shared" si="117"/>
        <v>1126.0950688690177</v>
      </c>
      <c r="W102" s="34">
        <f t="shared" ref="W102:Y102" si="118">IF(W30=0,0,W30/W50)</f>
        <v>929.14913923126153</v>
      </c>
      <c r="X102" s="34">
        <f t="shared" si="118"/>
        <v>800.99067406957772</v>
      </c>
      <c r="Y102" s="34">
        <f t="shared" si="118"/>
        <v>408.48374302368188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593</v>
      </c>
      <c r="C103" s="35">
        <f t="shared" si="104"/>
        <v>593</v>
      </c>
      <c r="D103" s="35">
        <f t="shared" ref="D103:V103" si="119">IF(D31=0,0,D31/D51)</f>
        <v>159.04214559386972</v>
      </c>
      <c r="E103" s="35">
        <f t="shared" si="119"/>
        <v>593</v>
      </c>
      <c r="F103" s="35">
        <f t="shared" si="119"/>
        <v>433.3868092691622</v>
      </c>
      <c r="G103" s="35">
        <f t="shared" si="119"/>
        <v>345.54511278195491</v>
      </c>
      <c r="H103" s="35">
        <f t="shared" si="119"/>
        <v>506.93836978131219</v>
      </c>
      <c r="I103" s="35">
        <f t="shared" si="119"/>
        <v>337.78481012658233</v>
      </c>
      <c r="J103" s="35">
        <f t="shared" si="119"/>
        <v>173.23595505617979</v>
      </c>
      <c r="K103" s="35">
        <f t="shared" si="119"/>
        <v>128.29326923076925</v>
      </c>
      <c r="L103" s="35">
        <f t="shared" si="119"/>
        <v>306.4599483204135</v>
      </c>
      <c r="M103" s="35">
        <f t="shared" si="119"/>
        <v>33.128491620111745</v>
      </c>
      <c r="N103" s="35">
        <f t="shared" si="119"/>
        <v>36.048632218845</v>
      </c>
      <c r="O103" s="35">
        <f t="shared" si="119"/>
        <v>79.066666666666706</v>
      </c>
      <c r="P103" s="35">
        <f t="shared" si="119"/>
        <v>547.0479704797051</v>
      </c>
      <c r="Q103" s="35">
        <f t="shared" si="119"/>
        <v>588.09917355371954</v>
      </c>
      <c r="R103" s="35">
        <f t="shared" si="119"/>
        <v>612.48826291079877</v>
      </c>
      <c r="S103" s="35">
        <f t="shared" si="119"/>
        <v>483.42391304347882</v>
      </c>
      <c r="T103" s="35">
        <f t="shared" si="119"/>
        <v>726.90322580645261</v>
      </c>
      <c r="U103" s="35">
        <f t="shared" si="119"/>
        <v>282.38095238095286</v>
      </c>
      <c r="V103" s="35">
        <f t="shared" si="119"/>
        <v>265.91928251121129</v>
      </c>
      <c r="W103" s="35">
        <f t="shared" ref="W103:Y103" si="120">IF(W31=0,0,W31/W51)</f>
        <v>61.134020618556839</v>
      </c>
      <c r="X103" s="35">
        <f t="shared" si="120"/>
        <v>71.878787878788074</v>
      </c>
      <c r="Y103" s="35">
        <f t="shared" si="120"/>
        <v>87.205882352941458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0.61651864636724218</v>
      </c>
      <c r="C108" s="43">
        <f t="shared" si="127"/>
        <v>0.61660103688321943</v>
      </c>
      <c r="D108" s="43">
        <f t="shared" ref="D108:V108" si="128">IF(D6=0,0,D6/D$4)</f>
        <v>0.53544964245071358</v>
      </c>
      <c r="E108" s="43">
        <f t="shared" si="128"/>
        <v>0.55211927684367368</v>
      </c>
      <c r="F108" s="43">
        <f t="shared" si="128"/>
        <v>0.57576448311355166</v>
      </c>
      <c r="G108" s="43">
        <f t="shared" si="128"/>
        <v>0.67270596065106902</v>
      </c>
      <c r="H108" s="43">
        <f t="shared" si="128"/>
        <v>0.80009618539498606</v>
      </c>
      <c r="I108" s="43">
        <f t="shared" si="128"/>
        <v>0.72627247728749955</v>
      </c>
      <c r="J108" s="43">
        <f t="shared" si="128"/>
        <v>0.73889835465371212</v>
      </c>
      <c r="K108" s="43">
        <f t="shared" si="128"/>
        <v>0.72486443991953597</v>
      </c>
      <c r="L108" s="43">
        <f t="shared" si="128"/>
        <v>0.70802246181223549</v>
      </c>
      <c r="M108" s="43">
        <f t="shared" si="128"/>
        <v>0.72911900712313371</v>
      </c>
      <c r="N108" s="43">
        <f t="shared" si="128"/>
        <v>0.70062352493638302</v>
      </c>
      <c r="O108" s="43">
        <f t="shared" si="128"/>
        <v>0.7342616007971039</v>
      </c>
      <c r="P108" s="43">
        <f t="shared" si="128"/>
        <v>0.7481290744518273</v>
      </c>
      <c r="Q108" s="43">
        <f t="shared" si="128"/>
        <v>0.73586117317271615</v>
      </c>
      <c r="R108" s="43">
        <f t="shared" si="128"/>
        <v>0.76618933126608335</v>
      </c>
      <c r="S108" s="43">
        <f t="shared" si="128"/>
        <v>0.65304156014470494</v>
      </c>
      <c r="T108" s="43">
        <f t="shared" si="128"/>
        <v>0.62390933460418585</v>
      </c>
      <c r="U108" s="43">
        <f t="shared" si="128"/>
        <v>0.60241678506118923</v>
      </c>
      <c r="V108" s="43">
        <f t="shared" si="128"/>
        <v>0.73412144936917734</v>
      </c>
      <c r="W108" s="43">
        <f t="shared" ref="W108:Y108" si="129">IF(W6=0,0,W6/W$4)</f>
        <v>0.74738556247241872</v>
      </c>
      <c r="X108" s="43">
        <f t="shared" si="129"/>
        <v>0.6417164379700131</v>
      </c>
      <c r="Y108" s="43">
        <f t="shared" si="129"/>
        <v>0.64229861054138926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0.38348135363275776</v>
      </c>
      <c r="C109" s="43">
        <f t="shared" si="130"/>
        <v>0.38339896311678062</v>
      </c>
      <c r="D109" s="43">
        <f t="shared" ref="D109:V109" si="131">IF(D7=0,0,D7/D$4)</f>
        <v>0.46455035754928631</v>
      </c>
      <c r="E109" s="43">
        <f t="shared" si="131"/>
        <v>0.44788072315632627</v>
      </c>
      <c r="F109" s="43">
        <f t="shared" si="131"/>
        <v>0.42423551688644834</v>
      </c>
      <c r="G109" s="43">
        <f t="shared" si="131"/>
        <v>0.32729403934893098</v>
      </c>
      <c r="H109" s="43">
        <f t="shared" si="131"/>
        <v>0.19990381460501386</v>
      </c>
      <c r="I109" s="43">
        <f t="shared" si="131"/>
        <v>0.2737275227125005</v>
      </c>
      <c r="J109" s="43">
        <f t="shared" si="131"/>
        <v>0.26110164534628788</v>
      </c>
      <c r="K109" s="43">
        <f t="shared" si="131"/>
        <v>0.27513556008046397</v>
      </c>
      <c r="L109" s="43">
        <f t="shared" si="131"/>
        <v>0.29197753818776462</v>
      </c>
      <c r="M109" s="43">
        <f t="shared" si="131"/>
        <v>0.27088099287686634</v>
      </c>
      <c r="N109" s="43">
        <f t="shared" si="131"/>
        <v>0.29937647506361692</v>
      </c>
      <c r="O109" s="43">
        <f t="shared" si="131"/>
        <v>0.2657383992028961</v>
      </c>
      <c r="P109" s="43">
        <f t="shared" si="131"/>
        <v>0.2518709255481727</v>
      </c>
      <c r="Q109" s="43">
        <f t="shared" si="131"/>
        <v>0.26413882682728396</v>
      </c>
      <c r="R109" s="43">
        <f t="shared" si="131"/>
        <v>0.23381066873391679</v>
      </c>
      <c r="S109" s="43">
        <f t="shared" si="131"/>
        <v>0.34695843985529506</v>
      </c>
      <c r="T109" s="43">
        <f t="shared" si="131"/>
        <v>0.37609066539581415</v>
      </c>
      <c r="U109" s="43">
        <f t="shared" si="131"/>
        <v>0.39758321493881082</v>
      </c>
      <c r="V109" s="43">
        <f t="shared" si="131"/>
        <v>0.26587855063082272</v>
      </c>
      <c r="W109" s="43">
        <f t="shared" ref="W109:Y109" si="132">IF(W7=0,0,W7/W$4)</f>
        <v>0.25261443752758128</v>
      </c>
      <c r="X109" s="43">
        <f t="shared" si="132"/>
        <v>0.3582835620299869</v>
      </c>
      <c r="Y109" s="43">
        <f t="shared" si="132"/>
        <v>0.35770138945861074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0.29568524400472751</v>
      </c>
      <c r="C112" s="44">
        <f t="shared" si="139"/>
        <v>0.28471573156589602</v>
      </c>
      <c r="D112" s="44">
        <f t="shared" ref="D112:V112" si="140">IF(D10=0,0,D10/D$8)</f>
        <v>0.5894119081480883</v>
      </c>
      <c r="E112" s="44">
        <f t="shared" si="140"/>
        <v>0.13951359792878665</v>
      </c>
      <c r="F112" s="44">
        <f t="shared" si="140"/>
        <v>0.14697562319482965</v>
      </c>
      <c r="G112" s="44">
        <f t="shared" si="140"/>
        <v>0.13890255117593001</v>
      </c>
      <c r="H112" s="44">
        <f t="shared" si="140"/>
        <v>8.3490436318482492E-2</v>
      </c>
      <c r="I112" s="44">
        <f t="shared" si="140"/>
        <v>0.10279976720087999</v>
      </c>
      <c r="J112" s="44">
        <f t="shared" si="140"/>
        <v>0.72714958820889952</v>
      </c>
      <c r="K112" s="44">
        <f t="shared" si="140"/>
        <v>0.86287694475043208</v>
      </c>
      <c r="L112" s="44">
        <f t="shared" si="140"/>
        <v>0.76671176782781769</v>
      </c>
      <c r="M112" s="44">
        <f t="shared" si="140"/>
        <v>0.98107395897852634</v>
      </c>
      <c r="N112" s="44">
        <f t="shared" si="140"/>
        <v>0.97912428908049098</v>
      </c>
      <c r="O112" s="44">
        <f t="shared" si="140"/>
        <v>0.96313577448211318</v>
      </c>
      <c r="P112" s="44">
        <f t="shared" si="140"/>
        <v>0.73863002589071325</v>
      </c>
      <c r="Q112" s="44">
        <f t="shared" si="140"/>
        <v>0.78484886382547991</v>
      </c>
      <c r="R112" s="44">
        <f t="shared" si="140"/>
        <v>0.79152110012230181</v>
      </c>
      <c r="S112" s="44">
        <f t="shared" si="140"/>
        <v>0.8949752716702426</v>
      </c>
      <c r="T112" s="44">
        <f t="shared" si="140"/>
        <v>0.85949052540373339</v>
      </c>
      <c r="U112" s="44">
        <f t="shared" si="140"/>
        <v>0.94815930845432128</v>
      </c>
      <c r="V112" s="44">
        <f t="shared" si="140"/>
        <v>0.95372789735112762</v>
      </c>
      <c r="W112" s="44">
        <f t="shared" ref="W112:Y112" si="141">IF(W10=0,0,W10/W$8)</f>
        <v>0.99023247060328368</v>
      </c>
      <c r="X112" s="44">
        <f t="shared" si="141"/>
        <v>0.98313024167403407</v>
      </c>
      <c r="Y112" s="44">
        <f t="shared" si="141"/>
        <v>0.97925042838715137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0.70431475599527249</v>
      </c>
      <c r="C113" s="45">
        <f t="shared" si="142"/>
        <v>0.71528426843410409</v>
      </c>
      <c r="D113" s="45">
        <f t="shared" ref="D113:V113" si="143">IF(D11=0,0,D11/D$8)</f>
        <v>0.41058809185191159</v>
      </c>
      <c r="E113" s="45">
        <f t="shared" si="143"/>
        <v>0.86048640207121341</v>
      </c>
      <c r="F113" s="45">
        <f t="shared" si="143"/>
        <v>0.85302437680517029</v>
      </c>
      <c r="G113" s="45">
        <f t="shared" si="143"/>
        <v>0.86109744882407002</v>
      </c>
      <c r="H113" s="45">
        <f t="shared" si="143"/>
        <v>0.91650956368151759</v>
      </c>
      <c r="I113" s="45">
        <f t="shared" si="143"/>
        <v>0.89720023279911998</v>
      </c>
      <c r="J113" s="45">
        <f t="shared" si="143"/>
        <v>0.27285041179110048</v>
      </c>
      <c r="K113" s="45">
        <f t="shared" si="143"/>
        <v>0.13712305524956803</v>
      </c>
      <c r="L113" s="45">
        <f t="shared" si="143"/>
        <v>0.23328823217218234</v>
      </c>
      <c r="M113" s="45">
        <f t="shared" si="143"/>
        <v>1.8926041021473591E-2</v>
      </c>
      <c r="N113" s="45">
        <f t="shared" si="143"/>
        <v>2.087571091950895E-2</v>
      </c>
      <c r="O113" s="45">
        <f t="shared" si="143"/>
        <v>3.6864225517886741E-2</v>
      </c>
      <c r="P113" s="45">
        <f t="shared" si="143"/>
        <v>0.26136997410928686</v>
      </c>
      <c r="Q113" s="45">
        <f t="shared" si="143"/>
        <v>0.21515113617452003</v>
      </c>
      <c r="R113" s="45">
        <f t="shared" si="143"/>
        <v>0.20847889987769813</v>
      </c>
      <c r="S113" s="45">
        <f t="shared" si="143"/>
        <v>0.10502472832975737</v>
      </c>
      <c r="T113" s="45">
        <f t="shared" si="143"/>
        <v>0.14050947459626659</v>
      </c>
      <c r="U113" s="45">
        <f t="shared" si="143"/>
        <v>5.1840691545678712E-2</v>
      </c>
      <c r="V113" s="45">
        <f t="shared" si="143"/>
        <v>4.6272102648872306E-2</v>
      </c>
      <c r="W113" s="45">
        <f t="shared" ref="W113:Y113" si="144">IF(W11=0,0,W11/W$8)</f>
        <v>9.7675293967162975E-3</v>
      </c>
      <c r="X113" s="45">
        <f t="shared" si="144"/>
        <v>1.6869758325965965E-2</v>
      </c>
      <c r="Y113" s="45">
        <f t="shared" si="144"/>
        <v>2.0749571612848627E-2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0.59985426929869523</v>
      </c>
      <c r="C118" s="43">
        <f t="shared" si="151"/>
        <v>0.59956387086424889</v>
      </c>
      <c r="D118" s="43">
        <f t="shared" ref="D118:V118" si="152">IF(D16=0,0,D16/D$14)</f>
        <v>0.51813952082476578</v>
      </c>
      <c r="E118" s="43">
        <f t="shared" si="152"/>
        <v>0.53717081104006026</v>
      </c>
      <c r="F118" s="43">
        <f t="shared" si="152"/>
        <v>0.5644756032327557</v>
      </c>
      <c r="G118" s="43">
        <f t="shared" si="152"/>
        <v>0.66425880188219899</v>
      </c>
      <c r="H118" s="43">
        <f t="shared" si="152"/>
        <v>0.79841303302016253</v>
      </c>
      <c r="I118" s="43">
        <f t="shared" si="152"/>
        <v>0.74887244993282731</v>
      </c>
      <c r="J118" s="43">
        <f t="shared" si="152"/>
        <v>0.75199202737872972</v>
      </c>
      <c r="K118" s="43">
        <f t="shared" si="152"/>
        <v>0.74322165935167117</v>
      </c>
      <c r="L118" s="43">
        <f t="shared" si="152"/>
        <v>0.74033688201376202</v>
      </c>
      <c r="M118" s="43">
        <f t="shared" si="152"/>
        <v>0.72784620533401834</v>
      </c>
      <c r="N118" s="43">
        <f t="shared" si="152"/>
        <v>0.68799453676155509</v>
      </c>
      <c r="O118" s="43">
        <f t="shared" si="152"/>
        <v>0.70838774206850841</v>
      </c>
      <c r="P118" s="43">
        <f t="shared" si="152"/>
        <v>0.75337257404280877</v>
      </c>
      <c r="Q118" s="43">
        <f t="shared" si="152"/>
        <v>0.72273835141877585</v>
      </c>
      <c r="R118" s="43">
        <f t="shared" si="152"/>
        <v>0.74605535435076931</v>
      </c>
      <c r="S118" s="43">
        <f t="shared" si="152"/>
        <v>0.65988788208428795</v>
      </c>
      <c r="T118" s="43">
        <f t="shared" si="152"/>
        <v>0.63760492449783046</v>
      </c>
      <c r="U118" s="43">
        <f t="shared" si="152"/>
        <v>0.61894217963687814</v>
      </c>
      <c r="V118" s="43">
        <f t="shared" si="152"/>
        <v>0.77250729389944794</v>
      </c>
      <c r="W118" s="43">
        <f t="shared" ref="W118:Y118" si="153">IF(W16=0,0,W16/W$14)</f>
        <v>0.78171491193344189</v>
      </c>
      <c r="X118" s="43">
        <f t="shared" si="153"/>
        <v>0.67513742540251842</v>
      </c>
      <c r="Y118" s="43">
        <f t="shared" si="153"/>
        <v>0.65867681799943278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0.40014573070130482</v>
      </c>
      <c r="C119" s="43">
        <f t="shared" si="154"/>
        <v>0.400436129135751</v>
      </c>
      <c r="D119" s="43">
        <f t="shared" ref="D119:V119" si="155">IF(D17=0,0,D17/D$14)</f>
        <v>0.48186047917523422</v>
      </c>
      <c r="E119" s="43">
        <f t="shared" si="155"/>
        <v>0.46282918895993974</v>
      </c>
      <c r="F119" s="43">
        <f t="shared" si="155"/>
        <v>0.43552439676724425</v>
      </c>
      <c r="G119" s="43">
        <f t="shared" si="155"/>
        <v>0.33574119811780101</v>
      </c>
      <c r="H119" s="43">
        <f t="shared" si="155"/>
        <v>0.20158696697983741</v>
      </c>
      <c r="I119" s="43">
        <f t="shared" si="155"/>
        <v>0.25112755006717269</v>
      </c>
      <c r="J119" s="43">
        <f t="shared" si="155"/>
        <v>0.24800797262127025</v>
      </c>
      <c r="K119" s="43">
        <f t="shared" si="155"/>
        <v>0.25677834064832883</v>
      </c>
      <c r="L119" s="43">
        <f t="shared" si="155"/>
        <v>0.25966311798623803</v>
      </c>
      <c r="M119" s="43">
        <f t="shared" si="155"/>
        <v>0.27215379466598161</v>
      </c>
      <c r="N119" s="43">
        <f t="shared" si="155"/>
        <v>0.31200546323844497</v>
      </c>
      <c r="O119" s="43">
        <f t="shared" si="155"/>
        <v>0.2916122579314917</v>
      </c>
      <c r="P119" s="43">
        <f t="shared" si="155"/>
        <v>0.24662742595719114</v>
      </c>
      <c r="Q119" s="43">
        <f t="shared" si="155"/>
        <v>0.27726164858122421</v>
      </c>
      <c r="R119" s="43">
        <f t="shared" si="155"/>
        <v>0.25394464564923069</v>
      </c>
      <c r="S119" s="43">
        <f t="shared" si="155"/>
        <v>0.34011211791571211</v>
      </c>
      <c r="T119" s="43">
        <f t="shared" si="155"/>
        <v>0.36239507550216948</v>
      </c>
      <c r="U119" s="43">
        <f t="shared" si="155"/>
        <v>0.3810578203631218</v>
      </c>
      <c r="V119" s="43">
        <f t="shared" si="155"/>
        <v>0.22749270610055208</v>
      </c>
      <c r="W119" s="43">
        <f t="shared" ref="W119:Y119" si="156">IF(W17=0,0,W17/W$14)</f>
        <v>0.21828508806655797</v>
      </c>
      <c r="X119" s="43">
        <f t="shared" si="156"/>
        <v>0.32486257459748147</v>
      </c>
      <c r="Y119" s="43">
        <f t="shared" si="156"/>
        <v>0.34132318200056722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0.46425434910316549</v>
      </c>
      <c r="C122" s="44">
        <f t="shared" si="163"/>
        <v>0.45344497517355048</v>
      </c>
      <c r="D122" s="44">
        <f t="shared" ref="D122:V122" si="164">IF(D20=0,0,D20/D$18)</f>
        <v>0.75181549451506202</v>
      </c>
      <c r="E122" s="44">
        <f t="shared" si="164"/>
        <v>0.23081978030076428</v>
      </c>
      <c r="F122" s="44">
        <f t="shared" si="164"/>
        <v>0.25639161158170015</v>
      </c>
      <c r="G122" s="44">
        <f t="shared" si="164"/>
        <v>0.24029652226893722</v>
      </c>
      <c r="H122" s="44">
        <f t="shared" si="164"/>
        <v>0.17546400448309279</v>
      </c>
      <c r="I122" s="44">
        <f t="shared" si="164"/>
        <v>0.2161850031826249</v>
      </c>
      <c r="J122" s="44">
        <f t="shared" si="164"/>
        <v>0.85538874702533463</v>
      </c>
      <c r="K122" s="44">
        <f t="shared" si="164"/>
        <v>0.93871360890323807</v>
      </c>
      <c r="L122" s="44">
        <f t="shared" si="164"/>
        <v>0.89066170076758444</v>
      </c>
      <c r="M122" s="44">
        <f t="shared" si="164"/>
        <v>0.99225230570378586</v>
      </c>
      <c r="N122" s="44">
        <f t="shared" si="164"/>
        <v>0.99209441532066733</v>
      </c>
      <c r="O122" s="44">
        <f t="shared" si="164"/>
        <v>0.98546150796391185</v>
      </c>
      <c r="P122" s="44">
        <f t="shared" si="164"/>
        <v>0.87961605112486352</v>
      </c>
      <c r="Q122" s="44">
        <f t="shared" si="164"/>
        <v>0.90742294269682156</v>
      </c>
      <c r="R122" s="44">
        <f t="shared" si="164"/>
        <v>0.91835706243161785</v>
      </c>
      <c r="S122" s="44">
        <f t="shared" si="164"/>
        <v>0.96251533930901279</v>
      </c>
      <c r="T122" s="44">
        <f t="shared" si="164"/>
        <v>0.94633086672886058</v>
      </c>
      <c r="U122" s="44">
        <f t="shared" si="164"/>
        <v>0.98099275789132645</v>
      </c>
      <c r="V122" s="44">
        <f t="shared" si="164"/>
        <v>0.97765027454269493</v>
      </c>
      <c r="W122" s="44">
        <f t="shared" ref="W122:Y122" si="165">IF(W20=0,0,W20/W$18)</f>
        <v>0.99632194160665877</v>
      </c>
      <c r="X122" s="44">
        <f t="shared" si="165"/>
        <v>0.99390616652680264</v>
      </c>
      <c r="Y122" s="44">
        <f t="shared" si="165"/>
        <v>0.99226807495217817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0.53574565089683446</v>
      </c>
      <c r="C123" s="45">
        <f t="shared" si="166"/>
        <v>0.54655502482644969</v>
      </c>
      <c r="D123" s="45">
        <f t="shared" ref="D123:V123" si="167">IF(D21=0,0,D21/D$18)</f>
        <v>0.2481845054849379</v>
      </c>
      <c r="E123" s="45">
        <f t="shared" si="167"/>
        <v>0.76918021969923567</v>
      </c>
      <c r="F123" s="45">
        <f t="shared" si="167"/>
        <v>0.74360838841830001</v>
      </c>
      <c r="G123" s="45">
        <f t="shared" si="167"/>
        <v>0.75970347773106273</v>
      </c>
      <c r="H123" s="45">
        <f t="shared" si="167"/>
        <v>0.82453599551690715</v>
      </c>
      <c r="I123" s="45">
        <f t="shared" si="167"/>
        <v>0.78381499681737521</v>
      </c>
      <c r="J123" s="45">
        <f t="shared" si="167"/>
        <v>0.14461125297466537</v>
      </c>
      <c r="K123" s="45">
        <f t="shared" si="167"/>
        <v>6.1286391096761955E-2</v>
      </c>
      <c r="L123" s="45">
        <f t="shared" si="167"/>
        <v>0.10933829923241563</v>
      </c>
      <c r="M123" s="45">
        <f t="shared" si="167"/>
        <v>7.7476942962140544E-3</v>
      </c>
      <c r="N123" s="45">
        <f t="shared" si="167"/>
        <v>7.9055846793326702E-3</v>
      </c>
      <c r="O123" s="45">
        <f t="shared" si="167"/>
        <v>1.4538492036088178E-2</v>
      </c>
      <c r="P123" s="45">
        <f t="shared" si="167"/>
        <v>0.1203839488751365</v>
      </c>
      <c r="Q123" s="45">
        <f t="shared" si="167"/>
        <v>9.2577057303178417E-2</v>
      </c>
      <c r="R123" s="45">
        <f t="shared" si="167"/>
        <v>8.1642937568382118E-2</v>
      </c>
      <c r="S123" s="45">
        <f t="shared" si="167"/>
        <v>3.7484660690987284E-2</v>
      </c>
      <c r="T123" s="45">
        <f t="shared" si="167"/>
        <v>5.366913327113941E-2</v>
      </c>
      <c r="U123" s="45">
        <f t="shared" si="167"/>
        <v>1.900724210867355E-2</v>
      </c>
      <c r="V123" s="45">
        <f t="shared" si="167"/>
        <v>2.2349725457305042E-2</v>
      </c>
      <c r="W123" s="45">
        <f t="shared" ref="W123:Y123" si="168">IF(W21=0,0,W21/W$18)</f>
        <v>3.6780583933412581E-3</v>
      </c>
      <c r="X123" s="45">
        <f t="shared" si="168"/>
        <v>6.0938334731974117E-3</v>
      </c>
      <c r="Y123" s="45">
        <f t="shared" si="168"/>
        <v>7.7319250478218434E-3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27.386070507308681</v>
      </c>
      <c r="C3" s="79">
        <f t="shared" si="0"/>
        <v>31.030352536543418</v>
      </c>
      <c r="D3" s="79">
        <f t="shared" ref="D3" si="1">SUM(D4:D5)</f>
        <v>46.528374892519338</v>
      </c>
      <c r="E3" s="79">
        <f t="shared" ref="E3" si="2">SUM(E4:E5)</f>
        <v>33.896216680997419</v>
      </c>
      <c r="F3" s="79">
        <f t="shared" ref="F3" si="3">SUM(F4:F5)</f>
        <v>26.893035253654336</v>
      </c>
      <c r="G3" s="79">
        <f t="shared" ref="G3" si="4">SUM(G4:G5)</f>
        <v>39.30515907136715</v>
      </c>
      <c r="H3" s="79">
        <f t="shared" ref="H3" si="5">SUM(H4:H5)</f>
        <v>40.23147033533963</v>
      </c>
      <c r="I3" s="79">
        <f t="shared" ref="I3" si="6">SUM(I4:I5)</f>
        <v>49.642906276870143</v>
      </c>
      <c r="J3" s="79">
        <f t="shared" ref="J3" si="7">SUM(J4:J5)</f>
        <v>63.087790197764406</v>
      </c>
      <c r="K3" s="79">
        <f t="shared" ref="K3" si="8">SUM(K4:K5)</f>
        <v>45.504901117798795</v>
      </c>
      <c r="L3" s="79">
        <f t="shared" ref="L3" si="9">SUM(L4:L5)</f>
        <v>41.369045571797074</v>
      </c>
      <c r="M3" s="79">
        <f t="shared" ref="M3" si="10">SUM(M4:M5)</f>
        <v>43.436543422183995</v>
      </c>
      <c r="N3" s="79">
        <f t="shared" ref="N3" si="11">SUM(N4:N5)</f>
        <v>37.231298366294062</v>
      </c>
      <c r="O3" s="79">
        <f t="shared" ref="O3" si="12">SUM(O4:O5)</f>
        <v>41.368099742046425</v>
      </c>
      <c r="P3" s="79">
        <f t="shared" ref="P3" si="13">SUM(P4:P5)</f>
        <v>35.162854686156486</v>
      </c>
      <c r="Q3" s="79">
        <f t="shared" ref="Q3" si="14">SUM(Q4:Q5)</f>
        <v>43.436543422184002</v>
      </c>
      <c r="R3" s="79">
        <f t="shared" ref="R3" si="15">SUM(R4:R5)</f>
        <v>49.641702493551151</v>
      </c>
      <c r="S3" s="79">
        <f t="shared" ref="S3" si="16">SUM(S4:S5)</f>
        <v>40.333877901977637</v>
      </c>
      <c r="T3" s="79">
        <f t="shared" ref="T3" si="17">SUM(T4:T5)</f>
        <v>47.573344797936372</v>
      </c>
      <c r="U3" s="79">
        <f t="shared" ref="U3" si="18">SUM(U4:U5)</f>
        <v>45.504901117798781</v>
      </c>
      <c r="V3" s="79">
        <f t="shared" ref="V3:W3" si="19">SUM(V4:V5)</f>
        <v>28.957695614789341</v>
      </c>
      <c r="W3" s="79">
        <f t="shared" si="19"/>
        <v>22.752450558899405</v>
      </c>
      <c r="X3" s="79">
        <f t="shared" ref="X3:Y3" si="20">SUM(X4:X5)</f>
        <v>34.128718830610481</v>
      </c>
      <c r="Y3" s="79">
        <f t="shared" si="20"/>
        <v>28.957695614789333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27.386070507308681</v>
      </c>
      <c r="C5" s="96">
        <f t="shared" si="24"/>
        <v>31.030352536543418</v>
      </c>
      <c r="D5" s="96">
        <f t="shared" ref="D5:V5" si="25">SUM(D8:D9,D12:D13)</f>
        <v>46.528374892519338</v>
      </c>
      <c r="E5" s="96">
        <f t="shared" si="25"/>
        <v>33.896216680997419</v>
      </c>
      <c r="F5" s="96">
        <f t="shared" si="25"/>
        <v>26.893035253654336</v>
      </c>
      <c r="G5" s="96">
        <f t="shared" si="25"/>
        <v>39.30515907136715</v>
      </c>
      <c r="H5" s="96">
        <f t="shared" si="25"/>
        <v>40.23147033533963</v>
      </c>
      <c r="I5" s="96">
        <f t="shared" si="25"/>
        <v>49.642906276870143</v>
      </c>
      <c r="J5" s="96">
        <f t="shared" si="25"/>
        <v>63.087790197764406</v>
      </c>
      <c r="K5" s="96">
        <f t="shared" si="25"/>
        <v>45.504901117798795</v>
      </c>
      <c r="L5" s="96">
        <f t="shared" si="25"/>
        <v>41.369045571797074</v>
      </c>
      <c r="M5" s="96">
        <f t="shared" si="25"/>
        <v>43.436543422183995</v>
      </c>
      <c r="N5" s="96">
        <f t="shared" si="25"/>
        <v>37.231298366294062</v>
      </c>
      <c r="O5" s="96">
        <f t="shared" si="25"/>
        <v>41.368099742046425</v>
      </c>
      <c r="P5" s="96">
        <f t="shared" si="25"/>
        <v>35.162854686156486</v>
      </c>
      <c r="Q5" s="96">
        <f t="shared" si="25"/>
        <v>43.436543422184002</v>
      </c>
      <c r="R5" s="96">
        <f t="shared" si="25"/>
        <v>49.641702493551151</v>
      </c>
      <c r="S5" s="96">
        <f t="shared" si="25"/>
        <v>40.333877901977637</v>
      </c>
      <c r="T5" s="96">
        <f t="shared" si="25"/>
        <v>47.573344797936372</v>
      </c>
      <c r="U5" s="96">
        <f t="shared" si="25"/>
        <v>45.504901117798781</v>
      </c>
      <c r="V5" s="96">
        <f t="shared" si="25"/>
        <v>28.957695614789341</v>
      </c>
      <c r="W5" s="96">
        <f t="shared" ref="W5:Y5" si="26">SUM(W8:W9,W12:W13)</f>
        <v>22.752450558899405</v>
      </c>
      <c r="X5" s="96">
        <f t="shared" si="26"/>
        <v>34.128718830610481</v>
      </c>
      <c r="Y5" s="96">
        <f t="shared" si="26"/>
        <v>28.957695614789333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26.614477145872222</v>
      </c>
      <c r="C6" s="21">
        <f t="shared" si="27"/>
        <v>30.272627881898217</v>
      </c>
      <c r="D6" s="21">
        <f t="shared" ref="D6:V6" si="28">SUM(D7:D9)</f>
        <v>46.00054025664673</v>
      </c>
      <c r="E6" s="21">
        <f t="shared" si="28"/>
        <v>33.234801501811496</v>
      </c>
      <c r="F6" s="21">
        <f t="shared" si="28"/>
        <v>26.657414489784077</v>
      </c>
      <c r="G6" s="21">
        <f t="shared" si="28"/>
        <v>39.044799664721808</v>
      </c>
      <c r="H6" s="21">
        <f t="shared" si="28"/>
        <v>39.721667949603336</v>
      </c>
      <c r="I6" s="21">
        <f t="shared" si="28"/>
        <v>49.237711384690925</v>
      </c>
      <c r="J6" s="21">
        <f t="shared" si="28"/>
        <v>62.409379496410736</v>
      </c>
      <c r="K6" s="21">
        <f t="shared" si="28"/>
        <v>44.491826045785245</v>
      </c>
      <c r="L6" s="21">
        <f t="shared" si="28"/>
        <v>39.969621047099693</v>
      </c>
      <c r="M6" s="21">
        <f t="shared" si="28"/>
        <v>41.800834094656118</v>
      </c>
      <c r="N6" s="21">
        <f t="shared" si="28"/>
        <v>35.474230060779625</v>
      </c>
      <c r="O6" s="21">
        <f t="shared" si="28"/>
        <v>39.476202237619781</v>
      </c>
      <c r="P6" s="21">
        <f t="shared" si="28"/>
        <v>34.023778636845392</v>
      </c>
      <c r="Q6" s="21">
        <f t="shared" si="28"/>
        <v>42.016534378478596</v>
      </c>
      <c r="R6" s="21">
        <f t="shared" si="28"/>
        <v>48.317844506046526</v>
      </c>
      <c r="S6" s="21">
        <f t="shared" si="28"/>
        <v>38.966212288100095</v>
      </c>
      <c r="T6" s="21">
        <f t="shared" si="28"/>
        <v>46.458399697596327</v>
      </c>
      <c r="U6" s="21">
        <f t="shared" si="28"/>
        <v>44.642534295617409</v>
      </c>
      <c r="V6" s="21">
        <f t="shared" si="28"/>
        <v>26.021906186465635</v>
      </c>
      <c r="W6" s="21">
        <f t="shared" ref="W6:Y6" si="29">SUM(W7:W9)</f>
        <v>21.328203771263084</v>
      </c>
      <c r="X6" s="21">
        <f t="shared" si="29"/>
        <v>33.177075194680427</v>
      </c>
      <c r="Y6" s="21">
        <f t="shared" si="29"/>
        <v>28.596887225845144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16.394366876322934</v>
      </c>
      <c r="C8" s="96">
        <v>18.629391911328696</v>
      </c>
      <c r="D8" s="96">
        <v>24.658647670550387</v>
      </c>
      <c r="E8" s="96">
        <v>18.293542807011615</v>
      </c>
      <c r="F8" s="96">
        <v>15.551970856643393</v>
      </c>
      <c r="G8" s="96">
        <v>23.955999886353002</v>
      </c>
      <c r="H8" s="96">
        <v>25.699755449103026</v>
      </c>
      <c r="I8" s="96">
        <v>32.459350591394141</v>
      </c>
      <c r="J8" s="96">
        <v>43.032690729923658</v>
      </c>
      <c r="K8" s="96">
        <v>29.273409353915312</v>
      </c>
      <c r="L8" s="96">
        <v>25.374847687737404</v>
      </c>
      <c r="M8" s="96">
        <v>26.004162198822947</v>
      </c>
      <c r="N8" s="96">
        <v>21.877239853724042</v>
      </c>
      <c r="O8" s="96">
        <v>24.208456238622915</v>
      </c>
      <c r="P8" s="96">
        <v>21.399882875058935</v>
      </c>
      <c r="Q8" s="96">
        <v>27.2836292520855</v>
      </c>
      <c r="R8" s="96">
        <v>32.021067810681444</v>
      </c>
      <c r="S8" s="96">
        <v>25.532630312891655</v>
      </c>
      <c r="T8" s="96">
        <v>30.705517566009433</v>
      </c>
      <c r="U8" s="96">
        <v>29.431154741958704</v>
      </c>
      <c r="V8" s="96">
        <v>14.601537837493018</v>
      </c>
      <c r="W8" s="96">
        <v>12.827488607516679</v>
      </c>
      <c r="X8" s="96">
        <v>21.733717955836916</v>
      </c>
      <c r="Y8" s="96">
        <v>18.616501657510113</v>
      </c>
      <c r="DA8" s="171" t="s">
        <v>282</v>
      </c>
    </row>
    <row r="9" spans="1:105" ht="11.45" customHeight="1" x14ac:dyDescent="0.25">
      <c r="A9" s="83" t="s">
        <v>182</v>
      </c>
      <c r="B9" s="96">
        <v>10.220110269549286</v>
      </c>
      <c r="C9" s="96">
        <v>11.643235970569522</v>
      </c>
      <c r="D9" s="96">
        <v>21.341892586096343</v>
      </c>
      <c r="E9" s="96">
        <v>14.941258694799879</v>
      </c>
      <c r="F9" s="96">
        <v>11.105443633140684</v>
      </c>
      <c r="G9" s="96">
        <v>15.088799778368804</v>
      </c>
      <c r="H9" s="96">
        <v>14.021912500500312</v>
      </c>
      <c r="I9" s="96">
        <v>16.778360793296784</v>
      </c>
      <c r="J9" s="96">
        <v>19.376688766487081</v>
      </c>
      <c r="K9" s="96">
        <v>15.218416691869935</v>
      </c>
      <c r="L9" s="96">
        <v>14.594773359362287</v>
      </c>
      <c r="M9" s="96">
        <v>15.796671895833173</v>
      </c>
      <c r="N9" s="96">
        <v>13.596990207055583</v>
      </c>
      <c r="O9" s="96">
        <v>15.267745998996867</v>
      </c>
      <c r="P9" s="96">
        <v>12.623895761786459</v>
      </c>
      <c r="Q9" s="96">
        <v>14.732905126393099</v>
      </c>
      <c r="R9" s="96">
        <v>16.296776695365086</v>
      </c>
      <c r="S9" s="96">
        <v>13.433581975208444</v>
      </c>
      <c r="T9" s="96">
        <v>15.752882131586896</v>
      </c>
      <c r="U9" s="96">
        <v>15.211379553658709</v>
      </c>
      <c r="V9" s="96">
        <v>11.420368348972616</v>
      </c>
      <c r="W9" s="96">
        <v>8.5007151637464045</v>
      </c>
      <c r="X9" s="96">
        <v>11.443357238843515</v>
      </c>
      <c r="Y9" s="96">
        <v>9.9803855683350289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0.77159336143645652</v>
      </c>
      <c r="C10" s="22">
        <f t="shared" si="30"/>
        <v>0.75772465464520133</v>
      </c>
      <c r="D10" s="22">
        <f t="shared" ref="D10:V10" si="31">SUM(D11:D13)</f>
        <v>0.52783463587260815</v>
      </c>
      <c r="E10" s="22">
        <f t="shared" si="31"/>
        <v>0.66141517918592596</v>
      </c>
      <c r="F10" s="22">
        <f t="shared" si="31"/>
        <v>0.23562076387025882</v>
      </c>
      <c r="G10" s="22">
        <f t="shared" si="31"/>
        <v>0.26035940664534724</v>
      </c>
      <c r="H10" s="22">
        <f t="shared" si="31"/>
        <v>0.50980238573629255</v>
      </c>
      <c r="I10" s="22">
        <f t="shared" si="31"/>
        <v>0.40519489217921784</v>
      </c>
      <c r="J10" s="22">
        <f t="shared" si="31"/>
        <v>0.67841070135366566</v>
      </c>
      <c r="K10" s="22">
        <f t="shared" si="31"/>
        <v>1.0130750720135526</v>
      </c>
      <c r="L10" s="22">
        <f t="shared" si="31"/>
        <v>1.3994245246973762</v>
      </c>
      <c r="M10" s="22">
        <f t="shared" si="31"/>
        <v>1.6357093275278778</v>
      </c>
      <c r="N10" s="22">
        <f t="shared" si="31"/>
        <v>1.7570683055144378</v>
      </c>
      <c r="O10" s="22">
        <f t="shared" si="31"/>
        <v>1.8918975044266466</v>
      </c>
      <c r="P10" s="22">
        <f t="shared" si="31"/>
        <v>1.1390760493110963</v>
      </c>
      <c r="Q10" s="22">
        <f t="shared" si="31"/>
        <v>1.420009043705408</v>
      </c>
      <c r="R10" s="22">
        <f t="shared" si="31"/>
        <v>1.3238579875046221</v>
      </c>
      <c r="S10" s="22">
        <f t="shared" si="31"/>
        <v>1.367665613877542</v>
      </c>
      <c r="T10" s="22">
        <f t="shared" si="31"/>
        <v>1.1149451003400443</v>
      </c>
      <c r="U10" s="22">
        <f t="shared" si="31"/>
        <v>0.86236682218137561</v>
      </c>
      <c r="V10" s="22">
        <f t="shared" si="31"/>
        <v>2.9357894283237038</v>
      </c>
      <c r="W10" s="22">
        <f t="shared" ref="W10:Y10" si="32">SUM(W11:W13)</f>
        <v>1.4242467876363223</v>
      </c>
      <c r="X10" s="22">
        <f t="shared" si="32"/>
        <v>0.95164363593005596</v>
      </c>
      <c r="Y10" s="22">
        <f t="shared" si="32"/>
        <v>0.36080838894419143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0.40284561035650357</v>
      </c>
      <c r="C12" s="97">
        <v>0.38761264158407371</v>
      </c>
      <c r="D12" s="97">
        <v>0.41876815762839026</v>
      </c>
      <c r="E12" s="97">
        <v>0.1813377319611949</v>
      </c>
      <c r="F12" s="97">
        <v>7.1656373413701721E-2</v>
      </c>
      <c r="G12" s="97">
        <v>5.9260333068857612E-2</v>
      </c>
      <c r="H12" s="97">
        <v>4.9727609801733547E-2</v>
      </c>
      <c r="I12" s="97">
        <v>6.0446516088319559E-2</v>
      </c>
      <c r="J12" s="97">
        <v>0.51563317100278783</v>
      </c>
      <c r="K12" s="97">
        <v>0.89547910205441938</v>
      </c>
      <c r="L12" s="97">
        <v>1.088907952225203</v>
      </c>
      <c r="M12" s="97">
        <v>1.6078553128899697</v>
      </c>
      <c r="N12" s="97">
        <v>1.7340819054661105</v>
      </c>
      <c r="O12" s="97">
        <v>1.8469697262000397</v>
      </c>
      <c r="P12" s="97">
        <v>0.91734960663356035</v>
      </c>
      <c r="Q12" s="97">
        <v>1.2489187334609386</v>
      </c>
      <c r="R12" s="97">
        <v>1.1842237869112096</v>
      </c>
      <c r="S12" s="97">
        <v>1.3245782768487424</v>
      </c>
      <c r="T12" s="97">
        <v>1.07079895472422</v>
      </c>
      <c r="U12" s="97">
        <v>0.85053263378708444</v>
      </c>
      <c r="V12" s="97">
        <v>2.8229926519094861</v>
      </c>
      <c r="W12" s="97">
        <v>1.4181030605351959</v>
      </c>
      <c r="X12" s="97">
        <v>0.94782173701056449</v>
      </c>
      <c r="Y12" s="97">
        <v>0.35891857393070997</v>
      </c>
      <c r="DA12" s="175" t="s">
        <v>286</v>
      </c>
    </row>
    <row r="13" spans="1:105" ht="11.45" customHeight="1" x14ac:dyDescent="0.25">
      <c r="A13" s="85" t="s">
        <v>182</v>
      </c>
      <c r="B13" s="98">
        <v>0.36874775107995289</v>
      </c>
      <c r="C13" s="98">
        <v>0.37011201306112762</v>
      </c>
      <c r="D13" s="98">
        <v>0.10906647824421793</v>
      </c>
      <c r="E13" s="98">
        <v>0.480077447224731</v>
      </c>
      <c r="F13" s="98">
        <v>0.16396439045655709</v>
      </c>
      <c r="G13" s="98">
        <v>0.20109907357648962</v>
      </c>
      <c r="H13" s="98">
        <v>0.46007477593455898</v>
      </c>
      <c r="I13" s="98">
        <v>0.34474837609089826</v>
      </c>
      <c r="J13" s="98">
        <v>0.16277753035087783</v>
      </c>
      <c r="K13" s="98">
        <v>0.1175959699591333</v>
      </c>
      <c r="L13" s="98">
        <v>0.31051657247217324</v>
      </c>
      <c r="M13" s="98">
        <v>2.7854014637908108E-2</v>
      </c>
      <c r="N13" s="98">
        <v>2.2986400048327242E-2</v>
      </c>
      <c r="O13" s="98">
        <v>4.4927778226606874E-2</v>
      </c>
      <c r="P13" s="98">
        <v>0.22172644267753602</v>
      </c>
      <c r="Q13" s="98">
        <v>0.17109031024446936</v>
      </c>
      <c r="R13" s="98">
        <v>0.1396342005934125</v>
      </c>
      <c r="S13" s="98">
        <v>4.3087337028799598E-2</v>
      </c>
      <c r="T13" s="98">
        <v>4.4146145615824244E-2</v>
      </c>
      <c r="U13" s="98">
        <v>1.1834188394291185E-2</v>
      </c>
      <c r="V13" s="98">
        <v>0.11279677641421788</v>
      </c>
      <c r="W13" s="98">
        <v>6.1437271011263849E-3</v>
      </c>
      <c r="X13" s="98">
        <v>3.8218989194914268E-3</v>
      </c>
      <c r="Y13" s="98">
        <v>1.8898150134814286E-3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701.41327192885137</v>
      </c>
      <c r="C17" s="62">
        <f>IF(C3=0,0,C3/TrAvia_act!C13*100)</f>
        <v>703.91207810189997</v>
      </c>
      <c r="D17" s="62">
        <f>IF(D3=0,0,D3/TrAvia_act!D13*100)</f>
        <v>860.34507691184604</v>
      </c>
      <c r="E17" s="62">
        <f>IF(E3=0,0,E3/TrAvia_act!E13*100)</f>
        <v>443.75074048400222</v>
      </c>
      <c r="F17" s="62">
        <f>IF(F3=0,0,F3/TrAvia_act!F13*100)</f>
        <v>222.05542909645558</v>
      </c>
      <c r="G17" s="62">
        <f>IF(G3=0,0,G3/TrAvia_act!G13*100)</f>
        <v>303.89381245914228</v>
      </c>
      <c r="H17" s="62">
        <f>IF(H3=0,0,H3/TrAvia_act!H13*100)</f>
        <v>300.19875998964443</v>
      </c>
      <c r="I17" s="62">
        <f>IF(I3=0,0,I3/TrAvia_act!I13*100)</f>
        <v>365.81078430725029</v>
      </c>
      <c r="J17" s="62">
        <f>IF(J3=0,0,J3/TrAvia_act!J13*100)</f>
        <v>381.00245074996747</v>
      </c>
      <c r="K17" s="62">
        <f>IF(K3=0,0,K3/TrAvia_act!K13*100)</f>
        <v>371.48367838591707</v>
      </c>
      <c r="L17" s="62">
        <f>IF(L3=0,0,L3/TrAvia_act!L13*100)</f>
        <v>353.16703478998193</v>
      </c>
      <c r="M17" s="62">
        <f>IF(M3=0,0,M3/TrAvia_act!M13*100)</f>
        <v>375.31879171351909</v>
      </c>
      <c r="N17" s="62">
        <f>IF(N3=0,0,N3/TrAvia_act!N13*100)</f>
        <v>387.56323165680396</v>
      </c>
      <c r="O17" s="62">
        <f>IF(O3=0,0,O3/TrAvia_act!O13*100)</f>
        <v>448.93458883098799</v>
      </c>
      <c r="P17" s="62">
        <f>IF(P3=0,0,P3/TrAvia_act!P13*100)</f>
        <v>374.09569897157746</v>
      </c>
      <c r="Q17" s="62">
        <f>IF(Q3=0,0,Q3/TrAvia_act!Q13*100)</f>
        <v>391.3310772515494</v>
      </c>
      <c r="R17" s="62">
        <f>IF(R3=0,0,R3/TrAvia_act!R13*100)</f>
        <v>407.33015218493193</v>
      </c>
      <c r="S17" s="62">
        <f>IF(S3=0,0,S3/TrAvia_act!S13*100)</f>
        <v>303.92468149523427</v>
      </c>
      <c r="T17" s="62">
        <f>IF(T3=0,0,T3/TrAvia_act!T13*100)</f>
        <v>315.96376281998937</v>
      </c>
      <c r="U17" s="62">
        <f>IF(U3=0,0,U3/TrAvia_act!U13*100)</f>
        <v>299.39838428009728</v>
      </c>
      <c r="V17" s="62">
        <f>IF(V3=0,0,V3/TrAvia_act!V13*100)</f>
        <v>715.25234093605604</v>
      </c>
      <c r="W17" s="62">
        <f>IF(W3=0,0,W3/TrAvia_act!W13*100)</f>
        <v>419.52033032852557</v>
      </c>
      <c r="X17" s="62">
        <f>IF(X3=0,0,X3/TrAvia_act!X13*100)</f>
        <v>310.17723723601551</v>
      </c>
      <c r="Y17" s="62">
        <f>IF(Y3=0,0,Y3/TrAvia_act!Y13*100)</f>
        <v>229.59141321194406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705.36157048720315</v>
      </c>
      <c r="C18" s="14">
        <f>IF(C6=0,0,C6/TrAvia_act!C14*100)</f>
        <v>707.36689224672546</v>
      </c>
      <c r="D18" s="14">
        <f>IF(D6=0,0,D6/TrAvia_act!D14*100)</f>
        <v>861.4784705931587</v>
      </c>
      <c r="E18" s="14">
        <f>IF(E6=0,0,E6/TrAvia_act!E14*100)</f>
        <v>445.94962698820825</v>
      </c>
      <c r="F18" s="14">
        <f>IF(F6=0,0,F6/TrAvia_act!F14*100)</f>
        <v>222.56668143530075</v>
      </c>
      <c r="G18" s="14">
        <f>IF(G6=0,0,G6/TrAvia_act!G14*100)</f>
        <v>304.17583026803595</v>
      </c>
      <c r="H18" s="14">
        <f>IF(H6=0,0,H6/TrAvia_act!H14*100)</f>
        <v>299.16192011914416</v>
      </c>
      <c r="I18" s="14">
        <f>IF(I6=0,0,I6/TrAvia_act!I14*100)</f>
        <v>365.32797765751224</v>
      </c>
      <c r="J18" s="14">
        <f>IF(J6=0,0,J6/TrAvia_act!J14*100)</f>
        <v>382.07421147137791</v>
      </c>
      <c r="K18" s="14">
        <f>IF(K6=0,0,K6/TrAvia_act!K14*100)</f>
        <v>373.44393132356544</v>
      </c>
      <c r="L18" s="14">
        <f>IF(L6=0,0,L6/TrAvia_act!L14*100)</f>
        <v>354.79045163029309</v>
      </c>
      <c r="M18" s="14">
        <f>IF(M6=0,0,M6/TrAvia_act!M14*100)</f>
        <v>379.29529590311472</v>
      </c>
      <c r="N18" s="14">
        <f>IF(N6=0,0,N6/TrAvia_act!N14*100)</f>
        <v>389.56324477065493</v>
      </c>
      <c r="O18" s="14">
        <f>IF(O6=0,0,O6/TrAvia_act!O14*100)</f>
        <v>451.17501948554758</v>
      </c>
      <c r="P18" s="14">
        <f>IF(P6=0,0,P6/TrAvia_act!P14*100)</f>
        <v>374.7057219511604</v>
      </c>
      <c r="Q18" s="14">
        <f>IF(Q6=0,0,Q6/TrAvia_act!Q14*100)</f>
        <v>392.7703203971609</v>
      </c>
      <c r="R18" s="14">
        <f>IF(R6=0,0,R6/TrAvia_act!R14*100)</f>
        <v>408.67128353566687</v>
      </c>
      <c r="S18" s="14">
        <f>IF(S6=0,0,S6/TrAvia_act!S14*100)</f>
        <v>303.82566525674434</v>
      </c>
      <c r="T18" s="14">
        <f>IF(T6=0,0,T6/TrAvia_act!T14*100)</f>
        <v>315.90966768195909</v>
      </c>
      <c r="U18" s="14">
        <f>IF(U6=0,0,U6/TrAvia_act!U14*100)</f>
        <v>299.15822960878694</v>
      </c>
      <c r="V18" s="14">
        <f>IF(V6=0,0,V6/TrAvia_act!V14*100)</f>
        <v>714.90436171705994</v>
      </c>
      <c r="W18" s="14">
        <f>IF(W6=0,0,W6/TrAvia_act!W14*100)</f>
        <v>418.66261633832238</v>
      </c>
      <c r="X18" s="14">
        <f>IF(X6=0,0,X6/TrAvia_act!X14*100)</f>
        <v>309.11492201754282</v>
      </c>
      <c r="Y18" s="14">
        <f>IF(Y6=0,0,Y6/TrAvia_act!Y14*100)</f>
        <v>229.3841029791075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724.34047152683411</v>
      </c>
      <c r="C20" s="87">
        <f>IF(C8=0,0,C8/TrAvia_act!C16*100)</f>
        <v>726.03545767624814</v>
      </c>
      <c r="D20" s="87">
        <f>IF(D8=0,0,D8/TrAvia_act!D16*100)</f>
        <v>891.2592130806006</v>
      </c>
      <c r="E20" s="87">
        <f>IF(E8=0,0,E8/TrAvia_act!E16*100)</f>
        <v>456.95994229917937</v>
      </c>
      <c r="F20" s="87">
        <f>IF(F8=0,0,F8/TrAvia_act!F16*100)</f>
        <v>230.02888956982375</v>
      </c>
      <c r="G20" s="87">
        <f>IF(G8=0,0,G8/TrAvia_act!G16*100)</f>
        <v>280.95611429597039</v>
      </c>
      <c r="H20" s="87">
        <f>IF(H8=0,0,H8/TrAvia_act!H16*100)</f>
        <v>242.42656533079204</v>
      </c>
      <c r="I20" s="87">
        <f>IF(I8=0,0,I8/TrAvia_act!I16*100)</f>
        <v>321.60074595836073</v>
      </c>
      <c r="J20" s="87">
        <f>IF(J8=0,0,J8/TrAvia_act!J16*100)</f>
        <v>350.33467694722333</v>
      </c>
      <c r="K20" s="87">
        <f>IF(K8=0,0,K8/TrAvia_act!K16*100)</f>
        <v>330.59792548039115</v>
      </c>
      <c r="L20" s="87">
        <f>IF(L8=0,0,L8/TrAvia_act!L16*100)</f>
        <v>304.23974688248785</v>
      </c>
      <c r="M20" s="87">
        <f>IF(M8=0,0,M8/TrAvia_act!M16*100)</f>
        <v>324.18711745925418</v>
      </c>
      <c r="N20" s="87">
        <f>IF(N8=0,0,N8/TrAvia_act!N16*100)</f>
        <v>349.19863304743342</v>
      </c>
      <c r="O20" s="87">
        <f>IF(O8=0,0,O8/TrAvia_act!O16*100)</f>
        <v>390.57616656026869</v>
      </c>
      <c r="P20" s="87">
        <f>IF(P8=0,0,P8/TrAvia_act!P16*100)</f>
        <v>312.83070348714699</v>
      </c>
      <c r="Q20" s="87">
        <f>IF(Q8=0,0,Q8/TrAvia_act!Q16*100)</f>
        <v>352.8900991240946</v>
      </c>
      <c r="R20" s="87">
        <f>IF(R8=0,0,R8/TrAvia_act!R16*100)</f>
        <v>363.02064883972218</v>
      </c>
      <c r="S20" s="87">
        <f>IF(S8=0,0,S8/TrAvia_act!S16*100)</f>
        <v>301.69052388311479</v>
      </c>
      <c r="T20" s="87">
        <f>IF(T8=0,0,T8/TrAvia_act!T16*100)</f>
        <v>327.46390023435896</v>
      </c>
      <c r="U20" s="87">
        <f>IF(U8=0,0,U8/TrAvia_act!U16*100)</f>
        <v>318.64663434117529</v>
      </c>
      <c r="V20" s="87">
        <f>IF(V8=0,0,V8/TrAvia_act!V16*100)</f>
        <v>519.28388998761625</v>
      </c>
      <c r="W20" s="87">
        <f>IF(W8=0,0,W8/TrAvia_act!W16*100)</f>
        <v>322.10921007308957</v>
      </c>
      <c r="X20" s="87">
        <f>IF(X8=0,0,X8/TrAvia_act!X16*100)</f>
        <v>299.93263083209962</v>
      </c>
      <c r="Y20" s="87">
        <f>IF(Y8=0,0,Y8/TrAvia_act!Y16*100)</f>
        <v>226.70977634990211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676.91049893567777</v>
      </c>
      <c r="C21" s="87">
        <f>IF(C9=0,0,C9/TrAvia_act!C17*100)</f>
        <v>679.41487558787787</v>
      </c>
      <c r="D21" s="87">
        <f>IF(D9=0,0,D9/TrAvia_act!D17*100)</f>
        <v>829.4555504552377</v>
      </c>
      <c r="E21" s="87">
        <f>IF(E9=0,0,E9/TrAvia_act!E17*100)</f>
        <v>433.17078730721937</v>
      </c>
      <c r="F21" s="87">
        <f>IF(F9=0,0,F9/TrAvia_act!F17*100)</f>
        <v>212.89504313111101</v>
      </c>
      <c r="G21" s="87">
        <f>IF(G9=0,0,G9/TrAvia_act!G17*100)</f>
        <v>350.11568155264786</v>
      </c>
      <c r="H21" s="87">
        <f>IF(H9=0,0,H9/TrAvia_act!H17*100)</f>
        <v>523.87013104517064</v>
      </c>
      <c r="I21" s="87">
        <f>IF(I9=0,0,I9/TrAvia_act!I17*100)</f>
        <v>495.72434047220514</v>
      </c>
      <c r="J21" s="87">
        <f>IF(J9=0,0,J9/TrAvia_act!J17*100)</f>
        <v>478.31255680604386</v>
      </c>
      <c r="K21" s="87">
        <f>IF(K9=0,0,K9/TrAvia_act!K17*100)</f>
        <v>497.45781613547609</v>
      </c>
      <c r="L21" s="87">
        <f>IF(L9=0,0,L9/TrAvia_act!L17*100)</f>
        <v>498.91777871018991</v>
      </c>
      <c r="M21" s="87">
        <f>IF(M9=0,0,M9/TrAvia_act!M17*100)</f>
        <v>526.67622297217088</v>
      </c>
      <c r="N21" s="87">
        <f>IF(N9=0,0,N9/TrAvia_act!N17*100)</f>
        <v>478.57012322667271</v>
      </c>
      <c r="O21" s="87">
        <f>IF(O9=0,0,O9/TrAvia_act!O17*100)</f>
        <v>598.38242736400809</v>
      </c>
      <c r="P21" s="87">
        <f>IF(P9=0,0,P9/TrAvia_act!P17*100)</f>
        <v>563.71528464785513</v>
      </c>
      <c r="Q21" s="87">
        <f>IF(Q9=0,0,Q9/TrAvia_act!Q17*100)</f>
        <v>496.7261524590491</v>
      </c>
      <c r="R21" s="87">
        <f>IF(R9=0,0,R9/TrAvia_act!R17*100)</f>
        <v>542.78673360687731</v>
      </c>
      <c r="S21" s="87">
        <f>IF(S9=0,0,S9/TrAvia_act!S17*100)</f>
        <v>307.96828130826697</v>
      </c>
      <c r="T21" s="87">
        <f>IF(T9=0,0,T9/TrAvia_act!T17*100)</f>
        <v>295.58092683470898</v>
      </c>
      <c r="U21" s="87">
        <f>IF(U9=0,0,U9/TrAvia_act!U17*100)</f>
        <v>267.50372717339383</v>
      </c>
      <c r="V21" s="87">
        <f>IF(V9=0,0,V9/TrAvia_act!V17*100)</f>
        <v>1379.1816646572761</v>
      </c>
      <c r="W21" s="87">
        <f>IF(W9=0,0,W9/TrAvia_act!W17*100)</f>
        <v>764.43629306554953</v>
      </c>
      <c r="X21" s="87">
        <f>IF(X9=0,0,X9/TrAvia_act!X17*100)</f>
        <v>328.1977863269131</v>
      </c>
      <c r="Y21" s="87">
        <f>IF(Y9=0,0,Y9/TrAvia_act!Y17*100)</f>
        <v>234.5449506663098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587.90340330358868</v>
      </c>
      <c r="C22" s="15">
        <f>IF(C10=0,0,C10/TrAvia_act!C18*100)</f>
        <v>588.98488196413587</v>
      </c>
      <c r="D22" s="15">
        <f>IF(D10=0,0,D10/TrAvia_act!D18*100)</f>
        <v>771.84722058366754</v>
      </c>
      <c r="E22" s="15">
        <f>IF(E10=0,0,E10/TrAvia_act!E18*100)</f>
        <v>355.63712344280071</v>
      </c>
      <c r="F22" s="15">
        <f>IF(F10=0,0,F10/TrAvia_act!F18*100)</f>
        <v>176.25068709001542</v>
      </c>
      <c r="G22" s="15">
        <f>IF(G10=0,0,G10/TrAvia_act!G18*100)</f>
        <v>266.79804199453008</v>
      </c>
      <c r="H22" s="15">
        <f>IF(H10=0,0,H10/TrAvia_act!H18*100)</f>
        <v>411.25472525493325</v>
      </c>
      <c r="I22" s="15">
        <f>IF(I10=0,0,I10/TrAvia_act!I18*100)</f>
        <v>435.79621900824651</v>
      </c>
      <c r="J22" s="15">
        <f>IF(J10=0,0,J10/TrAvia_act!J18*100)</f>
        <v>302.85110676911631</v>
      </c>
      <c r="K22" s="15">
        <f>IF(K10=0,0,K10/TrAvia_act!K18*100)</f>
        <v>301.88944731198234</v>
      </c>
      <c r="L22" s="15">
        <f>IF(L10=0,0,L10/TrAvia_act!L18*100)</f>
        <v>312.34678036541584</v>
      </c>
      <c r="M22" s="15">
        <f>IF(M10=0,0,M10/TrAvia_act!M18*100)</f>
        <v>296.0117491977017</v>
      </c>
      <c r="N22" s="15">
        <f>IF(N10=0,0,N10/TrAvia_act!N18*100)</f>
        <v>351.16422986692169</v>
      </c>
      <c r="O22" s="15">
        <f>IF(O10=0,0,O10/TrAvia_act!O18*100)</f>
        <v>406.78536855326462</v>
      </c>
      <c r="P22" s="15">
        <f>IF(P10=0,0,P10/TrAvia_act!P18*100)</f>
        <v>356.74779568489339</v>
      </c>
      <c r="Q22" s="15">
        <f>IF(Q10=0,0,Q10/TrAvia_act!Q18*100)</f>
        <v>353.05185366115751</v>
      </c>
      <c r="R22" s="15">
        <f>IF(R10=0,0,R10/TrAvia_act!R18*100)</f>
        <v>363.76096677805259</v>
      </c>
      <c r="S22" s="15">
        <f>IF(S10=0,0,S10/TrAvia_act!S18*100)</f>
        <v>306.77312454277563</v>
      </c>
      <c r="T22" s="15">
        <f>IF(T10=0,0,T10/TrAvia_act!T18*100)</f>
        <v>318.23442874154699</v>
      </c>
      <c r="U22" s="15">
        <f>IF(U10=0,0,U10/TrAvia_act!U18*100)</f>
        <v>312.38004232353154</v>
      </c>
      <c r="V22" s="15">
        <f>IF(V10=0,0,V10/TrAvia_act!V18*100)</f>
        <v>718.35159104290369</v>
      </c>
      <c r="W22" s="15">
        <f>IF(W10=0,0,W10/TrAvia_act!W18*100)</f>
        <v>432.79833840051316</v>
      </c>
      <c r="X22" s="15">
        <f>IF(X10=0,0,X10/TrAvia_act!X18*100)</f>
        <v>352.39850167479631</v>
      </c>
      <c r="Y22" s="15">
        <f>IF(Y10=0,0,Y10/TrAvia_act!Y18*100)</f>
        <v>247.30613996591683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661.15021977236051</v>
      </c>
      <c r="C24" s="101">
        <f>IF(C12=0,0,C12/TrAvia_act!C20*100)</f>
        <v>664.45575617707527</v>
      </c>
      <c r="D24" s="101">
        <f>IF(D12=0,0,D12/TrAvia_act!D20*100)</f>
        <v>814.50890942197384</v>
      </c>
      <c r="E24" s="101">
        <f>IF(E12=0,0,E12/TrAvia_act!E20*100)</f>
        <v>422.42351646797641</v>
      </c>
      <c r="F24" s="101">
        <f>IF(F12=0,0,F12/TrAvia_act!F20*100)</f>
        <v>209.05871243720523</v>
      </c>
      <c r="G24" s="101">
        <f>IF(G12=0,0,G12/TrAvia_act!G20*100)</f>
        <v>252.71205974879928</v>
      </c>
      <c r="H24" s="101">
        <f>IF(H12=0,0,H12/TrAvia_act!H20*100)</f>
        <v>228.62229799767616</v>
      </c>
      <c r="I24" s="101">
        <f>IF(I12=0,0,I12/TrAvia_act!I20*100)</f>
        <v>300.72200422695215</v>
      </c>
      <c r="J24" s="101">
        <f>IF(J12=0,0,J12/TrAvia_act!J20*100)</f>
        <v>269.10005750601374</v>
      </c>
      <c r="K24" s="101">
        <f>IF(K12=0,0,K12/TrAvia_act!K20*100)</f>
        <v>284.26843871886103</v>
      </c>
      <c r="L24" s="101">
        <f>IF(L12=0,0,L12/TrAvia_act!L20*100)</f>
        <v>272.87637986073071</v>
      </c>
      <c r="M24" s="101">
        <f>IF(M12=0,0,M12/TrAvia_act!M20*100)</f>
        <v>293.24300908396287</v>
      </c>
      <c r="N24" s="101">
        <f>IF(N12=0,0,N12/TrAvia_act!N20*100)</f>
        <v>349.33188578232193</v>
      </c>
      <c r="O24" s="101">
        <f>IF(O12=0,0,O12/TrAvia_act!O20*100)</f>
        <v>402.98402547781205</v>
      </c>
      <c r="P24" s="101">
        <f>IF(P12=0,0,P12/TrAvia_act!P20*100)</f>
        <v>326.62566833583332</v>
      </c>
      <c r="Q24" s="101">
        <f>IF(Q12=0,0,Q12/TrAvia_act!Q20*100)</f>
        <v>342.1935428606468</v>
      </c>
      <c r="R24" s="101">
        <f>IF(R12=0,0,R12/TrAvia_act!R20*100)</f>
        <v>354.32101015752136</v>
      </c>
      <c r="S24" s="101">
        <f>IF(S12=0,0,S12/TrAvia_act!S20*100)</f>
        <v>308.67918907598954</v>
      </c>
      <c r="T24" s="101">
        <f>IF(T12=0,0,T12/TrAvia_act!T20*100)</f>
        <v>322.96734411946858</v>
      </c>
      <c r="U24" s="101">
        <f>IF(U12=0,0,U12/TrAvia_act!U20*100)</f>
        <v>314.06274350810645</v>
      </c>
      <c r="V24" s="101">
        <f>IF(V12=0,0,V12/TrAvia_act!V20*100)</f>
        <v>706.54264020592245</v>
      </c>
      <c r="W24" s="101">
        <f>IF(W12=0,0,W12/TrAvia_act!W20*100)</f>
        <v>432.52223229441927</v>
      </c>
      <c r="X24" s="101">
        <f>IF(X12=0,0,X12/TrAvia_act!X20*100)</f>
        <v>353.13517995360002</v>
      </c>
      <c r="Y24" s="101">
        <f>IF(Y12=0,0,Y12/TrAvia_act!Y20*100)</f>
        <v>247.92777747901758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524.43083372385559</v>
      </c>
      <c r="C25" s="88">
        <f>IF(C13=0,0,C13/TrAvia_act!C21*100)</f>
        <v>526.37107890802235</v>
      </c>
      <c r="D25" s="88">
        <f>IF(D13=0,0,D13/TrAvia_act!D21*100)</f>
        <v>642.61385596185642</v>
      </c>
      <c r="E25" s="88">
        <f>IF(E13=0,0,E13/TrAvia_act!E21*100)</f>
        <v>335.59549968500392</v>
      </c>
      <c r="F25" s="88">
        <f>IF(F13=0,0,F13/TrAvia_act!F21*100)</f>
        <v>164.93868117051323</v>
      </c>
      <c r="G25" s="88">
        <f>IF(G13=0,0,G13/TrAvia_act!G21*100)</f>
        <v>271.25348105148987</v>
      </c>
      <c r="H25" s="88">
        <f>IF(H13=0,0,H13/TrAvia_act!H21*100)</f>
        <v>450.11951370475225</v>
      </c>
      <c r="I25" s="88">
        <f>IF(I13=0,0,I13/TrAvia_act!I21*100)</f>
        <v>473.05120860522197</v>
      </c>
      <c r="J25" s="88">
        <f>IF(J13=0,0,J13/TrAvia_act!J21*100)</f>
        <v>502.49164058714132</v>
      </c>
      <c r="K25" s="88">
        <f>IF(K13=0,0,K13/TrAvia_act!K21*100)</f>
        <v>571.78754822720839</v>
      </c>
      <c r="L25" s="88">
        <f>IF(L13=0,0,L13/TrAvia_act!L21*100)</f>
        <v>633.86974432476518</v>
      </c>
      <c r="M25" s="88">
        <f>IF(M13=0,0,M13/TrAvia_act!M21*100)</f>
        <v>650.60611711105742</v>
      </c>
      <c r="N25" s="88">
        <f>IF(N13=0,0,N13/TrAvia_act!N21*100)</f>
        <v>581.11032582483676</v>
      </c>
      <c r="O25" s="88">
        <f>IF(O13=0,0,O13/TrAvia_act!O21*100)</f>
        <v>664.45151921902698</v>
      </c>
      <c r="P25" s="88">
        <f>IF(P13=0,0,P13/TrAvia_act!P21*100)</f>
        <v>576.84280800038357</v>
      </c>
      <c r="Q25" s="88">
        <f>IF(Q13=0,0,Q13/TrAvia_act!Q21*100)</f>
        <v>459.48297845969705</v>
      </c>
      <c r="R25" s="88">
        <f>IF(R13=0,0,R13/TrAvia_act!R21*100)</f>
        <v>469.94591173121319</v>
      </c>
      <c r="S25" s="88">
        <f>IF(S13=0,0,S13/TrAvia_act!S21*100)</f>
        <v>257.83000175301976</v>
      </c>
      <c r="T25" s="88">
        <f>IF(T13=0,0,T13/TrAvia_act!T21*100)</f>
        <v>234.7804275540264</v>
      </c>
      <c r="U25" s="88">
        <f>IF(U13=0,0,U13/TrAvia_act!U21*100)</f>
        <v>225.53326748238626</v>
      </c>
      <c r="V25" s="88">
        <f>IF(V13=0,0,V13/TrAvia_act!V21*100)</f>
        <v>1234.9138212989569</v>
      </c>
      <c r="W25" s="88">
        <f>IF(W13=0,0,W13/TrAvia_act!W21*100)</f>
        <v>507.59067236968292</v>
      </c>
      <c r="X25" s="88">
        <f>IF(X13=0,0,X13/TrAvia_act!X21*100)</f>
        <v>232.24604144269972</v>
      </c>
      <c r="Y25" s="88">
        <f>IF(Y13=0,0,Y13/TrAvia_act!Y21*100)</f>
        <v>167.52897520714384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64.469885825923754</v>
      </c>
      <c r="C28" s="14">
        <f>IF(C6=0,0,C6/TrAvia_act!C4*1000)</f>
        <v>63.841130381626016</v>
      </c>
      <c r="D28" s="14">
        <f>IF(D6=0,0,D6/TrAvia_act!D4*1000)</f>
        <v>77.836719963661722</v>
      </c>
      <c r="E28" s="14">
        <f>IF(E6=0,0,E6/TrAvia_act!E4*1000)</f>
        <v>40.30701165653624</v>
      </c>
      <c r="F28" s="14">
        <f>IF(F6=0,0,F6/TrAvia_act!F4*1000)</f>
        <v>20.17026010395907</v>
      </c>
      <c r="G28" s="14">
        <f>IF(G6=0,0,G6/TrAvia_act!G4*1000)</f>
        <v>27.308268850859662</v>
      </c>
      <c r="H28" s="14">
        <f>IF(H6=0,0,H6/TrAvia_act!H4*1000)</f>
        <v>27.155700499029752</v>
      </c>
      <c r="I28" s="14">
        <f>IF(I6=0,0,I6/TrAvia_act!I4*1000)</f>
        <v>32.336785351257049</v>
      </c>
      <c r="J28" s="14">
        <f>IF(J6=0,0,J6/TrAvia_act!J4*1000)</f>
        <v>35.78958676701388</v>
      </c>
      <c r="K28" s="14">
        <f>IF(K6=0,0,K6/TrAvia_act!K4*1000)</f>
        <v>34.35625875478506</v>
      </c>
      <c r="L28" s="14">
        <f>IF(L6=0,0,L6/TrAvia_act!L4*1000)</f>
        <v>29.76141806868733</v>
      </c>
      <c r="M28" s="14">
        <f>IF(M6=0,0,M6/TrAvia_act!M4*1000)</f>
        <v>31.018091239704063</v>
      </c>
      <c r="N28" s="14">
        <f>IF(N6=0,0,N6/TrAvia_act!N4*1000)</f>
        <v>30.841708839508659</v>
      </c>
      <c r="O28" s="14">
        <f>IF(O6=0,0,O6/TrAvia_act!O4*1000)</f>
        <v>36.627005664187706</v>
      </c>
      <c r="P28" s="14">
        <f>IF(P6=0,0,P6/TrAvia_act!P4*1000)</f>
        <v>28.859199225743481</v>
      </c>
      <c r="Q28" s="14">
        <f>IF(Q6=0,0,Q6/TrAvia_act!Q4*1000)</f>
        <v>31.078401939958219</v>
      </c>
      <c r="R28" s="14">
        <f>IF(R6=0,0,R6/TrAvia_act!R4*1000)</f>
        <v>32.586580299881646</v>
      </c>
      <c r="S28" s="14">
        <f>IF(S6=0,0,S6/TrAvia_act!S4*1000)</f>
        <v>22.847667696803747</v>
      </c>
      <c r="T28" s="14">
        <f>IF(T6=0,0,T6/TrAvia_act!T4*1000)</f>
        <v>23.345298928313028</v>
      </c>
      <c r="U28" s="14">
        <f>IF(U6=0,0,U6/TrAvia_act!U4*1000)</f>
        <v>22.04957605432401</v>
      </c>
      <c r="V28" s="14">
        <f>IF(V6=0,0,V6/TrAvia_act!V4*1000)</f>
        <v>74.438611601106061</v>
      </c>
      <c r="W28" s="14">
        <f>IF(W6=0,0,W6/TrAvia_act!W4*1000)</f>
        <v>47.063883711842735</v>
      </c>
      <c r="X28" s="14">
        <f>IF(X6=0,0,X6/TrAvia_act!X4*1000)</f>
        <v>23.337275447709111</v>
      </c>
      <c r="Y28" s="14">
        <f>IF(Y6=0,0,Y6/TrAvia_act!Y4*1000)</f>
        <v>15.731181711547082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64.415057056068349</v>
      </c>
      <c r="C30" s="87">
        <f>IF(C8=0,0,C8/TrAvia_act!C6*1000)</f>
        <v>63.715467511042426</v>
      </c>
      <c r="D30" s="87">
        <f>IF(D8=0,0,D8/TrAvia_act!D6*1000)</f>
        <v>77.924175647937034</v>
      </c>
      <c r="E30" s="87">
        <f>IF(E8=0,0,E8/TrAvia_act!E6*1000)</f>
        <v>40.183931256800186</v>
      </c>
      <c r="F30" s="87">
        <f>IF(F8=0,0,F8/TrAvia_act!F6*1000)</f>
        <v>20.437794891003239</v>
      </c>
      <c r="G30" s="87">
        <f>IF(G8=0,0,G8/TrAvia_act!G6*1000)</f>
        <v>24.906918375428365</v>
      </c>
      <c r="H30" s="87">
        <f>IF(H8=0,0,H8/TrAvia_act!H6*1000)</f>
        <v>21.959392658518112</v>
      </c>
      <c r="I30" s="87">
        <f>IF(I8=0,0,I8/TrAvia_act!I6*1000)</f>
        <v>29.352103202790534</v>
      </c>
      <c r="J30" s="87">
        <f>IF(J8=0,0,J8/TrAvia_act!J6*1000)</f>
        <v>33.398012441335936</v>
      </c>
      <c r="K30" s="87">
        <f>IF(K8=0,0,K8/TrAvia_act!K6*1000)</f>
        <v>31.184741288845466</v>
      </c>
      <c r="L30" s="87">
        <f>IF(L8=0,0,L8/TrAvia_act!L6*1000)</f>
        <v>26.685785949257159</v>
      </c>
      <c r="M30" s="87">
        <f>IF(M8=0,0,M8/TrAvia_act!M6*1000)</f>
        <v>26.465162669628764</v>
      </c>
      <c r="N30" s="87">
        <f>IF(N8=0,0,N8/TrAvia_act!N6*1000)</f>
        <v>27.147714130058262</v>
      </c>
      <c r="O30" s="87">
        <f>IF(O8=0,0,O8/TrAvia_act!O6*1000)</f>
        <v>30.590200899586836</v>
      </c>
      <c r="P30" s="87">
        <f>IF(P8=0,0,P8/TrAvia_act!P6*1000)</f>
        <v>24.262558499862649</v>
      </c>
      <c r="Q30" s="87">
        <f>IF(Q8=0,0,Q8/TrAvia_act!Q6*1000)</f>
        <v>27.424877864940918</v>
      </c>
      <c r="R30" s="87">
        <f>IF(R8=0,0,R8/TrAvia_act!R6*1000)</f>
        <v>28.185837592541084</v>
      </c>
      <c r="S30" s="87">
        <f>IF(S8=0,0,S8/TrAvia_act!S6*1000)</f>
        <v>22.924951074382761</v>
      </c>
      <c r="T30" s="87">
        <f>IF(T8=0,0,T8/TrAvia_act!T6*1000)</f>
        <v>24.73034255255476</v>
      </c>
      <c r="U30" s="87">
        <f>IF(U8=0,0,U8/TrAvia_act!U6*1000)</f>
        <v>24.130239969352029</v>
      </c>
      <c r="V30" s="87">
        <f>IF(V8=0,0,V8/TrAvia_act!V6*1000)</f>
        <v>56.897062130216405</v>
      </c>
      <c r="W30" s="87">
        <f>IF(W8=0,0,W8/TrAvia_act!W6*1000)</f>
        <v>37.873061612574389</v>
      </c>
      <c r="X30" s="87">
        <f>IF(X8=0,0,X8/TrAvia_act!X6*1000)</f>
        <v>23.823354745961662</v>
      </c>
      <c r="Y30" s="87">
        <f>IF(Y8=0,0,Y8/TrAvia_act!Y6*1000)</f>
        <v>15.944234596309546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64.558033420723376</v>
      </c>
      <c r="C31" s="87">
        <f>IF(C9=0,0,C9/TrAvia_act!C7*1000)</f>
        <v>64.043227579984801</v>
      </c>
      <c r="D31" s="87">
        <f>IF(D9=0,0,D9/TrAvia_act!D7*1000)</f>
        <v>77.735916866398938</v>
      </c>
      <c r="E31" s="87">
        <f>IF(E9=0,0,E9/TrAvia_act!E7*1000)</f>
        <v>40.458737457140039</v>
      </c>
      <c r="F31" s="87">
        <f>IF(F9=0,0,F9/TrAvia_act!F7*1000)</f>
        <v>19.807166911036681</v>
      </c>
      <c r="G31" s="87">
        <f>IF(G9=0,0,G9/TrAvia_act!G7*1000)</f>
        <v>32.24390037549221</v>
      </c>
      <c r="H31" s="87">
        <f>IF(H9=0,0,H9/TrAvia_act!H7*1000)</f>
        <v>47.953433096310292</v>
      </c>
      <c r="I31" s="87">
        <f>IF(I9=0,0,I9/TrAvia_act!I7*1000)</f>
        <v>40.255946992007772</v>
      </c>
      <c r="J31" s="87">
        <f>IF(J9=0,0,J9/TrAvia_act!J7*1000)</f>
        <v>42.55756531395803</v>
      </c>
      <c r="K31" s="87">
        <f>IF(K9=0,0,K9/TrAvia_act!K7*1000)</f>
        <v>42.711849834945731</v>
      </c>
      <c r="L31" s="87">
        <f>IF(L9=0,0,L9/TrAvia_act!L7*1000)</f>
        <v>37.219582961588614</v>
      </c>
      <c r="M31" s="87">
        <f>IF(M9=0,0,M9/TrAvia_act!M7*1000)</f>
        <v>43.273018110947632</v>
      </c>
      <c r="N31" s="87">
        <f>IF(N9=0,0,N9/TrAvia_act!N7*1000)</f>
        <v>39.486675328213302</v>
      </c>
      <c r="O31" s="87">
        <f>IF(O9=0,0,O9/TrAvia_act!O7*1000)</f>
        <v>53.307297046431863</v>
      </c>
      <c r="P31" s="87">
        <f>IF(P9=0,0,P9/TrAvia_act!P7*1000)</f>
        <v>42.51254394727659</v>
      </c>
      <c r="Q31" s="87">
        <f>IF(Q9=0,0,Q9/TrAvia_act!Q7*1000)</f>
        <v>41.256710613279267</v>
      </c>
      <c r="R31" s="87">
        <f>IF(R9=0,0,R9/TrAvia_act!R7*1000)</f>
        <v>47.007659244951341</v>
      </c>
      <c r="S31" s="87">
        <f>IF(S9=0,0,S9/TrAvia_act!S7*1000)</f>
        <v>22.702205728827121</v>
      </c>
      <c r="T31" s="87">
        <f>IF(T9=0,0,T9/TrAvia_act!T7*1000)</f>
        <v>21.047603916156934</v>
      </c>
      <c r="U31" s="87">
        <f>IF(U9=0,0,U9/TrAvia_act!U7*1000)</f>
        <v>18.896960905123336</v>
      </c>
      <c r="V31" s="87">
        <f>IF(V9=0,0,V9/TrAvia_act!V7*1000)</f>
        <v>122.87285983661509</v>
      </c>
      <c r="W31" s="87">
        <f>IF(W9=0,0,W9/TrAvia_act!W7*1000)</f>
        <v>74.255867715115016</v>
      </c>
      <c r="X31" s="87">
        <f>IF(X9=0,0,X9/TrAvia_act!X7*1000)</f>
        <v>22.466665939200645</v>
      </c>
      <c r="Y31" s="87">
        <f>IF(Y9=0,0,Y9/TrAvia_act!Y7*1000)</f>
        <v>15.348617998104759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112.72962908769607</v>
      </c>
      <c r="C32" s="15">
        <f>IF(C10=0,0,C10/TrAvia_act!C8*1000)</f>
        <v>107.28636567348447</v>
      </c>
      <c r="D32" s="15">
        <f>IF(D10=0,0,D10/TrAvia_act!D8*1000)</f>
        <v>188.23674434514052</v>
      </c>
      <c r="E32" s="15">
        <f>IF(E10=0,0,E10/TrAvia_act!E8*1000)</f>
        <v>64.547392088431266</v>
      </c>
      <c r="F32" s="15">
        <f>IF(F10=0,0,F10/TrAvia_act!F8*1000)</f>
        <v>33.796629221098357</v>
      </c>
      <c r="G32" s="15">
        <f>IF(G10=0,0,G10/TrAvia_act!G8*1000)</f>
        <v>53.751744313371191</v>
      </c>
      <c r="H32" s="15">
        <f>IF(H10=0,0,H10/TrAvia_act!H8*1000)</f>
        <v>84.051293192001623</v>
      </c>
      <c r="I32" s="15">
        <f>IF(I10=0,0,I10/TrAvia_act!I8*1000)</f>
        <v>93.276320446818801</v>
      </c>
      <c r="J32" s="15">
        <f>IF(J10=0,0,J10/TrAvia_act!J8*1000)</f>
        <v>109.04440376256778</v>
      </c>
      <c r="K32" s="15">
        <f>IF(K10=0,0,K10/TrAvia_act!K8*1000)</f>
        <v>114.29136821434598</v>
      </c>
      <c r="L32" s="15">
        <f>IF(L10=0,0,L10/TrAvia_act!L8*1000)</f>
        <v>110.9257991769381</v>
      </c>
      <c r="M32" s="15">
        <f>IF(M10=0,0,M10/TrAvia_act!M8*1000)</f>
        <v>113.57210840816361</v>
      </c>
      <c r="N32" s="15">
        <f>IF(N10=0,0,N10/TrAvia_act!N8*1000)</f>
        <v>128.34809460646764</v>
      </c>
      <c r="O32" s="15">
        <f>IF(O10=0,0,O10/TrAvia_act!O8*1000)</f>
        <v>154.89194525484174</v>
      </c>
      <c r="P32" s="15">
        <f>IF(P10=0,0,P10/TrAvia_act!P8*1000)</f>
        <v>98.165526783802918</v>
      </c>
      <c r="Q32" s="15">
        <f>IF(Q10=0,0,Q10/TrAvia_act!Q8*1000)</f>
        <v>106.37552103780729</v>
      </c>
      <c r="R32" s="15">
        <f>IF(R10=0,0,R10/TrAvia_act!R8*1000)</f>
        <v>102.88199117010588</v>
      </c>
      <c r="S32" s="15">
        <f>IF(S10=0,0,S10/TrAvia_act!S8*1000)</f>
        <v>100.42210987593749</v>
      </c>
      <c r="T32" s="15">
        <f>IF(T10=0,0,T10/TrAvia_act!T8*1000)</f>
        <v>100.94476239485374</v>
      </c>
      <c r="U32" s="15">
        <f>IF(U10=0,0,U10/TrAvia_act!U8*1000)</f>
        <v>101.16286219749531</v>
      </c>
      <c r="V32" s="15">
        <f>IF(V10=0,0,V10/TrAvia_act!V8*1000)</f>
        <v>275.66006589800298</v>
      </c>
      <c r="W32" s="15">
        <f>IF(W10=0,0,W10/TrAvia_act!W8*1000)</f>
        <v>197.48782458568326</v>
      </c>
      <c r="X32" s="15">
        <f>IF(X10=0,0,X10/TrAvia_act!X8*1000)</f>
        <v>151.54204135239266</v>
      </c>
      <c r="Y32" s="15">
        <f>IF(Y10=0,0,Y10/TrAvia_act!Y8*1000)</f>
        <v>100.28401079634109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199.04834887615402</v>
      </c>
      <c r="C34" s="101">
        <f>IF(C12=0,0,C12/TrAvia_act!C10*1000)</f>
        <v>192.76118342138295</v>
      </c>
      <c r="D34" s="101">
        <f>IF(D12=0,0,D12/TrAvia_act!D10*1000)</f>
        <v>253.37354258630617</v>
      </c>
      <c r="E34" s="101">
        <f>IF(E12=0,0,E12/TrAvia_act!E10*1000)</f>
        <v>126.84582669800639</v>
      </c>
      <c r="F34" s="101">
        <f>IF(F12=0,0,F12/TrAvia_act!F10*1000)</f>
        <v>69.930936072617953</v>
      </c>
      <c r="G34" s="101">
        <f>IF(G12=0,0,G12/TrAvia_act!G10*1000)</f>
        <v>88.079158106693129</v>
      </c>
      <c r="H34" s="101">
        <f>IF(H12=0,0,H12/TrAvia_act!H10*1000)</f>
        <v>98.198169130711619</v>
      </c>
      <c r="I34" s="101">
        <f>IF(I12=0,0,I12/TrAvia_act!I10*1000)</f>
        <v>135.35882860279236</v>
      </c>
      <c r="J34" s="101">
        <f>IF(J12=0,0,J12/TrAvia_act!J10*1000)</f>
        <v>113.97977038818394</v>
      </c>
      <c r="K34" s="101">
        <f>IF(K12=0,0,K12/TrAvia_act!K10*1000)</f>
        <v>117.07883507149347</v>
      </c>
      <c r="L34" s="101">
        <f>IF(L12=0,0,L12/TrAvia_act!L10*1000)</f>
        <v>112.57504419450046</v>
      </c>
      <c r="M34" s="101">
        <f>IF(M12=0,0,M12/TrAvia_act!M10*1000)</f>
        <v>113.79174958781947</v>
      </c>
      <c r="N34" s="101">
        <f>IF(N12=0,0,N12/TrAvia_act!N10*1000)</f>
        <v>129.36969765182195</v>
      </c>
      <c r="O34" s="101">
        <f>IF(O12=0,0,O12/TrAvia_act!O10*1000)</f>
        <v>157.00138809097129</v>
      </c>
      <c r="P34" s="101">
        <f>IF(P12=0,0,P12/TrAvia_act!P10*1000)</f>
        <v>107.03213836409122</v>
      </c>
      <c r="Q34" s="101">
        <f>IF(Q12=0,0,Q12/TrAvia_act!Q10*1000)</f>
        <v>119.20617038216827</v>
      </c>
      <c r="R34" s="101">
        <f>IF(R12=0,0,R12/TrAvia_act!R10*1000)</f>
        <v>116.27042087317071</v>
      </c>
      <c r="S34" s="101">
        <f>IF(S12=0,0,S12/TrAvia_act!S10*1000)</f>
        <v>108.67158620941304</v>
      </c>
      <c r="T34" s="101">
        <f>IF(T12=0,0,T12/TrAvia_act!T10*1000)</f>
        <v>112.79689679650548</v>
      </c>
      <c r="U34" s="101">
        <f>IF(U12=0,0,U12/TrAvia_act!U10*1000)</f>
        <v>105.22979813436973</v>
      </c>
      <c r="V34" s="101">
        <f>IF(V12=0,0,V12/TrAvia_act!V10*1000)</f>
        <v>277.92922395601806</v>
      </c>
      <c r="W34" s="101">
        <f>IF(W12=0,0,W12/TrAvia_act!W10*1000)</f>
        <v>198.57552000124639</v>
      </c>
      <c r="X34" s="101">
        <f>IF(X12=0,0,X12/TrAvia_act!X10*1000)</f>
        <v>153.52333444570252</v>
      </c>
      <c r="Y34" s="101">
        <f>IF(Y12=0,0,Y12/TrAvia_act!Y10*1000)</f>
        <v>101.87256279225852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76.491325821198515</v>
      </c>
      <c r="C35" s="88">
        <f>IF(C13=0,0,C13/TrAvia_act!C11*1000)</f>
        <v>73.263493453980985</v>
      </c>
      <c r="D35" s="88">
        <f>IF(D13=0,0,D13/TrAvia_act!D11*1000)</f>
        <v>94.7308553437868</v>
      </c>
      <c r="E35" s="88">
        <f>IF(E13=0,0,E13/TrAvia_act!E11*1000)</f>
        <v>54.446734208431714</v>
      </c>
      <c r="F35" s="88">
        <f>IF(F13=0,0,F13/TrAvia_act!F11*1000)</f>
        <v>27.570708353389918</v>
      </c>
      <c r="G35" s="88">
        <f>IF(G13=0,0,G13/TrAvia_act!G11*1000)</f>
        <v>48.214432180260452</v>
      </c>
      <c r="H35" s="88">
        <f>IF(H13=0,0,H13/TrAvia_act!H11*1000)</f>
        <v>82.762568129579051</v>
      </c>
      <c r="I35" s="88">
        <f>IF(I13=0,0,I13/TrAvia_act!I11*1000)</f>
        <v>88.454573992109829</v>
      </c>
      <c r="J35" s="88">
        <f>IF(J13=0,0,J13/TrAvia_act!J11*1000)</f>
        <v>95.891593085395911</v>
      </c>
      <c r="K35" s="88">
        <f>IF(K13=0,0,K13/TrAvia_act!K11*1000)</f>
        <v>96.750620738212859</v>
      </c>
      <c r="L35" s="88">
        <f>IF(L13=0,0,L13/TrAvia_act!L11*1000)</f>
        <v>105.5054847820689</v>
      </c>
      <c r="M35" s="88">
        <f>IF(M13=0,0,M13/TrAvia_act!M11*1000)</f>
        <v>102.18651321500201</v>
      </c>
      <c r="N35" s="88">
        <f>IF(N13=0,0,N13/TrAvia_act!N11*1000)</f>
        <v>80.4322962242328</v>
      </c>
      <c r="O35" s="88">
        <f>IF(O13=0,0,O13/TrAvia_act!O11*1000)</f>
        <v>99.779438992758898</v>
      </c>
      <c r="P35" s="88">
        <f>IF(P13=0,0,P13/TrAvia_act!P11*1000)</f>
        <v>73.108534053747206</v>
      </c>
      <c r="Q35" s="88">
        <f>IF(Q13=0,0,Q13/TrAvia_act!Q11*1000)</f>
        <v>59.57065289201941</v>
      </c>
      <c r="R35" s="88">
        <f>IF(R13=0,0,R13/TrAvia_act!R11*1000)</f>
        <v>52.050829773452669</v>
      </c>
      <c r="S35" s="88">
        <f>IF(S13=0,0,S13/TrAvia_act!S11*1000)</f>
        <v>30.123643599423321</v>
      </c>
      <c r="T35" s="88">
        <f>IF(T13=0,0,T13/TrAvia_act!T11*1000)</f>
        <v>28.445756521395094</v>
      </c>
      <c r="U35" s="88">
        <f>IF(U13=0,0,U13/TrAvia_act!U11*1000)</f>
        <v>26.779148352993325</v>
      </c>
      <c r="V35" s="88">
        <f>IF(V13=0,0,V13/TrAvia_act!V11*1000)</f>
        <v>228.8897827351567</v>
      </c>
      <c r="W35" s="88">
        <f>IF(W13=0,0,W13/TrAvia_act!W11*1000)</f>
        <v>87.217225453515468</v>
      </c>
      <c r="X35" s="88">
        <f>IF(X13=0,0,X13/TrAvia_act!X11*1000)</f>
        <v>36.076892414565322</v>
      </c>
      <c r="Y35" s="88">
        <f>IF(Y13=0,0,Y13/TrAvia_act!Y11*1000)</f>
        <v>25.314259538722887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7363.8264338017425</v>
      </c>
      <c r="C37" s="62">
        <f>IF(C3=0,0,C3/TrAvia_act!C23*1000000)</f>
        <v>7384.6626693344642</v>
      </c>
      <c r="D37" s="62">
        <f>IF(D3=0,0,D3/TrAvia_act!D23*1000000)</f>
        <v>9843.1087143049153</v>
      </c>
      <c r="E37" s="62">
        <f>IF(E3=0,0,E3/TrAvia_act!E23*1000000)</f>
        <v>4901.1302314918184</v>
      </c>
      <c r="F37" s="62">
        <f>IF(F3=0,0,F3/TrAvia_act!F23*1000000)</f>
        <v>2477.7073202187521</v>
      </c>
      <c r="G37" s="62">
        <f>IF(G3=0,0,G3/TrAvia_act!G23*1000000)</f>
        <v>3219.3594128402942</v>
      </c>
      <c r="H37" s="62">
        <f>IF(H3=0,0,H3/TrAvia_act!H23*1000000)</f>
        <v>3076.9766986875434</v>
      </c>
      <c r="I37" s="62">
        <f>IF(I3=0,0,I3/TrAvia_act!I23*1000000)</f>
        <v>3965.0883607723758</v>
      </c>
      <c r="J37" s="62">
        <f>IF(J3=0,0,J3/TrAvia_act!J23*1000000)</f>
        <v>4345.1883874760251</v>
      </c>
      <c r="K37" s="62">
        <f>IF(K3=0,0,K3/TrAvia_act!K23*1000000)</f>
        <v>4053.888741006574</v>
      </c>
      <c r="L37" s="62">
        <f>IF(L3=0,0,L3/TrAvia_act!L23*1000000)</f>
        <v>3903.8450100780478</v>
      </c>
      <c r="M37" s="62">
        <f>IF(M3=0,0,M3/TrAvia_act!M23*1000000)</f>
        <v>4408.4586848862273</v>
      </c>
      <c r="N37" s="62">
        <f>IF(N3=0,0,N3/TrAvia_act!N23*1000000)</f>
        <v>4661.4872125070824</v>
      </c>
      <c r="O37" s="62">
        <f>IF(O3=0,0,O3/TrAvia_act!O23*1000000)</f>
        <v>5305.6431630173693</v>
      </c>
      <c r="P37" s="62">
        <f>IF(P3=0,0,P3/TrAvia_act!P23*1000000)</f>
        <v>4413.5627822463266</v>
      </c>
      <c r="Q37" s="62">
        <f>IF(Q3=0,0,Q3/TrAvia_act!Q23*1000000)</f>
        <v>4873.9388938716338</v>
      </c>
      <c r="R37" s="62">
        <f>IF(R3=0,0,R3/TrAvia_act!R23*1000000)</f>
        <v>4924.772072772932</v>
      </c>
      <c r="S37" s="62">
        <f>IF(S3=0,0,S3/TrAvia_act!S23*1000000)</f>
        <v>3731.1635431986715</v>
      </c>
      <c r="T37" s="62">
        <f>IF(T3=0,0,T3/TrAvia_act!T23*1000000)</f>
        <v>4002.8056203564465</v>
      </c>
      <c r="U37" s="62">
        <f>IF(U3=0,0,U3/TrAvia_act!U23*1000000)</f>
        <v>3885.6546082997847</v>
      </c>
      <c r="V37" s="62">
        <f>IF(V3=0,0,V3/TrAvia_act!V23*1000000)</f>
        <v>7994.9463320787809</v>
      </c>
      <c r="W37" s="62">
        <f>IF(W3=0,0,W3/TrAvia_act!W23*1000000)</f>
        <v>5322.210657052492</v>
      </c>
      <c r="X37" s="62">
        <f>IF(X3=0,0,X3/TrAvia_act!X23*1000000)</f>
        <v>4154.9450731203406</v>
      </c>
      <c r="Y37" s="62">
        <f>IF(Y3=0,0,Y3/TrAvia_act!Y23*1000000)</f>
        <v>3171.0135364421085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7348.0058381756553</v>
      </c>
      <c r="C38" s="14">
        <f>IF(C6=0,0,C6/TrAvia_act!C24*1000000)</f>
        <v>7369.1888709586701</v>
      </c>
      <c r="D38" s="14">
        <f>IF(D6=0,0,D6/TrAvia_act!D24*1000000)</f>
        <v>9865.0097054786038</v>
      </c>
      <c r="E38" s="14">
        <f>IF(E6=0,0,E6/TrAvia_act!E24*1000000)</f>
        <v>4881.010647938243</v>
      </c>
      <c r="F38" s="14">
        <f>IF(F6=0,0,F6/TrAvia_act!F24*1000000)</f>
        <v>2474.0059851307728</v>
      </c>
      <c r="G38" s="14">
        <f>IF(G6=0,0,G6/TrAvia_act!G24*1000000)</f>
        <v>3212.7704817511567</v>
      </c>
      <c r="H38" s="14">
        <f>IF(H6=0,0,H6/TrAvia_act!H24*1000000)</f>
        <v>3053.1643312531387</v>
      </c>
      <c r="I38" s="14">
        <f>IF(I6=0,0,I6/TrAvia_act!I24*1000000)</f>
        <v>3947.8601174383361</v>
      </c>
      <c r="J38" s="14">
        <f>IF(J6=0,0,J6/TrAvia_act!J24*1000000)</f>
        <v>4369.4867672345263</v>
      </c>
      <c r="K38" s="14">
        <f>IF(K6=0,0,K6/TrAvia_act!K24*1000000)</f>
        <v>4116.945132394304</v>
      </c>
      <c r="L38" s="14">
        <f>IF(L6=0,0,L6/TrAvia_act!L24*1000000)</f>
        <v>3976.6810314495765</v>
      </c>
      <c r="M38" s="14">
        <f>IF(M6=0,0,M6/TrAvia_act!M24*1000000)</f>
        <v>4550.493587487058</v>
      </c>
      <c r="N38" s="14">
        <f>IF(N6=0,0,N6/TrAvia_act!N24*1000000)</f>
        <v>4831.6848353009573</v>
      </c>
      <c r="O38" s="14">
        <f>IF(O6=0,0,O6/TrAvia_act!O24*1000000)</f>
        <v>5500.3765135320864</v>
      </c>
      <c r="P38" s="14">
        <f>IF(P6=0,0,P6/TrAvia_act!P24*1000000)</f>
        <v>4508.2521050543783</v>
      </c>
      <c r="Q38" s="14">
        <f>IF(Q6=0,0,Q6/TrAvia_act!Q24*1000000)</f>
        <v>5009.721518836127</v>
      </c>
      <c r="R38" s="14">
        <f>IF(R6=0,0,R6/TrAvia_act!R24*1000000)</f>
        <v>5050.4697926253293</v>
      </c>
      <c r="S38" s="14">
        <f>IF(S6=0,0,S6/TrAvia_act!S24*1000000)</f>
        <v>3845.8559305270524</v>
      </c>
      <c r="T38" s="14">
        <f>IF(T6=0,0,T6/TrAvia_act!T24*1000000)</f>
        <v>4093.6117453164443</v>
      </c>
      <c r="U38" s="14">
        <f>IF(U6=0,0,U6/TrAvia_act!U24*1000000)</f>
        <v>3957.3206538088293</v>
      </c>
      <c r="V38" s="14">
        <f>IF(V6=0,0,V6/TrAvia_act!V24*1000000)</f>
        <v>8630.8146555441581</v>
      </c>
      <c r="W38" s="14">
        <f>IF(W6=0,0,W6/TrAvia_act!W24*1000000)</f>
        <v>5646.8635878377245</v>
      </c>
      <c r="X38" s="14">
        <f>IF(X6=0,0,X6/TrAvia_act!X24*1000000)</f>
        <v>4260.5721323591151</v>
      </c>
      <c r="Y38" s="14">
        <f>IF(Y6=0,0,Y6/TrAvia_act!Y24*1000000)</f>
        <v>3207.7271145087093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5464.7889587743121</v>
      </c>
      <c r="C40" s="87">
        <f>IF(C8=0,0,C8/TrAvia_act!C26*1000000)</f>
        <v>5476.0117317250724</v>
      </c>
      <c r="D40" s="87">
        <f>IF(D8=0,0,D8/TrAvia_act!D26*1000000)</f>
        <v>6843.9210853595305</v>
      </c>
      <c r="E40" s="87">
        <f>IF(E8=0,0,E8/TrAvia_act!E26*1000000)</f>
        <v>3395.2380859338559</v>
      </c>
      <c r="F40" s="87">
        <f>IF(F8=0,0,F8/TrAvia_act!F26*1000000)</f>
        <v>1802.9180218691622</v>
      </c>
      <c r="G40" s="87">
        <f>IF(G8=0,0,G8/TrAvia_act!G26*1000000)</f>
        <v>2313.9186599394379</v>
      </c>
      <c r="H40" s="87">
        <f>IF(H8=0,0,H8/TrAvia_act!H26*1000000)</f>
        <v>2166.1965145906124</v>
      </c>
      <c r="I40" s="87">
        <f>IF(I8=0,0,I8/TrAvia_act!I26*1000000)</f>
        <v>2904.1201209084857</v>
      </c>
      <c r="J40" s="87">
        <f>IF(J8=0,0,J8/TrAvia_act!J26*1000000)</f>
        <v>3423.9887595419841</v>
      </c>
      <c r="K40" s="87">
        <f>IF(K8=0,0,K8/TrAvia_act!K26*1000000)</f>
        <v>3128.1694116173662</v>
      </c>
      <c r="L40" s="87">
        <f>IF(L8=0,0,L8/TrAvia_act!L26*1000000)</f>
        <v>2903.3006507708701</v>
      </c>
      <c r="M40" s="87">
        <f>IF(M8=0,0,M8/TrAvia_act!M26*1000000)</f>
        <v>3377.1639219250578</v>
      </c>
      <c r="N40" s="87">
        <f>IF(N8=0,0,N8/TrAvia_act!N26*1000000)</f>
        <v>3716.8263428005507</v>
      </c>
      <c r="O40" s="87">
        <f>IF(O8=0,0,O8/TrAvia_act!O26*1000000)</f>
        <v>4187.5897316420887</v>
      </c>
      <c r="P40" s="87">
        <f>IF(P8=0,0,P8/TrAvia_act!P26*1000000)</f>
        <v>3381.2423566217308</v>
      </c>
      <c r="Q40" s="87">
        <f>IF(Q8=0,0,Q8/TrAvia_act!Q26*1000000)</f>
        <v>3945.0013377798577</v>
      </c>
      <c r="R40" s="87">
        <f>IF(R8=0,0,R8/TrAvia_act!R26*1000000)</f>
        <v>3977.7723988424159</v>
      </c>
      <c r="S40" s="87">
        <f>IF(S8=0,0,S8/TrAvia_act!S26*1000000)</f>
        <v>3255.0523091396803</v>
      </c>
      <c r="T40" s="87">
        <f>IF(T8=0,0,T8/TrAvia_act!T26*1000000)</f>
        <v>3566.2622027885523</v>
      </c>
      <c r="U40" s="87">
        <f>IF(U8=0,0,U8/TrAvia_act!U26*1000000)</f>
        <v>3583.4840791377942</v>
      </c>
      <c r="V40" s="87">
        <f>IF(V8=0,0,V8/TrAvia_act!V26*1000000)</f>
        <v>5646.3796742045697</v>
      </c>
      <c r="W40" s="87">
        <f>IF(W8=0,0,W8/TrAvia_act!W26*1000000)</f>
        <v>3996.1023699428911</v>
      </c>
      <c r="X40" s="87">
        <f>IF(X8=0,0,X8/TrAvia_act!X26*1000000)</f>
        <v>3498.6667668765158</v>
      </c>
      <c r="Y40" s="87">
        <f>IF(Y8=0,0,Y8/TrAvia_act!Y26*1000000)</f>
        <v>2685.2014506721639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16431.045449436151</v>
      </c>
      <c r="C41" s="87">
        <f>IF(C9=0,0,C9/TrAvia_act!C27*1000000)</f>
        <v>16491.835652364764</v>
      </c>
      <c r="D41" s="87">
        <f>IF(D9=0,0,D9/TrAvia_act!D27*1000000)</f>
        <v>20133.86093027957</v>
      </c>
      <c r="E41" s="87">
        <f>IF(E9=0,0,E9/TrAvia_act!E27*1000000)</f>
        <v>10514.608511470709</v>
      </c>
      <c r="F41" s="87">
        <f>IF(F9=0,0,F9/TrAvia_act!F27*1000000)</f>
        <v>5167.7262136531799</v>
      </c>
      <c r="G41" s="87">
        <f>IF(G9=0,0,G9/TrAvia_act!G27*1000000)</f>
        <v>8382.6665435382256</v>
      </c>
      <c r="H41" s="87">
        <f>IF(H9=0,0,H9/TrAvia_act!H27*1000000)</f>
        <v>12235.525742146869</v>
      </c>
      <c r="I41" s="87">
        <f>IF(I9=0,0,I9/TrAvia_act!I27*1000000)</f>
        <v>12956.263160846936</v>
      </c>
      <c r="J41" s="87">
        <f>IF(J9=0,0,J9/TrAvia_act!J27*1000000)</f>
        <v>11298.36079678547</v>
      </c>
      <c r="K41" s="87">
        <f>IF(K9=0,0,K9/TrAvia_act!K27*1000000)</f>
        <v>10502.703030966139</v>
      </c>
      <c r="L41" s="87">
        <f>IF(L9=0,0,L9/TrAvia_act!L27*1000000)</f>
        <v>11132.550235974286</v>
      </c>
      <c r="M41" s="87">
        <f>IF(M9=0,0,M9/TrAvia_act!M27*1000000)</f>
        <v>10630.331020076159</v>
      </c>
      <c r="N41" s="87">
        <f>IF(N9=0,0,N9/TrAvia_act!N27*1000000)</f>
        <v>9338.5921751755395</v>
      </c>
      <c r="O41" s="87">
        <f>IF(O9=0,0,O9/TrAvia_act!O27*1000000)</f>
        <v>10936.780801573688</v>
      </c>
      <c r="P41" s="87">
        <f>IF(P9=0,0,P9/TrAvia_act!P27*1000000)</f>
        <v>10364.446438248324</v>
      </c>
      <c r="Q41" s="87">
        <f>IF(Q9=0,0,Q9/TrAvia_act!Q27*1000000)</f>
        <v>10015.571126032019</v>
      </c>
      <c r="R41" s="87">
        <f>IF(R9=0,0,R9/TrAvia_act!R27*1000000)</f>
        <v>10742.766443879424</v>
      </c>
      <c r="S41" s="87">
        <f>IF(S9=0,0,S9/TrAvia_act!S27*1000000)</f>
        <v>5871.3207933603344</v>
      </c>
      <c r="T41" s="87">
        <f>IF(T9=0,0,T9/TrAvia_act!T27*1000000)</f>
        <v>5751.3260794402686</v>
      </c>
      <c r="U41" s="87">
        <f>IF(U9=0,0,U9/TrAvia_act!U27*1000000)</f>
        <v>4958.0767775941031</v>
      </c>
      <c r="V41" s="87">
        <f>IF(V9=0,0,V9/TrAvia_act!V27*1000000)</f>
        <v>26620.905242360408</v>
      </c>
      <c r="W41" s="87">
        <f>IF(W9=0,0,W9/TrAvia_act!W27*1000000)</f>
        <v>14992.442969570378</v>
      </c>
      <c r="X41" s="87">
        <f>IF(X9=0,0,X9/TrAvia_act!X27*1000000)</f>
        <v>7265.6236437101679</v>
      </c>
      <c r="Y41" s="87">
        <f>IF(Y9=0,0,Y9/TrAvia_act!Y27*1000000)</f>
        <v>5035.5123957290762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7954.5707364583141</v>
      </c>
      <c r="C42" s="15">
        <f>IF(C10=0,0,C10/TrAvia_act!C28*1000000)</f>
        <v>8060.90058133193</v>
      </c>
      <c r="D42" s="15">
        <f>IF(D10=0,0,D10/TrAvia_act!D28*1000000)</f>
        <v>8247.4161855095026</v>
      </c>
      <c r="E42" s="15">
        <f>IF(E10=0,0,E10/TrAvia_act!E28*1000000)</f>
        <v>6181.4502727656627</v>
      </c>
      <c r="F42" s="15">
        <f>IF(F10=0,0,F10/TrAvia_act!F28*1000000)</f>
        <v>2982.541314813403</v>
      </c>
      <c r="G42" s="15">
        <f>IF(G10=0,0,G10/TrAvia_act!G28*1000000)</f>
        <v>4649.2751186669157</v>
      </c>
      <c r="H42" s="15">
        <f>IF(H10=0,0,H10/TrAvia_act!H28*1000000)</f>
        <v>7843.1136267121929</v>
      </c>
      <c r="I42" s="15">
        <f>IF(I10=0,0,I10/TrAvia_act!I28*1000000)</f>
        <v>8441.5602537337054</v>
      </c>
      <c r="J42" s="15">
        <f>IF(J10=0,0,J10/TrAvia_act!J28*1000000)</f>
        <v>2874.6216159053633</v>
      </c>
      <c r="K42" s="15">
        <f>IF(K10=0,0,K10/TrAvia_act!K28*1000000)</f>
        <v>2423.624574195102</v>
      </c>
      <c r="L42" s="15">
        <f>IF(L10=0,0,L10/TrAvia_act!L28*1000000)</f>
        <v>2563.0485800318247</v>
      </c>
      <c r="M42" s="15">
        <f>IF(M10=0,0,M10/TrAvia_act!M28*1000000)</f>
        <v>2452.3378223806267</v>
      </c>
      <c r="N42" s="15">
        <f>IF(N10=0,0,N10/TrAvia_act!N28*1000000)</f>
        <v>2724.136907774322</v>
      </c>
      <c r="O42" s="15">
        <f>IF(O10=0,0,O10/TrAvia_act!O28*1000000)</f>
        <v>3051.4475877849136</v>
      </c>
      <c r="P42" s="15">
        <f>IF(P10=0,0,P10/TrAvia_act!P28*1000000)</f>
        <v>2712.0858316930862</v>
      </c>
      <c r="Q42" s="15">
        <f>IF(Q10=0,0,Q10/TrAvia_act!Q28*1000000)</f>
        <v>2704.7791308674441</v>
      </c>
      <c r="R42" s="15">
        <f>IF(R10=0,0,R10/TrAvia_act!R28*1000000)</f>
        <v>2580.6198586834739</v>
      </c>
      <c r="S42" s="15">
        <f>IF(S10=0,0,S10/TrAvia_act!S28*1000000)</f>
        <v>2017.2059201733657</v>
      </c>
      <c r="T42" s="15">
        <f>IF(T10=0,0,T10/TrAvia_act!T28*1000000)</f>
        <v>2080.1214558582915</v>
      </c>
      <c r="U42" s="15">
        <f>IF(U10=0,0,U10/TrAvia_act!U28*1000000)</f>
        <v>2005.5042376311062</v>
      </c>
      <c r="V42" s="15">
        <f>IF(V10=0,0,V10/TrAvia_act!V28*1000000)</f>
        <v>4836.5558950967115</v>
      </c>
      <c r="W42" s="15">
        <f>IF(W10=0,0,W10/TrAvia_act!W28*1000000)</f>
        <v>2859.9333085066714</v>
      </c>
      <c r="X42" s="15">
        <f>IF(X10=0,0,X10/TrAvia_act!X28*1000000)</f>
        <v>2228.6736204450958</v>
      </c>
      <c r="Y42" s="15">
        <f>IF(Y10=0,0,Y10/TrAvia_act!Y28*1000000)</f>
        <v>1662.7114697889006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5924.2001523015233</v>
      </c>
      <c r="C44" s="101">
        <f>IF(C12=0,0,C12/TrAvia_act!C30*1000000)</f>
        <v>5963.27140898575</v>
      </c>
      <c r="D44" s="101">
        <f>IF(D12=0,0,D12/TrAvia_act!D30*1000000)</f>
        <v>7346.8097829542148</v>
      </c>
      <c r="E44" s="101">
        <f>IF(E12=0,0,E12/TrAvia_act!E30*1000000)</f>
        <v>3777.8694158582275</v>
      </c>
      <c r="F44" s="101">
        <f>IF(F12=0,0,F12/TrAvia_act!F30*1000000)</f>
        <v>1885.694037202677</v>
      </c>
      <c r="G44" s="101">
        <f>IF(G12=0,0,G12/TrAvia_act!G30*1000000)</f>
        <v>2370.4133227543048</v>
      </c>
      <c r="H44" s="101">
        <f>IF(H12=0,0,H12/TrAvia_act!H30*1000000)</f>
        <v>2260.3459000787975</v>
      </c>
      <c r="I44" s="101">
        <f>IF(I12=0,0,I12/TrAvia_act!I30*1000000)</f>
        <v>2878.405528015217</v>
      </c>
      <c r="J44" s="101">
        <f>IF(J12=0,0,J12/TrAvia_act!J30*1000000)</f>
        <v>2312.2563722098112</v>
      </c>
      <c r="K44" s="101">
        <f>IF(K12=0,0,K12/TrAvia_act!K30*1000000)</f>
        <v>2189.4354573457686</v>
      </c>
      <c r="L44" s="101">
        <f>IF(L12=0,0,L12/TrAvia_act!L30*1000000)</f>
        <v>2070.1672095536178</v>
      </c>
      <c r="M44" s="101">
        <f>IF(M12=0,0,M12/TrAvia_act!M30*1000000)</f>
        <v>2417.8275381804056</v>
      </c>
      <c r="N44" s="101">
        <f>IF(N12=0,0,N12/TrAvia_act!N30*1000000)</f>
        <v>2696.8614392941063</v>
      </c>
      <c r="O44" s="101">
        <f>IF(O12=0,0,O12/TrAvia_act!O30*1000000)</f>
        <v>2998.3274775974669</v>
      </c>
      <c r="P44" s="101">
        <f>IF(P12=0,0,P12/TrAvia_act!P30*1000000)</f>
        <v>2322.4040674267349</v>
      </c>
      <c r="Q44" s="101">
        <f>IF(Q12=0,0,Q12/TrAvia_act!Q30*1000000)</f>
        <v>2492.8517633950869</v>
      </c>
      <c r="R44" s="101">
        <f>IF(R12=0,0,R12/TrAvia_act!R30*1000000)</f>
        <v>2411.8610731389199</v>
      </c>
      <c r="S44" s="101">
        <f>IF(S12=0,0,S12/TrAvia_act!S30*1000000)</f>
        <v>1997.8556211896569</v>
      </c>
      <c r="T44" s="101">
        <f>IF(T12=0,0,T12/TrAvia_act!T30*1000000)</f>
        <v>2071.1778621358221</v>
      </c>
      <c r="U44" s="101">
        <f>IF(U12=0,0,U12/TrAvia_act!U30*1000000)</f>
        <v>2005.9731928940669</v>
      </c>
      <c r="V44" s="101">
        <f>IF(V12=0,0,V12/TrAvia_act!V30*1000000)</f>
        <v>4689.3565646336974</v>
      </c>
      <c r="W44" s="101">
        <f>IF(W12=0,0,W12/TrAvia_act!W30*1000000)</f>
        <v>2853.3260775356052</v>
      </c>
      <c r="X44" s="101">
        <f>IF(X12=0,0,X12/TrAvia_act!X30*1000000)</f>
        <v>2224.9336549543768</v>
      </c>
      <c r="Y44" s="101">
        <f>IF(Y12=0,0,Y12/TrAvia_act!Y30*1000000)</f>
        <v>1661.6600644940277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12715.439692412168</v>
      </c>
      <c r="C45" s="88">
        <f>IF(C13=0,0,C13/TrAvia_act!C31*1000000)</f>
        <v>12762.4832090044</v>
      </c>
      <c r="D45" s="88">
        <f>IF(D13=0,0,D13/TrAvia_act!D31*1000000)</f>
        <v>15580.925463459705</v>
      </c>
      <c r="E45" s="88">
        <f>IF(E13=0,0,E13/TrAvia_act!E31*1000000)</f>
        <v>8136.9058851649324</v>
      </c>
      <c r="F45" s="88">
        <f>IF(F13=0,0,F13/TrAvia_act!F31*1000000)</f>
        <v>3999.1314745501732</v>
      </c>
      <c r="G45" s="88">
        <f>IF(G13=0,0,G13/TrAvia_act!G31*1000000)</f>
        <v>6487.0668895641811</v>
      </c>
      <c r="H45" s="88">
        <f>IF(H13=0,0,H13/TrAvia_act!H31*1000000)</f>
        <v>10699.413393826953</v>
      </c>
      <c r="I45" s="88">
        <f>IF(I13=0,0,I13/TrAvia_act!I31*1000000)</f>
        <v>12768.458373736972</v>
      </c>
      <c r="J45" s="88">
        <f>IF(J13=0,0,J13/TrAvia_act!J31*1000000)</f>
        <v>12521.348488529064</v>
      </c>
      <c r="K45" s="88">
        <f>IF(K13=0,0,K13/TrAvia_act!K31*1000000)</f>
        <v>13066.218884348144</v>
      </c>
      <c r="L45" s="88">
        <f>IF(L13=0,0,L13/TrAvia_act!L31*1000000)</f>
        <v>15525.828623608661</v>
      </c>
      <c r="M45" s="88">
        <f>IF(M13=0,0,M13/TrAvia_act!M31*1000000)</f>
        <v>13927.007318954054</v>
      </c>
      <c r="N45" s="88">
        <f>IF(N13=0,0,N13/TrAvia_act!N31*1000000)</f>
        <v>11493.200024163621</v>
      </c>
      <c r="O45" s="88">
        <f>IF(O13=0,0,O13/TrAvia_act!O31*1000000)</f>
        <v>11231.944556651719</v>
      </c>
      <c r="P45" s="88">
        <f>IF(P13=0,0,P13/TrAvia_act!P31*1000000)</f>
        <v>8869.0577071014413</v>
      </c>
      <c r="Q45" s="88">
        <f>IF(Q13=0,0,Q13/TrAvia_act!Q31*1000000)</f>
        <v>7128.7629268528899</v>
      </c>
      <c r="R45" s="88">
        <f>IF(R13=0,0,R13/TrAvia_act!R31*1000000)</f>
        <v>6347.0091178823859</v>
      </c>
      <c r="S45" s="88">
        <f>IF(S13=0,0,S13/TrAvia_act!S31*1000000)</f>
        <v>2872.4891352533068</v>
      </c>
      <c r="T45" s="88">
        <f>IF(T13=0,0,T13/TrAvia_act!T31*1000000)</f>
        <v>2323.481348201276</v>
      </c>
      <c r="U45" s="88">
        <f>IF(U13=0,0,U13/TrAvia_act!U31*1000000)</f>
        <v>1972.3647323818643</v>
      </c>
      <c r="V45" s="88">
        <f>IF(V13=0,0,V13/TrAvia_act!V31*1000000)</f>
        <v>22559.355282843579</v>
      </c>
      <c r="W45" s="88">
        <f>IF(W13=0,0,W13/TrAvia_act!W31*1000000)</f>
        <v>6143.7271011263847</v>
      </c>
      <c r="X45" s="88">
        <f>IF(X13=0,0,X13/TrAvia_act!X31*1000000)</f>
        <v>3821.898919491427</v>
      </c>
      <c r="Y45" s="88">
        <f>IF(Y13=0,0,Y13/TrAvia_act!Y31*1000000)</f>
        <v>1889.8150134814287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0.97182533502823853</v>
      </c>
      <c r="C48" s="16">
        <f t="shared" si="36"/>
        <v>0.97558117801746358</v>
      </c>
      <c r="D48" s="16">
        <f t="shared" ref="D48:V48" si="37">IF(D6=0,0,D6/D$3)</f>
        <v>0.98865563998115324</v>
      </c>
      <c r="E48" s="16">
        <f t="shared" si="37"/>
        <v>0.98048705006194037</v>
      </c>
      <c r="F48" s="16">
        <f t="shared" si="37"/>
        <v>0.99123859535943448</v>
      </c>
      <c r="G48" s="16">
        <f t="shared" si="37"/>
        <v>0.99337594827761411</v>
      </c>
      <c r="H48" s="16">
        <f t="shared" si="37"/>
        <v>0.98732826860447909</v>
      </c>
      <c r="I48" s="16">
        <f t="shared" si="37"/>
        <v>0.99183780881160843</v>
      </c>
      <c r="J48" s="16">
        <f t="shared" si="37"/>
        <v>0.98924656103459918</v>
      </c>
      <c r="K48" s="16">
        <f t="shared" si="37"/>
        <v>0.9777370119013995</v>
      </c>
      <c r="L48" s="16">
        <f t="shared" si="37"/>
        <v>0.96617218247714609</v>
      </c>
      <c r="M48" s="16">
        <f t="shared" si="37"/>
        <v>0.962342553097987</v>
      </c>
      <c r="N48" s="16">
        <f t="shared" si="37"/>
        <v>0.95280668731378082</v>
      </c>
      <c r="O48" s="16">
        <f t="shared" si="37"/>
        <v>0.95426675345921863</v>
      </c>
      <c r="P48" s="16">
        <f t="shared" si="37"/>
        <v>0.9676057004052192</v>
      </c>
      <c r="Q48" s="16">
        <f t="shared" si="37"/>
        <v>0.96730842438580933</v>
      </c>
      <c r="R48" s="16">
        <f t="shared" si="37"/>
        <v>0.97333173680583163</v>
      </c>
      <c r="S48" s="16">
        <f t="shared" si="37"/>
        <v>0.96609139301702296</v>
      </c>
      <c r="T48" s="16">
        <f t="shared" si="37"/>
        <v>0.97656365964857683</v>
      </c>
      <c r="U48" s="16">
        <f t="shared" si="37"/>
        <v>0.98104892437961888</v>
      </c>
      <c r="V48" s="16">
        <f t="shared" si="37"/>
        <v>0.89861798855208863</v>
      </c>
      <c r="W48" s="16">
        <f t="shared" ref="W48:Y48" si="38">IF(W6=0,0,W6/W$3)</f>
        <v>0.93740248840671625</v>
      </c>
      <c r="X48" s="16">
        <f t="shared" si="38"/>
        <v>0.97211604570762522</v>
      </c>
      <c r="Y48" s="16">
        <f t="shared" si="38"/>
        <v>0.98754015534440809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0.59863889096274958</v>
      </c>
      <c r="C50" s="103">
        <f t="shared" si="42"/>
        <v>0.60036030494302239</v>
      </c>
      <c r="D50" s="103">
        <f t="shared" ref="D50:V50" si="43">IF(D8=0,0,D8/D$3)</f>
        <v>0.52997010378101372</v>
      </c>
      <c r="E50" s="103">
        <f t="shared" si="43"/>
        <v>0.53969276215027184</v>
      </c>
      <c r="F50" s="103">
        <f t="shared" si="43"/>
        <v>0.57828990703197503</v>
      </c>
      <c r="G50" s="103">
        <f t="shared" si="43"/>
        <v>0.60948741723333622</v>
      </c>
      <c r="H50" s="103">
        <f t="shared" si="43"/>
        <v>0.63879732047794846</v>
      </c>
      <c r="I50" s="103">
        <f t="shared" si="43"/>
        <v>0.65385677483023907</v>
      </c>
      <c r="J50" s="103">
        <f t="shared" si="43"/>
        <v>0.68210806869327589</v>
      </c>
      <c r="K50" s="103">
        <f t="shared" si="43"/>
        <v>0.64330233963447303</v>
      </c>
      <c r="L50" s="103">
        <f t="shared" si="43"/>
        <v>0.61337764352572954</v>
      </c>
      <c r="M50" s="103">
        <f t="shared" si="43"/>
        <v>0.59867015535914059</v>
      </c>
      <c r="N50" s="103">
        <f t="shared" si="43"/>
        <v>0.58760346304575206</v>
      </c>
      <c r="O50" s="103">
        <f t="shared" si="43"/>
        <v>0.5851962354948953</v>
      </c>
      <c r="P50" s="103">
        <f t="shared" si="43"/>
        <v>0.60859344515859248</v>
      </c>
      <c r="Q50" s="103">
        <f t="shared" si="43"/>
        <v>0.62812616065925608</v>
      </c>
      <c r="R50" s="103">
        <f t="shared" si="43"/>
        <v>0.64504370725079851</v>
      </c>
      <c r="S50" s="103">
        <f t="shared" si="43"/>
        <v>0.63303187397311356</v>
      </c>
      <c r="T50" s="103">
        <f t="shared" si="43"/>
        <v>0.645435331411496</v>
      </c>
      <c r="U50" s="103">
        <f t="shared" si="43"/>
        <v>0.64676889783300739</v>
      </c>
      <c r="V50" s="103">
        <f t="shared" si="43"/>
        <v>0.50423687132189088</v>
      </c>
      <c r="W50" s="103">
        <f t="shared" ref="W50:Y50" si="44">IF(W8=0,0,W8/W$3)</f>
        <v>0.56378492392764823</v>
      </c>
      <c r="X50" s="103">
        <f t="shared" si="44"/>
        <v>0.63681610973171565</v>
      </c>
      <c r="Y50" s="103">
        <f t="shared" si="44"/>
        <v>0.64288615728118426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0.3731864440654889</v>
      </c>
      <c r="C51" s="103">
        <f t="shared" si="45"/>
        <v>0.37522087307444119</v>
      </c>
      <c r="D51" s="103">
        <f t="shared" ref="D51:V51" si="46">IF(D9=0,0,D9/D$3)</f>
        <v>0.45868553620013952</v>
      </c>
      <c r="E51" s="103">
        <f t="shared" si="46"/>
        <v>0.44079428791166858</v>
      </c>
      <c r="F51" s="103">
        <f t="shared" si="46"/>
        <v>0.41294868832745946</v>
      </c>
      <c r="G51" s="103">
        <f t="shared" si="46"/>
        <v>0.38388853104427778</v>
      </c>
      <c r="H51" s="103">
        <f t="shared" si="46"/>
        <v>0.34853094812653063</v>
      </c>
      <c r="I51" s="103">
        <f t="shared" si="46"/>
        <v>0.33798103398136942</v>
      </c>
      <c r="J51" s="103">
        <f t="shared" si="46"/>
        <v>0.3071384923413234</v>
      </c>
      <c r="K51" s="103">
        <f t="shared" si="46"/>
        <v>0.33443467226692647</v>
      </c>
      <c r="L51" s="103">
        <f t="shared" si="46"/>
        <v>0.35279453895141649</v>
      </c>
      <c r="M51" s="103">
        <f t="shared" si="46"/>
        <v>0.36367239773884646</v>
      </c>
      <c r="N51" s="103">
        <f t="shared" si="46"/>
        <v>0.36520322426802876</v>
      </c>
      <c r="O51" s="103">
        <f t="shared" si="46"/>
        <v>0.36907051796432339</v>
      </c>
      <c r="P51" s="103">
        <f t="shared" si="46"/>
        <v>0.35901225524662678</v>
      </c>
      <c r="Q51" s="103">
        <f t="shared" si="46"/>
        <v>0.3391822637265533</v>
      </c>
      <c r="R51" s="103">
        <f t="shared" si="46"/>
        <v>0.32828802955503322</v>
      </c>
      <c r="S51" s="103">
        <f t="shared" si="46"/>
        <v>0.33305951904390957</v>
      </c>
      <c r="T51" s="103">
        <f t="shared" si="46"/>
        <v>0.33112832823708083</v>
      </c>
      <c r="U51" s="103">
        <f t="shared" si="46"/>
        <v>0.33428002654661154</v>
      </c>
      <c r="V51" s="103">
        <f t="shared" si="46"/>
        <v>0.3943811172301977</v>
      </c>
      <c r="W51" s="103">
        <f t="shared" ref="W51:Y51" si="47">IF(W9=0,0,W9/W$3)</f>
        <v>0.37361756447906797</v>
      </c>
      <c r="X51" s="103">
        <f t="shared" si="47"/>
        <v>0.33529993597590962</v>
      </c>
      <c r="Y51" s="103">
        <f t="shared" si="47"/>
        <v>0.34465399806322383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2.8174664971761351E-2</v>
      </c>
      <c r="C52" s="17">
        <f t="shared" si="48"/>
        <v>2.4418821982536424E-2</v>
      </c>
      <c r="D52" s="17">
        <f t="shared" ref="D52:V52" si="49">IF(D10=0,0,D10/D$3)</f>
        <v>1.1344360018846724E-2</v>
      </c>
      <c r="E52" s="17">
        <f t="shared" si="49"/>
        <v>1.9512949938059677E-2</v>
      </c>
      <c r="F52" s="17">
        <f t="shared" si="49"/>
        <v>8.7614046405655056E-3</v>
      </c>
      <c r="G52" s="17">
        <f t="shared" si="49"/>
        <v>6.62405172238605E-3</v>
      </c>
      <c r="H52" s="17">
        <f t="shared" si="49"/>
        <v>1.2671731395520941E-2</v>
      </c>
      <c r="I52" s="17">
        <f t="shared" si="49"/>
        <v>8.1621911883915654E-3</v>
      </c>
      <c r="J52" s="17">
        <f t="shared" si="49"/>
        <v>1.0753438965400725E-2</v>
      </c>
      <c r="K52" s="17">
        <f t="shared" si="49"/>
        <v>2.2262988098600622E-2</v>
      </c>
      <c r="L52" s="17">
        <f t="shared" si="49"/>
        <v>3.382781752285384E-2</v>
      </c>
      <c r="M52" s="17">
        <f t="shared" si="49"/>
        <v>3.7657446902013045E-2</v>
      </c>
      <c r="N52" s="17">
        <f t="shared" si="49"/>
        <v>4.7193312686219201E-2</v>
      </c>
      <c r="O52" s="17">
        <f t="shared" si="49"/>
        <v>4.5733246540781446E-2</v>
      </c>
      <c r="P52" s="17">
        <f t="shared" si="49"/>
        <v>3.239429959478083E-2</v>
      </c>
      <c r="Q52" s="17">
        <f t="shared" si="49"/>
        <v>3.2691575614190747E-2</v>
      </c>
      <c r="R52" s="17">
        <f t="shared" si="49"/>
        <v>2.6668263194168287E-2</v>
      </c>
      <c r="S52" s="17">
        <f t="shared" si="49"/>
        <v>3.3908606982977034E-2</v>
      </c>
      <c r="T52" s="17">
        <f t="shared" si="49"/>
        <v>2.3436340351423182E-2</v>
      </c>
      <c r="U52" s="17">
        <f t="shared" si="49"/>
        <v>1.8951075620381241E-2</v>
      </c>
      <c r="V52" s="17">
        <f t="shared" si="49"/>
        <v>0.1013820114479113</v>
      </c>
      <c r="W52" s="17">
        <f t="shared" ref="W52:Y52" si="50">IF(W10=0,0,W10/W$3)</f>
        <v>6.2597511593283819E-2</v>
      </c>
      <c r="X52" s="17">
        <f t="shared" si="50"/>
        <v>2.7883954292374863E-2</v>
      </c>
      <c r="Y52" s="17">
        <f t="shared" si="50"/>
        <v>1.2459844655591953E-2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1.4709872679579709E-2</v>
      </c>
      <c r="C54" s="104">
        <f t="shared" si="54"/>
        <v>1.2491403090815522E-2</v>
      </c>
      <c r="D54" s="104">
        <f t="shared" ref="D54:V54" si="55">IF(D12=0,0,D12/D$3)</f>
        <v>9.000274748381944E-3</v>
      </c>
      <c r="E54" s="104">
        <f t="shared" si="55"/>
        <v>5.349792682404428E-3</v>
      </c>
      <c r="F54" s="104">
        <f t="shared" si="55"/>
        <v>2.6644955743314529E-3</v>
      </c>
      <c r="G54" s="104">
        <f t="shared" si="55"/>
        <v>1.5076985940002802E-3</v>
      </c>
      <c r="H54" s="104">
        <f t="shared" si="55"/>
        <v>1.2360375941331788E-3</v>
      </c>
      <c r="I54" s="104">
        <f t="shared" si="55"/>
        <v>1.217626457065087E-3</v>
      </c>
      <c r="J54" s="104">
        <f t="shared" si="55"/>
        <v>8.173264103662644E-3</v>
      </c>
      <c r="K54" s="104">
        <f t="shared" si="55"/>
        <v>1.9678739653477932E-2</v>
      </c>
      <c r="L54" s="104">
        <f t="shared" si="55"/>
        <v>2.6321805039842518E-2</v>
      </c>
      <c r="M54" s="104">
        <f t="shared" si="55"/>
        <v>3.7016189277823679E-2</v>
      </c>
      <c r="N54" s="104">
        <f t="shared" si="55"/>
        <v>4.6575918153743345E-2</v>
      </c>
      <c r="O54" s="104">
        <f t="shared" si="55"/>
        <v>4.4647197664793498E-2</v>
      </c>
      <c r="P54" s="104">
        <f t="shared" si="55"/>
        <v>2.6088598744934046E-2</v>
      </c>
      <c r="Q54" s="104">
        <f t="shared" si="55"/>
        <v>2.8752719140701426E-2</v>
      </c>
      <c r="R54" s="104">
        <f t="shared" si="55"/>
        <v>2.3855422506209364E-2</v>
      </c>
      <c r="S54" s="104">
        <f t="shared" si="55"/>
        <v>3.2840340323036385E-2</v>
      </c>
      <c r="T54" s="104">
        <f t="shared" si="55"/>
        <v>2.2508380675614573E-2</v>
      </c>
      <c r="U54" s="104">
        <f t="shared" si="55"/>
        <v>1.8691011581044997E-2</v>
      </c>
      <c r="V54" s="104">
        <f t="shared" si="55"/>
        <v>9.7486785186999506E-2</v>
      </c>
      <c r="W54" s="104">
        <f t="shared" ref="W54:Y54" si="56">IF(W12=0,0,W12/W$3)</f>
        <v>6.2327486741005939E-2</v>
      </c>
      <c r="X54" s="104">
        <f t="shared" si="56"/>
        <v>2.7771969458181101E-2</v>
      </c>
      <c r="Y54" s="104">
        <f t="shared" si="56"/>
        <v>1.2394583419386533E-2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1.3464792292181641E-2</v>
      </c>
      <c r="C55" s="105">
        <f t="shared" si="57"/>
        <v>1.1927418891720904E-2</v>
      </c>
      <c r="D55" s="105">
        <f t="shared" ref="D55:V55" si="58">IF(D13=0,0,D13/D$3)</f>
        <v>2.3440852704647813E-3</v>
      </c>
      <c r="E55" s="105">
        <f t="shared" si="58"/>
        <v>1.4163157255655246E-2</v>
      </c>
      <c r="F55" s="105">
        <f t="shared" si="58"/>
        <v>6.0969090662340514E-3</v>
      </c>
      <c r="G55" s="105">
        <f t="shared" si="58"/>
        <v>5.1163531283857696E-3</v>
      </c>
      <c r="H55" s="105">
        <f t="shared" si="58"/>
        <v>1.143569380138776E-2</v>
      </c>
      <c r="I55" s="105">
        <f t="shared" si="58"/>
        <v>6.9445647313264788E-3</v>
      </c>
      <c r="J55" s="105">
        <f t="shared" si="58"/>
        <v>2.5801748617380808E-3</v>
      </c>
      <c r="K55" s="105">
        <f t="shared" si="58"/>
        <v>2.5842484451226899E-3</v>
      </c>
      <c r="L55" s="105">
        <f t="shared" si="58"/>
        <v>7.5060124830113257E-3</v>
      </c>
      <c r="M55" s="105">
        <f t="shared" si="58"/>
        <v>6.4125762418936979E-4</v>
      </c>
      <c r="N55" s="105">
        <f t="shared" si="58"/>
        <v>6.1739453247585644E-4</v>
      </c>
      <c r="O55" s="105">
        <f t="shared" si="58"/>
        <v>1.0860488759879487E-3</v>
      </c>
      <c r="P55" s="105">
        <f t="shared" si="58"/>
        <v>6.3057008498467867E-3</v>
      </c>
      <c r="Q55" s="105">
        <f t="shared" si="58"/>
        <v>3.9388564734893191E-3</v>
      </c>
      <c r="R55" s="105">
        <f t="shared" si="58"/>
        <v>2.8128406879589208E-3</v>
      </c>
      <c r="S55" s="105">
        <f t="shared" si="58"/>
        <v>1.068266659940649E-3</v>
      </c>
      <c r="T55" s="105">
        <f t="shared" si="58"/>
        <v>9.2795967580860971E-4</v>
      </c>
      <c r="U55" s="105">
        <f t="shared" si="58"/>
        <v>2.6006403933624553E-4</v>
      </c>
      <c r="V55" s="105">
        <f t="shared" si="58"/>
        <v>3.895226260911799E-3</v>
      </c>
      <c r="W55" s="105">
        <f t="shared" ref="W55:Y55" si="59">IF(W13=0,0,W13/W$3)</f>
        <v>2.7002485227787143E-4</v>
      </c>
      <c r="X55" s="105">
        <f t="shared" si="59"/>
        <v>1.1198483419376168E-4</v>
      </c>
      <c r="Y55" s="105">
        <f t="shared" si="59"/>
        <v>6.5261236205420238E-5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406.80925529972467</v>
      </c>
      <c r="C57" s="62">
        <v>407.00746853078692</v>
      </c>
      <c r="D57" s="62">
        <v>411.20944714454367</v>
      </c>
      <c r="E57" s="62">
        <v>412.66074692019242</v>
      </c>
      <c r="F57" s="62">
        <v>406.31840531305545</v>
      </c>
      <c r="G57" s="62">
        <v>392.20068908338646</v>
      </c>
      <c r="H57" s="62">
        <v>368.3451753837366</v>
      </c>
      <c r="I57" s="62">
        <v>375.97629113316134</v>
      </c>
      <c r="J57" s="62">
        <v>358.38842650186069</v>
      </c>
      <c r="K57" s="62">
        <v>355.74585243625603</v>
      </c>
      <c r="L57" s="62">
        <v>354.65894687914698</v>
      </c>
      <c r="M57" s="62">
        <v>343.55415237763208</v>
      </c>
      <c r="N57" s="62">
        <v>342.17799070189471</v>
      </c>
      <c r="O57" s="62">
        <v>342.5375503480027</v>
      </c>
      <c r="P57" s="62">
        <v>343.2694600338487</v>
      </c>
      <c r="Q57" s="62">
        <v>345.95423963552651</v>
      </c>
      <c r="R57" s="62">
        <v>348.38484619177433</v>
      </c>
      <c r="S57" s="62">
        <v>355.78283028451489</v>
      </c>
      <c r="T57" s="62">
        <v>358.98012843571576</v>
      </c>
      <c r="U57" s="62">
        <v>351.15700359282425</v>
      </c>
      <c r="V57" s="62">
        <v>370.05654956620401</v>
      </c>
      <c r="W57" s="62">
        <v>353.68571269786565</v>
      </c>
      <c r="X57" s="62">
        <v>362.43635841188842</v>
      </c>
      <c r="Y57" s="62">
        <v>356.21517822104965</v>
      </c>
      <c r="DA57" s="172" t="s">
        <v>314</v>
      </c>
    </row>
    <row r="58" spans="1:105" ht="11.45" customHeight="1" x14ac:dyDescent="0.25">
      <c r="A58" s="10" t="s">
        <v>33</v>
      </c>
      <c r="B58" s="14">
        <v>408.07204101539202</v>
      </c>
      <c r="C58" s="14">
        <v>408.09711820755064</v>
      </c>
      <c r="D58" s="14">
        <v>411.85780519517385</v>
      </c>
      <c r="E58" s="14">
        <v>413.5235036577198</v>
      </c>
      <c r="F58" s="14">
        <v>406.64582383719073</v>
      </c>
      <c r="G58" s="14">
        <v>392.33963378813883</v>
      </c>
      <c r="H58" s="14">
        <v>368.10613708126351</v>
      </c>
      <c r="I58" s="14">
        <v>375.53529041223243</v>
      </c>
      <c r="J58" s="14">
        <v>358.23303540110231</v>
      </c>
      <c r="K58" s="14">
        <v>355.17673791236359</v>
      </c>
      <c r="L58" s="14">
        <v>353.42369081459253</v>
      </c>
      <c r="M58" s="14">
        <v>342.966741025386</v>
      </c>
      <c r="N58" s="14">
        <v>340.88491671737728</v>
      </c>
      <c r="O58" s="14">
        <v>340.95042401268586</v>
      </c>
      <c r="P58" s="14">
        <v>341.8483507551793</v>
      </c>
      <c r="Q58" s="14">
        <v>344.81572029847075</v>
      </c>
      <c r="R58" s="14">
        <v>347.18125777538313</v>
      </c>
      <c r="S58" s="14">
        <v>354.28890367869741</v>
      </c>
      <c r="T58" s="14">
        <v>358.01399079907986</v>
      </c>
      <c r="U58" s="14">
        <v>350.17939580315567</v>
      </c>
      <c r="V58" s="14">
        <v>366.66786612250189</v>
      </c>
      <c r="W58" s="14">
        <v>350.75357065446519</v>
      </c>
      <c r="X58" s="14">
        <v>361.27330258122754</v>
      </c>
      <c r="Y58" s="14">
        <v>355.73861829912488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381.57528169327799</v>
      </c>
      <c r="C60" s="87">
        <v>381.58503487340658</v>
      </c>
      <c r="D60" s="87">
        <v>378.43866606622555</v>
      </c>
      <c r="E60" s="87">
        <v>383.99667835289932</v>
      </c>
      <c r="F60" s="87">
        <v>374.89844101260701</v>
      </c>
      <c r="G60" s="87">
        <v>366.05141325640415</v>
      </c>
      <c r="H60" s="87">
        <v>353.73576081028671</v>
      </c>
      <c r="I60" s="87">
        <v>353.80610957475199</v>
      </c>
      <c r="J60" s="87">
        <v>344.3351051313702</v>
      </c>
      <c r="K60" s="87">
        <v>350.80525444643905</v>
      </c>
      <c r="L60" s="87">
        <v>350.06997200286554</v>
      </c>
      <c r="M60" s="87">
        <v>341.25798260351996</v>
      </c>
      <c r="N60" s="87">
        <v>340.29326811425113</v>
      </c>
      <c r="O60" s="87">
        <v>338.48482769235687</v>
      </c>
      <c r="P60" s="87">
        <v>336.86682287607374</v>
      </c>
      <c r="Q60" s="87">
        <v>333.12308529629729</v>
      </c>
      <c r="R60" s="87">
        <v>334.93571855635196</v>
      </c>
      <c r="S60" s="87">
        <v>336.25477569721193</v>
      </c>
      <c r="T60" s="87">
        <v>333.51505562807057</v>
      </c>
      <c r="U60" s="87">
        <v>329.7137467981097</v>
      </c>
      <c r="V60" s="87">
        <v>335.07529967779186</v>
      </c>
      <c r="W60" s="87">
        <v>322.29655566399259</v>
      </c>
      <c r="X60" s="87">
        <v>331.98963133615615</v>
      </c>
      <c r="Y60" s="87">
        <v>329.19733732402005</v>
      </c>
      <c r="DA60" s="171" t="s">
        <v>317</v>
      </c>
    </row>
    <row r="61" spans="1:105" ht="11.45" customHeight="1" x14ac:dyDescent="0.25">
      <c r="A61" s="83" t="s">
        <v>182</v>
      </c>
      <c r="B61" s="87">
        <v>447.79305509217227</v>
      </c>
      <c r="C61" s="87">
        <v>447.79305509217232</v>
      </c>
      <c r="D61" s="87">
        <v>447.79305509217227</v>
      </c>
      <c r="E61" s="87">
        <v>447.79305509217232</v>
      </c>
      <c r="F61" s="87">
        <v>447.79305509217227</v>
      </c>
      <c r="G61" s="87">
        <v>444.35047419711998</v>
      </c>
      <c r="H61" s="87">
        <v>425.02199764530053</v>
      </c>
      <c r="I61" s="87">
        <v>440.33258120905981</v>
      </c>
      <c r="J61" s="87">
        <v>400.37334504293716</v>
      </c>
      <c r="K61" s="87">
        <v>367.8296010283475</v>
      </c>
      <c r="L61" s="87">
        <v>362.98562532219717</v>
      </c>
      <c r="M61" s="87">
        <v>347.53663259979584</v>
      </c>
      <c r="N61" s="87">
        <v>342.18954453513544</v>
      </c>
      <c r="O61" s="87">
        <v>346.93987803152419</v>
      </c>
      <c r="P61" s="87">
        <v>357.06541944241951</v>
      </c>
      <c r="Q61" s="87">
        <v>375.29492933605485</v>
      </c>
      <c r="R61" s="87">
        <v>383.15701177450359</v>
      </c>
      <c r="S61" s="87">
        <v>389.27884344288032</v>
      </c>
      <c r="T61" s="87">
        <v>401.11789249626264</v>
      </c>
      <c r="U61" s="87">
        <v>383.42121036766372</v>
      </c>
      <c r="V61" s="87">
        <v>473.94817602726937</v>
      </c>
      <c r="W61" s="87">
        <v>452.66283602940024</v>
      </c>
      <c r="X61" s="87">
        <v>422.13135135839968</v>
      </c>
      <c r="Y61" s="87">
        <v>406.95730903042659</v>
      </c>
      <c r="DA61" s="171" t="s">
        <v>318</v>
      </c>
    </row>
    <row r="62" spans="1:105" ht="11.45" customHeight="1" x14ac:dyDescent="0.25">
      <c r="A62" s="12" t="s">
        <v>34</v>
      </c>
      <c r="B62" s="15">
        <v>370.50535412081075</v>
      </c>
      <c r="C62" s="15">
        <v>370.75938777355094</v>
      </c>
      <c r="D62" s="15">
        <v>360.58423318761902</v>
      </c>
      <c r="E62" s="15">
        <v>378.08842287127288</v>
      </c>
      <c r="F62" s="15">
        <v>376.98392625713308</v>
      </c>
      <c r="G62" s="15">
        <v>373.92432244190661</v>
      </c>
      <c r="H62" s="15">
        <v>393.94857873638568</v>
      </c>
      <c r="I62" s="15">
        <v>439.90173038386786</v>
      </c>
      <c r="J62" s="15">
        <v>369.719335653813</v>
      </c>
      <c r="K62" s="15">
        <v>375.95094277057797</v>
      </c>
      <c r="L62" s="15">
        <v>385.7190329781269</v>
      </c>
      <c r="M62" s="15">
        <v>355.26943164446743</v>
      </c>
      <c r="N62" s="15">
        <v>365.71113753525407</v>
      </c>
      <c r="O62" s="15">
        <v>372.39615694209715</v>
      </c>
      <c r="P62" s="15">
        <v>383.68312829110653</v>
      </c>
      <c r="Q62" s="15">
        <v>376.23518027993788</v>
      </c>
      <c r="R62" s="15">
        <v>387.48568954957</v>
      </c>
      <c r="S62" s="15">
        <v>398.75926444094461</v>
      </c>
      <c r="T62" s="15">
        <v>399.53415763179299</v>
      </c>
      <c r="U62" s="15">
        <v>404.00198868859809</v>
      </c>
      <c r="V62" s="15">
        <v>400.23759760485041</v>
      </c>
      <c r="W62" s="15">
        <v>399.07730729137296</v>
      </c>
      <c r="X62" s="15">
        <v>408.66151543637369</v>
      </c>
      <c r="Y62" s="15">
        <v>396.93737839071844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353.23501932723894</v>
      </c>
      <c r="C64" s="101">
        <v>353.02679540383446</v>
      </c>
      <c r="D64" s="101">
        <v>352.36874367495557</v>
      </c>
      <c r="E64" s="101">
        <v>353.48653779310501</v>
      </c>
      <c r="F64" s="101">
        <v>352.36874367495557</v>
      </c>
      <c r="G64" s="101">
        <v>346.76906460609734</v>
      </c>
      <c r="H64" s="101">
        <v>338.42765481394144</v>
      </c>
      <c r="I64" s="101">
        <v>342.08376877497591</v>
      </c>
      <c r="J64" s="101">
        <v>353.21444552945309</v>
      </c>
      <c r="K64" s="101">
        <v>369.82590753747235</v>
      </c>
      <c r="L64" s="101">
        <v>370.16630211925161</v>
      </c>
      <c r="M64" s="101">
        <v>354.31881508437749</v>
      </c>
      <c r="N64" s="101">
        <v>364.94643428507561</v>
      </c>
      <c r="O64" s="101">
        <v>371.57507261190898</v>
      </c>
      <c r="P64" s="101">
        <v>380.63180165293727</v>
      </c>
      <c r="Q64" s="101">
        <v>375.26657534117373</v>
      </c>
      <c r="R64" s="101">
        <v>389.16482974997962</v>
      </c>
      <c r="S64" s="101">
        <v>400.18638102678568</v>
      </c>
      <c r="T64" s="101">
        <v>402.11598710626345</v>
      </c>
      <c r="U64" s="101">
        <v>404.8704018057511</v>
      </c>
      <c r="V64" s="101">
        <v>398.60795070190886</v>
      </c>
      <c r="W64" s="101">
        <v>399.31766772323755</v>
      </c>
      <c r="X64" s="101">
        <v>409.13210604053984</v>
      </c>
      <c r="Y64" s="101">
        <v>397.51369865820106</v>
      </c>
      <c r="DA64" s="175" t="s">
        <v>321</v>
      </c>
    </row>
    <row r="65" spans="1:105" ht="11.45" customHeight="1" x14ac:dyDescent="0.25">
      <c r="A65" s="85" t="s">
        <v>182</v>
      </c>
      <c r="B65" s="88">
        <v>385.47109024010854</v>
      </c>
      <c r="C65" s="88">
        <v>385.47109024010854</v>
      </c>
      <c r="D65" s="88">
        <v>385.47109024010854</v>
      </c>
      <c r="E65" s="88">
        <v>385.47109024010848</v>
      </c>
      <c r="F65" s="88">
        <v>385.47109024010854</v>
      </c>
      <c r="G65" s="88">
        <v>382.51361314615588</v>
      </c>
      <c r="H65" s="88">
        <v>405.76361615985923</v>
      </c>
      <c r="I65" s="88">
        <v>466.88102578852482</v>
      </c>
      <c r="J65" s="88">
        <v>467.34726565826685</v>
      </c>
      <c r="K65" s="88">
        <v>469.76710367406884</v>
      </c>
      <c r="L65" s="88">
        <v>512.41042854210275</v>
      </c>
      <c r="M65" s="88">
        <v>477.01551990331365</v>
      </c>
      <c r="N65" s="88">
        <v>461.67593389787339</v>
      </c>
      <c r="O65" s="88">
        <v>428.05165409986461</v>
      </c>
      <c r="P65" s="88">
        <v>405.97842524088878</v>
      </c>
      <c r="Q65" s="88">
        <v>385.72926412152742</v>
      </c>
      <c r="R65" s="88">
        <v>368.59795341725032</v>
      </c>
      <c r="S65" s="88">
        <v>362.11436544671022</v>
      </c>
      <c r="T65" s="88">
        <v>354.00957440481528</v>
      </c>
      <c r="U65" s="88">
        <v>359.18186307993909</v>
      </c>
      <c r="V65" s="88">
        <v>471.52369662705269</v>
      </c>
      <c r="W65" s="88">
        <v>333.96785372906083</v>
      </c>
      <c r="X65" s="88">
        <v>331.90803908236785</v>
      </c>
      <c r="Y65" s="88">
        <v>322.9759523766362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1.724182188067652</v>
      </c>
      <c r="C67" s="59">
        <f t="shared" ref="C67:W67" si="61">IF(C3=0,0,C17/C57)</f>
        <v>1.7294819690726499</v>
      </c>
      <c r="D67" s="59">
        <f t="shared" si="61"/>
        <v>2.0922308154302383</v>
      </c>
      <c r="E67" s="59">
        <f t="shared" si="61"/>
        <v>1.0753403220341249</v>
      </c>
      <c r="F67" s="59">
        <f t="shared" si="61"/>
        <v>0.54650595737933383</v>
      </c>
      <c r="G67" s="59">
        <f t="shared" si="61"/>
        <v>0.77484262755726796</v>
      </c>
      <c r="H67" s="59">
        <f t="shared" si="61"/>
        <v>0.81499305556778845</v>
      </c>
      <c r="I67" s="59">
        <f t="shared" si="61"/>
        <v>0.97296237271963859</v>
      </c>
      <c r="J67" s="59">
        <f t="shared" si="61"/>
        <v>1.0630992034782947</v>
      </c>
      <c r="K67" s="59">
        <f t="shared" si="61"/>
        <v>1.0442389583515412</v>
      </c>
      <c r="L67" s="59">
        <f t="shared" si="61"/>
        <v>0.99579338938917716</v>
      </c>
      <c r="M67" s="59">
        <f t="shared" si="61"/>
        <v>1.0924589009215979</v>
      </c>
      <c r="N67" s="59">
        <f t="shared" si="61"/>
        <v>1.1326363535591886</v>
      </c>
      <c r="O67" s="59">
        <f t="shared" si="61"/>
        <v>1.3106142330231845</v>
      </c>
      <c r="P67" s="59">
        <f t="shared" si="61"/>
        <v>1.0898018685807036</v>
      </c>
      <c r="Q67" s="59">
        <f t="shared" si="61"/>
        <v>1.1311642767084711</v>
      </c>
      <c r="R67" s="59">
        <f t="shared" si="61"/>
        <v>1.1691959528018914</v>
      </c>
      <c r="S67" s="59">
        <f t="shared" si="61"/>
        <v>0.85424212644603914</v>
      </c>
      <c r="T67" s="59">
        <f t="shared" si="61"/>
        <v>0.880170621691029</v>
      </c>
      <c r="U67" s="59">
        <f t="shared" si="61"/>
        <v>0.85260547623096117</v>
      </c>
      <c r="V67" s="59">
        <f t="shared" si="61"/>
        <v>1.9328190293470151</v>
      </c>
      <c r="W67" s="59">
        <f t="shared" si="61"/>
        <v>1.186138753325608</v>
      </c>
      <c r="X67" s="59">
        <f t="shared" ref="X67:Y67" si="62">IF(X3=0,0,X17/X57)</f>
        <v>0.85581159295149034</v>
      </c>
      <c r="Y67" s="59">
        <f t="shared" si="62"/>
        <v>0.64453012462447878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1.7285221715559722</v>
      </c>
      <c r="C68" s="23">
        <f t="shared" ref="C68:W68" si="64">IF(C6=0,0,C18/C58)</f>
        <v>1.7333297901088627</v>
      </c>
      <c r="D68" s="23">
        <f t="shared" si="64"/>
        <v>2.0916890726033848</v>
      </c>
      <c r="E68" s="23">
        <f t="shared" si="64"/>
        <v>1.0784142208209961</v>
      </c>
      <c r="F68" s="23">
        <f t="shared" si="64"/>
        <v>0.54732317016099508</v>
      </c>
      <c r="G68" s="23">
        <f t="shared" si="64"/>
        <v>0.77528703213371808</v>
      </c>
      <c r="H68" s="23">
        <f t="shared" si="64"/>
        <v>0.81270560303943218</v>
      </c>
      <c r="I68" s="23">
        <f t="shared" si="64"/>
        <v>0.97281929817164337</v>
      </c>
      <c r="J68" s="23">
        <f t="shared" si="64"/>
        <v>1.0665521426397244</v>
      </c>
      <c r="K68" s="23">
        <f t="shared" si="64"/>
        <v>1.051431277618494</v>
      </c>
      <c r="L68" s="23">
        <f t="shared" si="64"/>
        <v>1.0038672020332038</v>
      </c>
      <c r="M68" s="23">
        <f t="shared" si="64"/>
        <v>1.1059244251180604</v>
      </c>
      <c r="N68" s="23">
        <f t="shared" si="64"/>
        <v>1.1427998883671235</v>
      </c>
      <c r="O68" s="23">
        <f t="shared" si="64"/>
        <v>1.3232862836057377</v>
      </c>
      <c r="P68" s="23">
        <f t="shared" si="64"/>
        <v>1.0961168047860863</v>
      </c>
      <c r="Q68" s="23">
        <f t="shared" si="64"/>
        <v>1.1390731259502347</v>
      </c>
      <c r="R68" s="23">
        <f t="shared" si="64"/>
        <v>1.1771121694595224</v>
      </c>
      <c r="S68" s="23">
        <f t="shared" si="64"/>
        <v>0.8575647221858298</v>
      </c>
      <c r="T68" s="23">
        <f t="shared" si="64"/>
        <v>0.8823947549559592</v>
      </c>
      <c r="U68" s="23">
        <f t="shared" si="64"/>
        <v>0.85429991939603156</v>
      </c>
      <c r="V68" s="23">
        <f t="shared" si="64"/>
        <v>1.9497327902691477</v>
      </c>
      <c r="W68" s="23">
        <f t="shared" si="64"/>
        <v>1.1936089932232103</v>
      </c>
      <c r="X68" s="23">
        <f t="shared" ref="X68:Y68" si="65">IF(X6=0,0,X18/X58)</f>
        <v>0.85562625250461843</v>
      </c>
      <c r="Y68" s="23">
        <f t="shared" si="65"/>
        <v>0.64481079978285782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1.8982898166582012</v>
      </c>
      <c r="C70" s="91">
        <f t="shared" ref="C70:W70" si="68">IF(C8=0,0,C20/C60)</f>
        <v>1.9026832588366975</v>
      </c>
      <c r="D70" s="91">
        <f t="shared" si="68"/>
        <v>2.3550955359424957</v>
      </c>
      <c r="E70" s="91">
        <f t="shared" si="68"/>
        <v>1.1900101434711516</v>
      </c>
      <c r="F70" s="91">
        <f t="shared" si="68"/>
        <v>0.61357654341936407</v>
      </c>
      <c r="G70" s="91">
        <f t="shared" si="68"/>
        <v>0.76753183875613684</v>
      </c>
      <c r="H70" s="91">
        <f t="shared" si="68"/>
        <v>0.68533236440521683</v>
      </c>
      <c r="I70" s="91">
        <f t="shared" si="68"/>
        <v>0.90897454073051576</v>
      </c>
      <c r="J70" s="91">
        <f t="shared" si="68"/>
        <v>1.01742364262733</v>
      </c>
      <c r="K70" s="91">
        <f t="shared" si="68"/>
        <v>0.94239730246362896</v>
      </c>
      <c r="L70" s="91">
        <f t="shared" si="68"/>
        <v>0.86908267264921957</v>
      </c>
      <c r="M70" s="91">
        <f t="shared" si="68"/>
        <v>0.94997665691501487</v>
      </c>
      <c r="N70" s="91">
        <f t="shared" si="68"/>
        <v>1.0261696770627633</v>
      </c>
      <c r="O70" s="91">
        <f t="shared" si="68"/>
        <v>1.1538956390543353</v>
      </c>
      <c r="P70" s="91">
        <f t="shared" si="68"/>
        <v>0.92864800640290679</v>
      </c>
      <c r="Q70" s="91">
        <f t="shared" si="68"/>
        <v>1.0593384688731959</v>
      </c>
      <c r="R70" s="91">
        <f t="shared" si="68"/>
        <v>1.0838517026622976</v>
      </c>
      <c r="S70" s="91">
        <f t="shared" si="68"/>
        <v>0.89720814598861998</v>
      </c>
      <c r="T70" s="91">
        <f t="shared" si="68"/>
        <v>0.98185642509506454</v>
      </c>
      <c r="U70" s="91">
        <f t="shared" si="68"/>
        <v>0.96643417945290877</v>
      </c>
      <c r="V70" s="91">
        <f t="shared" si="68"/>
        <v>1.5497528182082034</v>
      </c>
      <c r="W70" s="91">
        <f t="shared" si="68"/>
        <v>0.99941871674515093</v>
      </c>
      <c r="X70" s="91">
        <f t="shared" ref="X70:Y70" si="69">IF(X8=0,0,X20/X60)</f>
        <v>0.90343975390123787</v>
      </c>
      <c r="Y70" s="91">
        <f t="shared" si="69"/>
        <v>0.68867439266909314</v>
      </c>
      <c r="DA70" s="171"/>
    </row>
    <row r="71" spans="1:105" ht="11.45" customHeight="1" x14ac:dyDescent="0.25">
      <c r="A71" s="83" t="s">
        <v>182</v>
      </c>
      <c r="B71" s="91">
        <f t="shared" si="63"/>
        <v>1.5116592167699983</v>
      </c>
      <c r="C71" s="91">
        <f t="shared" ref="C71:W71" si="70">IF(C9=0,0,C21/C61)</f>
        <v>1.5172519266696292</v>
      </c>
      <c r="D71" s="91">
        <f t="shared" si="70"/>
        <v>1.8523189250545775</v>
      </c>
      <c r="E71" s="91">
        <f t="shared" si="70"/>
        <v>0.96734592549242826</v>
      </c>
      <c r="F71" s="91">
        <f t="shared" si="70"/>
        <v>0.47543176632627626</v>
      </c>
      <c r="G71" s="91">
        <f t="shared" si="70"/>
        <v>0.78792687728140409</v>
      </c>
      <c r="H71" s="91">
        <f t="shared" si="70"/>
        <v>1.2325718055712571</v>
      </c>
      <c r="I71" s="91">
        <f t="shared" si="70"/>
        <v>1.1257952775401068</v>
      </c>
      <c r="J71" s="91">
        <f t="shared" si="70"/>
        <v>1.1946663351296483</v>
      </c>
      <c r="K71" s="91">
        <f t="shared" si="70"/>
        <v>1.352413766441648</v>
      </c>
      <c r="L71" s="91">
        <f t="shared" si="70"/>
        <v>1.3744835715390524</v>
      </c>
      <c r="M71" s="91">
        <f t="shared" si="70"/>
        <v>1.51545527454846</v>
      </c>
      <c r="N71" s="91">
        <f t="shared" si="70"/>
        <v>1.3985527344992679</v>
      </c>
      <c r="O71" s="91">
        <f t="shared" si="70"/>
        <v>1.7247438684740557</v>
      </c>
      <c r="P71" s="91">
        <f t="shared" si="70"/>
        <v>1.578745109308352</v>
      </c>
      <c r="Q71" s="91">
        <f t="shared" si="70"/>
        <v>1.3235621204310482</v>
      </c>
      <c r="R71" s="91">
        <f t="shared" si="70"/>
        <v>1.4166169923214647</v>
      </c>
      <c r="S71" s="91">
        <f t="shared" si="70"/>
        <v>0.7911251445994798</v>
      </c>
      <c r="T71" s="91">
        <f t="shared" si="70"/>
        <v>0.73689289947957881</v>
      </c>
      <c r="U71" s="91">
        <f t="shared" si="70"/>
        <v>0.697675871704864</v>
      </c>
      <c r="V71" s="91">
        <f t="shared" si="70"/>
        <v>2.9099841172886434</v>
      </c>
      <c r="W71" s="91">
        <f t="shared" si="70"/>
        <v>1.6887542608333319</v>
      </c>
      <c r="X71" s="91">
        <f t="shared" ref="X71:Y71" si="71">IF(X9=0,0,X21/X61)</f>
        <v>0.77747787571519478</v>
      </c>
      <c r="Y71" s="91">
        <f t="shared" si="71"/>
        <v>0.57633797320193558</v>
      </c>
      <c r="DA71" s="171"/>
    </row>
    <row r="72" spans="1:105" ht="11.45" customHeight="1" x14ac:dyDescent="0.25">
      <c r="A72" s="12" t="s">
        <v>34</v>
      </c>
      <c r="B72" s="24">
        <f t="shared" si="63"/>
        <v>1.5867608841946477</v>
      </c>
      <c r="C72" s="24">
        <f t="shared" ref="C72:W72" si="72">IF(C10=0,0,C22/C62)</f>
        <v>1.5885906099399181</v>
      </c>
      <c r="D72" s="24">
        <f t="shared" si="72"/>
        <v>2.1405462289918273</v>
      </c>
      <c r="E72" s="24">
        <f t="shared" si="72"/>
        <v>0.94061891856414725</v>
      </c>
      <c r="F72" s="24">
        <f t="shared" si="72"/>
        <v>0.4675283873238627</v>
      </c>
      <c r="G72" s="24">
        <f t="shared" si="72"/>
        <v>0.71350812445740319</v>
      </c>
      <c r="H72" s="24">
        <f t="shared" si="72"/>
        <v>1.0439299630780701</v>
      </c>
      <c r="I72" s="24">
        <f t="shared" si="72"/>
        <v>0.99066720794201291</v>
      </c>
      <c r="J72" s="24">
        <f t="shared" si="72"/>
        <v>0.81913786368125252</v>
      </c>
      <c r="K72" s="24">
        <f t="shared" si="72"/>
        <v>0.80300223504482271</v>
      </c>
      <c r="L72" s="24">
        <f t="shared" si="72"/>
        <v>0.80977798257398459</v>
      </c>
      <c r="M72" s="24">
        <f t="shared" si="72"/>
        <v>0.83320354308988986</v>
      </c>
      <c r="N72" s="24">
        <f t="shared" si="72"/>
        <v>0.96022295693160264</v>
      </c>
      <c r="O72" s="24">
        <f t="shared" si="72"/>
        <v>1.0923457747081815</v>
      </c>
      <c r="P72" s="24">
        <f t="shared" si="72"/>
        <v>0.92979797489094473</v>
      </c>
      <c r="Q72" s="24">
        <f t="shared" si="72"/>
        <v>0.93838075801010734</v>
      </c>
      <c r="R72" s="24">
        <f t="shared" si="72"/>
        <v>0.93877264783869552</v>
      </c>
      <c r="S72" s="24">
        <f t="shared" si="72"/>
        <v>0.76931911531351538</v>
      </c>
      <c r="T72" s="24">
        <f t="shared" si="72"/>
        <v>0.79651369642049208</v>
      </c>
      <c r="U72" s="24">
        <f t="shared" si="72"/>
        <v>0.77321412039957038</v>
      </c>
      <c r="V72" s="24">
        <f t="shared" si="72"/>
        <v>1.7948128695098837</v>
      </c>
      <c r="W72" s="24">
        <f t="shared" si="72"/>
        <v>1.0844974908195417</v>
      </c>
      <c r="X72" s="24">
        <f t="shared" ref="X72:Y72" si="73">IF(X10=0,0,X22/X62)</f>
        <v>0.8623236795334176</v>
      </c>
      <c r="Y72" s="24">
        <f t="shared" si="73"/>
        <v>0.62303565607390421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1.8717006627246864</v>
      </c>
      <c r="C74" s="93">
        <f t="shared" ref="C74:W74" si="76">IF(C12=0,0,C24/C64)</f>
        <v>1.8821680530425204</v>
      </c>
      <c r="D74" s="93">
        <f t="shared" si="76"/>
        <v>2.3115242882419844</v>
      </c>
      <c r="E74" s="93">
        <f t="shared" si="76"/>
        <v>1.1950200963953543</v>
      </c>
      <c r="F74" s="93">
        <f t="shared" si="76"/>
        <v>0.59329527998673048</v>
      </c>
      <c r="G74" s="93">
        <f t="shared" si="76"/>
        <v>0.72876183472669487</v>
      </c>
      <c r="H74" s="93">
        <f t="shared" si="76"/>
        <v>0.67554260045139225</v>
      </c>
      <c r="I74" s="93">
        <f t="shared" si="76"/>
        <v>0.87908878373229193</v>
      </c>
      <c r="J74" s="93">
        <f t="shared" si="76"/>
        <v>0.76186028321306187</v>
      </c>
      <c r="K74" s="93">
        <f t="shared" si="76"/>
        <v>0.76865474517914278</v>
      </c>
      <c r="L74" s="93">
        <f t="shared" si="76"/>
        <v>0.73717239602437312</v>
      </c>
      <c r="M74" s="93">
        <f t="shared" si="76"/>
        <v>0.82762471706203344</v>
      </c>
      <c r="N74" s="93">
        <f t="shared" si="76"/>
        <v>0.9572141360050761</v>
      </c>
      <c r="O74" s="93">
        <f t="shared" si="76"/>
        <v>1.0845292248619383</v>
      </c>
      <c r="P74" s="93">
        <f t="shared" si="76"/>
        <v>0.85811450046324</v>
      </c>
      <c r="Q74" s="93">
        <f t="shared" si="76"/>
        <v>0.91186789697308224</v>
      </c>
      <c r="R74" s="93">
        <f t="shared" si="76"/>
        <v>0.9104651373176661</v>
      </c>
      <c r="S74" s="93">
        <f t="shared" si="76"/>
        <v>0.77133856550537816</v>
      </c>
      <c r="T74" s="93">
        <f t="shared" si="76"/>
        <v>0.80316961890431138</v>
      </c>
      <c r="U74" s="93">
        <f t="shared" si="76"/>
        <v>0.77571178853125355</v>
      </c>
      <c r="V74" s="93">
        <f t="shared" si="76"/>
        <v>1.772525206689358</v>
      </c>
      <c r="W74" s="93">
        <f t="shared" si="76"/>
        <v>1.0831532568055451</v>
      </c>
      <c r="X74" s="93">
        <f t="shared" ref="X74:Y74" si="77">IF(X12=0,0,X24/X64)</f>
        <v>0.8631324081875128</v>
      </c>
      <c r="Y74" s="93">
        <f t="shared" si="77"/>
        <v>0.6236961853538443</v>
      </c>
      <c r="DA74" s="175"/>
    </row>
    <row r="75" spans="1:105" ht="11.45" customHeight="1" x14ac:dyDescent="0.25">
      <c r="A75" s="85" t="s">
        <v>182</v>
      </c>
      <c r="B75" s="94">
        <f t="shared" si="63"/>
        <v>1.3604932950929978</v>
      </c>
      <c r="C75" s="94">
        <f t="shared" ref="C75:W75" si="78">IF(C13=0,0,C25/C65)</f>
        <v>1.365526734002666</v>
      </c>
      <c r="D75" s="94">
        <f t="shared" si="78"/>
        <v>1.6670870325491196</v>
      </c>
      <c r="E75" s="94">
        <f t="shared" si="78"/>
        <v>0.87061133294318582</v>
      </c>
      <c r="F75" s="94">
        <f t="shared" si="78"/>
        <v>0.42788858969364868</v>
      </c>
      <c r="G75" s="94">
        <f t="shared" si="78"/>
        <v>0.70913418955326368</v>
      </c>
      <c r="H75" s="94">
        <f t="shared" si="78"/>
        <v>1.1093146250141315</v>
      </c>
      <c r="I75" s="94">
        <f t="shared" si="78"/>
        <v>1.0132157497860963</v>
      </c>
      <c r="J75" s="94">
        <f t="shared" si="78"/>
        <v>1.0751997016166832</v>
      </c>
      <c r="K75" s="94">
        <f t="shared" si="78"/>
        <v>1.2171723897974831</v>
      </c>
      <c r="L75" s="94">
        <f t="shared" si="78"/>
        <v>1.2370352143851471</v>
      </c>
      <c r="M75" s="94">
        <f t="shared" si="78"/>
        <v>1.3639097470936141</v>
      </c>
      <c r="N75" s="94">
        <f t="shared" si="78"/>
        <v>1.2586974610493413</v>
      </c>
      <c r="O75" s="94">
        <f t="shared" si="78"/>
        <v>1.55226948162665</v>
      </c>
      <c r="P75" s="94">
        <f t="shared" si="78"/>
        <v>1.4208705983775167</v>
      </c>
      <c r="Q75" s="94">
        <f t="shared" si="78"/>
        <v>1.1912059083879434</v>
      </c>
      <c r="R75" s="94">
        <f t="shared" si="78"/>
        <v>1.274955293089318</v>
      </c>
      <c r="S75" s="94">
        <f t="shared" si="78"/>
        <v>0.71201263013953187</v>
      </c>
      <c r="T75" s="94">
        <f t="shared" si="78"/>
        <v>0.66320360953162083</v>
      </c>
      <c r="U75" s="94">
        <f t="shared" si="78"/>
        <v>0.62790828453437764</v>
      </c>
      <c r="V75" s="94">
        <f t="shared" si="78"/>
        <v>2.6189857055597794</v>
      </c>
      <c r="W75" s="94">
        <f t="shared" si="78"/>
        <v>1.5198788347499985</v>
      </c>
      <c r="X75" s="94">
        <f t="shared" ref="X75:Y75" si="79">IF(X13=0,0,X25/X65)</f>
        <v>0.69973008814367543</v>
      </c>
      <c r="Y75" s="94">
        <f t="shared" si="79"/>
        <v>0.518704175881742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82.440539999999984</v>
      </c>
      <c r="C3" s="79">
        <f t="shared" si="0"/>
        <v>93.410955720000004</v>
      </c>
      <c r="D3" s="79">
        <f t="shared" ref="D3" si="1">SUM(D4:D5)</f>
        <v>140.06479500000003</v>
      </c>
      <c r="E3" s="79">
        <f t="shared" ref="E3" si="2">SUM(E4:E5)</f>
        <v>102.03809292</v>
      </c>
      <c r="F3" s="79">
        <f t="shared" ref="F3" si="3">SUM(F4:F5)</f>
        <v>80.956351440000006</v>
      </c>
      <c r="G3" s="79">
        <f t="shared" ref="G3" si="4">SUM(G4:G5)</f>
        <v>118.32068195999997</v>
      </c>
      <c r="H3" s="79">
        <f t="shared" ref="H3" si="5">SUM(H4:H5)</f>
        <v>121.10916528000003</v>
      </c>
      <c r="I3" s="79">
        <f t="shared" ref="I3" si="6">SUM(I4:I5)</f>
        <v>149.44049748</v>
      </c>
      <c r="J3" s="79">
        <f t="shared" ref="J3" si="7">SUM(J4:J5)</f>
        <v>189.91375524000003</v>
      </c>
      <c r="K3" s="79">
        <f t="shared" ref="K3" si="8">SUM(K4:K5)</f>
        <v>136.98382247999999</v>
      </c>
      <c r="L3" s="79">
        <f t="shared" ref="L3" si="9">SUM(L4:L5)</f>
        <v>124.53361848</v>
      </c>
      <c r="M3" s="79">
        <f t="shared" ref="M3" si="10">SUM(M4:M5)</f>
        <v>130.75742628000003</v>
      </c>
      <c r="N3" s="79">
        <f t="shared" ref="N3" si="11">SUM(N4:N5)</f>
        <v>112.07772</v>
      </c>
      <c r="O3" s="79">
        <f t="shared" ref="O3" si="12">SUM(O4:O5)</f>
        <v>124.53077124000001</v>
      </c>
      <c r="P3" s="79">
        <f t="shared" ref="P3" si="13">SUM(P4:P5)</f>
        <v>105.85106496</v>
      </c>
      <c r="Q3" s="79">
        <f t="shared" ref="Q3" si="14">SUM(Q4:Q5)</f>
        <v>130.75742628000003</v>
      </c>
      <c r="R3" s="79">
        <f t="shared" ref="R3" si="15">SUM(R4:R5)</f>
        <v>149.43687372000002</v>
      </c>
      <c r="S3" s="79">
        <f t="shared" ref="S3" si="16">SUM(S4:S5)</f>
        <v>121.41744372000001</v>
      </c>
      <c r="T3" s="79">
        <f t="shared" ref="T3" si="17">SUM(T4:T5)</f>
        <v>143.21047752000004</v>
      </c>
      <c r="U3" s="79">
        <f t="shared" ref="U3" si="18">SUM(U4:U5)</f>
        <v>136.98382248000001</v>
      </c>
      <c r="V3" s="79">
        <f t="shared" ref="V3:W3" si="19">SUM(V4:V5)</f>
        <v>87.171617520000027</v>
      </c>
      <c r="W3" s="79">
        <f t="shared" si="19"/>
        <v>68.491911240000022</v>
      </c>
      <c r="X3" s="79">
        <f t="shared" ref="X3:Y3" si="20">SUM(X4:X5)</f>
        <v>102.73799628</v>
      </c>
      <c r="Y3" s="79">
        <f t="shared" si="20"/>
        <v>87.171617520000012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82.440539999999984</v>
      </c>
      <c r="C5" s="96">
        <f t="shared" si="24"/>
        <v>93.410955720000004</v>
      </c>
      <c r="D5" s="96">
        <f t="shared" ref="D5:V5" si="25">SUM(D8:D9,D12:D13)</f>
        <v>140.06479500000003</v>
      </c>
      <c r="E5" s="96">
        <f t="shared" si="25"/>
        <v>102.03809292</v>
      </c>
      <c r="F5" s="96">
        <f t="shared" si="25"/>
        <v>80.956351440000006</v>
      </c>
      <c r="G5" s="96">
        <f t="shared" si="25"/>
        <v>118.32068195999997</v>
      </c>
      <c r="H5" s="96">
        <f t="shared" si="25"/>
        <v>121.10916528000003</v>
      </c>
      <c r="I5" s="96">
        <f t="shared" si="25"/>
        <v>149.44049748</v>
      </c>
      <c r="J5" s="96">
        <f t="shared" si="25"/>
        <v>189.91375524000003</v>
      </c>
      <c r="K5" s="96">
        <f t="shared" si="25"/>
        <v>136.98382247999999</v>
      </c>
      <c r="L5" s="96">
        <f t="shared" si="25"/>
        <v>124.53361848</v>
      </c>
      <c r="M5" s="96">
        <f t="shared" si="25"/>
        <v>130.75742628000003</v>
      </c>
      <c r="N5" s="96">
        <f t="shared" si="25"/>
        <v>112.07772</v>
      </c>
      <c r="O5" s="96">
        <f t="shared" si="25"/>
        <v>124.53077124000001</v>
      </c>
      <c r="P5" s="96">
        <f t="shared" si="25"/>
        <v>105.85106496</v>
      </c>
      <c r="Q5" s="96">
        <f t="shared" si="25"/>
        <v>130.75742628000003</v>
      </c>
      <c r="R5" s="96">
        <f t="shared" si="25"/>
        <v>149.43687372000002</v>
      </c>
      <c r="S5" s="96">
        <f t="shared" si="25"/>
        <v>121.41744372000001</v>
      </c>
      <c r="T5" s="96">
        <f t="shared" si="25"/>
        <v>143.21047752000004</v>
      </c>
      <c r="U5" s="96">
        <f t="shared" si="25"/>
        <v>136.98382248000001</v>
      </c>
      <c r="V5" s="96">
        <f t="shared" si="25"/>
        <v>87.171617520000027</v>
      </c>
      <c r="W5" s="96">
        <f t="shared" ref="W5:Y5" si="26">SUM(W8:W9,W12:W13)</f>
        <v>68.491911240000022</v>
      </c>
      <c r="X5" s="96">
        <f t="shared" si="26"/>
        <v>102.73799628</v>
      </c>
      <c r="Y5" s="96">
        <f t="shared" si="26"/>
        <v>87.171617520000012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80.117805405408888</v>
      </c>
      <c r="C6" s="21">
        <f t="shared" si="27"/>
        <v>91.129970221054734</v>
      </c>
      <c r="D6" s="21">
        <f t="shared" ref="D6:V6" si="28">SUM(D7:D9)</f>
        <v>138.47584953955408</v>
      </c>
      <c r="E6" s="21">
        <f t="shared" si="28"/>
        <v>100.04702872107696</v>
      </c>
      <c r="F6" s="21">
        <f t="shared" si="28"/>
        <v>80.247060086810336</v>
      </c>
      <c r="G6" s="21">
        <f t="shared" si="28"/>
        <v>117.53691964286895</v>
      </c>
      <c r="H6" s="21">
        <f t="shared" si="28"/>
        <v>119.57450246803613</v>
      </c>
      <c r="I6" s="21">
        <f t="shared" si="28"/>
        <v>148.22073556827991</v>
      </c>
      <c r="J6" s="21">
        <f t="shared" si="28"/>
        <v>187.87152926433666</v>
      </c>
      <c r="K6" s="21">
        <f t="shared" si="28"/>
        <v>133.93415327042692</v>
      </c>
      <c r="L6" s="21">
        <f t="shared" si="28"/>
        <v>120.32091795859786</v>
      </c>
      <c r="M6" s="21">
        <f t="shared" si="28"/>
        <v>125.83343544281703</v>
      </c>
      <c r="N6" s="21">
        <f t="shared" si="28"/>
        <v>106.78840111488148</v>
      </c>
      <c r="O6" s="21">
        <f t="shared" si="28"/>
        <v>118.83557477696743</v>
      </c>
      <c r="P6" s="21">
        <f t="shared" si="28"/>
        <v>102.42209384925916</v>
      </c>
      <c r="Q6" s="21">
        <f t="shared" si="28"/>
        <v>126.48275999165043</v>
      </c>
      <c r="R6" s="21">
        <f t="shared" si="28"/>
        <v>145.45165184072138</v>
      </c>
      <c r="S6" s="21">
        <f t="shared" si="28"/>
        <v>117.30034734002081</v>
      </c>
      <c r="T6" s="21">
        <f t="shared" si="28"/>
        <v>139.85414802695146</v>
      </c>
      <c r="U6" s="21">
        <f t="shared" si="28"/>
        <v>134.38783170141267</v>
      </c>
      <c r="V6" s="21">
        <f t="shared" si="28"/>
        <v>78.333983594654441</v>
      </c>
      <c r="W6" s="21">
        <f t="shared" ref="W6:Y6" si="29">SUM(W7:W9)</f>
        <v>64.20448803210796</v>
      </c>
      <c r="X6" s="21">
        <f t="shared" si="29"/>
        <v>99.873254687638308</v>
      </c>
      <c r="Y6" s="21">
        <f t="shared" si="29"/>
        <v>86.085472707324143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49.352113435970196</v>
      </c>
      <c r="C8" s="96">
        <v>56.080229861078365</v>
      </c>
      <c r="D8" s="96">
        <v>74.230153942216418</v>
      </c>
      <c r="E8" s="96">
        <v>55.069220212540891</v>
      </c>
      <c r="F8" s="96">
        <v>46.816240947885504</v>
      </c>
      <c r="G8" s="96">
        <v>72.114966853087381</v>
      </c>
      <c r="H8" s="96">
        <v>77.364210266185012</v>
      </c>
      <c r="I8" s="96">
        <v>97.712681711299282</v>
      </c>
      <c r="J8" s="96">
        <v>129.54170480504393</v>
      </c>
      <c r="K8" s="96">
        <v>88.122013493457288</v>
      </c>
      <c r="L8" s="96">
        <v>76.386137442994652</v>
      </c>
      <c r="M8" s="96">
        <v>78.280568705408967</v>
      </c>
      <c r="N8" s="96">
        <v>65.857256402272142</v>
      </c>
      <c r="O8" s="96">
        <v>72.874938532923977</v>
      </c>
      <c r="P8" s="96">
        <v>64.420264297712365</v>
      </c>
      <c r="Q8" s="96">
        <v>82.132160146942113</v>
      </c>
      <c r="R8" s="96">
        <v>96.393315024318255</v>
      </c>
      <c r="S8" s="96">
        <v>76.861111931096644</v>
      </c>
      <c r="T8" s="96">
        <v>92.433102019719811</v>
      </c>
      <c r="U8" s="96">
        <v>88.596875886341934</v>
      </c>
      <c r="V8" s="96">
        <v>43.955143686353352</v>
      </c>
      <c r="W8" s="96">
        <v>38.614706968102652</v>
      </c>
      <c r="X8" s="96">
        <v>65.425211112661074</v>
      </c>
      <c r="Y8" s="96">
        <v>56.041426211417971</v>
      </c>
      <c r="DA8" s="171" t="s">
        <v>329</v>
      </c>
    </row>
    <row r="9" spans="1:105" ht="11.45" customHeight="1" x14ac:dyDescent="0.25">
      <c r="A9" s="83" t="s">
        <v>182</v>
      </c>
      <c r="B9" s="96">
        <v>30.765691969438699</v>
      </c>
      <c r="C9" s="96">
        <v>35.049740359976369</v>
      </c>
      <c r="D9" s="96">
        <v>64.245695597337644</v>
      </c>
      <c r="E9" s="96">
        <v>44.977808508536064</v>
      </c>
      <c r="F9" s="96">
        <v>33.430819138924839</v>
      </c>
      <c r="G9" s="96">
        <v>45.421952789781564</v>
      </c>
      <c r="H9" s="96">
        <v>42.210292201851118</v>
      </c>
      <c r="I9" s="96">
        <v>50.508053856980631</v>
      </c>
      <c r="J9" s="96">
        <v>58.329824459292723</v>
      </c>
      <c r="K9" s="96">
        <v>45.812139776969623</v>
      </c>
      <c r="L9" s="96">
        <v>43.934780515603208</v>
      </c>
      <c r="M9" s="96">
        <v>47.55286673740806</v>
      </c>
      <c r="N9" s="96">
        <v>40.931144712609331</v>
      </c>
      <c r="O9" s="96">
        <v>45.960636244043464</v>
      </c>
      <c r="P9" s="96">
        <v>38.001829551546791</v>
      </c>
      <c r="Q9" s="96">
        <v>44.350599844708313</v>
      </c>
      <c r="R9" s="96">
        <v>49.058336816403134</v>
      </c>
      <c r="S9" s="96">
        <v>40.439235408924155</v>
      </c>
      <c r="T9" s="96">
        <v>47.421046007231652</v>
      </c>
      <c r="U9" s="96">
        <v>45.790955815070717</v>
      </c>
      <c r="V9" s="96">
        <v>34.378839908301089</v>
      </c>
      <c r="W9" s="96">
        <v>25.589781064005308</v>
      </c>
      <c r="X9" s="96">
        <v>34.448043574977234</v>
      </c>
      <c r="Y9" s="96">
        <v>30.044046495906176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2.3227345945910907</v>
      </c>
      <c r="C10" s="22">
        <f t="shared" si="30"/>
        <v>2.2809854989452729</v>
      </c>
      <c r="D10" s="22">
        <f t="shared" ref="D10:V10" si="31">SUM(D11:D13)</f>
        <v>1.5889454604459632</v>
      </c>
      <c r="E10" s="22">
        <f t="shared" si="31"/>
        <v>1.9910641989230413</v>
      </c>
      <c r="F10" s="22">
        <f t="shared" si="31"/>
        <v>0.70929135318966785</v>
      </c>
      <c r="G10" s="22">
        <f t="shared" si="31"/>
        <v>0.78376231713102984</v>
      </c>
      <c r="H10" s="22">
        <f t="shared" si="31"/>
        <v>1.5346628119639107</v>
      </c>
      <c r="I10" s="22">
        <f t="shared" si="31"/>
        <v>1.2197619117201079</v>
      </c>
      <c r="J10" s="22">
        <f t="shared" si="31"/>
        <v>2.0422259756633925</v>
      </c>
      <c r="K10" s="22">
        <f t="shared" si="31"/>
        <v>3.0496692095730591</v>
      </c>
      <c r="L10" s="22">
        <f t="shared" si="31"/>
        <v>4.2127005214021391</v>
      </c>
      <c r="M10" s="22">
        <f t="shared" si="31"/>
        <v>4.923990837182985</v>
      </c>
      <c r="N10" s="22">
        <f t="shared" si="31"/>
        <v>5.2893188851185231</v>
      </c>
      <c r="O10" s="22">
        <f t="shared" si="31"/>
        <v>5.695196463032576</v>
      </c>
      <c r="P10" s="22">
        <f t="shared" si="31"/>
        <v>3.4289711107408474</v>
      </c>
      <c r="Q10" s="22">
        <f t="shared" si="31"/>
        <v>4.2746662883495929</v>
      </c>
      <c r="R10" s="22">
        <f t="shared" si="31"/>
        <v>3.9852218792786509</v>
      </c>
      <c r="S10" s="22">
        <f t="shared" si="31"/>
        <v>4.1170963799792126</v>
      </c>
      <c r="T10" s="22">
        <f t="shared" si="31"/>
        <v>3.356329493048559</v>
      </c>
      <c r="U10" s="22">
        <f t="shared" si="31"/>
        <v>2.5959907785873599</v>
      </c>
      <c r="V10" s="22">
        <f t="shared" si="31"/>
        <v>8.8376339253455889</v>
      </c>
      <c r="W10" s="22">
        <f t="shared" ref="W10:Y10" si="32">SUM(W11:W13)</f>
        <v>4.2874232078920667</v>
      </c>
      <c r="X10" s="22">
        <f t="shared" si="32"/>
        <v>2.8647415923616979</v>
      </c>
      <c r="Y10" s="22">
        <f t="shared" si="32"/>
        <v>1.0861448126758781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1.2126898470357983</v>
      </c>
      <c r="C12" s="97">
        <v>1.1668339009968398</v>
      </c>
      <c r="D12" s="97">
        <v>1.2606216375757939</v>
      </c>
      <c r="E12" s="97">
        <v>0.54588264282991905</v>
      </c>
      <c r="F12" s="97">
        <v>0.21570784012590177</v>
      </c>
      <c r="G12" s="97">
        <v>0.17839192583224628</v>
      </c>
      <c r="H12" s="97">
        <v>0.14969548128016874</v>
      </c>
      <c r="I12" s="97">
        <v>0.18196270348861646</v>
      </c>
      <c r="J12" s="97">
        <v>1.5522152784948657</v>
      </c>
      <c r="K12" s="97">
        <v>2.6956689793221567</v>
      </c>
      <c r="L12" s="97">
        <v>3.2779496265366892</v>
      </c>
      <c r="M12" s="97">
        <v>4.8401416406615558</v>
      </c>
      <c r="N12" s="97">
        <v>5.2201227135781636</v>
      </c>
      <c r="O12" s="97">
        <v>5.5599499589014618</v>
      </c>
      <c r="P12" s="97">
        <v>2.7615059604653878</v>
      </c>
      <c r="Q12" s="97">
        <v>3.7596315533898124</v>
      </c>
      <c r="R12" s="97">
        <v>3.5648797605976554</v>
      </c>
      <c r="S12" s="97">
        <v>3.9873901729179169</v>
      </c>
      <c r="T12" s="97">
        <v>3.2234359447567038</v>
      </c>
      <c r="U12" s="97">
        <v>2.5603662123894919</v>
      </c>
      <c r="V12" s="97">
        <v>8.4980807515755252</v>
      </c>
      <c r="W12" s="97">
        <v>4.2689286896772565</v>
      </c>
      <c r="X12" s="97">
        <v>2.853236494882883</v>
      </c>
      <c r="Y12" s="97">
        <v>1.080455885154497</v>
      </c>
      <c r="DA12" s="175" t="s">
        <v>333</v>
      </c>
    </row>
    <row r="13" spans="1:105" ht="11.45" customHeight="1" x14ac:dyDescent="0.25">
      <c r="A13" s="85" t="s">
        <v>182</v>
      </c>
      <c r="B13" s="98">
        <v>1.1100447475552924</v>
      </c>
      <c r="C13" s="98">
        <v>1.1141515979484329</v>
      </c>
      <c r="D13" s="98">
        <v>0.3283238228701692</v>
      </c>
      <c r="E13" s="98">
        <v>1.4451815560931223</v>
      </c>
      <c r="F13" s="98">
        <v>0.49358351306376613</v>
      </c>
      <c r="G13" s="98">
        <v>0.60537039129878356</v>
      </c>
      <c r="H13" s="98">
        <v>1.384967330683742</v>
      </c>
      <c r="I13" s="98">
        <v>1.0377992082314915</v>
      </c>
      <c r="J13" s="98">
        <v>0.49001069716852685</v>
      </c>
      <c r="K13" s="98">
        <v>0.35400023025090249</v>
      </c>
      <c r="L13" s="98">
        <v>0.93475089486545004</v>
      </c>
      <c r="M13" s="98">
        <v>8.384919652142947E-2</v>
      </c>
      <c r="N13" s="98">
        <v>6.9196171540359938E-2</v>
      </c>
      <c r="O13" s="98">
        <v>0.13524650413111439</v>
      </c>
      <c r="P13" s="98">
        <v>0.66746515027545938</v>
      </c>
      <c r="Q13" s="98">
        <v>0.51503473495978047</v>
      </c>
      <c r="R13" s="98">
        <v>0.42034211868099525</v>
      </c>
      <c r="S13" s="98">
        <v>0.12970620706129612</v>
      </c>
      <c r="T13" s="98">
        <v>0.1328935482918554</v>
      </c>
      <c r="U13" s="98">
        <v>3.5624566197867989E-2</v>
      </c>
      <c r="V13" s="98">
        <v>0.33955317377006322</v>
      </c>
      <c r="W13" s="98">
        <v>1.8494518214810088E-2</v>
      </c>
      <c r="X13" s="98">
        <v>1.1505097478815103E-2</v>
      </c>
      <c r="Y13" s="98">
        <v>5.6889275213812705E-3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3.0103092000000005</v>
      </c>
      <c r="D19" s="98">
        <f>IF(D5=0,0,D5/TrAvia_ene!D5)</f>
        <v>3.0103092000000014</v>
      </c>
      <c r="E19" s="98">
        <f>IF(E5=0,0,E5/TrAvia_ene!E5)</f>
        <v>3.0103092</v>
      </c>
      <c r="F19" s="98">
        <f>IF(F5=0,0,F5/TrAvia_ene!F5)</f>
        <v>3.0103092000000009</v>
      </c>
      <c r="G19" s="98">
        <f>IF(G5=0,0,G5/TrAvia_ene!G5)</f>
        <v>3.0103091999999996</v>
      </c>
      <c r="H19" s="98">
        <f>IF(H5=0,0,H5/TrAvia_ene!H5)</f>
        <v>3.0103092000000014</v>
      </c>
      <c r="I19" s="98">
        <f>IF(I5=0,0,I5/TrAvia_ene!I5)</f>
        <v>3.0103092000000014</v>
      </c>
      <c r="J19" s="98">
        <f>IF(J5=0,0,J5/TrAvia_ene!J5)</f>
        <v>3.0103092000000005</v>
      </c>
      <c r="K19" s="98">
        <f>IF(K5=0,0,K5/TrAvia_ene!K5)</f>
        <v>3.0103091999999996</v>
      </c>
      <c r="L19" s="98">
        <f>IF(L5=0,0,L5/TrAvia_ene!L5)</f>
        <v>3.0103092000000005</v>
      </c>
      <c r="M19" s="98">
        <f>IF(M5=0,0,M5/TrAvia_ene!M5)</f>
        <v>3.0103092000000018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3.0103092000000009</v>
      </c>
      <c r="S19" s="98">
        <f>IF(S5=0,0,S5/TrAvia_ene!S5)</f>
        <v>3.0103092000000009</v>
      </c>
      <c r="T19" s="98">
        <f>IF(T5=0,0,T5/TrAvia_ene!T5)</f>
        <v>3.0103092000000009</v>
      </c>
      <c r="U19" s="98">
        <f>IF(U5=0,0,U5/TrAvia_ene!U5)</f>
        <v>3.0103092000000014</v>
      </c>
      <c r="V19" s="98">
        <f>IF(V5=0,0,V5/TrAvia_ene!V5)</f>
        <v>3.0103092000000005</v>
      </c>
      <c r="W19" s="98">
        <f>IF(W5=0,0,W5/TrAvia_ene!W5)</f>
        <v>3.0103092</v>
      </c>
      <c r="X19" s="98">
        <f>IF(X5=0,0,X5/TrAvia_ene!X5)</f>
        <v>3.0103092000000009</v>
      </c>
      <c r="Y19" s="98">
        <f>IF(Y5=0,0,Y5/TrAvia_ene!Y5)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21114.708254895228</v>
      </c>
      <c r="C21" s="54">
        <f>IF(C3=0,0,C3/TrAvia_act!C13*1000)</f>
        <v>21189.930047012684</v>
      </c>
      <c r="D21" s="54">
        <f>IF(D3=0,0,D3/TrAvia_act!D13*1000)</f>
        <v>25899.047002024385</v>
      </c>
      <c r="E21" s="54">
        <f>IF(E3=0,0,E3/TrAvia_act!E13*1000)</f>
        <v>13358.269365858045</v>
      </c>
      <c r="F21" s="54">
        <f>IF(F3=0,0,F3/TrAvia_act!F13*1000)</f>
        <v>6684.5550111900811</v>
      </c>
      <c r="G21" s="54">
        <f>IF(G3=0,0,G3/TrAvia_act!G13*1000)</f>
        <v>9148.1433946883044</v>
      </c>
      <c r="H21" s="54">
        <f>IF(H3=0,0,H3/TrAvia_act!H13*1000)</f>
        <v>9036.9108902541884</v>
      </c>
      <c r="I21" s="54">
        <f>IF(I3=0,0,I3/TrAvia_act!I13*1000)</f>
        <v>11012.035694593316</v>
      </c>
      <c r="J21" s="54">
        <f>IF(J3=0,0,J3/TrAvia_act!J13*1000)</f>
        <v>11469.351827151741</v>
      </c>
      <c r="K21" s="54">
        <f>IF(K3=0,0,K3/TrAvia_act!K13*1000)</f>
        <v>11182.80734694967</v>
      </c>
      <c r="L21" s="54">
        <f>IF(L3=0,0,L3/TrAvia_act!L13*1000)</f>
        <v>10631.419739650028</v>
      </c>
      <c r="M21" s="54">
        <f>IF(M3=0,0,M3/TrAvia_act!M13*1000)</f>
        <v>11298.256116280909</v>
      </c>
      <c r="N21" s="54">
        <f>IF(N3=0,0,N3/TrAvia_act!N13*1000)</f>
        <v>11666.851618382085</v>
      </c>
      <c r="O21" s="54">
        <f>IF(O3=0,0,O3/TrAvia_act!O13*1000)</f>
        <v>13514.319229561406</v>
      </c>
      <c r="P21" s="54">
        <f>IF(P3=0,0,P3/TrAvia_act!P13*1000)</f>
        <v>11261.437242945703</v>
      </c>
      <c r="Q21" s="54">
        <f>IF(Q3=0,0,Q3/TrAvia_act!Q13*1000)</f>
        <v>11780.275420962502</v>
      </c>
      <c r="R21" s="54">
        <f>IF(R3=0,0,R3/TrAvia_act!R13*1000)</f>
        <v>12261.897045597012</v>
      </c>
      <c r="S21" s="54">
        <f>IF(S3=0,0,S3/TrAvia_act!S13*1000)</f>
        <v>9149.0726481217353</v>
      </c>
      <c r="T21" s="54">
        <f>IF(T3=0,0,T3/TrAvia_act!T13*1000)</f>
        <v>9511.4862208363211</v>
      </c>
      <c r="U21" s="54">
        <f>IF(U3=0,0,U3/TrAvia_act!U13*1000)</f>
        <v>9012.817106635126</v>
      </c>
      <c r="V21" s="54">
        <f>IF(V3=0,0,V3/TrAvia_act!V13*1000)</f>
        <v>21531.307022413464</v>
      </c>
      <c r="W21" s="54">
        <f>IF(W3=0,0,W3/TrAvia_act!W13*1000)</f>
        <v>12628.859099749996</v>
      </c>
      <c r="X21" s="54">
        <f>IF(X3=0,0,X3/TrAvia_act!X13*1000)</f>
        <v>9337.2939088216044</v>
      </c>
      <c r="Y21" s="54">
        <f>IF(Y3=0,0,Y3/TrAvia_act!Y13*1000)</f>
        <v>6911.4114343291703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21233.56424964076</v>
      </c>
      <c r="C22" s="11">
        <f>IF(C6=0,0,C6/TrAvia_act!C14*1000)</f>
        <v>21293.93063505727</v>
      </c>
      <c r="D22" s="11">
        <f>IF(D6=0,0,D6/TrAvia_act!D14*1000)</f>
        <v>25933.165656285164</v>
      </c>
      <c r="E22" s="11">
        <f>IF(E6=0,0,E6/TrAvia_act!E14*1000)</f>
        <v>13424.462648591716</v>
      </c>
      <c r="F22" s="11">
        <f>IF(F6=0,0,F6/TrAvia_act!F14*1000)</f>
        <v>6699.9452873815526</v>
      </c>
      <c r="G22" s="11">
        <f>IF(G6=0,0,G6/TrAvia_act!G14*1000)</f>
        <v>9156.6330027350705</v>
      </c>
      <c r="H22" s="11">
        <f>IF(H6=0,0,H6/TrAvia_act!H14*1000)</f>
        <v>9005.6988042432531</v>
      </c>
      <c r="I22" s="11">
        <f>IF(I6=0,0,I6/TrAvia_act!I14*1000)</f>
        <v>10997.501721598041</v>
      </c>
      <c r="J22" s="11">
        <f>IF(J6=0,0,J6/TrAvia_act!J14*1000)</f>
        <v>11501.615138750347</v>
      </c>
      <c r="K22" s="11">
        <f>IF(K6=0,0,K6/TrAvia_act!K14*1000)</f>
        <v>11241.817021474968</v>
      </c>
      <c r="L22" s="11">
        <f>IF(L6=0,0,L6/TrAvia_act!L14*1000)</f>
        <v>10680.289606148264</v>
      </c>
      <c r="M22" s="11">
        <f>IF(M6=0,0,M6/TrAvia_act!M14*1000)</f>
        <v>11417.961187738692</v>
      </c>
      <c r="N22" s="11">
        <f>IF(N6=0,0,N6/TrAvia_act!N14*1000)</f>
        <v>11727.058197149545</v>
      </c>
      <c r="O22" s="11">
        <f>IF(O6=0,0,O6/TrAvia_act!O14*1000)</f>
        <v>13581.763119675234</v>
      </c>
      <c r="P22" s="11">
        <f>IF(P6=0,0,P6/TrAvia_act!P14*1000)</f>
        <v>11279.800820822202</v>
      </c>
      <c r="Q22" s="11">
        <f>IF(Q6=0,0,Q6/TrAvia_act!Q14*1000)</f>
        <v>11823.601089785214</v>
      </c>
      <c r="R22" s="11">
        <f>IF(R6=0,0,R6/TrAvia_act!R14*1000)</f>
        <v>12302.269246032272</v>
      </c>
      <c r="S22" s="11">
        <f>IF(S6=0,0,S6/TrAvia_act!S14*1000)</f>
        <v>9146.0919531849813</v>
      </c>
      <c r="T22" s="11">
        <f>IF(T6=0,0,T6/TrAvia_act!T14*1000)</f>
        <v>9509.8577899194443</v>
      </c>
      <c r="U22" s="11">
        <f>IF(U6=0,0,U6/TrAvia_act!U14*1000)</f>
        <v>9005.5877084704425</v>
      </c>
      <c r="V22" s="11">
        <f>IF(V6=0,0,V6/TrAvia_act!V14*1000)</f>
        <v>21520.831771969941</v>
      </c>
      <c r="W22" s="11">
        <f>IF(W6=0,0,W6/TrAvia_act!W14*1000)</f>
        <v>12603.039256593222</v>
      </c>
      <c r="X22" s="11">
        <f>IF(X6=0,0,X6/TrAvia_act!X14*1000)</f>
        <v>9305.3149360669195</v>
      </c>
      <c r="Y22" s="11">
        <f>IF(Y6=0,0,Y6/TrAvia_act!Y14*1000)</f>
        <v>6905.1707553175502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21804.887853695673</v>
      </c>
      <c r="C24" s="84">
        <f>IF(C8=0,0,C8/TrAvia_act!C16*1000)</f>
        <v>21855.912177690203</v>
      </c>
      <c r="D24" s="84">
        <f>IF(D8=0,0,D8/TrAvia_act!D16*1000)</f>
        <v>26829.658087212931</v>
      </c>
      <c r="E24" s="84">
        <f>IF(E8=0,0,E8/TrAvia_act!E16*1000)</f>
        <v>13755.907183346888</v>
      </c>
      <c r="F24" s="84">
        <f>IF(F8=0,0,F8/TrAvia_act!F16*1000)</f>
        <v>6924.580825378247</v>
      </c>
      <c r="G24" s="84">
        <f>IF(G8=0,0,G8/TrAvia_act!G16*1000)</f>
        <v>8457.6477566141111</v>
      </c>
      <c r="H24" s="84">
        <f>IF(H8=0,0,H8/TrAvia_act!H16*1000)</f>
        <v>7297.789199396846</v>
      </c>
      <c r="I24" s="84">
        <f>IF(I8=0,0,I8/TrAvia_act!I16*1000)</f>
        <v>9681.1768428531668</v>
      </c>
      <c r="J24" s="84">
        <f>IF(J8=0,0,J8/TrAvia_act!J16*1000)</f>
        <v>10546.157010932546</v>
      </c>
      <c r="K24" s="84">
        <f>IF(K8=0,0,K8/TrAvia_act!K16*1000)</f>
        <v>9952.0197657453555</v>
      </c>
      <c r="L24" s="84">
        <f>IF(L8=0,0,L8/TrAvia_act!L16*1000)</f>
        <v>9158.5570904602482</v>
      </c>
      <c r="M24" s="84">
        <f>IF(M8=0,0,M8/TrAvia_act!M16*1000)</f>
        <v>9759.0346220907377</v>
      </c>
      <c r="N24" s="84">
        <f>IF(N8=0,0,N8/TrAvia_act!N16*1000)</f>
        <v>10511.958576901128</v>
      </c>
      <c r="O24" s="84">
        <f>IF(O8=0,0,O8/TrAvia_act!O16*1000)</f>
        <v>11757.550274971094</v>
      </c>
      <c r="P24" s="84">
        <f>IF(P8=0,0,P8/TrAvia_act!P16*1000)</f>
        <v>9417.1714474983055</v>
      </c>
      <c r="Q24" s="84">
        <f>IF(Q8=0,0,Q8/TrAvia_act!Q16*1000)</f>
        <v>10623.08311982174</v>
      </c>
      <c r="R24" s="84">
        <f>IF(R8=0,0,R8/TrAvia_act!R16*1000)</f>
        <v>10928.043989921855</v>
      </c>
      <c r="S24" s="84">
        <f>IF(S8=0,0,S8/TrAvia_act!S16*1000)</f>
        <v>9081.8175959816035</v>
      </c>
      <c r="T24" s="84">
        <f>IF(T8=0,0,T8/TrAvia_act!T16*1000)</f>
        <v>9857.6759154337287</v>
      </c>
      <c r="U24" s="84">
        <f>IF(U8=0,0,U8/TrAvia_act!U16*1000)</f>
        <v>9592.2489490627613</v>
      </c>
      <c r="V24" s="84">
        <f>IF(V8=0,0,V8/TrAvia_act!V16*1000)</f>
        <v>15632.0507144151</v>
      </c>
      <c r="W24" s="84">
        <f>IF(W8=0,0,W8/TrAvia_act!W16*1000)</f>
        <v>9696.483184877543</v>
      </c>
      <c r="X24" s="84">
        <f>IF(X8=0,0,X8/TrAvia_act!X16*1000)</f>
        <v>9028.8995797407333</v>
      </c>
      <c r="Y24" s="84">
        <f>IF(Y8=0,0,Y8/TrAvia_act!Y16*1000)</f>
        <v>6824.6652547605308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20377.099025226613</v>
      </c>
      <c r="C25" s="84">
        <f>IF(C9=0,0,C9/TrAvia_act!C17*1000)</f>
        <v>20452.488505990448</v>
      </c>
      <c r="D25" s="84">
        <f>IF(D9=0,0,D9/TrAvia_act!D17*1000)</f>
        <v>24969.176745264675</v>
      </c>
      <c r="E25" s="84">
        <f>IF(E9=0,0,E9/TrAvia_act!E17*1000)</f>
        <v>13039.780062021657</v>
      </c>
      <c r="F25" s="84">
        <f>IF(F9=0,0,F9/TrAvia_act!F17*1000)</f>
        <v>6408.7990697198056</v>
      </c>
      <c r="G25" s="84">
        <f>IF(G9=0,0,G9/TrAvia_act!G17*1000)</f>
        <v>10539.564572422059</v>
      </c>
      <c r="H25" s="84">
        <f>IF(H9=0,0,H9/TrAvia_act!H17*1000)</f>
        <v>15770.110750904838</v>
      </c>
      <c r="I25" s="84">
        <f>IF(I9=0,0,I9/TrAvia_act!I17*1000)</f>
        <v>14922.835427874123</v>
      </c>
      <c r="J25" s="84">
        <f>IF(J9=0,0,J9/TrAvia_act!J17*1000)</f>
        <v>14398.686902287567</v>
      </c>
      <c r="K25" s="84">
        <f>IF(K9=0,0,K9/TrAvia_act!K17*1000)</f>
        <v>14975.018405245319</v>
      </c>
      <c r="L25" s="84">
        <f>IF(L9=0,0,L9/TrAvia_act!L17*1000)</f>
        <v>15018.96779294849</v>
      </c>
      <c r="M25" s="84">
        <f>IF(M9=0,0,M9/TrAvia_act!M17*1000)</f>
        <v>15854.58279434378</v>
      </c>
      <c r="N25" s="84">
        <f>IF(N9=0,0,N9/TrAvia_act!N17*1000)</f>
        <v>14406.440447943867</v>
      </c>
      <c r="O25" s="84">
        <f>IF(O9=0,0,O9/TrAvia_act!O17*1000)</f>
        <v>18013.161262122056</v>
      </c>
      <c r="P25" s="84">
        <f>IF(P9=0,0,P9/TrAvia_act!P17*1000)</f>
        <v>16969.573075560573</v>
      </c>
      <c r="Q25" s="84">
        <f>IF(Q9=0,0,Q9/TrAvia_act!Q17*1000)</f>
        <v>14952.993066280782</v>
      </c>
      <c r="R25" s="84">
        <f>IF(R9=0,0,R9/TrAvia_act!R17*1000)</f>
        <v>16339.558978147326</v>
      </c>
      <c r="S25" s="84">
        <f>IF(S9=0,0,S9/TrAvia_act!S17*1000)</f>
        <v>9270.797505304643</v>
      </c>
      <c r="T25" s="84">
        <f>IF(T9=0,0,T9/TrAvia_act!T17*1000)</f>
        <v>8897.8998339505142</v>
      </c>
      <c r="U25" s="84">
        <f>IF(U9=0,0,U9/TrAvia_act!U17*1000)</f>
        <v>8052.6893094435754</v>
      </c>
      <c r="V25" s="84">
        <f>IF(V9=0,0,V9/TrAvia_act!V17*1000)</f>
        <v>41517.632535891149</v>
      </c>
      <c r="W25" s="84">
        <f>IF(W9=0,0,W9/TrAvia_act!W17*1000)</f>
        <v>23011.8960582912</v>
      </c>
      <c r="X25" s="84">
        <f>IF(X9=0,0,X9/TrAvia_act!X17*1000)</f>
        <v>9879.7681559954071</v>
      </c>
      <c r="Y25" s="84">
        <f>IF(Y9=0,0,Y9/TrAvia_act!Y17*1000)</f>
        <v>7060.5282280433876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17697.710236761035</v>
      </c>
      <c r="C26" s="13">
        <f>IF(C10=0,0,C10/TrAvia_act!C18*1000)</f>
        <v>17730.266088375531</v>
      </c>
      <c r="D26" s="13">
        <f>IF(D10=0,0,D10/TrAvia_act!D18*1000)</f>
        <v>23234.987891174449</v>
      </c>
      <c r="E26" s="13">
        <f>IF(E10=0,0,E10/TrAvia_act!E18*1000)</f>
        <v>10705.777045613986</v>
      </c>
      <c r="F26" s="13">
        <f>IF(F10=0,0,F10/TrAvia_act!F18*1000)</f>
        <v>5305.6906485339478</v>
      </c>
      <c r="G26" s="13">
        <f>IF(G10=0,0,G10/TrAvia_act!G18*1000)</f>
        <v>8031.4460035812017</v>
      </c>
      <c r="H26" s="13">
        <f>IF(H10=0,0,H10/TrAvia_act!H18*1000)</f>
        <v>12380.038829783985</v>
      </c>
      <c r="I26" s="13">
        <f>IF(I10=0,0,I10/TrAvia_act!I18*1000)</f>
        <v>13118.813674057399</v>
      </c>
      <c r="J26" s="13">
        <f>IF(J10=0,0,J10/TrAvia_act!J18*1000)</f>
        <v>9116.7547293725347</v>
      </c>
      <c r="K26" s="13">
        <f>IF(K10=0,0,K10/TrAvia_act!K18*1000)</f>
        <v>9087.8058062617529</v>
      </c>
      <c r="L26" s="13">
        <f>IF(L10=0,0,L10/TrAvia_act!L18*1000)</f>
        <v>9402.6038652439056</v>
      </c>
      <c r="M26" s="13">
        <f>IF(M10=0,0,M10/TrAvia_act!M18*1000)</f>
        <v>8910.8689191793437</v>
      </c>
      <c r="N26" s="13">
        <f>IF(N10=0,0,N10/TrAvia_act!N18*1000)</f>
        <v>10571.129118793091</v>
      </c>
      <c r="O26" s="13">
        <f>IF(O10=0,0,O10/TrAvia_act!O18*1000)</f>
        <v>12245.497373812834</v>
      </c>
      <c r="P26" s="13">
        <f>IF(P10=0,0,P10/TrAvia_act!P18*1000)</f>
        <v>10739.21171429955</v>
      </c>
      <c r="Q26" s="13">
        <f>IF(Q10=0,0,Q10/TrAvia_act!Q18*1000)</f>
        <v>10627.952431532363</v>
      </c>
      <c r="R26" s="13">
        <f>IF(R10=0,0,R10/TrAvia_act!R18*1000)</f>
        <v>10950.329848928666</v>
      </c>
      <c r="S26" s="13">
        <f>IF(S10=0,0,S10/TrAvia_act!S18*1000)</f>
        <v>9234.8195912386327</v>
      </c>
      <c r="T26" s="13">
        <f>IF(T10=0,0,T10/TrAvia_act!T18*1000)</f>
        <v>9579.8402859742346</v>
      </c>
      <c r="U26" s="13">
        <f>IF(U10=0,0,U10/TrAvia_act!U18*1000)</f>
        <v>9403.6051530291661</v>
      </c>
      <c r="V26" s="13">
        <f>IF(V10=0,0,V10/TrAvia_act!V18*1000)</f>
        <v>21624.604033510914</v>
      </c>
      <c r="W26" s="13">
        <f>IF(W10=0,0,W10/TrAvia_act!W18*1000)</f>
        <v>13028.568198317778</v>
      </c>
      <c r="X26" s="13">
        <f>IF(X10=0,0,X10/TrAvia_act!X18*1000)</f>
        <v>10608.284516578546</v>
      </c>
      <c r="Y26" s="13">
        <f>IF(Y10=0,0,Y10/TrAvia_act!Y18*1000)</f>
        <v>7444.6794835588735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19902.665891627592</v>
      </c>
      <c r="C28" s="102">
        <f>IF(C12=0,0,C12/TrAvia_act!C20*1000)</f>
        <v>20002.172758128068</v>
      </c>
      <c r="D28" s="102">
        <f>IF(D12=0,0,D12/TrAvia_act!D20*1000)</f>
        <v>24519.236635149358</v>
      </c>
      <c r="E28" s="102">
        <f>IF(E12=0,0,E12/TrAvia_act!E20*1000)</f>
        <v>12716.253979199008</v>
      </c>
      <c r="F28" s="102">
        <f>IF(F12=0,0,F12/TrAvia_act!F20*1000)</f>
        <v>6293.3136538987364</v>
      </c>
      <c r="G28" s="102">
        <f>IF(G12=0,0,G12/TrAvia_act!G20*1000)</f>
        <v>7607.4143841276009</v>
      </c>
      <c r="H28" s="102">
        <f>IF(H12=0,0,H12/TrAvia_act!H20*1000)</f>
        <v>6882.2380698754641</v>
      </c>
      <c r="I28" s="102">
        <f>IF(I12=0,0,I12/TrAvia_act!I20*1000)</f>
        <v>9052.6621596683326</v>
      </c>
      <c r="J28" s="102">
        <f>IF(J12=0,0,J12/TrAvia_act!J20*1000)</f>
        <v>8100.7437883088242</v>
      </c>
      <c r="K28" s="102">
        <f>IF(K12=0,0,K12/TrAvia_act!K20*1000)</f>
        <v>8557.3589634502332</v>
      </c>
      <c r="L28" s="102">
        <f>IF(L12=0,0,L12/TrAvia_act!L20*1000)</f>
        <v>8214.4227675745242</v>
      </c>
      <c r="M28" s="102">
        <f>IF(M12=0,0,M12/TrAvia_act!M20*1000)</f>
        <v>8827.5212808113738</v>
      </c>
      <c r="N28" s="102">
        <f>IF(N12=0,0,N12/TrAvia_act!N20*1000)</f>
        <v>10515.969896238732</v>
      </c>
      <c r="O28" s="102">
        <f>IF(O12=0,0,O12/TrAvia_act!O20*1000)</f>
        <v>12131.065193488923</v>
      </c>
      <c r="P28" s="102">
        <f>IF(P12=0,0,P12/TrAvia_act!P20*1000)</f>
        <v>9832.4425434750774</v>
      </c>
      <c r="Q28" s="102">
        <f>IF(Q12=0,0,Q12/TrAvia_act!Q20*1000)</f>
        <v>10301.083702539996</v>
      </c>
      <c r="R28" s="102">
        <f>IF(R12=0,0,R12/TrAvia_act!R20*1000)</f>
        <v>10666.157966304803</v>
      </c>
      <c r="S28" s="102">
        <f>IF(S12=0,0,S12/TrAvia_act!S20*1000)</f>
        <v>9292.1980272399105</v>
      </c>
      <c r="T28" s="102">
        <f>IF(T12=0,0,T12/TrAvia_act!T20*1000)</f>
        <v>9722.3156730240244</v>
      </c>
      <c r="U28" s="102">
        <f>IF(U12=0,0,U12/TrAvia_act!U20*1000)</f>
        <v>9454.2596615969342</v>
      </c>
      <c r="V28" s="102">
        <f>IF(V12=0,0,V12/TrAvia_act!V20*1000)</f>
        <v>21269.118100041786</v>
      </c>
      <c r="W28" s="102">
        <f>IF(W12=0,0,W12/TrAvia_act!W20*1000)</f>
        <v>13020.256550804272</v>
      </c>
      <c r="X28" s="102">
        <f>IF(X12=0,0,X12/TrAvia_act!X20*1000)</f>
        <v>10630.460810579776</v>
      </c>
      <c r="Y28" s="102">
        <f>IF(Y12=0,0,Y12/TrAvia_act!Y20*1000)</f>
        <v>7463.3926948063981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15786.989635225933</v>
      </c>
      <c r="C29" s="86">
        <f>IF(C13=0,0,C13/TrAvia_act!C21*1000)</f>
        <v>15845.397014507462</v>
      </c>
      <c r="D29" s="86">
        <f>IF(D13=0,0,D13/TrAvia_act!D21*1000)</f>
        <v>19344.664026494516</v>
      </c>
      <c r="E29" s="86">
        <f>IF(E13=0,0,E13/TrAvia_act!E21*1000)</f>
        <v>10102.462201803643</v>
      </c>
      <c r="F29" s="86">
        <f>IF(F13=0,0,F13/TrAvia_act!F21*1000)</f>
        <v>4965.1642936346279</v>
      </c>
      <c r="G29" s="86">
        <f>IF(G13=0,0,G13/TrAvia_act!G21*1000)</f>
        <v>8165.5684954132539</v>
      </c>
      <c r="H29" s="86">
        <f>IF(H13=0,0,H13/TrAvia_act!H21*1000)</f>
        <v>13549.989132049424</v>
      </c>
      <c r="I29" s="86">
        <f>IF(I13=0,0,I13/TrAvia_act!I21*1000)</f>
        <v>14240.304053354193</v>
      </c>
      <c r="J29" s="86">
        <f>IF(J13=0,0,J13/TrAvia_act!J21*1000)</f>
        <v>15126.552085825653</v>
      </c>
      <c r="K29" s="86">
        <f>IF(K13=0,0,K13/TrAvia_act!K21*1000)</f>
        <v>17212.573168738087</v>
      </c>
      <c r="L29" s="86">
        <f>IF(L13=0,0,L13/TrAvia_act!L21*1000)</f>
        <v>19081.43922942489</v>
      </c>
      <c r="M29" s="86">
        <f>IF(M13=0,0,M13/TrAvia_act!M21*1000)</f>
        <v>19585.255799156945</v>
      </c>
      <c r="N29" s="86">
        <f>IF(N13=0,0,N13/TrAvia_act!N21*1000)</f>
        <v>17493.217600455035</v>
      </c>
      <c r="O29" s="86">
        <f>IF(O13=0,0,O13/TrAvia_act!O21*1000)</f>
        <v>20002.045212590143</v>
      </c>
      <c r="P29" s="86">
        <f>IF(P13=0,0,P13/TrAvia_act!P21*1000)</f>
        <v>17364.752118773882</v>
      </c>
      <c r="Q29" s="86">
        <f>IF(Q13=0,0,Q13/TrAvia_act!Q21*1000)</f>
        <v>13831.85837300628</v>
      </c>
      <c r="R29" s="86">
        <f>IF(R13=0,0,R13/TrAvia_act!R21*1000)</f>
        <v>14146.825015868595</v>
      </c>
      <c r="S29" s="86">
        <f>IF(S13=0,0,S13/TrAvia_act!S21*1000)</f>
        <v>7761.4802631313178</v>
      </c>
      <c r="T29" s="86">
        <f>IF(T13=0,0,T13/TrAvia_act!T21*1000)</f>
        <v>7067.616810458192</v>
      </c>
      <c r="U29" s="86">
        <f>IF(U13=0,0,U13/TrAvia_act!U21*1000)</f>
        <v>6789.2487000828842</v>
      </c>
      <c r="V29" s="86">
        <f>IF(V13=0,0,V13/TrAvia_act!V21*1000)</f>
        <v>37174.724374634076</v>
      </c>
      <c r="W29" s="86">
        <f>IF(W13=0,0,W13/TrAvia_act!W21*1000)</f>
        <v>15280.048708686425</v>
      </c>
      <c r="X29" s="86">
        <f>IF(X13=0,0,X13/TrAvia_act!X21*1000)</f>
        <v>6991.323952185403</v>
      </c>
      <c r="Y29" s="86">
        <f>IF(Y13=0,0,Y13/TrAvia_act!Y21*1000)</f>
        <v>5043.1401533263725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194.07429042472785</v>
      </c>
      <c r="C32" s="14">
        <f>IF(C6=0,0,C6/TrAvia_act!C4*1000)</f>
        <v>192.18154212620834</v>
      </c>
      <c r="D32" s="14">
        <f>IF(D6=0,0,D6/TrAvia_act!D4*1000)</f>
        <v>234.31259420443462</v>
      </c>
      <c r="E32" s="14">
        <f>IF(E6=0,0,E6/TrAvia_act!E4*1000)</f>
        <v>121.33656801417825</v>
      </c>
      <c r="F32" s="14">
        <f>IF(F6=0,0,F6/TrAvia_act!F4*1000)</f>
        <v>60.718719557340954</v>
      </c>
      <c r="G32" s="14">
        <f>IF(G6=0,0,G6/TrAvia_act!G4*1000)</f>
        <v>82.206332957816244</v>
      </c>
      <c r="H32" s="14">
        <f>IF(H6=0,0,H6/TrAvia_act!H4*1000)</f>
        <v>81.7470550446739</v>
      </c>
      <c r="I32" s="14">
        <f>IF(I6=0,0,I6/TrAvia_act!I4*1000)</f>
        <v>97.343722441314384</v>
      </c>
      <c r="J32" s="14">
        <f>IF(J6=0,0,J6/TrAvia_act!J4*1000)</f>
        <v>107.73772230894019</v>
      </c>
      <c r="K32" s="14">
        <f>IF(K6=0,0,K6/TrAvia_act!K4*1000)</f>
        <v>103.42296180711</v>
      </c>
      <c r="L32" s="14">
        <f>IF(L6=0,0,L6/TrAvia_act!L4*1000)</f>
        <v>89.591070617215721</v>
      </c>
      <c r="M32" s="14">
        <f>IF(M6=0,0,M6/TrAvia_act!M4*1000)</f>
        <v>93.374045425320588</v>
      </c>
      <c r="N32" s="14">
        <f>IF(N6=0,0,N6/TrAvia_act!N4*1000)</f>
        <v>92.84307986329425</v>
      </c>
      <c r="O32" s="14">
        <f>IF(O6=0,0,O6/TrAvia_act!O4*1000)</f>
        <v>110.25861211935639</v>
      </c>
      <c r="P32" s="14">
        <f>IF(P6=0,0,P6/TrAvia_act!P4*1000)</f>
        <v>86.875112933888488</v>
      </c>
      <c r="Q32" s="14">
        <f>IF(Q6=0,0,Q6/TrAvia_act!Q4*1000)</f>
        <v>93.555599281154088</v>
      </c>
      <c r="R32" s="14">
        <f>IF(R6=0,0,R6/TrAvia_act!R4*1000)</f>
        <v>98.095682473272504</v>
      </c>
      <c r="S32" s="14">
        <f>IF(S6=0,0,S6/TrAvia_act!S4*1000)</f>
        <v>68.778544266231151</v>
      </c>
      <c r="T32" s="14">
        <f>IF(T6=0,0,T6/TrAvia_act!T4*1000)</f>
        <v>70.276568140650852</v>
      </c>
      <c r="U32" s="14">
        <f>IF(U6=0,0,U6/TrAvia_act!U4*1000)</f>
        <v>66.376041652431297</v>
      </c>
      <c r="V32" s="14">
        <f>IF(V6=0,0,V6/TrAvia_act!V4*1000)</f>
        <v>224.08323733803635</v>
      </c>
      <c r="W32" s="14">
        <f>IF(W6=0,0,W6/TrAvia_act!W4*1000)</f>
        <v>141.67684212549034</v>
      </c>
      <c r="X32" s="14">
        <f>IF(X6=0,0,X6/TrAvia_act!X4*1000)</f>
        <v>70.252414983172869</v>
      </c>
      <c r="Y32" s="14">
        <f>IF(Y6=0,0,Y6/TrAvia_act!Y4*1000)</f>
        <v>47.355721033141954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193.90923887440746</v>
      </c>
      <c r="C34" s="87">
        <f>IF(C8=0,0,C8/TrAvia_act!C6*1000)</f>
        <v>191.80325803079216</v>
      </c>
      <c r="D34" s="87">
        <f>IF(D8=0,0,D8/TrAvia_act!D6*1000)</f>
        <v>234.57586285540089</v>
      </c>
      <c r="E34" s="87">
        <f>IF(E8=0,0,E8/TrAvia_act!E6*1000)</f>
        <v>120.96605795451315</v>
      </c>
      <c r="F34" s="87">
        <f>IF(F8=0,0,F8/TrAvia_act!F6*1000)</f>
        <v>61.524081988100065</v>
      </c>
      <c r="G34" s="87">
        <f>IF(G8=0,0,G8/TrAvia_act!G6*1000)</f>
        <v>74.977525529201046</v>
      </c>
      <c r="H34" s="87">
        <f>IF(H8=0,0,H8/TrAvia_act!H6*1000)</f>
        <v>66.104561746349574</v>
      </c>
      <c r="I34" s="87">
        <f>IF(I8=0,0,I8/TrAvia_act!I6*1000)</f>
        <v>88.358906310709855</v>
      </c>
      <c r="J34" s="87">
        <f>IF(J8=0,0,J8/TrAvia_act!J6*1000)</f>
        <v>100.53834411386806</v>
      </c>
      <c r="K34" s="87">
        <f>IF(K8=0,0,K8/TrAvia_act!K6*1000)</f>
        <v>93.875713601431329</v>
      </c>
      <c r="L34" s="87">
        <f>IF(L8=0,0,L8/TrAvia_act!L6*1000)</f>
        <v>80.332466952279574</v>
      </c>
      <c r="M34" s="87">
        <f>IF(M8=0,0,M8/TrAvia_act!M6*1000)</f>
        <v>79.668322663880062</v>
      </c>
      <c r="N34" s="87">
        <f>IF(N8=0,0,N8/TrAvia_act!N6*1000)</f>
        <v>81.723013604684382</v>
      </c>
      <c r="O34" s="87">
        <f>IF(O8=0,0,O8/TrAvia_act!O6*1000)</f>
        <v>92.085963197874563</v>
      </c>
      <c r="P34" s="87">
        <f>IF(P8=0,0,P8/TrAvia_act!P6*1000)</f>
        <v>73.03780306767473</v>
      </c>
      <c r="Q34" s="87">
        <f>IF(Q8=0,0,Q8/TrAvia_act!Q6*1000)</f>
        <v>82.557362145708012</v>
      </c>
      <c r="R34" s="87">
        <f>IF(R8=0,0,R8/TrAvia_act!R6*1000)</f>
        <v>84.848086214532316</v>
      </c>
      <c r="S34" s="87">
        <f>IF(S8=0,0,S8/TrAvia_act!S6*1000)</f>
        <v>69.011191128764338</v>
      </c>
      <c r="T34" s="87">
        <f>IF(T8=0,0,T8/TrAvia_act!T6*1000)</f>
        <v>74.445977705107083</v>
      </c>
      <c r="U34" s="87">
        <f>IF(U8=0,0,U8/TrAvia_act!U6*1000)</f>
        <v>72.639483377948153</v>
      </c>
      <c r="V34" s="87">
        <f>IF(V8=0,0,V8/TrAvia_act!V6*1000)</f>
        <v>171.27774958356213</v>
      </c>
      <c r="W34" s="87">
        <f>IF(W8=0,0,W8/TrAvia_act!W6*1000)</f>
        <v>114.00962580449951</v>
      </c>
      <c r="X34" s="87">
        <f>IF(X8=0,0,X8/TrAvia_act!X6*1000)</f>
        <v>71.715663966632064</v>
      </c>
      <c r="Y34" s="87">
        <f>IF(Y8=0,0,Y8/TrAvia_act!Y6*1000)</f>
        <v>47.99707609222893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194.33964194031105</v>
      </c>
      <c r="C35" s="87">
        <f>IF(C9=0,0,C9/TrAvia_act!C7*1000)</f>
        <v>192.78991718172202</v>
      </c>
      <c r="D35" s="87">
        <f>IF(D9=0,0,D9/TrAvia_act!D7*1000)</f>
        <v>234.00914571335602</v>
      </c>
      <c r="E35" s="87">
        <f>IF(E9=0,0,E9/TrAvia_act!E7*1000)</f>
        <v>121.79330958761325</v>
      </c>
      <c r="F35" s="87">
        <f>IF(F9=0,0,F9/TrAvia_act!F7*1000)</f>
        <v>59.625696778229319</v>
      </c>
      <c r="G35" s="87">
        <f>IF(G9=0,0,G9/TrAvia_act!G7*1000)</f>
        <v>97.064109944227653</v>
      </c>
      <c r="H35" s="87">
        <f>IF(H9=0,0,H9/TrAvia_act!H7*1000)</f>
        <v>144.35466082140744</v>
      </c>
      <c r="I35" s="87">
        <f>IF(I9=0,0,I9/TrAvia_act!I7*1000)</f>
        <v>121.18284758475336</v>
      </c>
      <c r="J35" s="87">
        <f>IF(J9=0,0,J9/TrAvia_act!J7*1000)</f>
        <v>128.11143039420878</v>
      </c>
      <c r="K35" s="87">
        <f>IF(K9=0,0,K9/TrAvia_act!K7*1000)</f>
        <v>128.57587450715559</v>
      </c>
      <c r="L35" s="87">
        <f>IF(L9=0,0,L9/TrAvia_act!L7*1000)</f>
        <v>112.04245300943349</v>
      </c>
      <c r="M35" s="87">
        <f>IF(M9=0,0,M9/TrAvia_act!M7*1000)</f>
        <v>130.26516453115232</v>
      </c>
      <c r="N35" s="87">
        <f>IF(N9=0,0,N9/TrAvia_act!N7*1000)</f>
        <v>118.86710201793353</v>
      </c>
      <c r="O35" s="87">
        <f>IF(O9=0,0,O9/TrAvia_act!O7*1000)</f>
        <v>160.47144672600669</v>
      </c>
      <c r="P35" s="87">
        <f>IF(P9=0,0,P9/TrAvia_act!P7*1000)</f>
        <v>127.97590215989105</v>
      </c>
      <c r="Q35" s="87">
        <f>IF(Q9=0,0,Q9/TrAvia_act!Q7*1000)</f>
        <v>124.19545552089222</v>
      </c>
      <c r="R35" s="87">
        <f>IF(R9=0,0,R9/TrAvia_act!R7*1000)</f>
        <v>141.50758909554216</v>
      </c>
      <c r="S35" s="87">
        <f>IF(S9=0,0,S9/TrAvia_act!S7*1000)</f>
        <v>68.340658765780987</v>
      </c>
      <c r="T35" s="87">
        <f>IF(T9=0,0,T9/TrAvia_act!T7*1000)</f>
        <v>63.359795706763258</v>
      </c>
      <c r="U35" s="87">
        <f>IF(U9=0,0,U9/TrAvia_act!U7*1000)</f>
        <v>56.885695264733108</v>
      </c>
      <c r="V35" s="87">
        <f>IF(V9=0,0,V9/TrAvia_act!V7*1000)</f>
        <v>369.88530039647304</v>
      </c>
      <c r="W35" s="87">
        <f>IF(W9=0,0,W9/TrAvia_act!W7*1000)</f>
        <v>223.53312173679367</v>
      </c>
      <c r="X35" s="87">
        <f>IF(X9=0,0,X9/TrAvia_act!X7*1000)</f>
        <v>67.63161117010236</v>
      </c>
      <c r="Y35" s="87">
        <f>IF(Y9=0,0,Y9/TrAvia_act!Y7*1000)</f>
        <v>46.204085966980358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339.3510395552791</v>
      </c>
      <c r="C36" s="15">
        <f>IF(C10=0,0,C10/TrAvia_act!C8*1000)</f>
        <v>322.96513362145458</v>
      </c>
      <c r="D36" s="15">
        <f>IF(D10=0,0,D10/TrAvia_act!D8*1000)</f>
        <v>566.65080328022475</v>
      </c>
      <c r="E36" s="15">
        <f>IF(E10=0,0,E10/TrAvia_act!E8*1000)</f>
        <v>194.30760823981188</v>
      </c>
      <c r="F36" s="15">
        <f>IF(F10=0,0,F10/TrAvia_act!F8*1000)</f>
        <v>101.73830387326123</v>
      </c>
      <c r="G36" s="15">
        <f>IF(G10=0,0,G10/TrAvia_act!G8*1000)</f>
        <v>161.80937042258898</v>
      </c>
      <c r="H36" s="15">
        <f>IF(H10=0,0,H10/TrAvia_act!H8*1000)</f>
        <v>253.02038116777996</v>
      </c>
      <c r="I36" s="15">
        <f>IF(I10=0,0,I10/TrAvia_act!I8*1000)</f>
        <v>280.79056558320684</v>
      </c>
      <c r="J36" s="15">
        <f>IF(J10=0,0,J10/TrAvia_act!J8*1000)</f>
        <v>328.25737185497246</v>
      </c>
      <c r="K36" s="15">
        <f>IF(K10=0,0,K10/TrAvia_act!K8*1000)</f>
        <v>344.05235721623319</v>
      </c>
      <c r="L36" s="15">
        <f>IF(L10=0,0,L10/TrAvia_act!L8*1000)</f>
        <v>333.92095377968923</v>
      </c>
      <c r="M36" s="15">
        <f>IF(M10=0,0,M10/TrAvia_act!M8*1000)</f>
        <v>341.88716280449239</v>
      </c>
      <c r="N36" s="15">
        <f>IF(N10=0,0,N10/TrAvia_act!N8*1000)</f>
        <v>386.36744999631992</v>
      </c>
      <c r="O36" s="15">
        <f>IF(O10=0,0,O10/TrAvia_act!O8*1000)</f>
        <v>466.2726478065465</v>
      </c>
      <c r="P36" s="15">
        <f>IF(P10=0,0,P10/TrAvia_act!P8*1000)</f>
        <v>295.50858840012842</v>
      </c>
      <c r="Q36" s="15">
        <f>IF(Q10=0,0,Q10/TrAvia_act!Q8*1000)</f>
        <v>320.22320963490489</v>
      </c>
      <c r="R36" s="15">
        <f>IF(R10=0,0,R10/TrAvia_act!R8*1000)</f>
        <v>309.70660453368862</v>
      </c>
      <c r="S36" s="15">
        <f>IF(S10=0,0,S10/TrAvia_act!S8*1000)</f>
        <v>302.30160124294554</v>
      </c>
      <c r="T36" s="15">
        <f>IF(T10=0,0,T10/TrAvia_act!T8*1000)</f>
        <v>303.87494692904227</v>
      </c>
      <c r="U36" s="15">
        <f>IF(U10=0,0,U10/TrAvia_act!U8*1000)</f>
        <v>304.53149477145246</v>
      </c>
      <c r="V36" s="15">
        <f>IF(V10=0,0,V10/TrAvia_act!V8*1000)</f>
        <v>829.82203244536481</v>
      </c>
      <c r="W36" s="15">
        <f>IF(W10=0,0,W10/TrAvia_act!W8*1000)</f>
        <v>594.4994152382684</v>
      </c>
      <c r="X36" s="15">
        <f>IF(X10=0,0,X10/TrAvia_act!X8*1000)</f>
        <v>456.18840126988806</v>
      </c>
      <c r="Y36" s="15">
        <f>IF(Y10=0,0,Y10/TrAvia_act!Y8*1000)</f>
        <v>301.88588031312509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599.1970758666962</v>
      </c>
      <c r="C38" s="101">
        <f>IF(C12=0,0,C12/TrAvia_act!C10*1000)</f>
        <v>580.27076385627663</v>
      </c>
      <c r="D38" s="101">
        <f>IF(D12=0,0,D12/TrAvia_act!D10*1000)</f>
        <v>762.73270628414969</v>
      </c>
      <c r="E38" s="101">
        <f>IF(E12=0,0,E12/TrAvia_act!E10*1000)</f>
        <v>381.84515909061429</v>
      </c>
      <c r="F38" s="101">
        <f>IF(F12=0,0,F12/TrAvia_act!F10*1000)</f>
        <v>210.51374022401379</v>
      </c>
      <c r="G38" s="101">
        <f>IF(G12=0,0,G12/TrAvia_act!G10*1000)</f>
        <v>265.14549997683292</v>
      </c>
      <c r="H38" s="101">
        <f>IF(H12=0,0,H12/TrAvia_act!H10*1000)</f>
        <v>295.60685195733737</v>
      </c>
      <c r="I38" s="101">
        <f>IF(I12=0,0,I12/TrAvia_act!I10*1000)</f>
        <v>407.47192704420922</v>
      </c>
      <c r="J38" s="101">
        <f>IF(J12=0,0,J12/TrAvia_act!J10*1000)</f>
        <v>343.11435141343776</v>
      </c>
      <c r="K38" s="101">
        <f>IF(K12=0,0,K12/TrAvia_act!K10*1000)</f>
        <v>352.44349434099934</v>
      </c>
      <c r="L38" s="101">
        <f>IF(L12=0,0,L12/TrAvia_act!L10*1000)</f>
        <v>338.88569122911139</v>
      </c>
      <c r="M38" s="101">
        <f>IF(M12=0,0,M12/TrAvia_act!M10*1000)</f>
        <v>342.5483506683093</v>
      </c>
      <c r="N38" s="101">
        <f>IF(N12=0,0,N12/TrAvia_act!N10*1000)</f>
        <v>389.44279104249813</v>
      </c>
      <c r="O38" s="101">
        <f>IF(O12=0,0,O12/TrAvia_act!O10*1000)</f>
        <v>472.62272298302139</v>
      </c>
      <c r="P38" s="101">
        <f>IF(P12=0,0,P12/TrAvia_act!P10*1000)</f>
        <v>322.19983081309675</v>
      </c>
      <c r="Q38" s="101">
        <f>IF(Q12=0,0,Q12/TrAvia_act!Q10*1000)</f>
        <v>358.84743139820876</v>
      </c>
      <c r="R38" s="101">
        <f>IF(R12=0,0,R12/TrAvia_act!R10*1000)</f>
        <v>350.00991764237801</v>
      </c>
      <c r="S38" s="101">
        <f>IF(S12=0,0,S12/TrAvia_act!S10*1000)</f>
        <v>327.13507574478922</v>
      </c>
      <c r="T38" s="101">
        <f>IF(T12=0,0,T12/TrAvia_act!T10*1000)</f>
        <v>339.55353615797105</v>
      </c>
      <c r="U38" s="101">
        <f>IF(U12=0,0,U12/TrAvia_act!U10*1000)</f>
        <v>316.77422943803612</v>
      </c>
      <c r="V38" s="101">
        <f>IF(V12=0,0,V12/TrAvia_act!V10*1000)</f>
        <v>836.65289982366164</v>
      </c>
      <c r="W38" s="101">
        <f>IF(W12=0,0,W12/TrAvia_act!W10*1000)</f>
        <v>597.77371475453594</v>
      </c>
      <c r="X38" s="101">
        <f>IF(X12=0,0,X12/TrAvia_act!X10*1000)</f>
        <v>462.15270609657523</v>
      </c>
      <c r="Y38" s="101">
        <f>IF(Y12=0,0,Y12/TrAvia_act!Y10*1000)</f>
        <v>306.66791300111367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230.26254183975149</v>
      </c>
      <c r="C39" s="88">
        <f>IF(C13=0,0,C13/TrAvia_act!C11*1000)</f>
        <v>220.5457683686588</v>
      </c>
      <c r="D39" s="88">
        <f>IF(D13=0,0,D13/TrAvia_act!D11*1000)</f>
        <v>285.16916536527066</v>
      </c>
      <c r="E39" s="88">
        <f>IF(E13=0,0,E13/TrAvia_act!E11*1000)</f>
        <v>163.90150489759668</v>
      </c>
      <c r="F39" s="88">
        <f>IF(F13=0,0,F13/TrAvia_act!F11*1000)</f>
        <v>82.996357006726541</v>
      </c>
      <c r="G39" s="88">
        <f>IF(G13=0,0,G13/TrAvia_act!G11*1000)</f>
        <v>145.1403487650141</v>
      </c>
      <c r="H39" s="88">
        <f>IF(H13=0,0,H13/TrAvia_act!H11*1000)</f>
        <v>249.14092025609872</v>
      </c>
      <c r="I39" s="88">
        <f>IF(I13=0,0,I13/TrAvia_act!I11*1000)</f>
        <v>266.27561787052906</v>
      </c>
      <c r="J39" s="88">
        <f>IF(J13=0,0,J13/TrAvia_act!J11*1000)</f>
        <v>288.66334486762372</v>
      </c>
      <c r="K39" s="88">
        <f>IF(K13=0,0,K13/TrAvia_act!K11*1000)</f>
        <v>291.24928371395288</v>
      </c>
      <c r="L39" s="88">
        <f>IF(L13=0,0,L13/TrAvia_act!L11*1000)</f>
        <v>317.60413148992211</v>
      </c>
      <c r="M39" s="88">
        <f>IF(M13=0,0,M13/TrAvia_act!M11*1000)</f>
        <v>307.61300084704226</v>
      </c>
      <c r="N39" s="88">
        <f>IF(N13=0,0,N13/TrAvia_act!N11*1000)</f>
        <v>242.12608130093324</v>
      </c>
      <c r="O39" s="88">
        <f>IF(O13=0,0,O13/TrAvia_act!O11*1000)</f>
        <v>300.36696317074092</v>
      </c>
      <c r="P39" s="88">
        <f>IF(P13=0,0,P13/TrAvia_act!P11*1000)</f>
        <v>220.07929266050851</v>
      </c>
      <c r="Q39" s="88">
        <f>IF(Q13=0,0,Q13/TrAvia_act!Q11*1000)</f>
        <v>179.32608445085268</v>
      </c>
      <c r="R39" s="88">
        <f>IF(R13=0,0,R13/TrAvia_act!R11*1000)</f>
        <v>156.68909173465852</v>
      </c>
      <c r="S39" s="88">
        <f>IF(S13=0,0,S13/TrAvia_act!S11*1000)</f>
        <v>90.681481464865172</v>
      </c>
      <c r="T39" s="88">
        <f>IF(T13=0,0,T13/TrAvia_act!T11*1000)</f>
        <v>85.630522557315658</v>
      </c>
      <c r="U39" s="88">
        <f>IF(U13=0,0,U13/TrAvia_act!U11*1000)</f>
        <v>80.613516655180675</v>
      </c>
      <c r="V39" s="88">
        <f>IF(V13=0,0,V13/TrAvia_act!V11*1000)</f>
        <v>689.02901875364364</v>
      </c>
      <c r="W39" s="88">
        <f>IF(W13=0,0,W13/TrAvia_act!W11*1000)</f>
        <v>262.55081618119181</v>
      </c>
      <c r="X39" s="88">
        <f>IF(X13=0,0,X13/TrAvia_act!X11*1000)</f>
        <v>108.60260114297621</v>
      </c>
      <c r="Y39" s="88">
        <f>IF(Y13=0,0,Y13/TrAvia_act!Y11*1000)</f>
        <v>76.20374838060529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22167.394460876578</v>
      </c>
      <c r="C41" s="54">
        <f>IF(C3=0,0,C3/TrAvia_act!C23*1000000)</f>
        <v>22230.117972394099</v>
      </c>
      <c r="D41" s="54">
        <f>IF(D3=0,0,D3/TrAvia_act!D23*1000000)</f>
        <v>29630.800719272273</v>
      </c>
      <c r="E41" s="54">
        <f>IF(E3=0,0,E3/TrAvia_act!E23*1000000)</f>
        <v>14753.917426257953</v>
      </c>
      <c r="F41" s="54">
        <f>IF(F3=0,0,F3/TrAvia_act!F23*1000000)</f>
        <v>7458.665140961858</v>
      </c>
      <c r="G41" s="54">
        <f>IF(G3=0,0,G3/TrAvia_act!G23*1000000)</f>
        <v>9691.2672585797336</v>
      </c>
      <c r="H41" s="54">
        <f>IF(H3=0,0,H3/TrAvia_act!H23*1000000)</f>
        <v>9262.6512642447451</v>
      </c>
      <c r="I41" s="54">
        <f>IF(I3=0,0,I3/TrAvia_act!I23*1000000)</f>
        <v>11936.141971246007</v>
      </c>
      <c r="J41" s="54">
        <f>IF(J3=0,0,J3/TrAvia_act!J23*1000000)</f>
        <v>13080.360578552243</v>
      </c>
      <c r="K41" s="54">
        <f>IF(K3=0,0,K3/TrAvia_act!K23*1000000)</f>
        <v>12203.458572828507</v>
      </c>
      <c r="L41" s="54">
        <f>IF(L3=0,0,L3/TrAvia_act!L23*1000000)</f>
        <v>11751.780549212042</v>
      </c>
      <c r="M41" s="54">
        <f>IF(M3=0,0,M3/TrAvia_act!M23*1000000)</f>
        <v>13270.823736932916</v>
      </c>
      <c r="N41" s="54">
        <f>IF(N3=0,0,N3/TrAvia_act!N23*1000000)</f>
        <v>14032.517841492425</v>
      </c>
      <c r="O41" s="54">
        <f>IF(O3=0,0,O3/TrAvia_act!O23*1000000)</f>
        <v>15971.626425548291</v>
      </c>
      <c r="P41" s="54">
        <f>IF(P3=0,0,P3/TrAvia_act!P23*1000000)</f>
        <v>13286.188648173717</v>
      </c>
      <c r="Q41" s="54">
        <f>IF(Q3=0,0,Q3/TrAvia_act!Q23*1000000)</f>
        <v>14672.063092459608</v>
      </c>
      <c r="R41" s="54">
        <f>IF(R3=0,0,R3/TrAvia_act!R23*1000000)</f>
        <v>14825.086678571432</v>
      </c>
      <c r="S41" s="54">
        <f>IF(S3=0,0,S3/TrAvia_act!S23*1000000)</f>
        <v>11231.955940795562</v>
      </c>
      <c r="T41" s="54">
        <f>IF(T3=0,0,T3/TrAvia_act!T23*1000000)</f>
        <v>12049.682584770722</v>
      </c>
      <c r="U41" s="54">
        <f>IF(U3=0,0,U3/TrAvia_act!U23*1000000)</f>
        <v>11697.021815387245</v>
      </c>
      <c r="V41" s="54">
        <f>IF(V3=0,0,V3/TrAvia_act!V23*1000000)</f>
        <v>24067.260496963012</v>
      </c>
      <c r="W41" s="54">
        <f>IF(W3=0,0,W3/TrAvia_act!W23*1000000)</f>
        <v>16021.499705263162</v>
      </c>
      <c r="X41" s="54">
        <f>IF(X3=0,0,X3/TrAvia_act!X23*1000000)</f>
        <v>12507.669379108838</v>
      </c>
      <c r="Y41" s="54">
        <f>IF(Y3=0,0,Y3/TrAvia_act!Y23*1000000)</f>
        <v>9545.731222076216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22119.769576313884</v>
      </c>
      <c r="C42" s="11">
        <f>IF(C6=0,0,C6/TrAvia_act!C24*1000000)</f>
        <v>22183.537054784501</v>
      </c>
      <c r="D42" s="11">
        <f>IF(D6=0,0,D6/TrAvia_act!D24*1000000)</f>
        <v>29696.729474491545</v>
      </c>
      <c r="E42" s="11">
        <f>IF(E6=0,0,E6/TrAvia_act!E24*1000000)</f>
        <v>14693.351258786453</v>
      </c>
      <c r="F42" s="11">
        <f>IF(F6=0,0,F6/TrAvia_act!F24*1000000)</f>
        <v>7447.5229778942303</v>
      </c>
      <c r="G42" s="11">
        <f>IF(G6=0,0,G6/TrAvia_act!G24*1000000)</f>
        <v>9671.4325387039371</v>
      </c>
      <c r="H42" s="11">
        <f>IF(H6=0,0,H6/TrAvia_act!H24*1000000)</f>
        <v>9190.9686754831764</v>
      </c>
      <c r="I42" s="11">
        <f>IF(I6=0,0,I6/TrAvia_act!I24*1000000)</f>
        <v>11884.279631837708</v>
      </c>
      <c r="J42" s="11">
        <f>IF(J6=0,0,J6/TrAvia_act!J24*1000000)</f>
        <v>13153.506214684356</v>
      </c>
      <c r="K42" s="11">
        <f>IF(K6=0,0,K6/TrAvia_act!K24*1000000)</f>
        <v>12393.277807941789</v>
      </c>
      <c r="L42" s="11">
        <f>IF(L6=0,0,L6/TrAvia_act!L24*1000000)</f>
        <v>11971.039494438151</v>
      </c>
      <c r="M42" s="11">
        <f>IF(M6=0,0,M6/TrAvia_act!M24*1000000)</f>
        <v>13698.392710953302</v>
      </c>
      <c r="N42" s="11">
        <f>IF(N6=0,0,N6/TrAvia_act!N24*1000000)</f>
        <v>14544.865311206957</v>
      </c>
      <c r="O42" s="11">
        <f>IF(O6=0,0,O6/TrAvia_act!O24*1000000)</f>
        <v>16557.834022149567</v>
      </c>
      <c r="P42" s="11">
        <f>IF(P6=0,0,P6/TrAvia_act!P24*1000000)</f>
        <v>13571.232787764562</v>
      </c>
      <c r="Q42" s="11">
        <f>IF(Q6=0,0,Q6/TrAvia_act!Q24*1000000)</f>
        <v>15080.810777590368</v>
      </c>
      <c r="R42" s="11">
        <f>IF(R6=0,0,R6/TrAvia_act!R24*1000000)</f>
        <v>15203.475681062127</v>
      </c>
      <c r="S42" s="11">
        <f>IF(S6=0,0,S6/TrAvia_act!S24*1000000)</f>
        <v>11577.215489540149</v>
      </c>
      <c r="T42" s="11">
        <f>IF(T6=0,0,T6/TrAvia_act!T24*1000000)</f>
        <v>12323.037098154151</v>
      </c>
      <c r="U42" s="11">
        <f>IF(U6=0,0,U6/TrAvia_act!U24*1000000)</f>
        <v>11912.758771510742</v>
      </c>
      <c r="V42" s="11">
        <f>IF(V6=0,0,V6/TrAvia_act!V24*1000000)</f>
        <v>25981.420761079415</v>
      </c>
      <c r="W42" s="11">
        <f>IF(W6=0,0,W6/TrAvia_act!W24*1000000)</f>
        <v>16998.805409612909</v>
      </c>
      <c r="X42" s="11">
        <f>IF(X6=0,0,X6/TrAvia_act!X24*1000000)</f>
        <v>12825.639487304265</v>
      </c>
      <c r="Y42" s="11">
        <f>IF(Y6=0,0,Y6/TrAvia_act!Y24*1000000)</f>
        <v>9656.2504438950255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16450.704478656731</v>
      </c>
      <c r="C44" s="84">
        <f>IF(C8=0,0,C8/TrAvia_act!C26*1000000)</f>
        <v>16484.488495319918</v>
      </c>
      <c r="D44" s="84">
        <f>IF(D8=0,0,D8/TrAvia_act!D26*1000000)</f>
        <v>20602.318607331785</v>
      </c>
      <c r="E44" s="84">
        <f>IF(E8=0,0,E8/TrAvia_act!E26*1000000)</f>
        <v>10220.716446277078</v>
      </c>
      <c r="F44" s="84">
        <f>IF(F8=0,0,F8/TrAvia_act!F26*1000000)</f>
        <v>5427.3407080785419</v>
      </c>
      <c r="G44" s="84">
        <f>IF(G8=0,0,G8/TrAvia_act!G26*1000000)</f>
        <v>6965.61063006736</v>
      </c>
      <c r="H44" s="84">
        <f>IF(H8=0,0,H8/TrAvia_act!H26*1000000)</f>
        <v>6520.9212968800584</v>
      </c>
      <c r="I44" s="84">
        <f>IF(I8=0,0,I8/TrAvia_act!I26*1000000)</f>
        <v>8742.299517875932</v>
      </c>
      <c r="J44" s="84">
        <f>IF(J8=0,0,J8/TrAvia_act!J26*1000000)</f>
        <v>10307.264863545824</v>
      </c>
      <c r="K44" s="84">
        <f>IF(K8=0,0,K8/TrAvia_act!K26*1000000)</f>
        <v>9416.7571589503405</v>
      </c>
      <c r="L44" s="84">
        <f>IF(L8=0,0,L8/TrAvia_act!L26*1000000)</f>
        <v>8739.8326593815382</v>
      </c>
      <c r="M44" s="84">
        <f>IF(M8=0,0,M8/TrAvia_act!M26*1000000)</f>
        <v>10166.307624079087</v>
      </c>
      <c r="N44" s="84">
        <f>IF(N8=0,0,N8/TrAvia_act!N26*1000000)</f>
        <v>11188.796534534853</v>
      </c>
      <c r="O44" s="84">
        <f>IF(O8=0,0,O8/TrAvia_act!O26*1000000)</f>
        <v>12605.939894987714</v>
      </c>
      <c r="P44" s="84">
        <f>IF(P8=0,0,P8/TrAvia_act!P26*1000000)</f>
        <v>10178.584973568079</v>
      </c>
      <c r="Q44" s="84">
        <f>IF(Q8=0,0,Q8/TrAvia_act!Q26*1000000)</f>
        <v>11875.673821131017</v>
      </c>
      <c r="R44" s="84">
        <f>IF(R8=0,0,R8/TrAvia_act!R26*1000000)</f>
        <v>11974.324847741398</v>
      </c>
      <c r="S44" s="84">
        <f>IF(S8=0,0,S8/TrAvia_act!S26*1000000)</f>
        <v>9798.7139126844268</v>
      </c>
      <c r="T44" s="84">
        <f>IF(T8=0,0,T8/TrAvia_act!T26*1000000)</f>
        <v>10735.551918666644</v>
      </c>
      <c r="U44" s="84">
        <f>IF(U8=0,0,U8/TrAvia_act!U26*1000000)</f>
        <v>10787.395091482033</v>
      </c>
      <c r="V44" s="84">
        <f>IF(V8=0,0,V8/TrAvia_act!V26*1000000)</f>
        <v>16997.348679951025</v>
      </c>
      <c r="W44" s="84">
        <f>IF(W8=0,0,W8/TrAvia_act!W26*1000000)</f>
        <v>12029.503728380889</v>
      </c>
      <c r="X44" s="84">
        <f>IF(X8=0,0,X8/TrAvia_act!X26*1000000)</f>
        <v>10532.068756062634</v>
      </c>
      <c r="Y44" s="84">
        <f>IF(Y8=0,0,Y8/TrAvia_act!Y26*1000000)</f>
        <v>8083.2866308117664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49462.527282055788</v>
      </c>
      <c r="C45" s="84">
        <f>IF(C9=0,0,C9/TrAvia_act!C27*1000000)</f>
        <v>49645.524589201654</v>
      </c>
      <c r="D45" s="84">
        <f>IF(D9=0,0,D9/TrAvia_act!D27*1000000)</f>
        <v>60609.146789941173</v>
      </c>
      <c r="E45" s="84">
        <f>IF(E9=0,0,E9/TrAvia_act!E27*1000000)</f>
        <v>31652.222736478579</v>
      </c>
      <c r="F45" s="84">
        <f>IF(F9=0,0,F9/TrAvia_act!F27*1000000)</f>
        <v>15556.45376404134</v>
      </c>
      <c r="G45" s="84">
        <f>IF(G9=0,0,G9/TrAvia_act!G27*1000000)</f>
        <v>25234.418216545313</v>
      </c>
      <c r="H45" s="84">
        <f>IF(H9=0,0,H9/TrAvia_act!H27*1000000)</f>
        <v>36832.715708421565</v>
      </c>
      <c r="I45" s="84">
        <f>IF(I9=0,0,I9/TrAvia_act!I27*1000000)</f>
        <v>39002.358190718638</v>
      </c>
      <c r="J45" s="84">
        <f>IF(J9=0,0,J9/TrAvia_act!J27*1000000)</f>
        <v>34011.559451482637</v>
      </c>
      <c r="K45" s="84">
        <f>IF(K9=0,0,K9/TrAvia_act!K27*1000000)</f>
        <v>31616.383558985246</v>
      </c>
      <c r="L45" s="84">
        <f>IF(L9=0,0,L9/TrAvia_act!L27*1000000)</f>
        <v>33512.418394815562</v>
      </c>
      <c r="M45" s="84">
        <f>IF(M9=0,0,M9/TrAvia_act!M27*1000000)</f>
        <v>32000.583268780658</v>
      </c>
      <c r="N45" s="84">
        <f>IF(N9=0,0,N9/TrAvia_act!N27*1000000)</f>
        <v>28112.049939978933</v>
      </c>
      <c r="O45" s="84">
        <f>IF(O9=0,0,O9/TrAvia_act!O27*1000000)</f>
        <v>32923.091865360642</v>
      </c>
      <c r="P45" s="84">
        <f>IF(P9=0,0,P9/TrAvia_act!P27*1000000)</f>
        <v>31200.188465966166</v>
      </c>
      <c r="Q45" s="84">
        <f>IF(Q9=0,0,Q9/TrAvia_act!Q27*1000000)</f>
        <v>30149.965903948549</v>
      </c>
      <c r="R45" s="84">
        <f>IF(R9=0,0,R9/TrAvia_act!R27*1000000)</f>
        <v>32339.048659461521</v>
      </c>
      <c r="S45" s="84">
        <f>IF(S9=0,0,S9/TrAvia_act!S27*1000000)</f>
        <v>17674.491000403912</v>
      </c>
      <c r="T45" s="84">
        <f>IF(T9=0,0,T9/TrAvia_act!T27*1000000)</f>
        <v>17313.269809138972</v>
      </c>
      <c r="U45" s="84">
        <f>IF(U9=0,0,U9/TrAvia_act!U27*1000000)</f>
        <v>14925.344137897888</v>
      </c>
      <c r="V45" s="84">
        <f>IF(V9=0,0,V9/TrAvia_act!V27*1000000)</f>
        <v>80137.155963405807</v>
      </c>
      <c r="W45" s="84">
        <f>IF(W9=0,0,W9/TrAvia_act!W27*1000000)</f>
        <v>45131.88900177303</v>
      </c>
      <c r="X45" s="84">
        <f>IF(X9=0,0,X9/TrAvia_act!X27*1000000)</f>
        <v>21871.773698398243</v>
      </c>
      <c r="Y45" s="84">
        <f>IF(Y9=0,0,Y9/TrAvia_act!Y27*1000000)</f>
        <v>15158.449291577284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23945.717470011245</v>
      </c>
      <c r="C46" s="13">
        <f>IF(C10=0,0,C10/TrAvia_act!C28*1000000)</f>
        <v>24265.80318026886</v>
      </c>
      <c r="D46" s="13">
        <f>IF(D10=0,0,D10/TrAvia_act!D28*1000000)</f>
        <v>24827.272819468173</v>
      </c>
      <c r="E46" s="13">
        <f>IF(E10=0,0,E10/TrAvia_act!E28*1000000)</f>
        <v>18608.076625448986</v>
      </c>
      <c r="F46" s="13">
        <f>IF(F10=0,0,F10/TrAvia_act!F28*1000000)</f>
        <v>8978.371559362884</v>
      </c>
      <c r="G46" s="13">
        <f>IF(G10=0,0,G10/TrAvia_act!G28*1000000)</f>
        <v>13995.755663054106</v>
      </c>
      <c r="H46" s="13">
        <f>IF(H10=0,0,H10/TrAvia_act!H28*1000000)</f>
        <v>23610.197107137086</v>
      </c>
      <c r="I46" s="13">
        <f>IF(I10=0,0,I10/TrAvia_act!I28*1000000)</f>
        <v>25411.706494168917</v>
      </c>
      <c r="J46" s="13">
        <f>IF(J10=0,0,J10/TrAvia_act!J28*1000000)</f>
        <v>8653.4998968787822</v>
      </c>
      <c r="K46" s="13">
        <f>IF(K10=0,0,K10/TrAvia_act!K28*1000000)</f>
        <v>7295.8593530455964</v>
      </c>
      <c r="L46" s="13">
        <f>IF(L10=0,0,L10/TrAvia_act!L28*1000000)</f>
        <v>7715.5687205167378</v>
      </c>
      <c r="M46" s="13">
        <f>IF(M10=0,0,M10/TrAvia_act!M28*1000000)</f>
        <v>7382.2951082203672</v>
      </c>
      <c r="N46" s="13">
        <f>IF(N10=0,0,N10/TrAvia_act!N28*1000000)</f>
        <v>8200.4943955325944</v>
      </c>
      <c r="O46" s="13">
        <f>IF(O10=0,0,O10/TrAvia_act!O28*1000000)</f>
        <v>9185.8007468267351</v>
      </c>
      <c r="P46" s="13">
        <f>IF(P10=0,0,P10/TrAvia_act!P28*1000000)</f>
        <v>8164.2169303353503</v>
      </c>
      <c r="Q46" s="13">
        <f>IF(Q10=0,0,Q10/TrAvia_act!Q28*1000000)</f>
        <v>8142.2215016182727</v>
      </c>
      <c r="R46" s="13">
        <f>IF(R10=0,0,R10/TrAvia_act!R28*1000000)</f>
        <v>7768.4637022975658</v>
      </c>
      <c r="S46" s="13">
        <f>IF(S10=0,0,S10/TrAvia_act!S28*1000000)</f>
        <v>6072.4135397923492</v>
      </c>
      <c r="T46" s="13">
        <f>IF(T10=0,0,T10/TrAvia_act!T28*1000000)</f>
        <v>6261.8087556876108</v>
      </c>
      <c r="U46" s="13">
        <f>IF(U10=0,0,U10/TrAvia_act!U28*1000000)</f>
        <v>6037.187857179907</v>
      </c>
      <c r="V46" s="13">
        <f>IF(V10=0,0,V10/TrAvia_act!V28*1000000)</f>
        <v>14559.528707323871</v>
      </c>
      <c r="W46" s="13">
        <f>IF(W10=0,0,W10/TrAvia_act!W28*1000000)</f>
        <v>8609.2835499840694</v>
      </c>
      <c r="X46" s="13">
        <f>IF(X10=0,0,X10/TrAvia_act!X28*1000000)</f>
        <v>6708.9967034231804</v>
      </c>
      <c r="Y46" s="13">
        <f>IF(Y10=0,0,Y10/TrAvia_act!Y28*1000000)</f>
        <v>5005.2756344510517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17833.674221114681</v>
      </c>
      <c r="C48" s="102">
        <f>IF(C12=0,0,C12/TrAvia_act!C30*1000000)</f>
        <v>17951.290784566769</v>
      </c>
      <c r="D48" s="102">
        <f>IF(D12=0,0,D12/TrAvia_act!D30*1000000)</f>
        <v>22116.169080277086</v>
      </c>
      <c r="E48" s="102">
        <f>IF(E12=0,0,E12/TrAvia_act!E30*1000000)</f>
        <v>11372.555058956646</v>
      </c>
      <c r="F48" s="102">
        <f>IF(F12=0,0,F12/TrAvia_act!F30*1000000)</f>
        <v>5676.5221085763624</v>
      </c>
      <c r="G48" s="102">
        <f>IF(G12=0,0,G12/TrAvia_act!G30*1000000)</f>
        <v>7135.6770332898514</v>
      </c>
      <c r="H48" s="102">
        <f>IF(H12=0,0,H12/TrAvia_act!H30*1000000)</f>
        <v>6804.3400581894875</v>
      </c>
      <c r="I48" s="102">
        <f>IF(I12=0,0,I12/TrAvia_act!I30*1000000)</f>
        <v>8664.8906423150693</v>
      </c>
      <c r="J48" s="102">
        <f>IF(J12=0,0,J12/TrAvia_act!J30*1000000)</f>
        <v>6960.6066300218199</v>
      </c>
      <c r="K48" s="102">
        <f>IF(K12=0,0,K12/TrAvia_act!K30*1000000)</f>
        <v>6590.8777000541731</v>
      </c>
      <c r="L48" s="102">
        <f>IF(L12=0,0,L12/TrAvia_act!L30*1000000)</f>
        <v>6231.8433964575834</v>
      </c>
      <c r="M48" s="102">
        <f>IF(M12=0,0,M12/TrAvia_act!M30*1000000)</f>
        <v>7278.4084821978286</v>
      </c>
      <c r="N48" s="102">
        <f>IF(N12=0,0,N12/TrAvia_act!N30*1000000)</f>
        <v>8118.3868018322919</v>
      </c>
      <c r="O48" s="102">
        <f>IF(O12=0,0,O12/TrAvia_act!O30*1000000)</f>
        <v>9025.8927904244501</v>
      </c>
      <c r="P48" s="102">
        <f>IF(P12=0,0,P12/TrAvia_act!P30*1000000)</f>
        <v>6991.1543302921209</v>
      </c>
      <c r="Q48" s="102">
        <f>IF(Q12=0,0,Q12/TrAvia_act!Q30*1000000)</f>
        <v>7504.254597584456</v>
      </c>
      <c r="R48" s="102">
        <f>IF(R12=0,0,R12/TrAvia_act!R30*1000000)</f>
        <v>7260.4475775919664</v>
      </c>
      <c r="S48" s="102">
        <f>IF(S12=0,0,S12/TrAvia_act!S30*1000000)</f>
        <v>6014.1631567389395</v>
      </c>
      <c r="T48" s="102">
        <f>IF(T12=0,0,T12/TrAvia_act!T30*1000000)</f>
        <v>6234.8857732237984</v>
      </c>
      <c r="U48" s="102">
        <f>IF(U12=0,0,U12/TrAvia_act!U30*1000000)</f>
        <v>6038.599557522386</v>
      </c>
      <c r="V48" s="102">
        <f>IF(V12=0,0,V12/TrAvia_act!V30*1000000)</f>
        <v>14116.413208597218</v>
      </c>
      <c r="W48" s="102">
        <f>IF(W12=0,0,W12/TrAvia_act!W30*1000000)</f>
        <v>8589.3937418053447</v>
      </c>
      <c r="X48" s="102">
        <f>IF(X12=0,0,X12/TrAvia_act!X30*1000000)</f>
        <v>6697.7382508987857</v>
      </c>
      <c r="Y48" s="102">
        <f>IF(Y12=0,0,Y12/TrAvia_act!Y30*1000000)</f>
        <v>5002.1105794189671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38277.405088113534</v>
      </c>
      <c r="C49" s="86">
        <f>IF(C13=0,0,C13/TrAvia_act!C31*1000000)</f>
        <v>38419.020618911476</v>
      </c>
      <c r="D49" s="86">
        <f>IF(D13=0,0,D13/TrAvia_act!D31*1000000)</f>
        <v>46903.403267167028</v>
      </c>
      <c r="E49" s="86">
        <f>IF(E13=0,0,E13/TrAvia_act!E31*1000000)</f>
        <v>24494.60264564614</v>
      </c>
      <c r="F49" s="86">
        <f>IF(F13=0,0,F13/TrAvia_act!F31*1000000)</f>
        <v>12038.622269847956</v>
      </c>
      <c r="G49" s="86">
        <f>IF(G13=0,0,G13/TrAvia_act!G31*1000000)</f>
        <v>19528.077138670436</v>
      </c>
      <c r="H49" s="86">
        <f>IF(H13=0,0,H13/TrAvia_act!H31*1000000)</f>
        <v>32208.542574040508</v>
      </c>
      <c r="I49" s="86">
        <f>IF(I13=0,0,I13/TrAvia_act!I31*1000000)</f>
        <v>38437.00771227746</v>
      </c>
      <c r="J49" s="86">
        <f>IF(J13=0,0,J13/TrAvia_act!J31*1000000)</f>
        <v>37693.130551425143</v>
      </c>
      <c r="K49" s="86">
        <f>IF(K13=0,0,K13/TrAvia_act!K31*1000000)</f>
        <v>39333.358916766949</v>
      </c>
      <c r="L49" s="86">
        <f>IF(L13=0,0,L13/TrAvia_act!L31*1000000)</f>
        <v>46737.544743272505</v>
      </c>
      <c r="M49" s="86">
        <f>IF(M13=0,0,M13/TrAvia_act!M31*1000000)</f>
        <v>41924.598260714738</v>
      </c>
      <c r="N49" s="86">
        <f>IF(N13=0,0,N13/TrAvia_act!N31*1000000)</f>
        <v>34598.085770179969</v>
      </c>
      <c r="O49" s="86">
        <f>IF(O13=0,0,O13/TrAvia_act!O31*1000000)</f>
        <v>33811.626032778593</v>
      </c>
      <c r="P49" s="86">
        <f>IF(P13=0,0,P13/TrAvia_act!P31*1000000)</f>
        <v>26698.606011018375</v>
      </c>
      <c r="Q49" s="86">
        <f>IF(Q13=0,0,Q13/TrAvia_act!Q31*1000000)</f>
        <v>21459.780623324186</v>
      </c>
      <c r="R49" s="86">
        <f>IF(R13=0,0,R13/TrAvia_act!R31*1000000)</f>
        <v>19106.459940045239</v>
      </c>
      <c r="S49" s="86">
        <f>IF(S13=0,0,S13/TrAvia_act!S31*1000000)</f>
        <v>8647.0804707530751</v>
      </c>
      <c r="T49" s="86">
        <f>IF(T13=0,0,T13/TrAvia_act!T31*1000000)</f>
        <v>6994.3972785187052</v>
      </c>
      <c r="U49" s="86">
        <f>IF(U13=0,0,U13/TrAvia_act!U31*1000000)</f>
        <v>5937.4276996446642</v>
      </c>
      <c r="V49" s="86">
        <f>IF(V13=0,0,V13/TrAvia_act!V31*1000000)</f>
        <v>67910.634754012644</v>
      </c>
      <c r="W49" s="86">
        <f>IF(W13=0,0,W13/TrAvia_act!W31*1000000)</f>
        <v>18494.518214810087</v>
      </c>
      <c r="X49" s="86">
        <f>IF(X13=0,0,X13/TrAvia_act!X31*1000000)</f>
        <v>11505.097478815103</v>
      </c>
      <c r="Y49" s="86">
        <f>IF(Y13=0,0,Y13/TrAvia_act!Y31*1000000)</f>
        <v>5688.9275213812707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0.97182533502823853</v>
      </c>
      <c r="C52" s="16">
        <f t="shared" si="36"/>
        <v>0.97558117801746358</v>
      </c>
      <c r="D52" s="16">
        <f t="shared" ref="D52:V52" si="37">IF(D6=0,0,D6/D$3)</f>
        <v>0.98865563998115336</v>
      </c>
      <c r="E52" s="16">
        <f t="shared" si="37"/>
        <v>0.98048705006194037</v>
      </c>
      <c r="F52" s="16">
        <f t="shared" si="37"/>
        <v>0.99123859535943448</v>
      </c>
      <c r="G52" s="16">
        <f t="shared" si="37"/>
        <v>0.993375948277614</v>
      </c>
      <c r="H52" s="16">
        <f t="shared" si="37"/>
        <v>0.9873282686044792</v>
      </c>
      <c r="I52" s="16">
        <f t="shared" si="37"/>
        <v>0.99183780881160855</v>
      </c>
      <c r="J52" s="16">
        <f t="shared" si="37"/>
        <v>0.9892465610345994</v>
      </c>
      <c r="K52" s="16">
        <f t="shared" si="37"/>
        <v>0.97773701190139928</v>
      </c>
      <c r="L52" s="16">
        <f t="shared" si="37"/>
        <v>0.96617218247714609</v>
      </c>
      <c r="M52" s="16">
        <f t="shared" si="37"/>
        <v>0.96234255309798689</v>
      </c>
      <c r="N52" s="16">
        <f t="shared" si="37"/>
        <v>0.95280668731378082</v>
      </c>
      <c r="O52" s="16">
        <f t="shared" si="37"/>
        <v>0.95426675345921852</v>
      </c>
      <c r="P52" s="16">
        <f t="shared" si="37"/>
        <v>0.9676057004052192</v>
      </c>
      <c r="Q52" s="16">
        <f t="shared" si="37"/>
        <v>0.96730842438580911</v>
      </c>
      <c r="R52" s="16">
        <f t="shared" si="37"/>
        <v>0.97333173680583174</v>
      </c>
      <c r="S52" s="16">
        <f t="shared" si="37"/>
        <v>0.96609139301702307</v>
      </c>
      <c r="T52" s="16">
        <f t="shared" si="37"/>
        <v>0.97656365964857672</v>
      </c>
      <c r="U52" s="16">
        <f t="shared" si="37"/>
        <v>0.98104892437961888</v>
      </c>
      <c r="V52" s="16">
        <f t="shared" si="37"/>
        <v>0.89861798855208874</v>
      </c>
      <c r="W52" s="16">
        <f t="shared" ref="W52:Y52" si="38">IF(W6=0,0,W6/W$3)</f>
        <v>0.93740248840671625</v>
      </c>
      <c r="X52" s="16">
        <f t="shared" si="38"/>
        <v>0.97211604570762511</v>
      </c>
      <c r="Y52" s="16">
        <f t="shared" si="38"/>
        <v>0.9875401553444082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0.59863889096274969</v>
      </c>
      <c r="C54" s="103">
        <f t="shared" si="42"/>
        <v>0.60036030494302239</v>
      </c>
      <c r="D54" s="103">
        <f t="shared" ref="D54:V54" si="43">IF(D8=0,0,D8/D$3)</f>
        <v>0.52997010378101361</v>
      </c>
      <c r="E54" s="103">
        <f t="shared" si="43"/>
        <v>0.53969276215027184</v>
      </c>
      <c r="F54" s="103">
        <f t="shared" si="43"/>
        <v>0.57828990703197503</v>
      </c>
      <c r="G54" s="103">
        <f t="shared" si="43"/>
        <v>0.60948741723333622</v>
      </c>
      <c r="H54" s="103">
        <f t="shared" si="43"/>
        <v>0.63879732047794846</v>
      </c>
      <c r="I54" s="103">
        <f t="shared" si="43"/>
        <v>0.65385677483023918</v>
      </c>
      <c r="J54" s="103">
        <f t="shared" si="43"/>
        <v>0.682108068693276</v>
      </c>
      <c r="K54" s="103">
        <f t="shared" si="43"/>
        <v>0.64330233963447281</v>
      </c>
      <c r="L54" s="103">
        <f t="shared" si="43"/>
        <v>0.61337764352572954</v>
      </c>
      <c r="M54" s="103">
        <f t="shared" si="43"/>
        <v>0.59867015535914037</v>
      </c>
      <c r="N54" s="103">
        <f t="shared" si="43"/>
        <v>0.58760346304575206</v>
      </c>
      <c r="O54" s="103">
        <f t="shared" si="43"/>
        <v>0.5851962354948953</v>
      </c>
      <c r="P54" s="103">
        <f t="shared" si="43"/>
        <v>0.60859344515859237</v>
      </c>
      <c r="Q54" s="103">
        <f t="shared" si="43"/>
        <v>0.62812616065925597</v>
      </c>
      <c r="R54" s="103">
        <f t="shared" si="43"/>
        <v>0.64504370725079863</v>
      </c>
      <c r="S54" s="103">
        <f t="shared" si="43"/>
        <v>0.63303187397311345</v>
      </c>
      <c r="T54" s="103">
        <f t="shared" si="43"/>
        <v>0.64543533141149589</v>
      </c>
      <c r="U54" s="103">
        <f t="shared" si="43"/>
        <v>0.64676889783300728</v>
      </c>
      <c r="V54" s="103">
        <f t="shared" si="43"/>
        <v>0.50423687132189099</v>
      </c>
      <c r="W54" s="103">
        <f t="shared" ref="W54:Y54" si="44">IF(W8=0,0,W8/W$3)</f>
        <v>0.56378492392764834</v>
      </c>
      <c r="X54" s="103">
        <f t="shared" si="44"/>
        <v>0.63681610973171565</v>
      </c>
      <c r="Y54" s="103">
        <f t="shared" si="44"/>
        <v>0.64288615728118437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0.37318644406548895</v>
      </c>
      <c r="C55" s="103">
        <f t="shared" si="45"/>
        <v>0.37522087307444119</v>
      </c>
      <c r="D55" s="103">
        <f t="shared" ref="D55:V55" si="46">IF(D9=0,0,D9/D$3)</f>
        <v>0.45868553620013958</v>
      </c>
      <c r="E55" s="103">
        <f t="shared" si="46"/>
        <v>0.44079428791166853</v>
      </c>
      <c r="F55" s="103">
        <f t="shared" si="46"/>
        <v>0.41294868832745951</v>
      </c>
      <c r="G55" s="103">
        <f t="shared" si="46"/>
        <v>0.38388853104427773</v>
      </c>
      <c r="H55" s="103">
        <f t="shared" si="46"/>
        <v>0.34853094812653068</v>
      </c>
      <c r="I55" s="103">
        <f t="shared" si="46"/>
        <v>0.33798103398136942</v>
      </c>
      <c r="J55" s="103">
        <f t="shared" si="46"/>
        <v>0.30713849234132345</v>
      </c>
      <c r="K55" s="103">
        <f t="shared" si="46"/>
        <v>0.33443467226692641</v>
      </c>
      <c r="L55" s="103">
        <f t="shared" si="46"/>
        <v>0.35279453895141655</v>
      </c>
      <c r="M55" s="103">
        <f t="shared" si="46"/>
        <v>0.36367239773884641</v>
      </c>
      <c r="N55" s="103">
        <f t="shared" si="46"/>
        <v>0.36520322426802876</v>
      </c>
      <c r="O55" s="103">
        <f t="shared" si="46"/>
        <v>0.36907051796432333</v>
      </c>
      <c r="P55" s="103">
        <f t="shared" si="46"/>
        <v>0.35901225524662678</v>
      </c>
      <c r="Q55" s="103">
        <f t="shared" si="46"/>
        <v>0.33918226372655325</v>
      </c>
      <c r="R55" s="103">
        <f t="shared" si="46"/>
        <v>0.32828802955503322</v>
      </c>
      <c r="S55" s="103">
        <f t="shared" si="46"/>
        <v>0.33305951904390951</v>
      </c>
      <c r="T55" s="103">
        <f t="shared" si="46"/>
        <v>0.33112832823708077</v>
      </c>
      <c r="U55" s="103">
        <f t="shared" si="46"/>
        <v>0.33428002654661149</v>
      </c>
      <c r="V55" s="103">
        <f t="shared" si="46"/>
        <v>0.39438111723019775</v>
      </c>
      <c r="W55" s="103">
        <f t="shared" ref="W55:Y55" si="47">IF(W9=0,0,W9/W$3)</f>
        <v>0.37361756447906797</v>
      </c>
      <c r="X55" s="103">
        <f t="shared" si="47"/>
        <v>0.33529993597590951</v>
      </c>
      <c r="Y55" s="103">
        <f t="shared" si="47"/>
        <v>0.34465399806322389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2.8174664971761357E-2</v>
      </c>
      <c r="C56" s="17">
        <f t="shared" si="48"/>
        <v>2.4418821982536427E-2</v>
      </c>
      <c r="D56" s="17">
        <f t="shared" ref="D56:V56" si="49">IF(D10=0,0,D10/D$3)</f>
        <v>1.1344360018846726E-2</v>
      </c>
      <c r="E56" s="17">
        <f t="shared" si="49"/>
        <v>1.9512949938059677E-2</v>
      </c>
      <c r="F56" s="17">
        <f t="shared" si="49"/>
        <v>8.7614046405655038E-3</v>
      </c>
      <c r="G56" s="17">
        <f t="shared" si="49"/>
        <v>6.62405172238605E-3</v>
      </c>
      <c r="H56" s="17">
        <f t="shared" si="49"/>
        <v>1.2671731395520939E-2</v>
      </c>
      <c r="I56" s="17">
        <f t="shared" si="49"/>
        <v>8.1621911883915654E-3</v>
      </c>
      <c r="J56" s="17">
        <f t="shared" si="49"/>
        <v>1.0753438965400725E-2</v>
      </c>
      <c r="K56" s="17">
        <f t="shared" si="49"/>
        <v>2.2262988098600615E-2</v>
      </c>
      <c r="L56" s="17">
        <f t="shared" si="49"/>
        <v>3.382781752285384E-2</v>
      </c>
      <c r="M56" s="17">
        <f t="shared" si="49"/>
        <v>3.7657446902013038E-2</v>
      </c>
      <c r="N56" s="17">
        <f t="shared" si="49"/>
        <v>4.7193312686219201E-2</v>
      </c>
      <c r="O56" s="17">
        <f t="shared" si="49"/>
        <v>4.5733246540781446E-2</v>
      </c>
      <c r="P56" s="17">
        <f t="shared" si="49"/>
        <v>3.239429959478083E-2</v>
      </c>
      <c r="Q56" s="17">
        <f t="shared" si="49"/>
        <v>3.269157561419074E-2</v>
      </c>
      <c r="R56" s="17">
        <f t="shared" si="49"/>
        <v>2.6668263194168287E-2</v>
      </c>
      <c r="S56" s="17">
        <f t="shared" si="49"/>
        <v>3.3908606982977027E-2</v>
      </c>
      <c r="T56" s="17">
        <f t="shared" si="49"/>
        <v>2.3436340351423179E-2</v>
      </c>
      <c r="U56" s="17">
        <f t="shared" si="49"/>
        <v>1.8951075620381241E-2</v>
      </c>
      <c r="V56" s="17">
        <f t="shared" si="49"/>
        <v>0.10138201144791131</v>
      </c>
      <c r="W56" s="17">
        <f t="shared" ref="W56:Y56" si="50">IF(W10=0,0,W10/W$3)</f>
        <v>6.2597511593283806E-2</v>
      </c>
      <c r="X56" s="17">
        <f t="shared" si="50"/>
        <v>2.7883954292374852E-2</v>
      </c>
      <c r="Y56" s="17">
        <f t="shared" si="50"/>
        <v>1.2459844655591955E-2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1.4709872679579713E-2</v>
      </c>
      <c r="C58" s="104">
        <f t="shared" si="54"/>
        <v>1.2491403090815522E-2</v>
      </c>
      <c r="D58" s="104">
        <f t="shared" ref="D58:V58" si="55">IF(D12=0,0,D12/D$3)</f>
        <v>9.000274748381944E-3</v>
      </c>
      <c r="E58" s="104">
        <f t="shared" si="55"/>
        <v>5.349792682404428E-3</v>
      </c>
      <c r="F58" s="104">
        <f t="shared" si="55"/>
        <v>2.6644955743314529E-3</v>
      </c>
      <c r="G58" s="104">
        <f t="shared" si="55"/>
        <v>1.5076985940002802E-3</v>
      </c>
      <c r="H58" s="104">
        <f t="shared" si="55"/>
        <v>1.2360375941331788E-3</v>
      </c>
      <c r="I58" s="104">
        <f t="shared" si="55"/>
        <v>1.2176264570650868E-3</v>
      </c>
      <c r="J58" s="104">
        <f t="shared" si="55"/>
        <v>8.173264103662644E-3</v>
      </c>
      <c r="K58" s="104">
        <f t="shared" si="55"/>
        <v>1.9678739653477925E-2</v>
      </c>
      <c r="L58" s="104">
        <f t="shared" si="55"/>
        <v>2.6321805039842515E-2</v>
      </c>
      <c r="M58" s="104">
        <f t="shared" si="55"/>
        <v>3.7016189277823665E-2</v>
      </c>
      <c r="N58" s="104">
        <f t="shared" si="55"/>
        <v>4.6575918153743345E-2</v>
      </c>
      <c r="O58" s="104">
        <f t="shared" si="55"/>
        <v>4.4647197664793498E-2</v>
      </c>
      <c r="P58" s="104">
        <f t="shared" si="55"/>
        <v>2.6088598744934043E-2</v>
      </c>
      <c r="Q58" s="104">
        <f t="shared" si="55"/>
        <v>2.8752719140701426E-2</v>
      </c>
      <c r="R58" s="104">
        <f t="shared" si="55"/>
        <v>2.3855422506209367E-2</v>
      </c>
      <c r="S58" s="104">
        <f t="shared" si="55"/>
        <v>3.2840340323036385E-2</v>
      </c>
      <c r="T58" s="104">
        <f t="shared" si="55"/>
        <v>2.2508380675614569E-2</v>
      </c>
      <c r="U58" s="104">
        <f t="shared" si="55"/>
        <v>1.8691011581044994E-2</v>
      </c>
      <c r="V58" s="104">
        <f t="shared" si="55"/>
        <v>9.7486785186999506E-2</v>
      </c>
      <c r="W58" s="104">
        <f t="shared" ref="W58:Y58" si="56">IF(W12=0,0,W12/W$3)</f>
        <v>6.2327486741005932E-2</v>
      </c>
      <c r="X58" s="104">
        <f t="shared" si="56"/>
        <v>2.7771969458181094E-2</v>
      </c>
      <c r="Y58" s="104">
        <f t="shared" si="56"/>
        <v>1.2394583419386535E-2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1.3464792292181645E-2</v>
      </c>
      <c r="C59" s="105">
        <f t="shared" si="57"/>
        <v>1.1927418891720904E-2</v>
      </c>
      <c r="D59" s="105">
        <f t="shared" ref="D59:V59" si="58">IF(D13=0,0,D13/D$3)</f>
        <v>2.3440852704647813E-3</v>
      </c>
      <c r="E59" s="105">
        <f t="shared" si="58"/>
        <v>1.4163157255655248E-2</v>
      </c>
      <c r="F59" s="105">
        <f t="shared" si="58"/>
        <v>6.0969090662340514E-3</v>
      </c>
      <c r="G59" s="105">
        <f t="shared" si="58"/>
        <v>5.1163531283857696E-3</v>
      </c>
      <c r="H59" s="105">
        <f t="shared" si="58"/>
        <v>1.143569380138776E-2</v>
      </c>
      <c r="I59" s="105">
        <f t="shared" si="58"/>
        <v>6.9445647313264788E-3</v>
      </c>
      <c r="J59" s="105">
        <f t="shared" si="58"/>
        <v>2.5801748617380812E-3</v>
      </c>
      <c r="K59" s="105">
        <f t="shared" si="58"/>
        <v>2.5842484451226895E-3</v>
      </c>
      <c r="L59" s="105">
        <f t="shared" si="58"/>
        <v>7.5060124830113265E-3</v>
      </c>
      <c r="M59" s="105">
        <f t="shared" si="58"/>
        <v>6.4125762418936968E-4</v>
      </c>
      <c r="N59" s="105">
        <f t="shared" si="58"/>
        <v>6.1739453247585644E-4</v>
      </c>
      <c r="O59" s="105">
        <f t="shared" si="58"/>
        <v>1.0860488759879487E-3</v>
      </c>
      <c r="P59" s="105">
        <f t="shared" si="58"/>
        <v>6.3057008498467858E-3</v>
      </c>
      <c r="Q59" s="105">
        <f t="shared" si="58"/>
        <v>3.9388564734893182E-3</v>
      </c>
      <c r="R59" s="105">
        <f t="shared" si="58"/>
        <v>2.8128406879589208E-3</v>
      </c>
      <c r="S59" s="105">
        <f t="shared" si="58"/>
        <v>1.0682666599406488E-3</v>
      </c>
      <c r="T59" s="105">
        <f t="shared" si="58"/>
        <v>9.279596758086095E-4</v>
      </c>
      <c r="U59" s="105">
        <f t="shared" si="58"/>
        <v>2.6006403933624548E-4</v>
      </c>
      <c r="V59" s="105">
        <f t="shared" si="58"/>
        <v>3.8952262609117994E-3</v>
      </c>
      <c r="W59" s="105">
        <f t="shared" ref="W59:Y59" si="59">IF(W13=0,0,W13/W$3)</f>
        <v>2.7002485227787143E-4</v>
      </c>
      <c r="X59" s="105">
        <f t="shared" si="59"/>
        <v>1.1198483419376167E-4</v>
      </c>
      <c r="Y59" s="105">
        <f t="shared" si="59"/>
        <v>6.5261236205420238E-5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389954</v>
      </c>
      <c r="C4" s="11">
        <f t="shared" si="0"/>
        <v>444862</v>
      </c>
      <c r="D4" s="11">
        <f t="shared" ref="D4" si="1">SUM(D5:D7)</f>
        <v>521688</v>
      </c>
      <c r="E4" s="11">
        <f t="shared" ref="E4" si="2">SUM(E5:E7)</f>
        <v>752732</v>
      </c>
      <c r="F4" s="11">
        <f t="shared" ref="F4" si="3">SUM(F5:F7)</f>
        <v>1226288</v>
      </c>
      <c r="G4" s="11">
        <f t="shared" ref="G4" si="4">SUM(G5:G7)</f>
        <v>1392329</v>
      </c>
      <c r="H4" s="11">
        <f t="shared" ref="H4" si="5">SUM(H5:H7)</f>
        <v>1498825</v>
      </c>
      <c r="I4" s="11">
        <f t="shared" ref="I4" si="6">SUM(I5:I7)</f>
        <v>1470940</v>
      </c>
      <c r="J4" s="11">
        <f t="shared" ref="J4" si="7">SUM(J5:J7)</f>
        <v>1710932</v>
      </c>
      <c r="K4" s="11">
        <f t="shared" ref="K4" si="8">SUM(K5:K7)</f>
        <v>1261262</v>
      </c>
      <c r="L4" s="11">
        <f t="shared" ref="L4" si="9">SUM(L5:L7)</f>
        <v>1216987</v>
      </c>
      <c r="M4" s="11">
        <f t="shared" ref="M4" si="10">SUM(M5:M7)</f>
        <v>1132463</v>
      </c>
      <c r="N4" s="11">
        <f t="shared" ref="N4" si="11">SUM(N5:N7)</f>
        <v>1069912</v>
      </c>
      <c r="O4" s="11">
        <f t="shared" ref="O4" si="12">SUM(O5:O7)</f>
        <v>1127420</v>
      </c>
      <c r="P4" s="11">
        <f t="shared" ref="P4" si="13">SUM(P5:P7)</f>
        <v>1088887</v>
      </c>
      <c r="Q4" s="11">
        <f t="shared" ref="Q4" si="14">SUM(Q5:Q7)</f>
        <v>1254600</v>
      </c>
      <c r="R4" s="11">
        <f t="shared" ref="R4" si="15">SUM(R5:R7)</f>
        <v>1377971</v>
      </c>
      <c r="S4" s="11">
        <f t="shared" ref="S4" si="16">SUM(S5:S7)</f>
        <v>1474365</v>
      </c>
      <c r="T4" s="11">
        <f t="shared" ref="T4" si="17">SUM(T5:T7)</f>
        <v>2088529</v>
      </c>
      <c r="U4" s="11">
        <f t="shared" ref="U4" si="18">SUM(U5:U7)</f>
        <v>2168150</v>
      </c>
      <c r="V4" s="11">
        <f t="shared" ref="V4:W4" si="19">SUM(V5:V7)</f>
        <v>449212</v>
      </c>
      <c r="W4" s="11">
        <f t="shared" si="19"/>
        <v>535476</v>
      </c>
      <c r="X4" s="11">
        <f t="shared" ref="X4:Y4" si="20">SUM(X5:X7)</f>
        <v>1211780</v>
      </c>
      <c r="Y4" s="11">
        <f t="shared" si="20"/>
        <v>1429638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303033</v>
      </c>
      <c r="C6" s="84">
        <v>345297</v>
      </c>
      <c r="D6" s="84">
        <v>372352</v>
      </c>
      <c r="E6" s="84">
        <v>552726</v>
      </c>
      <c r="F6" s="84">
        <v>924396</v>
      </c>
      <c r="G6" s="84">
        <v>1139434</v>
      </c>
      <c r="H6" s="84">
        <v>1337978</v>
      </c>
      <c r="I6" s="84">
        <v>1278622</v>
      </c>
      <c r="J6" s="84">
        <v>1471778</v>
      </c>
      <c r="K6" s="84">
        <v>1057180</v>
      </c>
      <c r="L6" s="84">
        <v>1018135</v>
      </c>
      <c r="M6" s="84">
        <v>924433</v>
      </c>
      <c r="N6" s="84">
        <v>868399</v>
      </c>
      <c r="O6" s="84">
        <v>930289</v>
      </c>
      <c r="P6" s="84">
        <v>849065</v>
      </c>
      <c r="Q6" s="84">
        <v>1015860</v>
      </c>
      <c r="R6" s="84">
        <v>1142769</v>
      </c>
      <c r="S6" s="84">
        <v>1093423</v>
      </c>
      <c r="T6" s="84">
        <v>1532310</v>
      </c>
      <c r="U6" s="84">
        <v>1528029</v>
      </c>
      <c r="V6" s="84">
        <v>381957</v>
      </c>
      <c r="W6" s="84">
        <v>444134</v>
      </c>
      <c r="X6" s="84">
        <v>934302</v>
      </c>
      <c r="Y6" s="84">
        <v>1075353</v>
      </c>
      <c r="DA6" s="171" t="s">
        <v>364</v>
      </c>
    </row>
    <row r="7" spans="1:105" ht="11.45" customHeight="1" x14ac:dyDescent="0.25">
      <c r="A7" s="85" t="s">
        <v>182</v>
      </c>
      <c r="B7" s="86">
        <v>86921</v>
      </c>
      <c r="C7" s="86">
        <v>99565</v>
      </c>
      <c r="D7" s="86">
        <v>149336</v>
      </c>
      <c r="E7" s="86">
        <v>200006</v>
      </c>
      <c r="F7" s="86">
        <v>301892</v>
      </c>
      <c r="G7" s="86">
        <v>252895</v>
      </c>
      <c r="H7" s="86">
        <v>160847</v>
      </c>
      <c r="I7" s="86">
        <v>192318</v>
      </c>
      <c r="J7" s="86">
        <v>239154</v>
      </c>
      <c r="K7" s="86">
        <v>204082</v>
      </c>
      <c r="L7" s="86">
        <v>198852</v>
      </c>
      <c r="M7" s="86">
        <v>208030</v>
      </c>
      <c r="N7" s="86">
        <v>201513</v>
      </c>
      <c r="O7" s="86">
        <v>197131</v>
      </c>
      <c r="P7" s="86">
        <v>239822</v>
      </c>
      <c r="Q7" s="86">
        <v>238740</v>
      </c>
      <c r="R7" s="86">
        <v>235202</v>
      </c>
      <c r="S7" s="86">
        <v>380942</v>
      </c>
      <c r="T7" s="86">
        <v>556219</v>
      </c>
      <c r="U7" s="86">
        <v>640121</v>
      </c>
      <c r="V7" s="86">
        <v>67255</v>
      </c>
      <c r="W7" s="86">
        <v>91342</v>
      </c>
      <c r="X7" s="86">
        <v>277478</v>
      </c>
      <c r="Y7" s="86">
        <v>354285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107.66261733848702</v>
      </c>
      <c r="C12" s="14">
        <f>IF(C4=0,0,C4/TrAvia_act!C24)</f>
        <v>108.29162609542357</v>
      </c>
      <c r="D12" s="14">
        <f>IF(D4=0,0,D4/TrAvia_act!D24)</f>
        <v>111.87819000643363</v>
      </c>
      <c r="E12" s="14">
        <f>IF(E4=0,0,E4/TrAvia_act!E24)</f>
        <v>110.54956674988985</v>
      </c>
      <c r="F12" s="14">
        <f>IF(F4=0,0,F4/TrAvia_act!F24)</f>
        <v>113.80863109048724</v>
      </c>
      <c r="G12" s="14">
        <f>IF(G4=0,0,G4/TrAvia_act!G24)</f>
        <v>114.56669135192956</v>
      </c>
      <c r="H12" s="14">
        <f>IF(H4=0,0,H4/TrAvia_act!H24)</f>
        <v>115.20561106840891</v>
      </c>
      <c r="I12" s="14">
        <f>IF(I4=0,0,I4/TrAvia_act!I24)</f>
        <v>117.93938422065426</v>
      </c>
      <c r="J12" s="14">
        <f>IF(J4=0,0,J4/TrAvia_act!J24)</f>
        <v>119.7879997199468</v>
      </c>
      <c r="K12" s="14">
        <f>IF(K4=0,0,K4/TrAvia_act!K24)</f>
        <v>116.70787452577034</v>
      </c>
      <c r="L12" s="14">
        <f>IF(L4=0,0,L4/TrAvia_act!L24)</f>
        <v>121.0811859516466</v>
      </c>
      <c r="M12" s="14">
        <f>IF(M4=0,0,M4/TrAvia_act!M24)</f>
        <v>123.28140648813412</v>
      </c>
      <c r="N12" s="14">
        <f>IF(N4=0,0,N4/TrAvia_act!N24)</f>
        <v>145.72487060746391</v>
      </c>
      <c r="O12" s="14">
        <f>IF(O4=0,0,O4/TrAvia_act!O24)</f>
        <v>157.08791974362546</v>
      </c>
      <c r="P12" s="14">
        <f>IF(P4=0,0,P4/TrAvia_act!P24)</f>
        <v>144.2807738174109</v>
      </c>
      <c r="Q12" s="14">
        <f>IF(Q4=0,0,Q4/TrAvia_act!Q24)</f>
        <v>149.58864909979729</v>
      </c>
      <c r="R12" s="14">
        <f>IF(R4=0,0,R4/TrAvia_act!R24)</f>
        <v>144.03376188982963</v>
      </c>
      <c r="S12" s="14">
        <f>IF(S4=0,0,S4/TrAvia_act!S24)</f>
        <v>145.51569285432294</v>
      </c>
      <c r="T12" s="14">
        <f>IF(T4=0,0,T4/TrAvia_act!T24)</f>
        <v>184.02757952242487</v>
      </c>
      <c r="U12" s="14">
        <f>IF(U4=0,0,U4/TrAvia_act!U24)</f>
        <v>192.19484088290045</v>
      </c>
      <c r="V12" s="14">
        <f>IF(V4=0,0,V4/TrAvia_act!V24)</f>
        <v>148.99237147595358</v>
      </c>
      <c r="W12" s="14">
        <f>IF(W4=0,0,W4/TrAvia_act!W24)</f>
        <v>141.77283558379668</v>
      </c>
      <c r="X12" s="14">
        <f>IF(X4=0,0,X4/TrAvia_act!X24)</f>
        <v>155.61576987286503</v>
      </c>
      <c r="Y12" s="14">
        <f>IF(Y4=0,0,Y4/TrAvia_act!Y24)</f>
        <v>160.36320807627595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101.011</v>
      </c>
      <c r="C14" s="87">
        <f>IF(C6=0,0,C6/TrAvia_act!C26)</f>
        <v>101.49823633156967</v>
      </c>
      <c r="D14" s="87">
        <f>IF(D6=0,0,D6/TrAvia_act!D26)</f>
        <v>103.34499028587288</v>
      </c>
      <c r="E14" s="87">
        <f>IF(E6=0,0,E6/TrAvia_act!E26)</f>
        <v>102.58463251670379</v>
      </c>
      <c r="F14" s="87">
        <f>IF(F6=0,0,F6/TrAvia_act!F26)</f>
        <v>107.16392302341758</v>
      </c>
      <c r="G14" s="87">
        <f>IF(G6=0,0,G6/TrAvia_act!G26)</f>
        <v>110.05834057761035</v>
      </c>
      <c r="H14" s="87">
        <f>IF(H6=0,0,H6/TrAvia_act!H26)</f>
        <v>112.77629804450439</v>
      </c>
      <c r="I14" s="87">
        <f>IF(I6=0,0,I6/TrAvia_act!I26)</f>
        <v>114.39760221884227</v>
      </c>
      <c r="J14" s="87">
        <f>IF(J6=0,0,J6/TrAvia_act!J26)</f>
        <v>117.10518777848505</v>
      </c>
      <c r="K14" s="87">
        <f>IF(K6=0,0,K6/TrAvia_act!K26)</f>
        <v>112.97072023936738</v>
      </c>
      <c r="L14" s="87">
        <f>IF(L6=0,0,L6/TrAvia_act!L26)</f>
        <v>116.49141876430205</v>
      </c>
      <c r="M14" s="87">
        <f>IF(M6=0,0,M6/TrAvia_act!M26)</f>
        <v>120.05623376623376</v>
      </c>
      <c r="N14" s="87">
        <f>IF(N6=0,0,N6/TrAvia_act!N26)</f>
        <v>147.53635745837582</v>
      </c>
      <c r="O14" s="87">
        <f>IF(O6=0,0,O6/TrAvia_act!O26)</f>
        <v>160.92181283514964</v>
      </c>
      <c r="P14" s="87">
        <f>IF(P6=0,0,P6/TrAvia_act!P26)</f>
        <v>134.15468478432612</v>
      </c>
      <c r="Q14" s="87">
        <f>IF(Q6=0,0,Q6/TrAvia_act!Q26)</f>
        <v>146.88548293811451</v>
      </c>
      <c r="R14" s="87">
        <f>IF(R6=0,0,R6/TrAvia_act!R26)</f>
        <v>141.95888198757763</v>
      </c>
      <c r="S14" s="87">
        <f>IF(S6=0,0,S6/TrAvia_act!S26)</f>
        <v>139.39609892911778</v>
      </c>
      <c r="T14" s="87">
        <f>IF(T6=0,0,T6/TrAvia_act!T26)</f>
        <v>177.96864111498257</v>
      </c>
      <c r="U14" s="87">
        <f>IF(U6=0,0,U6/TrAvia_act!U26)</f>
        <v>186.0500426153659</v>
      </c>
      <c r="V14" s="87">
        <f>IF(V6=0,0,V6/TrAvia_act!V26)</f>
        <v>147.70185614849188</v>
      </c>
      <c r="W14" s="87">
        <f>IF(W6=0,0,W6/TrAvia_act!W26)</f>
        <v>138.3595015576324</v>
      </c>
      <c r="X14" s="87">
        <f>IF(X6=0,0,X6/TrAvia_act!X26)</f>
        <v>150.40276883451384</v>
      </c>
      <c r="Y14" s="87">
        <f>IF(Y6=0,0,Y6/TrAvia_act!Y26)</f>
        <v>155.10644742535698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139.7443729903537</v>
      </c>
      <c r="C15" s="88">
        <f>IF(C7=0,0,C7/TrAvia_act!C27)</f>
        <v>141.02691218130312</v>
      </c>
      <c r="D15" s="88">
        <f>IF(D7=0,0,D7/TrAvia_act!D27)</f>
        <v>140.88301886792453</v>
      </c>
      <c r="E15" s="88">
        <f>IF(E7=0,0,E7/TrAvia_act!E27)</f>
        <v>140.75017593244195</v>
      </c>
      <c r="F15" s="88">
        <f>IF(F7=0,0,F7/TrAvia_act!F27)</f>
        <v>140.48022335970219</v>
      </c>
      <c r="G15" s="88">
        <f>IF(G7=0,0,G7/TrAvia_act!G27)</f>
        <v>140.49722222222223</v>
      </c>
      <c r="H15" s="88">
        <f>IF(H7=0,0,H7/TrAvia_act!H27)</f>
        <v>140.35514834205932</v>
      </c>
      <c r="I15" s="88">
        <f>IF(I7=0,0,I7/TrAvia_act!I27)</f>
        <v>148.5081081081081</v>
      </c>
      <c r="J15" s="88">
        <f>IF(J7=0,0,J7/TrAvia_act!J27)</f>
        <v>139.44839650145772</v>
      </c>
      <c r="K15" s="88">
        <f>IF(K7=0,0,K7/TrAvia_act!K27)</f>
        <v>140.84334023464459</v>
      </c>
      <c r="L15" s="88">
        <f>IF(L7=0,0,L7/TrAvia_act!L27)</f>
        <v>151.67963386727689</v>
      </c>
      <c r="M15" s="88">
        <f>IF(M7=0,0,M7/TrAvia_act!M27)</f>
        <v>139.99327052489906</v>
      </c>
      <c r="N15" s="88">
        <f>IF(N7=0,0,N7/TrAvia_act!N27)</f>
        <v>138.40178571428572</v>
      </c>
      <c r="O15" s="88">
        <f>IF(O7=0,0,O7/TrAvia_act!O27)</f>
        <v>141.21131805157594</v>
      </c>
      <c r="P15" s="88">
        <f>IF(P7=0,0,P7/TrAvia_act!P27)</f>
        <v>196.89819376026273</v>
      </c>
      <c r="Q15" s="88">
        <f>IF(Q7=0,0,Q7/TrAvia_act!Q27)</f>
        <v>162.29775662814413</v>
      </c>
      <c r="R15" s="88">
        <f>IF(R7=0,0,R7/TrAvia_act!R27)</f>
        <v>155.04416611733686</v>
      </c>
      <c r="S15" s="88">
        <f>IF(S7=0,0,S7/TrAvia_act!S27)</f>
        <v>166.49562937062936</v>
      </c>
      <c r="T15" s="88">
        <f>IF(T7=0,0,T7/TrAvia_act!T27)</f>
        <v>203.07374954362905</v>
      </c>
      <c r="U15" s="88">
        <f>IF(U7=0,0,U7/TrAvia_act!U27)</f>
        <v>208.64439374185136</v>
      </c>
      <c r="V15" s="88">
        <f>IF(V7=0,0,V7/TrAvia_act!V27)</f>
        <v>156.77156177156178</v>
      </c>
      <c r="W15" s="88">
        <f>IF(W7=0,0,W7/TrAvia_act!W27)</f>
        <v>161.09700176366843</v>
      </c>
      <c r="X15" s="88">
        <f>IF(X7=0,0,X7/TrAvia_act!X27)</f>
        <v>176.17650793650793</v>
      </c>
      <c r="Y15" s="88">
        <f>IF(Y7=0,0,Y7/TrAvia_act!Y27)</f>
        <v>178.75126135216954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0.66398857301117564</v>
      </c>
      <c r="C18" s="25">
        <f>IF(TrAvia_act!C34=0,0,(TrAvia_act!C34/TrAvia_act!C24)/TrAvia_png!C12)</f>
        <v>0.66554122402003313</v>
      </c>
      <c r="D18" s="25">
        <f>IF(TrAvia_act!D34=0,0,(TrAvia_act!D34/TrAvia_act!D24)/TrAvia_png!D12)</f>
        <v>0.67529251199950924</v>
      </c>
      <c r="E18" s="25">
        <f>IF(TrAvia_act!E34=0,0,(TrAvia_act!E34/TrAvia_act!E24)/TrAvia_png!E12)</f>
        <v>0.67130665362971154</v>
      </c>
      <c r="F18" s="25">
        <f>IF(TrAvia_act!F34=0,0,(TrAvia_act!F34/TrAvia_act!F24)/TrAvia_png!F12)</f>
        <v>0.68086697415289066</v>
      </c>
      <c r="G18" s="25">
        <f>IF(TrAvia_act!G34=0,0,(TrAvia_act!G34/TrAvia_act!G24)/TrAvia_png!G12)</f>
        <v>0.68677230740722917</v>
      </c>
      <c r="H18" s="25">
        <f>IF(TrAvia_act!H34=0,0,(TrAvia_act!H34/TrAvia_act!H24)/TrAvia_png!H12)</f>
        <v>0.6932723967107568</v>
      </c>
      <c r="I18" s="25">
        <f>IF(TrAvia_act!I34=0,0,(TrAvia_act!I34/TrAvia_act!I24)/TrAvia_png!I12)</f>
        <v>0.72053720749996597</v>
      </c>
      <c r="J18" s="25">
        <f>IF(TrAvia_act!J34=0,0,(TrAvia_act!J34/TrAvia_act!J24)/TrAvia_png!J12)</f>
        <v>0.70669319411876097</v>
      </c>
      <c r="K18" s="25">
        <f>IF(TrAvia_act!K34=0,0,(TrAvia_act!K34/TrAvia_act!K24)/TrAvia_png!K12)</f>
        <v>0.7324988781077999</v>
      </c>
      <c r="L18" s="25">
        <f>IF(TrAvia_act!L34=0,0,(TrAvia_act!L34/TrAvia_act!L24)/TrAvia_png!L12)</f>
        <v>0.76569675764819189</v>
      </c>
      <c r="M18" s="25">
        <f>IF(TrAvia_act!M34=0,0,(TrAvia_act!M34/TrAvia_act!M24)/TrAvia_png!M12)</f>
        <v>0.79278704911330433</v>
      </c>
      <c r="N18" s="25">
        <f>IF(TrAvia_act!N34=0,0,(TrAvia_act!N34/TrAvia_act!N24)/TrAvia_png!N12)</f>
        <v>0.72462875451438991</v>
      </c>
      <c r="O18" s="25">
        <f>IF(TrAvia_act!O34=0,0,(TrAvia_act!O34/TrAvia_act!O24)/TrAvia_png!O12)</f>
        <v>0.6898351989498146</v>
      </c>
      <c r="P18" s="25">
        <f>IF(TrAvia_act!P34=0,0,(TrAvia_act!P34/TrAvia_act!P24)/TrAvia_png!P12)</f>
        <v>0.76979429454112314</v>
      </c>
      <c r="Q18" s="25">
        <f>IF(TrAvia_act!Q34=0,0,(TrAvia_act!Q34/TrAvia_act!Q24)/TrAvia_png!Q12)</f>
        <v>0.7754423720707796</v>
      </c>
      <c r="R18" s="25">
        <f>IF(TrAvia_act!R34=0,0,(TrAvia_act!R34/TrAvia_act!R24)/TrAvia_png!R12)</f>
        <v>0.78631625774417602</v>
      </c>
      <c r="S18" s="25">
        <f>IF(TrAvia_act!S34=0,0,(TrAvia_act!S34/TrAvia_act!S24)/TrAvia_png!S12)</f>
        <v>0.81854696767761037</v>
      </c>
      <c r="T18" s="25">
        <f>IF(TrAvia_act!T34=0,0,(TrAvia_act!T34/TrAvia_act!T24)/TrAvia_png!T12)</f>
        <v>0.67130501898704786</v>
      </c>
      <c r="U18" s="25">
        <f>IF(TrAvia_act!U34=0,0,(TrAvia_act!U34/TrAvia_act!U24)/TrAvia_png!U12)</f>
        <v>0.65666489864631139</v>
      </c>
      <c r="V18" s="25">
        <f>IF(TrAvia_act!V34=0,0,(TrAvia_act!V34/TrAvia_act!V24)/TrAvia_png!V12)</f>
        <v>0.56365813914142981</v>
      </c>
      <c r="W18" s="25">
        <f>IF(TrAvia_act!W34=0,0,(TrAvia_act!W34/TrAvia_act!W24)/TrAvia_png!W12)</f>
        <v>0.60947082595671886</v>
      </c>
      <c r="X18" s="25">
        <f>IF(TrAvia_act!X34=0,0,(TrAvia_act!X34/TrAvia_act!X24)/TrAvia_png!X12)</f>
        <v>0.80686593276007201</v>
      </c>
      <c r="Y18" s="25">
        <f>IF(TrAvia_act!Y34=0,0,(TrAvia_act!Y34/TrAvia_act!Y24)/TrAvia_png!Y12)</f>
        <v>0.8532082946871864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0.65009421416149404</v>
      </c>
      <c r="C20" s="89">
        <f>IF(TrAvia_act!C36=0,0,(TrAvia_act!C36/TrAvia_act!C26)/TrAvia_png!C14)</f>
        <v>0.65149422091706566</v>
      </c>
      <c r="D20" s="89">
        <f>IF(TrAvia_act!D36=0,0,(TrAvia_act!D36/TrAvia_act!D26)/TrAvia_png!D14)</f>
        <v>0.65771098315572352</v>
      </c>
      <c r="E20" s="89">
        <f>IF(TrAvia_act!E36=0,0,(TrAvia_act!E36/TrAvia_act!E26)/TrAvia_png!E14)</f>
        <v>0.65286959542341039</v>
      </c>
      <c r="F20" s="89">
        <f>IF(TrAvia_act!F36=0,0,(TrAvia_act!F36/TrAvia_act!F26)/TrAvia_png!F14)</f>
        <v>0.66597107733049465</v>
      </c>
      <c r="G20" s="89">
        <f>IF(TrAvia_act!G36=0,0,(TrAvia_act!G36/TrAvia_act!G26)/TrAvia_png!G14)</f>
        <v>0.67632965138832091</v>
      </c>
      <c r="H20" s="89">
        <f>IF(TrAvia_act!H36=0,0,(TrAvia_act!H36/TrAvia_act!H26)/TrAvia_png!H14)</f>
        <v>0.68776990354101486</v>
      </c>
      <c r="I20" s="89">
        <f>IF(TrAvia_act!I36=0,0,(TrAvia_act!I36/TrAvia_act!I26)/TrAvia_png!I14)</f>
        <v>0.7104914509526663</v>
      </c>
      <c r="J20" s="89">
        <f>IF(TrAvia_act!J36=0,0,(TrAvia_act!J36/TrAvia_act!J26)/TrAvia_png!J14)</f>
        <v>0.69717443799268641</v>
      </c>
      <c r="K20" s="89">
        <f>IF(TrAvia_act!K36=0,0,(TrAvia_act!K36/TrAvia_act!K26)/TrAvia_png!K14)</f>
        <v>0.72233016137270867</v>
      </c>
      <c r="L20" s="89">
        <f>IF(TrAvia_act!L36=0,0,(TrAvia_act!L36/TrAvia_act!L26)/TrAvia_png!L14)</f>
        <v>0.751356156108964</v>
      </c>
      <c r="M20" s="89">
        <f>IF(TrAvia_act!M36=0,0,(TrAvia_act!M36/TrAvia_act!M26)/TrAvia_png!M14)</f>
        <v>0.78839137071047882</v>
      </c>
      <c r="N20" s="89">
        <f>IF(TrAvia_act!N36=0,0,(TrAvia_act!N36/TrAvia_act!N26)/TrAvia_png!N14)</f>
        <v>0.71033706855949852</v>
      </c>
      <c r="O20" s="89">
        <f>IF(TrAvia_act!O36=0,0,(TrAvia_act!O36/TrAvia_act!O26)/TrAvia_png!O14)</f>
        <v>0.67042392202853096</v>
      </c>
      <c r="P20" s="89">
        <f>IF(TrAvia_act!P36=0,0,(TrAvia_act!P36/TrAvia_act!P26)/TrAvia_png!P14)</f>
        <v>0.80592887470335017</v>
      </c>
      <c r="Q20" s="89">
        <f>IF(TrAvia_act!Q36=0,0,(TrAvia_act!Q36/TrAvia_act!Q26)/TrAvia_png!Q14)</f>
        <v>0.78806626897407128</v>
      </c>
      <c r="R20" s="89">
        <f>IF(TrAvia_act!R36=0,0,(TrAvia_act!R36/TrAvia_act!R26)/TrAvia_png!R14)</f>
        <v>0.8094951823159362</v>
      </c>
      <c r="S20" s="89">
        <f>IF(TrAvia_act!S36=0,0,(TrAvia_act!S36/TrAvia_act!S26)/TrAvia_png!S14)</f>
        <v>0.83424987401947837</v>
      </c>
      <c r="T20" s="89">
        <f>IF(TrAvia_act!T36=0,0,(TrAvia_act!T36/TrAvia_act!T26)/TrAvia_png!T14)</f>
        <v>0.66338860935450394</v>
      </c>
      <c r="U20" s="89">
        <f>IF(TrAvia_act!U36=0,0,(TrAvia_act!U36/TrAvia_act!U26)/TrAvia_png!U14)</f>
        <v>0.64063247490721709</v>
      </c>
      <c r="V20" s="89">
        <f>IF(TrAvia_act!V36=0,0,(TrAvia_act!V36/TrAvia_act!V26)/TrAvia_png!V14)</f>
        <v>0.53088960275633124</v>
      </c>
      <c r="W20" s="89">
        <f>IF(TrAvia_act!W36=0,0,(TrAvia_act!W36/TrAvia_act!W26)/TrAvia_png!W14)</f>
        <v>0.60257264699392532</v>
      </c>
      <c r="X20" s="89">
        <f>IF(TrAvia_act!X36=0,0,(TrAvia_act!X36/TrAvia_act!X26)/TrAvia_png!X14)</f>
        <v>0.79650370008840832</v>
      </c>
      <c r="Y20" s="89">
        <f>IF(TrAvia_act!Y36=0,0,(TrAvia_act!Y36/TrAvia_act!Y26)/TrAvia_png!Y14)</f>
        <v>0.8458208606848171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0.71242852705330129</v>
      </c>
      <c r="C21" s="90">
        <f>IF(TrAvia_act!C37=0,0,(TrAvia_act!C37/TrAvia_act!C27)/TrAvia_png!C15)</f>
        <v>0.71425701802842367</v>
      </c>
      <c r="D21" s="90">
        <f>IF(TrAvia_act!D37=0,0,(TrAvia_act!D37/TrAvia_act!D27)/TrAvia_png!D15)</f>
        <v>0.71913001553543687</v>
      </c>
      <c r="E21" s="90">
        <f>IF(TrAvia_act!E37=0,0,(TrAvia_act!E37/TrAvia_act!E27)/TrAvia_png!E15)</f>
        <v>0.72225833225003244</v>
      </c>
      <c r="F21" s="90">
        <f>IF(TrAvia_act!F37=0,0,(TrAvia_act!F37/TrAvia_act!F27)/TrAvia_png!F15)</f>
        <v>0.72647834324857896</v>
      </c>
      <c r="G21" s="90">
        <f>IF(TrAvia_act!G37=0,0,(TrAvia_act!G37/TrAvia_act!G27)/TrAvia_png!G15)</f>
        <v>0.73382233733367597</v>
      </c>
      <c r="H21" s="90">
        <f>IF(TrAvia_act!H37=0,0,(TrAvia_act!H37/TrAvia_act!H27)/TrAvia_png!H15)</f>
        <v>0.73904393616293751</v>
      </c>
      <c r="I21" s="90">
        <f>IF(TrAvia_act!I37=0,0,(TrAvia_act!I37/TrAvia_act!I27)/TrAvia_png!I15)</f>
        <v>0.78732619931571679</v>
      </c>
      <c r="J21" s="90">
        <f>IF(TrAvia_act!J37=0,0,(TrAvia_act!J37/TrAvia_act!J27)/TrAvia_png!J15)</f>
        <v>0.76527258586517477</v>
      </c>
      <c r="K21" s="90">
        <f>IF(TrAvia_act!K37=0,0,(TrAvia_act!K37/TrAvia_act!K27)/TrAvia_png!K15)</f>
        <v>0.78517458668574391</v>
      </c>
      <c r="L21" s="90">
        <f>IF(TrAvia_act!L37=0,0,(TrAvia_act!L37/TrAvia_act!L27)/TrAvia_png!L15)</f>
        <v>0.83912155774143582</v>
      </c>
      <c r="M21" s="90">
        <f>IF(TrAvia_act!M37=0,0,(TrAvia_act!M37/TrAvia_act!M27)/TrAvia_png!M15)</f>
        <v>0.81232033841272888</v>
      </c>
      <c r="N21" s="90">
        <f>IF(TrAvia_act!N37=0,0,(TrAvia_act!N37/TrAvia_act!N27)/TrAvia_png!N15)</f>
        <v>0.78621726637983647</v>
      </c>
      <c r="O21" s="90">
        <f>IF(TrAvia_act!O37=0,0,(TrAvia_act!O37/TrAvia_act!O27)/TrAvia_png!O15)</f>
        <v>0.78143975326052217</v>
      </c>
      <c r="P21" s="90">
        <f>IF(TrAvia_act!P37=0,0,(TrAvia_act!P37/TrAvia_act!P27)/TrAvia_png!P15)</f>
        <v>0.64186354879869234</v>
      </c>
      <c r="Q21" s="90">
        <f>IF(TrAvia_act!Q37=0,0,(TrAvia_act!Q37/TrAvia_act!Q27)/TrAvia_png!Q15)</f>
        <v>0.72172656446343297</v>
      </c>
      <c r="R21" s="90">
        <f>IF(TrAvia_act!R37=0,0,(TrAvia_act!R37/TrAvia_act!R27)/TrAvia_png!R15)</f>
        <v>0.67369750257225702</v>
      </c>
      <c r="S21" s="90">
        <f>IF(TrAvia_act!S37=0,0,(TrAvia_act!S37/TrAvia_act!S27)/TrAvia_png!S15)</f>
        <v>0.77347470218563452</v>
      </c>
      <c r="T21" s="90">
        <f>IF(TrAvia_act!T37=0,0,(TrAvia_act!T37/TrAvia_act!T27)/TrAvia_png!T15)</f>
        <v>0.69311368363899828</v>
      </c>
      <c r="U21" s="90">
        <f>IF(TrAvia_act!U37=0,0,(TrAvia_act!U37/TrAvia_act!U27)/TrAvia_png!U15)</f>
        <v>0.69493580120008569</v>
      </c>
      <c r="V21" s="90">
        <f>IF(TrAvia_act!V37=0,0,(TrAvia_act!V37/TrAvia_act!V27)/TrAvia_png!V15)</f>
        <v>0.74975838227641067</v>
      </c>
      <c r="W21" s="90">
        <f>IF(TrAvia_act!W37=0,0,(TrAvia_act!W37/TrAvia_act!W27)/TrAvia_png!W15)</f>
        <v>0.64301197696568935</v>
      </c>
      <c r="X21" s="90">
        <f>IF(TrAvia_act!X37=0,0,(TrAvia_act!X37/TrAvia_act!X27)/TrAvia_png!X15)</f>
        <v>0.84175682396442242</v>
      </c>
      <c r="Y21" s="90">
        <f>IF(TrAvia_act!Y37=0,0,(TrAvia_act!Y37/TrAvia_act!Y27)/TrAvia_png!Y15)</f>
        <v>0.87563120086935653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6.551592260381095E-2</v>
      </c>
      <c r="C24" s="23">
        <f>IF(TrAvia_ene!C6=0,0,TrAvia_ene!C6/(C12*TrAvia_act!C14))</f>
        <v>6.5320553190642228E-2</v>
      </c>
      <c r="D24" s="23">
        <f>IF(TrAvia_ene!D6=0,0,TrAvia_ene!D6/(D12*TrAvia_act!D14))</f>
        <v>7.7001466554260378E-2</v>
      </c>
      <c r="E24" s="23">
        <f>IF(TrAvia_ene!E6=0,0,TrAvia_ene!E6/(E12*TrAvia_act!E14))</f>
        <v>4.0339337375888233E-2</v>
      </c>
      <c r="F24" s="23">
        <f>IF(TrAvia_ene!F6=0,0,TrAvia_ene!F6/(F12*TrAvia_act!F14))</f>
        <v>1.9556221641778813E-2</v>
      </c>
      <c r="G24" s="23">
        <f>IF(TrAvia_ene!G6=0,0,TrAvia_ene!G6/(G12*TrAvia_act!G14))</f>
        <v>2.6550110392352964E-2</v>
      </c>
      <c r="H24" s="23">
        <f>IF(TrAvia_ene!H6=0,0,TrAvia_ene!H6/(H12*TrAvia_act!H14))</f>
        <v>2.5967651865628511E-2</v>
      </c>
      <c r="I24" s="23">
        <f>IF(TrAvia_ene!I6=0,0,TrAvia_ene!I6/(I12*TrAvia_act!I14))</f>
        <v>3.0975910216218833E-2</v>
      </c>
      <c r="J24" s="23">
        <f>IF(TrAvia_ene!J6=0,0,TrAvia_ene!J6/(J12*TrAvia_act!J14))</f>
        <v>3.1895867062195868E-2</v>
      </c>
      <c r="K24" s="23">
        <f>IF(TrAvia_ene!K6=0,0,TrAvia_ene!K6/(K12*TrAvia_act!K14))</f>
        <v>3.1998177744305079E-2</v>
      </c>
      <c r="L24" s="23">
        <f>IF(TrAvia_ene!L6=0,0,TrAvia_ene!L6/(L12*TrAvia_act!L14))</f>
        <v>2.9301864599507434E-2</v>
      </c>
      <c r="M24" s="23">
        <f>IF(TrAvia_ene!M6=0,0,TrAvia_ene!M6/(M12*TrAvia_act!M14))</f>
        <v>3.0766626266518306E-2</v>
      </c>
      <c r="N24" s="23">
        <f>IF(TrAvia_ene!N6=0,0,TrAvia_ene!N6/(N12*TrAvia_act!N14))</f>
        <v>2.6732790576291771E-2</v>
      </c>
      <c r="O24" s="23">
        <f>IF(TrAvia_ene!O6=0,0,TrAvia_ene!O6/(O12*TrAvia_act!O14))</f>
        <v>2.872117857451327E-2</v>
      </c>
      <c r="P24" s="23">
        <f>IF(TrAvia_ene!P6=0,0,TrAvia_ene!P6/(P12*TrAvia_act!P14))</f>
        <v>2.5970592757241177E-2</v>
      </c>
      <c r="Q24" s="23">
        <f>IF(TrAvia_ene!Q6=0,0,TrAvia_ene!Q6/(Q12*TrAvia_act!Q14))</f>
        <v>2.6256692787908407E-2</v>
      </c>
      <c r="R24" s="23">
        <f>IF(TrAvia_ene!R6=0,0,TrAvia_ene!R6/(R12*TrAvia_act!R14))</f>
        <v>2.8373297911100631E-2</v>
      </c>
      <c r="S24" s="23">
        <f>IF(TrAvia_ene!S6=0,0,TrAvia_ene!S6/(S12*TrAvia_act!S14))</f>
        <v>2.0879237097878301E-2</v>
      </c>
      <c r="T24" s="23">
        <f>IF(TrAvia_ene!T6=0,0,TrAvia_ene!T6/(T12*TrAvia_act!T14))</f>
        <v>1.7166430624245842E-2</v>
      </c>
      <c r="U24" s="23">
        <f>IF(TrAvia_ene!U6=0,0,TrAvia_ene!U6/(U12*TrAvia_act!U14))</f>
        <v>1.5565362120779124E-2</v>
      </c>
      <c r="V24" s="23">
        <f>IF(TrAvia_ene!V6=0,0,TrAvia_ene!V6/(V12*TrAvia_act!V14))</f>
        <v>4.7982615125529496E-2</v>
      </c>
      <c r="W24" s="23">
        <f>IF(TrAvia_ene!W6=0,0,TrAvia_ene!W6/(W12*TrAvia_act!W14))</f>
        <v>2.9530524279516607E-2</v>
      </c>
      <c r="X24" s="23">
        <f>IF(TrAvia_ene!X6=0,0,TrAvia_ene!X6/(X12*TrAvia_act!X14))</f>
        <v>1.9863984368042101E-2</v>
      </c>
      <c r="Y24" s="23">
        <f>IF(TrAvia_ene!Y6=0,0,TrAvia_ene!Y6/(Y12*TrAvia_act!Y14))</f>
        <v>1.4304035553466984E-2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7.1709068470447196E-2</v>
      </c>
      <c r="C26" s="93">
        <f>IF(TrAvia_ene!C8=0,0,TrAvia_ene!C8/(C14*TrAvia_act!C16))</f>
        <v>7.153182990337581E-2</v>
      </c>
      <c r="D26" s="93">
        <f>IF(TrAvia_ene!D8=0,0,TrAvia_ene!D8/(D14*TrAvia_act!D16))</f>
        <v>8.6241162790300682E-2</v>
      </c>
      <c r="E26" s="93">
        <f>IF(TrAvia_ene!E8=0,0,TrAvia_ene!E8/(E14*TrAvia_act!E16))</f>
        <v>4.4544677997922624E-2</v>
      </c>
      <c r="F26" s="93">
        <f>IF(TrAvia_ene!F8=0,0,TrAvia_ene!F8/(F14*TrAvia_act!F16))</f>
        <v>2.1465142659956336E-2</v>
      </c>
      <c r="G26" s="93">
        <f>IF(TrAvia_ene!G8=0,0,TrAvia_ene!G8/(G14*TrAvia_act!G16))</f>
        <v>2.552792571843724E-2</v>
      </c>
      <c r="H26" s="93">
        <f>IF(TrAvia_ene!H8=0,0,TrAvia_ene!H8/(H14*TrAvia_act!H16))</f>
        <v>2.149623365320294E-2</v>
      </c>
      <c r="I26" s="93">
        <f>IF(TrAvia_ene!I8=0,0,TrAvia_ene!I8/(I14*TrAvia_act!I16))</f>
        <v>2.8112542546402282E-2</v>
      </c>
      <c r="J26" s="93">
        <f>IF(TrAvia_ene!J8=0,0,TrAvia_ene!J8/(J14*TrAvia_act!J16))</f>
        <v>2.9916238861246079E-2</v>
      </c>
      <c r="K26" s="93">
        <f>IF(TrAvia_ene!K8=0,0,TrAvia_ene!K8/(K14*TrAvia_act!K16))</f>
        <v>2.9264036272399215E-2</v>
      </c>
      <c r="L26" s="93">
        <f>IF(TrAvia_ene!L8=0,0,TrAvia_ene!L8/(L14*TrAvia_act!L16))</f>
        <v>2.6116923470393849E-2</v>
      </c>
      <c r="M26" s="93">
        <f>IF(TrAvia_ene!M8=0,0,TrAvia_ene!M8/(M14*TrAvia_act!M16))</f>
        <v>2.7002939146874433E-2</v>
      </c>
      <c r="N26" s="93">
        <f>IF(TrAvia_ene!N8=0,0,TrAvia_ene!N8/(N14*TrAvia_act!N16))</f>
        <v>2.3668649481599961E-2</v>
      </c>
      <c r="O26" s="93">
        <f>IF(TrAvia_ene!O8=0,0,TrAvia_ene!O8/(O14*TrAvia_act!O16))</f>
        <v>2.4271176149399949E-2</v>
      </c>
      <c r="P26" s="93">
        <f>IF(TrAvia_ene!P8=0,0,TrAvia_ene!P8/(P14*TrAvia_act!P16))</f>
        <v>2.3318656667865863E-2</v>
      </c>
      <c r="Q26" s="93">
        <f>IF(TrAvia_ene!Q8=0,0,TrAvia_ene!Q8/(Q14*TrAvia_act!Q16))</f>
        <v>2.4024845210385667E-2</v>
      </c>
      <c r="R26" s="93">
        <f>IF(TrAvia_ene!R8=0,0,TrAvia_ene!R8/(R14*TrAvia_act!R16))</f>
        <v>2.5572239211597125E-2</v>
      </c>
      <c r="S26" s="93">
        <f>IF(TrAvia_ene!S8=0,0,TrAvia_ene!S8/(S14*TrAvia_act!S16))</f>
        <v>2.164268054850824E-2</v>
      </c>
      <c r="T26" s="93">
        <f>IF(TrAvia_ene!T8=0,0,TrAvia_ene!T8/(T14*TrAvia_act!T16))</f>
        <v>1.8400089936225897E-2</v>
      </c>
      <c r="U26" s="93">
        <f>IF(TrAvia_ene!U8=0,0,TrAvia_ene!U8/(U14*TrAvia_act!U16))</f>
        <v>1.7126931542818052E-2</v>
      </c>
      <c r="V26" s="93">
        <f>IF(TrAvia_ene!V8=0,0,TrAvia_ene!V8/(V14*TrAvia_act!V16))</f>
        <v>3.5157573745420972E-2</v>
      </c>
      <c r="W26" s="93">
        <f>IF(TrAvia_ene!W8=0,0,TrAvia_ene!W8/(W14*TrAvia_act!W16))</f>
        <v>2.3280599196067349E-2</v>
      </c>
      <c r="X26" s="93">
        <f>IF(TrAvia_ene!X8=0,0,TrAvia_ene!X8/(X14*TrAvia_act!X16))</f>
        <v>1.994196205005451E-2</v>
      </c>
      <c r="Y26" s="93">
        <f>IF(TrAvia_ene!Y8=0,0,TrAvia_ene!Y8/(Y14*TrAvia_act!Y16))</f>
        <v>1.4616399260836872E-2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4.843919540019001E-2</v>
      </c>
      <c r="C27" s="94">
        <f>IF(TrAvia_ene!C9=0,0,TrAvia_ene!C9/(C15*TrAvia_act!C17))</f>
        <v>4.8176256934167813E-2</v>
      </c>
      <c r="D27" s="94">
        <f>IF(TrAvia_ene!D9=0,0,TrAvia_ene!D9/(D15*TrAvia_act!D17))</f>
        <v>5.8875481028188244E-2</v>
      </c>
      <c r="E27" s="94">
        <f>IF(TrAvia_ene!E9=0,0,TrAvia_ene!E9/(E15*TrAvia_act!E17))</f>
        <v>3.0775861162343068E-2</v>
      </c>
      <c r="F27" s="94">
        <f>IF(TrAvia_ene!F9=0,0,TrAvia_ene!F9/(F15*TrAvia_act!F17))</f>
        <v>1.5154805284298939E-2</v>
      </c>
      <c r="G27" s="94">
        <f>IF(TrAvia_ene!G9=0,0,TrAvia_ene!G9/(G15*TrAvia_act!G17))</f>
        <v>2.491975827101232E-2</v>
      </c>
      <c r="H27" s="94">
        <f>IF(TrAvia_ene!H9=0,0,TrAvia_ene!H9/(H15*TrAvia_act!H17))</f>
        <v>3.7324610976752166E-2</v>
      </c>
      <c r="I27" s="94">
        <f>IF(TrAvia_ene!I9=0,0,TrAvia_ene!I9/(I15*TrAvia_act!I17))</f>
        <v>3.3380287903966639E-2</v>
      </c>
      <c r="J27" s="94">
        <f>IF(TrAvia_ene!J9=0,0,TrAvia_ene!J9/(J15*TrAvia_act!J17))</f>
        <v>3.4300326773642309E-2</v>
      </c>
      <c r="K27" s="94">
        <f>IF(TrAvia_ene!K9=0,0,TrAvia_ene!K9/(K15*TrAvia_act!K17))</f>
        <v>3.5319938827545042E-2</v>
      </c>
      <c r="L27" s="94">
        <f>IF(TrAvia_ene!L9=0,0,TrAvia_ene!L9/(L15*TrAvia_act!L17))</f>
        <v>3.2892865442090545E-2</v>
      </c>
      <c r="M27" s="94">
        <f>IF(TrAvia_ene!M9=0,0,TrAvia_ene!M9/(M15*TrAvia_act!M17))</f>
        <v>3.7621538592349464E-2</v>
      </c>
      <c r="N27" s="94">
        <f>IF(TrAvia_ene!N9=0,0,TrAvia_ene!N9/(N15*TrAvia_act!N17))</f>
        <v>3.4578319980251175E-2</v>
      </c>
      <c r="O27" s="94">
        <f>IF(TrAvia_ene!O9=0,0,TrAvia_ene!O9/(O15*TrAvia_act!O17))</f>
        <v>4.2374962263680253E-2</v>
      </c>
      <c r="P27" s="94">
        <f>IF(TrAvia_ene!P9=0,0,TrAvia_ene!P9/(P15*TrAvia_act!P17))</f>
        <v>2.8629784452681047E-2</v>
      </c>
      <c r="Q27" s="94">
        <f>IF(TrAvia_ene!Q9=0,0,TrAvia_ene!Q9/(Q15*TrAvia_act!Q17))</f>
        <v>3.0605854497246423E-2</v>
      </c>
      <c r="R27" s="94">
        <f>IF(TrAvia_ene!R9=0,0,TrAvia_ene!R9/(R15*TrAvia_act!R17))</f>
        <v>3.5008523519427251E-2</v>
      </c>
      <c r="S27" s="94">
        <f>IF(TrAvia_ene!S9=0,0,TrAvia_ene!S9/(S15*TrAvia_act!S17))</f>
        <v>1.8497079020777834E-2</v>
      </c>
      <c r="T27" s="94">
        <f>IF(TrAvia_ene!T9=0,0,TrAvia_ene!T9/(T15*TrAvia_act!T17))</f>
        <v>1.4555348857199555E-2</v>
      </c>
      <c r="U27" s="94">
        <f>IF(TrAvia_ene!U9=0,0,TrAvia_ene!U9/(U15*TrAvia_act!U17))</f>
        <v>1.2821035944266354E-2</v>
      </c>
      <c r="V27" s="94">
        <f>IF(TrAvia_ene!V9=0,0,TrAvia_ene!V9/(V15*TrAvia_act!V17))</f>
        <v>8.7973969836885185E-2</v>
      </c>
      <c r="W27" s="94">
        <f>IF(TrAvia_ene!W9=0,0,TrAvia_ene!W9/(W15*TrAvia_act!W17))</f>
        <v>4.7451925529128608E-2</v>
      </c>
      <c r="X27" s="94">
        <f>IF(TrAvia_ene!X9=0,0,TrAvia_ene!X9/(X15*TrAvia_act!X17))</f>
        <v>1.8628918813919954E-2</v>
      </c>
      <c r="Y27" s="94">
        <f>IF(TrAvia_ene!Y9=0,0,TrAvia_ene!Y9/(Y15*TrAvia_act!Y17))</f>
        <v>1.3121303250790353E-2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1379.3</v>
      </c>
      <c r="C3" s="54">
        <f t="shared" si="0"/>
        <v>995.19999999999993</v>
      </c>
      <c r="D3" s="54">
        <f t="shared" si="0"/>
        <v>599.70000000000005</v>
      </c>
      <c r="E3" s="54">
        <f t="shared" si="0"/>
        <v>522.5</v>
      </c>
      <c r="F3" s="54">
        <f t="shared" si="0"/>
        <v>741</v>
      </c>
      <c r="G3" s="54">
        <f t="shared" si="0"/>
        <v>740.3</v>
      </c>
      <c r="H3" s="54">
        <f t="shared" si="0"/>
        <v>648.80000000000007</v>
      </c>
      <c r="I3" s="54">
        <f t="shared" si="0"/>
        <v>1004</v>
      </c>
      <c r="J3" s="54">
        <f t="shared" si="0"/>
        <v>1101</v>
      </c>
      <c r="K3" s="54">
        <f t="shared" si="0"/>
        <v>899</v>
      </c>
      <c r="L3" s="54">
        <f t="shared" si="0"/>
        <v>1189</v>
      </c>
      <c r="M3" s="54">
        <f t="shared" si="0"/>
        <v>931</v>
      </c>
      <c r="N3" s="54">
        <f t="shared" si="0"/>
        <v>986</v>
      </c>
      <c r="O3" s="54">
        <f t="shared" si="0"/>
        <v>1006</v>
      </c>
      <c r="P3" s="54">
        <f t="shared" si="0"/>
        <v>905</v>
      </c>
      <c r="Q3" s="54">
        <f t="shared" si="0"/>
        <v>741</v>
      </c>
      <c r="R3" s="54">
        <f t="shared" ref="R3:V3" si="1">SUM(R4:R5)</f>
        <v>903</v>
      </c>
      <c r="S3" s="54">
        <f t="shared" si="1"/>
        <v>933</v>
      </c>
      <c r="T3" s="54">
        <f t="shared" si="1"/>
        <v>778</v>
      </c>
      <c r="U3" s="54">
        <f t="shared" si="1"/>
        <v>937</v>
      </c>
      <c r="V3" s="54">
        <f t="shared" si="1"/>
        <v>834</v>
      </c>
      <c r="W3" s="54">
        <f t="shared" ref="W3:Y3" si="2">SUM(W4:W5)</f>
        <v>839</v>
      </c>
      <c r="X3" s="54">
        <f t="shared" si="2"/>
        <v>680</v>
      </c>
      <c r="Y3" s="54">
        <f t="shared" si="2"/>
        <v>640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1379.3</v>
      </c>
      <c r="C5" s="58">
        <v>995.19999999999993</v>
      </c>
      <c r="D5" s="58">
        <v>599.70000000000005</v>
      </c>
      <c r="E5" s="58">
        <v>522.5</v>
      </c>
      <c r="F5" s="58">
        <v>741</v>
      </c>
      <c r="G5" s="58">
        <v>740.3</v>
      </c>
      <c r="H5" s="58">
        <v>648.80000000000007</v>
      </c>
      <c r="I5" s="58">
        <v>1004</v>
      </c>
      <c r="J5" s="58">
        <v>1101</v>
      </c>
      <c r="K5" s="58">
        <v>899</v>
      </c>
      <c r="L5" s="58">
        <v>1189</v>
      </c>
      <c r="M5" s="58">
        <v>931</v>
      </c>
      <c r="N5" s="58">
        <v>986</v>
      </c>
      <c r="O5" s="58">
        <v>1006</v>
      </c>
      <c r="P5" s="58">
        <v>905</v>
      </c>
      <c r="Q5" s="58">
        <v>741</v>
      </c>
      <c r="R5" s="58">
        <v>903</v>
      </c>
      <c r="S5" s="58">
        <v>933</v>
      </c>
      <c r="T5" s="58">
        <v>778</v>
      </c>
      <c r="U5" s="58">
        <v>937</v>
      </c>
      <c r="V5" s="58">
        <v>834</v>
      </c>
      <c r="W5" s="58">
        <v>839</v>
      </c>
      <c r="X5" s="58">
        <v>680</v>
      </c>
      <c r="Y5" s="58">
        <v>640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1.6339999999999999</v>
      </c>
      <c r="C7" s="59">
        <f t="shared" si="3"/>
        <v>1.5169999999999999</v>
      </c>
      <c r="D7" s="59">
        <f t="shared" si="3"/>
        <v>1.0089999999999999</v>
      </c>
      <c r="E7" s="59">
        <f t="shared" si="3"/>
        <v>0.71899999999999997</v>
      </c>
      <c r="F7" s="59">
        <f t="shared" si="3"/>
        <v>1.016</v>
      </c>
      <c r="G7" s="59">
        <f t="shared" si="3"/>
        <v>1.0840000000000001</v>
      </c>
      <c r="H7" s="59">
        <f t="shared" si="3"/>
        <v>0.624</v>
      </c>
      <c r="I7" s="59">
        <f t="shared" si="3"/>
        <v>0.88200000000000001</v>
      </c>
      <c r="J7" s="59">
        <f t="shared" si="3"/>
        <v>1.194</v>
      </c>
      <c r="K7" s="59">
        <f t="shared" si="3"/>
        <v>0.751</v>
      </c>
      <c r="L7" s="59">
        <f t="shared" si="3"/>
        <v>0.998</v>
      </c>
      <c r="M7" s="59">
        <f t="shared" si="3"/>
        <v>1.02</v>
      </c>
      <c r="N7" s="59">
        <f t="shared" si="3"/>
        <v>1.0189999999999999</v>
      </c>
      <c r="O7" s="59">
        <f t="shared" si="3"/>
        <v>1.0189999999999999</v>
      </c>
      <c r="P7" s="59">
        <f t="shared" si="3"/>
        <v>1.018</v>
      </c>
      <c r="Q7" s="59">
        <f t="shared" si="3"/>
        <v>1.0169999999999999</v>
      </c>
      <c r="R7" s="59">
        <f t="shared" ref="R7:V7" si="4">SUM(R8:R9)</f>
        <v>1.2030000000000001</v>
      </c>
      <c r="S7" s="59">
        <f t="shared" si="4"/>
        <v>1.2370000000000001</v>
      </c>
      <c r="T7" s="59">
        <f t="shared" si="4"/>
        <v>1.06</v>
      </c>
      <c r="U7" s="59">
        <f t="shared" si="4"/>
        <v>1.242</v>
      </c>
      <c r="V7" s="59">
        <f t="shared" si="4"/>
        <v>1.1240000000000001</v>
      </c>
      <c r="W7" s="59">
        <f t="shared" ref="W7:Y7" si="5">SUM(W8:W9)</f>
        <v>1.131</v>
      </c>
      <c r="X7" s="59">
        <f t="shared" si="5"/>
        <v>0.91600000000000004</v>
      </c>
      <c r="Y7" s="59">
        <f t="shared" si="5"/>
        <v>0.86199999999999999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1.6339999999999999</v>
      </c>
      <c r="C9" s="61">
        <v>1.5169999999999999</v>
      </c>
      <c r="D9" s="61">
        <v>1.0089999999999999</v>
      </c>
      <c r="E9" s="61">
        <v>0.71899999999999997</v>
      </c>
      <c r="F9" s="61">
        <v>1.016</v>
      </c>
      <c r="G9" s="61">
        <v>1.0840000000000001</v>
      </c>
      <c r="H9" s="61">
        <v>0.624</v>
      </c>
      <c r="I9" s="61">
        <v>0.88200000000000001</v>
      </c>
      <c r="J9" s="61">
        <v>1.194</v>
      </c>
      <c r="K9" s="61">
        <v>0.751</v>
      </c>
      <c r="L9" s="61">
        <v>0.998</v>
      </c>
      <c r="M9" s="61">
        <v>1.02</v>
      </c>
      <c r="N9" s="61">
        <v>1.0189999999999999</v>
      </c>
      <c r="O9" s="61">
        <v>1.0189999999999999</v>
      </c>
      <c r="P9" s="61">
        <v>1.018</v>
      </c>
      <c r="Q9" s="61">
        <v>1.0169999999999999</v>
      </c>
      <c r="R9" s="61">
        <v>1.2030000000000001</v>
      </c>
      <c r="S9" s="61">
        <v>1.2370000000000001</v>
      </c>
      <c r="T9" s="61">
        <v>1.06</v>
      </c>
      <c r="U9" s="61">
        <v>1.242</v>
      </c>
      <c r="V9" s="61">
        <v>1.1240000000000001</v>
      </c>
      <c r="W9" s="61">
        <v>1.131</v>
      </c>
      <c r="X9" s="61">
        <v>0.91600000000000004</v>
      </c>
      <c r="Y9" s="61">
        <v>0.86199999999999999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844.124847001224</v>
      </c>
      <c r="C13" s="62">
        <f t="shared" si="6"/>
        <v>656.03164139749504</v>
      </c>
      <c r="D13" s="62">
        <f t="shared" si="6"/>
        <v>594.35084241823597</v>
      </c>
      <c r="E13" s="62">
        <f t="shared" si="6"/>
        <v>726.70375521557719</v>
      </c>
      <c r="F13" s="62">
        <f t="shared" ref="F13:V13" si="7">IF(F3=0,0,F3/F7)</f>
        <v>729.33070866141736</v>
      </c>
      <c r="G13" s="62">
        <f t="shared" si="7"/>
        <v>682.9335793357933</v>
      </c>
      <c r="H13" s="62">
        <f t="shared" si="7"/>
        <v>1039.7435897435898</v>
      </c>
      <c r="I13" s="62">
        <f t="shared" si="7"/>
        <v>1138.3219954648525</v>
      </c>
      <c r="J13" s="62">
        <f t="shared" si="7"/>
        <v>922.1105527638191</v>
      </c>
      <c r="K13" s="62">
        <f t="shared" si="7"/>
        <v>1197.0705725699067</v>
      </c>
      <c r="L13" s="62">
        <f t="shared" si="7"/>
        <v>1191.3827655310622</v>
      </c>
      <c r="M13" s="62">
        <f t="shared" si="7"/>
        <v>912.74509803921569</v>
      </c>
      <c r="N13" s="62">
        <f t="shared" si="7"/>
        <v>967.61530912659475</v>
      </c>
      <c r="O13" s="62">
        <f t="shared" si="7"/>
        <v>987.24239450441621</v>
      </c>
      <c r="P13" s="62">
        <f t="shared" si="7"/>
        <v>888.9980353634578</v>
      </c>
      <c r="Q13" s="62">
        <f t="shared" si="7"/>
        <v>728.61356932153399</v>
      </c>
      <c r="R13" s="62">
        <f t="shared" si="7"/>
        <v>750.62344139650872</v>
      </c>
      <c r="S13" s="62">
        <f t="shared" si="7"/>
        <v>754.24413904607911</v>
      </c>
      <c r="T13" s="62">
        <f t="shared" si="7"/>
        <v>733.96226415094338</v>
      </c>
      <c r="U13" s="62">
        <f t="shared" si="7"/>
        <v>754.42834138486307</v>
      </c>
      <c r="V13" s="62">
        <f t="shared" si="7"/>
        <v>741.99288256227749</v>
      </c>
      <c r="W13" s="62">
        <f t="shared" ref="W13:Y13" si="8">IF(W3=0,0,W3/W7)</f>
        <v>741.82139699381082</v>
      </c>
      <c r="X13" s="62">
        <f t="shared" si="8"/>
        <v>742.35807860262003</v>
      </c>
      <c r="Y13" s="62">
        <f t="shared" si="8"/>
        <v>742.4593967517402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844.124847001224</v>
      </c>
      <c r="C15" s="64">
        <f t="shared" si="6"/>
        <v>656.03164139749504</v>
      </c>
      <c r="D15" s="64">
        <f t="shared" si="6"/>
        <v>594.35084241823597</v>
      </c>
      <c r="E15" s="64">
        <f t="shared" si="6"/>
        <v>726.70375521557719</v>
      </c>
      <c r="F15" s="64">
        <f t="shared" ref="F15:V15" si="11">IF(F5=0,0,F5/F9)</f>
        <v>729.33070866141736</v>
      </c>
      <c r="G15" s="64">
        <f t="shared" si="11"/>
        <v>682.9335793357933</v>
      </c>
      <c r="H15" s="64">
        <f t="shared" si="11"/>
        <v>1039.7435897435898</v>
      </c>
      <c r="I15" s="64">
        <f t="shared" si="11"/>
        <v>1138.3219954648525</v>
      </c>
      <c r="J15" s="64">
        <f t="shared" si="11"/>
        <v>922.1105527638191</v>
      </c>
      <c r="K15" s="64">
        <f t="shared" si="11"/>
        <v>1197.0705725699067</v>
      </c>
      <c r="L15" s="64">
        <f t="shared" si="11"/>
        <v>1191.3827655310622</v>
      </c>
      <c r="M15" s="64">
        <f t="shared" si="11"/>
        <v>912.74509803921569</v>
      </c>
      <c r="N15" s="64">
        <f t="shared" si="11"/>
        <v>967.61530912659475</v>
      </c>
      <c r="O15" s="64">
        <f t="shared" si="11"/>
        <v>987.24239450441621</v>
      </c>
      <c r="P15" s="64">
        <f t="shared" si="11"/>
        <v>888.9980353634578</v>
      </c>
      <c r="Q15" s="64">
        <f t="shared" si="11"/>
        <v>728.61356932153399</v>
      </c>
      <c r="R15" s="64">
        <f t="shared" si="11"/>
        <v>750.62344139650872</v>
      </c>
      <c r="S15" s="64">
        <f t="shared" si="11"/>
        <v>754.24413904607911</v>
      </c>
      <c r="T15" s="64">
        <f t="shared" si="11"/>
        <v>733.96226415094338</v>
      </c>
      <c r="U15" s="64">
        <f t="shared" si="11"/>
        <v>754.42834138486307</v>
      </c>
      <c r="V15" s="64">
        <f t="shared" si="11"/>
        <v>741.99288256227749</v>
      </c>
      <c r="W15" s="64">
        <f t="shared" ref="W15:Y15" si="12">IF(W5=0,0,W5/W9)</f>
        <v>741.82139699381082</v>
      </c>
      <c r="X15" s="64">
        <f t="shared" si="12"/>
        <v>742.35807860262003</v>
      </c>
      <c r="Y15" s="64">
        <f t="shared" si="12"/>
        <v>742.4593967517402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:Y19" si="21">IF(W5=0,0,W5/W$3)</f>
        <v>1</v>
      </c>
      <c r="X19" s="67">
        <f t="shared" si="21"/>
        <v>1</v>
      </c>
      <c r="Y19" s="67">
        <f t="shared" si="21"/>
        <v>1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:Y23" si="30">IF(W9=0,0,W9/W$7)</f>
        <v>1</v>
      </c>
      <c r="X23" s="67">
        <f t="shared" si="30"/>
        <v>1</v>
      </c>
      <c r="Y23" s="67">
        <f t="shared" si="30"/>
        <v>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22.379000000000001</v>
      </c>
      <c r="C3" s="62">
        <f t="shared" ref="C3:V3" si="0">SUM(C4,C10)</f>
        <v>26.725999999999999</v>
      </c>
      <c r="D3" s="62">
        <f t="shared" si="0"/>
        <v>19.61403</v>
      </c>
      <c r="E3" s="62">
        <f t="shared" si="0"/>
        <v>11.430999999999999</v>
      </c>
      <c r="F3" s="62">
        <f t="shared" si="0"/>
        <v>16.100000000000001</v>
      </c>
      <c r="G3" s="62">
        <f t="shared" si="0"/>
        <v>18.353999999999999</v>
      </c>
      <c r="H3" s="62">
        <f t="shared" si="0"/>
        <v>10.465</v>
      </c>
      <c r="I3" s="62">
        <f t="shared" si="0"/>
        <v>14.651</v>
      </c>
      <c r="J3" s="62">
        <f t="shared" si="0"/>
        <v>19.641999999999999</v>
      </c>
      <c r="K3" s="62">
        <f t="shared" si="0"/>
        <v>12.236000000000001</v>
      </c>
      <c r="L3" s="62">
        <f t="shared" si="0"/>
        <v>16.100000000000001</v>
      </c>
      <c r="M3" s="62">
        <f t="shared" si="0"/>
        <v>16.3</v>
      </c>
      <c r="N3" s="62">
        <f t="shared" si="0"/>
        <v>16.137</v>
      </c>
      <c r="O3" s="62">
        <f t="shared" si="0"/>
        <v>15.974</v>
      </c>
      <c r="P3" s="62">
        <f t="shared" si="0"/>
        <v>15.811</v>
      </c>
      <c r="Q3" s="62">
        <f t="shared" si="0"/>
        <v>15.648</v>
      </c>
      <c r="R3" s="62">
        <f t="shared" si="0"/>
        <v>17.971</v>
      </c>
      <c r="S3" s="62">
        <f t="shared" si="0"/>
        <v>18.387</v>
      </c>
      <c r="T3" s="62">
        <f t="shared" si="0"/>
        <v>16.190999999999999</v>
      </c>
      <c r="U3" s="62">
        <f t="shared" si="0"/>
        <v>18.442</v>
      </c>
      <c r="V3" s="62">
        <f t="shared" si="0"/>
        <v>16.984000000000002</v>
      </c>
      <c r="W3" s="62">
        <f t="shared" ref="W3:Y3" si="1">SUM(W4,W10)</f>
        <v>17.084</v>
      </c>
      <c r="X3" s="62">
        <f t="shared" si="1"/>
        <v>13.845000000000001</v>
      </c>
      <c r="Y3" s="62">
        <f t="shared" si="1"/>
        <v>13.03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22.379000000000001</v>
      </c>
      <c r="C10" s="71">
        <f t="shared" ref="C10:V10" si="4">SUM(C11:C15)</f>
        <v>26.725999999999999</v>
      </c>
      <c r="D10" s="71">
        <f t="shared" si="4"/>
        <v>19.61403</v>
      </c>
      <c r="E10" s="71">
        <f t="shared" si="4"/>
        <v>11.430999999999999</v>
      </c>
      <c r="F10" s="71">
        <f t="shared" si="4"/>
        <v>16.100000000000001</v>
      </c>
      <c r="G10" s="71">
        <f t="shared" si="4"/>
        <v>18.353999999999999</v>
      </c>
      <c r="H10" s="71">
        <f t="shared" si="4"/>
        <v>10.465</v>
      </c>
      <c r="I10" s="71">
        <f t="shared" si="4"/>
        <v>14.651</v>
      </c>
      <c r="J10" s="71">
        <f t="shared" si="4"/>
        <v>19.641999999999999</v>
      </c>
      <c r="K10" s="71">
        <f t="shared" si="4"/>
        <v>12.236000000000001</v>
      </c>
      <c r="L10" s="71">
        <f t="shared" si="4"/>
        <v>16.100000000000001</v>
      </c>
      <c r="M10" s="71">
        <f t="shared" si="4"/>
        <v>16.3</v>
      </c>
      <c r="N10" s="71">
        <f t="shared" si="4"/>
        <v>16.137</v>
      </c>
      <c r="O10" s="71">
        <f t="shared" si="4"/>
        <v>15.974</v>
      </c>
      <c r="P10" s="71">
        <f t="shared" si="4"/>
        <v>15.811</v>
      </c>
      <c r="Q10" s="71">
        <f t="shared" si="4"/>
        <v>15.648</v>
      </c>
      <c r="R10" s="71">
        <f t="shared" si="4"/>
        <v>17.971</v>
      </c>
      <c r="S10" s="71">
        <f t="shared" si="4"/>
        <v>18.387</v>
      </c>
      <c r="T10" s="71">
        <f t="shared" si="4"/>
        <v>16.190999999999999</v>
      </c>
      <c r="U10" s="71">
        <f t="shared" si="4"/>
        <v>18.442</v>
      </c>
      <c r="V10" s="71">
        <f t="shared" si="4"/>
        <v>16.984000000000002</v>
      </c>
      <c r="W10" s="71">
        <f t="shared" ref="W10:Y10" si="5">SUM(W11:W15)</f>
        <v>17.084</v>
      </c>
      <c r="X10" s="71">
        <f t="shared" si="5"/>
        <v>13.845000000000001</v>
      </c>
      <c r="Y10" s="71">
        <f t="shared" si="5"/>
        <v>13.03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22.379000000000001</v>
      </c>
      <c r="C11" s="73">
        <v>26.725999999999999</v>
      </c>
      <c r="D11" s="73">
        <v>19.61403</v>
      </c>
      <c r="E11" s="73">
        <v>11.430999999999999</v>
      </c>
      <c r="F11" s="73">
        <v>16.100000000000001</v>
      </c>
      <c r="G11" s="73">
        <v>18.353999999999999</v>
      </c>
      <c r="H11" s="73">
        <v>10.465</v>
      </c>
      <c r="I11" s="73">
        <v>14.651</v>
      </c>
      <c r="J11" s="73">
        <v>19.641999999999999</v>
      </c>
      <c r="K11" s="73">
        <v>12.236000000000001</v>
      </c>
      <c r="L11" s="73">
        <v>16.100000000000001</v>
      </c>
      <c r="M11" s="73">
        <v>16.3</v>
      </c>
      <c r="N11" s="73">
        <v>16.137</v>
      </c>
      <c r="O11" s="73">
        <v>15.974</v>
      </c>
      <c r="P11" s="73">
        <v>15.811</v>
      </c>
      <c r="Q11" s="73">
        <v>15.648</v>
      </c>
      <c r="R11" s="73">
        <v>17.971</v>
      </c>
      <c r="S11" s="73">
        <v>18.387</v>
      </c>
      <c r="T11" s="73">
        <v>16.190999999999999</v>
      </c>
      <c r="U11" s="73">
        <v>18.442</v>
      </c>
      <c r="V11" s="73">
        <v>16.984000000000002</v>
      </c>
      <c r="W11" s="73">
        <v>17.084</v>
      </c>
      <c r="X11" s="73">
        <v>13.845000000000001</v>
      </c>
      <c r="Y11" s="73">
        <v>13.03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1369.5838433292533</v>
      </c>
      <c r="C19" s="62">
        <f>IF(C3=0,0,C3/TrNavi_act!C7*100)</f>
        <v>1761.7666446934741</v>
      </c>
      <c r="D19" s="62">
        <f>IF(D3=0,0,D3/TrNavi_act!D7*100)</f>
        <v>1943.9078295341926</v>
      </c>
      <c r="E19" s="62">
        <f>IF(E3=0,0,E3/TrNavi_act!E7*100)</f>
        <v>1589.847009735744</v>
      </c>
      <c r="F19" s="62">
        <f>IF(F3=0,0,F3/TrNavi_act!F7*100)</f>
        <v>1584.6456692913387</v>
      </c>
      <c r="G19" s="62">
        <f>IF(G3=0,0,G3/TrNavi_act!G7*100)</f>
        <v>1693.1734317343171</v>
      </c>
      <c r="H19" s="62">
        <f>IF(H3=0,0,H3/TrNavi_act!H7*100)</f>
        <v>1677.0833333333333</v>
      </c>
      <c r="I19" s="62">
        <f>IF(I3=0,0,I3/TrNavi_act!I7*100)</f>
        <v>1661.1111111111111</v>
      </c>
      <c r="J19" s="62">
        <f>IF(J3=0,0,J3/TrNavi_act!J7*100)</f>
        <v>1645.0586264656617</v>
      </c>
      <c r="K19" s="62">
        <f>IF(K3=0,0,K3/TrNavi_act!K7*100)</f>
        <v>1629.2942743009323</v>
      </c>
      <c r="L19" s="62">
        <f>IF(L3=0,0,L3/TrNavi_act!L7*100)</f>
        <v>1613.226452905812</v>
      </c>
      <c r="M19" s="62">
        <f>IF(M3=0,0,M3/TrNavi_act!M7*100)</f>
        <v>1598.0392156862745</v>
      </c>
      <c r="N19" s="62">
        <f>IF(N3=0,0,N3/TrNavi_act!N7*100)</f>
        <v>1583.6113837095195</v>
      </c>
      <c r="O19" s="62">
        <f>IF(O3=0,0,O3/TrNavi_act!O7*100)</f>
        <v>1567.6153091265949</v>
      </c>
      <c r="P19" s="62">
        <f>IF(P3=0,0,P3/TrNavi_act!P7*100)</f>
        <v>1553.1434184675834</v>
      </c>
      <c r="Q19" s="62">
        <f>IF(Q3=0,0,Q3/TrNavi_act!Q7*100)</f>
        <v>1538.6430678466079</v>
      </c>
      <c r="R19" s="62">
        <f>IF(R3=0,0,R3/TrNavi_act!R7*100)</f>
        <v>1493.8487115544472</v>
      </c>
      <c r="S19" s="62">
        <f>IF(S3=0,0,S3/TrNavi_act!S7*100)</f>
        <v>1486.4187550525464</v>
      </c>
      <c r="T19" s="62">
        <f>IF(T3=0,0,T3/TrNavi_act!T7*100)</f>
        <v>1527.4528301886792</v>
      </c>
      <c r="U19" s="62">
        <f>IF(U3=0,0,U3/TrNavi_act!U7*100)</f>
        <v>1484.8631239935589</v>
      </c>
      <c r="V19" s="62">
        <f>IF(V3=0,0,V3/TrNavi_act!V7*100)</f>
        <v>1511.0320284697509</v>
      </c>
      <c r="W19" s="62">
        <f>IF(W3=0,0,W3/TrNavi_act!W7*100)</f>
        <v>1510.5216622458001</v>
      </c>
      <c r="X19" s="62">
        <f>IF(X3=0,0,X3/TrNavi_act!X7*100)</f>
        <v>1511.4628820960697</v>
      </c>
      <c r="Y19" s="62">
        <f>IF(Y3=0,0,Y3/TrNavi_act!Y7*100)</f>
        <v>1511.6009280742458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1369.5838433292533</v>
      </c>
      <c r="C21" s="64">
        <f>IF(C10=0,0,C10/TrNavi_act!C9*100)</f>
        <v>1761.7666446934741</v>
      </c>
      <c r="D21" s="64">
        <f>IF(D10=0,0,D10/TrNavi_act!D9*100)</f>
        <v>1943.9078295341926</v>
      </c>
      <c r="E21" s="64">
        <f>IF(E10=0,0,E10/TrNavi_act!E9*100)</f>
        <v>1589.847009735744</v>
      </c>
      <c r="F21" s="64">
        <f>IF(F10=0,0,F10/TrNavi_act!F9*100)</f>
        <v>1584.6456692913387</v>
      </c>
      <c r="G21" s="64">
        <f>IF(G10=0,0,G10/TrNavi_act!G9*100)</f>
        <v>1693.1734317343171</v>
      </c>
      <c r="H21" s="64">
        <f>IF(H10=0,0,H10/TrNavi_act!H9*100)</f>
        <v>1677.0833333333333</v>
      </c>
      <c r="I21" s="64">
        <f>IF(I10=0,0,I10/TrNavi_act!I9*100)</f>
        <v>1661.1111111111111</v>
      </c>
      <c r="J21" s="64">
        <f>IF(J10=0,0,J10/TrNavi_act!J9*100)</f>
        <v>1645.0586264656617</v>
      </c>
      <c r="K21" s="64">
        <f>IF(K10=0,0,K10/TrNavi_act!K9*100)</f>
        <v>1629.2942743009323</v>
      </c>
      <c r="L21" s="64">
        <f>IF(L10=0,0,L10/TrNavi_act!L9*100)</f>
        <v>1613.226452905812</v>
      </c>
      <c r="M21" s="64">
        <f>IF(M10=0,0,M10/TrNavi_act!M9*100)</f>
        <v>1598.0392156862745</v>
      </c>
      <c r="N21" s="64">
        <f>IF(N10=0,0,N10/TrNavi_act!N9*100)</f>
        <v>1583.6113837095195</v>
      </c>
      <c r="O21" s="64">
        <f>IF(O10=0,0,O10/TrNavi_act!O9*100)</f>
        <v>1567.6153091265949</v>
      </c>
      <c r="P21" s="64">
        <f>IF(P10=0,0,P10/TrNavi_act!P9*100)</f>
        <v>1553.1434184675834</v>
      </c>
      <c r="Q21" s="64">
        <f>IF(Q10=0,0,Q10/TrNavi_act!Q9*100)</f>
        <v>1538.6430678466079</v>
      </c>
      <c r="R21" s="64">
        <f>IF(R10=0,0,R10/TrNavi_act!R9*100)</f>
        <v>1493.8487115544472</v>
      </c>
      <c r="S21" s="64">
        <f>IF(S10=0,0,S10/TrNavi_act!S9*100)</f>
        <v>1486.4187550525464</v>
      </c>
      <c r="T21" s="64">
        <f>IF(T10=0,0,T10/TrNavi_act!T9*100)</f>
        <v>1527.4528301886792</v>
      </c>
      <c r="U21" s="64">
        <f>IF(U10=0,0,U10/TrNavi_act!U9*100)</f>
        <v>1484.8631239935589</v>
      </c>
      <c r="V21" s="64">
        <f>IF(V10=0,0,V10/TrNavi_act!V9*100)</f>
        <v>1511.0320284697509</v>
      </c>
      <c r="W21" s="64">
        <f>IF(W10=0,0,W10/TrNavi_act!W9*100)</f>
        <v>1510.5216622458001</v>
      </c>
      <c r="X21" s="64">
        <f>IF(X10=0,0,X10/TrNavi_act!X9*100)</f>
        <v>1511.4628820960697</v>
      </c>
      <c r="Y21" s="64">
        <f>IF(Y10=0,0,Y10/TrNavi_act!Y9*100)</f>
        <v>1511.6009280742458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16.224896686725153</v>
      </c>
      <c r="C23" s="62">
        <f>IF(C3=0,0,C3/TrNavi_act!C3*1000)</f>
        <v>26.854903536977492</v>
      </c>
      <c r="D23" s="62">
        <f>IF(D3=0,0,D3/TrNavi_act!D3*1000)</f>
        <v>32.7064032016008</v>
      </c>
      <c r="E23" s="62">
        <f>IF(E3=0,0,E3/TrNavi_act!E3*1000)</f>
        <v>21.877511961722487</v>
      </c>
      <c r="F23" s="62">
        <f>IF(F3=0,0,F3/TrNavi_act!F3*1000)</f>
        <v>21.72739541160594</v>
      </c>
      <c r="G23" s="62">
        <f>IF(G3=0,0,G3/TrNavi_act!G3*1000)</f>
        <v>24.792651627718495</v>
      </c>
      <c r="H23" s="62">
        <f>IF(H3=0,0,H3/TrNavi_act!H3*1000)</f>
        <v>16.129778051787916</v>
      </c>
      <c r="I23" s="62">
        <f>IF(I3=0,0,I3/TrNavi_act!I3*1000)</f>
        <v>14.592629482071713</v>
      </c>
      <c r="J23" s="62">
        <f>IF(J3=0,0,J3/TrNavi_act!J3*1000)</f>
        <v>17.84014532243415</v>
      </c>
      <c r="K23" s="62">
        <f>IF(K3=0,0,K3/TrNavi_act!K3*1000)</f>
        <v>13.610678531701891</v>
      </c>
      <c r="L23" s="62">
        <f>IF(L3=0,0,L3/TrNavi_act!L3*1000)</f>
        <v>13.540790580319596</v>
      </c>
      <c r="M23" s="62">
        <f>IF(M3=0,0,M3/TrNavi_act!M3*1000)</f>
        <v>17.508055853920517</v>
      </c>
      <c r="N23" s="62">
        <f>IF(N3=0,0,N3/TrNavi_act!N3*1000)</f>
        <v>16.366125760649087</v>
      </c>
      <c r="O23" s="62">
        <f>IF(O3=0,0,O3/TrNavi_act!O3*1000)</f>
        <v>15.878727634194831</v>
      </c>
      <c r="P23" s="62">
        <f>IF(P3=0,0,P3/TrNavi_act!P3*1000)</f>
        <v>17.470718232044199</v>
      </c>
      <c r="Q23" s="62">
        <f>IF(Q3=0,0,Q3/TrNavi_act!Q3*1000)</f>
        <v>21.117408906882591</v>
      </c>
      <c r="R23" s="62">
        <f>IF(R3=0,0,R3/TrNavi_act!R3*1000)</f>
        <v>19.901439645625693</v>
      </c>
      <c r="S23" s="62">
        <f>IF(S3=0,0,S3/TrNavi_act!S3*1000)</f>
        <v>19.707395498392284</v>
      </c>
      <c r="T23" s="62">
        <f>IF(T3=0,0,T3/TrNavi_act!T3*1000)</f>
        <v>20.811053984575835</v>
      </c>
      <c r="U23" s="62">
        <f>IF(U3=0,0,U3/TrNavi_act!U3*1000)</f>
        <v>19.681963713980792</v>
      </c>
      <c r="V23" s="62">
        <f>IF(V3=0,0,V3/TrNavi_act!V3*1000)</f>
        <v>20.364508393285373</v>
      </c>
      <c r="W23" s="62">
        <f>IF(W3=0,0,W3/TrNavi_act!W3*1000)</f>
        <v>20.362336114421932</v>
      </c>
      <c r="X23" s="62">
        <f>IF(X3=0,0,X3/TrNavi_act!X3*1000)</f>
        <v>20.360294117647058</v>
      </c>
      <c r="Y23" s="62">
        <f>IF(Y3=0,0,Y3/TrNavi_act!Y3*1000)</f>
        <v>20.359375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16.224896686725153</v>
      </c>
      <c r="C25" s="64">
        <f>IF(C10=0,0,C10/TrNavi_act!C5*1000)</f>
        <v>26.854903536977492</v>
      </c>
      <c r="D25" s="64">
        <f>IF(D10=0,0,D10/TrNavi_act!D5*1000)</f>
        <v>32.7064032016008</v>
      </c>
      <c r="E25" s="64">
        <f>IF(E10=0,0,E10/TrNavi_act!E5*1000)</f>
        <v>21.877511961722487</v>
      </c>
      <c r="F25" s="64">
        <f>IF(F10=0,0,F10/TrNavi_act!F5*1000)</f>
        <v>21.72739541160594</v>
      </c>
      <c r="G25" s="64">
        <f>IF(G10=0,0,G10/TrNavi_act!G5*1000)</f>
        <v>24.792651627718495</v>
      </c>
      <c r="H25" s="64">
        <f>IF(H10=0,0,H10/TrNavi_act!H5*1000)</f>
        <v>16.129778051787916</v>
      </c>
      <c r="I25" s="64">
        <f>IF(I10=0,0,I10/TrNavi_act!I5*1000)</f>
        <v>14.592629482071713</v>
      </c>
      <c r="J25" s="64">
        <f>IF(J10=0,0,J10/TrNavi_act!J5*1000)</f>
        <v>17.84014532243415</v>
      </c>
      <c r="K25" s="64">
        <f>IF(K10=0,0,K10/TrNavi_act!K5*1000)</f>
        <v>13.610678531701891</v>
      </c>
      <c r="L25" s="64">
        <f>IF(L10=0,0,L10/TrNavi_act!L5*1000)</f>
        <v>13.540790580319596</v>
      </c>
      <c r="M25" s="64">
        <f>IF(M10=0,0,M10/TrNavi_act!M5*1000)</f>
        <v>17.508055853920517</v>
      </c>
      <c r="N25" s="64">
        <f>IF(N10=0,0,N10/TrNavi_act!N5*1000)</f>
        <v>16.366125760649087</v>
      </c>
      <c r="O25" s="64">
        <f>IF(O10=0,0,O10/TrNavi_act!O5*1000)</f>
        <v>15.878727634194831</v>
      </c>
      <c r="P25" s="64">
        <f>IF(P10=0,0,P10/TrNavi_act!P5*1000)</f>
        <v>17.470718232044199</v>
      </c>
      <c r="Q25" s="64">
        <f>IF(Q10=0,0,Q10/TrNavi_act!Q5*1000)</f>
        <v>21.117408906882591</v>
      </c>
      <c r="R25" s="64">
        <f>IF(R10=0,0,R10/TrNavi_act!R5*1000)</f>
        <v>19.901439645625693</v>
      </c>
      <c r="S25" s="64">
        <f>IF(S10=0,0,S10/TrNavi_act!S5*1000)</f>
        <v>19.707395498392284</v>
      </c>
      <c r="T25" s="64">
        <f>IF(T10=0,0,T10/TrNavi_act!T5*1000)</f>
        <v>20.811053984575835</v>
      </c>
      <c r="U25" s="64">
        <f>IF(U10=0,0,U10/TrNavi_act!U5*1000)</f>
        <v>19.681963713980792</v>
      </c>
      <c r="V25" s="64">
        <f>IF(V10=0,0,V10/TrNavi_act!V5*1000)</f>
        <v>20.364508393285373</v>
      </c>
      <c r="W25" s="64">
        <f>IF(W10=0,0,W10/TrNavi_act!W5*1000)</f>
        <v>20.362336114421932</v>
      </c>
      <c r="X25" s="64">
        <f>IF(X10=0,0,X10/TrNavi_act!X5*1000)</f>
        <v>20.360294117647058</v>
      </c>
      <c r="Y25" s="64">
        <f>IF(Y10=0,0,Y10/TrNavi_act!Y5*1000)</f>
        <v>20.359375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1</v>
      </c>
      <c r="C29" s="78">
        <f t="shared" si="12"/>
        <v>1</v>
      </c>
      <c r="D29" s="78">
        <f t="shared" si="12"/>
        <v>1</v>
      </c>
      <c r="E29" s="78">
        <f t="shared" si="12"/>
        <v>1</v>
      </c>
      <c r="F29" s="78">
        <f t="shared" si="12"/>
        <v>1</v>
      </c>
      <c r="G29" s="78">
        <f t="shared" si="12"/>
        <v>1</v>
      </c>
      <c r="H29" s="78">
        <f t="shared" si="12"/>
        <v>1</v>
      </c>
      <c r="I29" s="78">
        <f t="shared" si="12"/>
        <v>1</v>
      </c>
      <c r="J29" s="78">
        <f t="shared" si="12"/>
        <v>1</v>
      </c>
      <c r="K29" s="78">
        <f t="shared" si="12"/>
        <v>1</v>
      </c>
      <c r="L29" s="78">
        <f t="shared" si="12"/>
        <v>1</v>
      </c>
      <c r="M29" s="78">
        <f t="shared" si="12"/>
        <v>1</v>
      </c>
      <c r="N29" s="78">
        <f t="shared" si="12"/>
        <v>1</v>
      </c>
      <c r="O29" s="78">
        <f t="shared" si="12"/>
        <v>1</v>
      </c>
      <c r="P29" s="78">
        <f t="shared" si="12"/>
        <v>1</v>
      </c>
      <c r="Q29" s="78">
        <f t="shared" si="12"/>
        <v>1</v>
      </c>
      <c r="R29" s="78">
        <f t="shared" si="12"/>
        <v>1</v>
      </c>
      <c r="S29" s="78">
        <f t="shared" si="12"/>
        <v>1</v>
      </c>
      <c r="T29" s="78">
        <f t="shared" si="12"/>
        <v>1</v>
      </c>
      <c r="U29" s="78">
        <f t="shared" si="12"/>
        <v>1</v>
      </c>
      <c r="V29" s="78">
        <f t="shared" ref="V29:W29" si="13">IF(V10=0,0,V10/V$3)</f>
        <v>1</v>
      </c>
      <c r="W29" s="78">
        <f t="shared" si="13"/>
        <v>1</v>
      </c>
      <c r="X29" s="78">
        <f t="shared" ref="X29:Y29" si="14">IF(X10=0,0,X10/X$3)</f>
        <v>1</v>
      </c>
      <c r="Y29" s="78">
        <f t="shared" si="14"/>
        <v>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69.429030325200003</v>
      </c>
      <c r="C3" s="54">
        <f t="shared" ref="C3:V3" si="1">SUM(C4:C5)</f>
        <v>82.9152448488</v>
      </c>
      <c r="D3" s="54">
        <f t="shared" si="1"/>
        <v>60.850935415763999</v>
      </c>
      <c r="E3" s="54">
        <f t="shared" si="1"/>
        <v>35.463749302799997</v>
      </c>
      <c r="F3" s="54">
        <f t="shared" si="1"/>
        <v>49.948942680000009</v>
      </c>
      <c r="G3" s="54">
        <f t="shared" si="1"/>
        <v>56.941794655199999</v>
      </c>
      <c r="H3" s="54">
        <f t="shared" si="1"/>
        <v>32.466812742000002</v>
      </c>
      <c r="I3" s="54">
        <f t="shared" si="1"/>
        <v>45.453537838800003</v>
      </c>
      <c r="J3" s="54">
        <f t="shared" si="1"/>
        <v>60.937710069600001</v>
      </c>
      <c r="K3" s="54">
        <f t="shared" si="1"/>
        <v>37.961196436800002</v>
      </c>
      <c r="L3" s="54">
        <f t="shared" si="1"/>
        <v>49.948942680000009</v>
      </c>
      <c r="M3" s="54">
        <f t="shared" si="1"/>
        <v>50.569426440000008</v>
      </c>
      <c r="N3" s="54">
        <f t="shared" si="1"/>
        <v>50.063732175600002</v>
      </c>
      <c r="O3" s="54">
        <f t="shared" si="1"/>
        <v>49.558037911200003</v>
      </c>
      <c r="P3" s="54">
        <f t="shared" si="1"/>
        <v>49.052343646800004</v>
      </c>
      <c r="Q3" s="54">
        <f t="shared" si="1"/>
        <v>48.546649382399998</v>
      </c>
      <c r="R3" s="54">
        <f t="shared" si="1"/>
        <v>55.753568254800001</v>
      </c>
      <c r="S3" s="54">
        <f t="shared" si="1"/>
        <v>57.044174475600002</v>
      </c>
      <c r="T3" s="54">
        <f t="shared" si="1"/>
        <v>50.231262790800002</v>
      </c>
      <c r="U3" s="54">
        <f t="shared" si="1"/>
        <v>57.2148075096</v>
      </c>
      <c r="V3" s="54">
        <f t="shared" si="1"/>
        <v>52.691480899200009</v>
      </c>
      <c r="W3" s="54">
        <f t="shared" ref="W3:Y3" si="2">SUM(W4:W5)</f>
        <v>53.001722779200001</v>
      </c>
      <c r="X3" s="54">
        <f t="shared" si="2"/>
        <v>42.952988286000007</v>
      </c>
      <c r="Y3" s="54">
        <f t="shared" si="2"/>
        <v>40.424516963999999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69.429030325200003</v>
      </c>
      <c r="C5" s="58">
        <v>82.9152448488</v>
      </c>
      <c r="D5" s="58">
        <v>60.850935415763999</v>
      </c>
      <c r="E5" s="58">
        <v>35.463749302799997</v>
      </c>
      <c r="F5" s="58">
        <v>49.948942680000009</v>
      </c>
      <c r="G5" s="58">
        <v>56.941794655199999</v>
      </c>
      <c r="H5" s="58">
        <v>32.466812742000002</v>
      </c>
      <c r="I5" s="58">
        <v>45.453537838800003</v>
      </c>
      <c r="J5" s="58">
        <v>60.937710069600001</v>
      </c>
      <c r="K5" s="58">
        <v>37.961196436800002</v>
      </c>
      <c r="L5" s="58">
        <v>49.948942680000009</v>
      </c>
      <c r="M5" s="58">
        <v>50.569426440000008</v>
      </c>
      <c r="N5" s="58">
        <v>50.063732175600002</v>
      </c>
      <c r="O5" s="58">
        <v>49.558037911200003</v>
      </c>
      <c r="P5" s="58">
        <v>49.052343646800004</v>
      </c>
      <c r="Q5" s="58">
        <v>48.546649382399998</v>
      </c>
      <c r="R5" s="58">
        <v>55.753568254800001</v>
      </c>
      <c r="S5" s="58">
        <v>57.044174475600002</v>
      </c>
      <c r="T5" s="58">
        <v>50.231262790800002</v>
      </c>
      <c r="U5" s="58">
        <v>57.2148075096</v>
      </c>
      <c r="V5" s="58">
        <v>52.691480899200009</v>
      </c>
      <c r="W5" s="58">
        <v>53.001722779200001</v>
      </c>
      <c r="X5" s="58">
        <v>42.952988286000007</v>
      </c>
      <c r="Y5" s="58">
        <v>40.424516963999999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>
        <f>IF(X3=0,0,X3/TrNavi_ene!X3)</f>
        <v>3.1024188000000006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>
        <f>IF(X5=0,0,X5/TrNavi_ene!X10)</f>
        <v>3.1024188000000006</v>
      </c>
      <c r="Y11" s="81">
        <f>IF(Y5=0,0,Y5/TrNavi_ene!Y10)</f>
        <v>3.1024188000000001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42490.226637209307</v>
      </c>
      <c r="C13" s="54">
        <f>IF(C3=0,0,C3/TrNavi_act!C7*1000)</f>
        <v>54657.379597099542</v>
      </c>
      <c r="D13" s="54">
        <f>IF(D3=0,0,D3/TrNavi_act!D7*1000)</f>
        <v>60308.161958140736</v>
      </c>
      <c r="E13" s="54">
        <f>IF(E3=0,0,E3/TrNavi_act!E7*1000)</f>
        <v>49323.712521279551</v>
      </c>
      <c r="F13" s="54">
        <f>IF(F3=0,0,F3/TrNavi_act!F7*1000)</f>
        <v>49162.345157480326</v>
      </c>
      <c r="G13" s="54">
        <f>IF(G3=0,0,G3/TrNavi_act!G7*1000)</f>
        <v>52529.330862730625</v>
      </c>
      <c r="H13" s="54">
        <f>IF(H3=0,0,H3/TrNavi_act!H7*1000)</f>
        <v>52030.148625000002</v>
      </c>
      <c r="I13" s="54">
        <f>IF(I3=0,0,I3/TrNavi_act!I7*1000)</f>
        <v>51534.623400000004</v>
      </c>
      <c r="J13" s="54">
        <f>IF(J3=0,0,J3/TrNavi_act!J7*1000)</f>
        <v>51036.608098492463</v>
      </c>
      <c r="K13" s="54">
        <f>IF(K3=0,0,K3/TrNavi_act!K7*1000)</f>
        <v>50547.53187323569</v>
      </c>
      <c r="L13" s="54">
        <f>IF(L3=0,0,L3/TrNavi_act!L7*1000)</f>
        <v>50049.040761523051</v>
      </c>
      <c r="M13" s="54">
        <f>IF(M3=0,0,M3/TrNavi_act!M7*1000)</f>
        <v>49577.86905882354</v>
      </c>
      <c r="N13" s="54">
        <f>IF(N3=0,0,N3/TrNavi_act!N7*1000)</f>
        <v>49130.257287144268</v>
      </c>
      <c r="O13" s="54">
        <f>IF(O3=0,0,O3/TrNavi_act!O7*1000)</f>
        <v>48633.9920620216</v>
      </c>
      <c r="P13" s="54">
        <f>IF(P3=0,0,P3/TrNavi_act!P7*1000)</f>
        <v>48185.013405500991</v>
      </c>
      <c r="Q13" s="54">
        <f>IF(Q3=0,0,Q3/TrNavi_act!Q7*1000)</f>
        <v>47735.151801769913</v>
      </c>
      <c r="R13" s="54">
        <f>IF(R3=0,0,R3/TrNavi_act!R7*1000)</f>
        <v>46345.443270822943</v>
      </c>
      <c r="S13" s="54">
        <f>IF(S3=0,0,S3/TrNavi_act!S7*1000)</f>
        <v>46114.934903476147</v>
      </c>
      <c r="T13" s="54">
        <f>IF(T3=0,0,T3/TrNavi_act!T7*1000)</f>
        <v>47387.983764905664</v>
      </c>
      <c r="U13" s="54">
        <f>IF(U3=0,0,U3/TrNavi_act!U7*1000)</f>
        <v>46066.672713043481</v>
      </c>
      <c r="V13" s="54">
        <f>IF(V3=0,0,V3/TrNavi_act!V7*1000)</f>
        <v>46878.541725266907</v>
      </c>
      <c r="W13" s="54">
        <f>IF(W3=0,0,W3/TrNavi_act!W7*1000)</f>
        <v>46862.70802758621</v>
      </c>
      <c r="X13" s="54">
        <f>IF(X3=0,0,X3/TrNavi_act!X7*1000)</f>
        <v>46891.908609170314</v>
      </c>
      <c r="Y13" s="54">
        <f>IF(Y3=0,0,Y3/TrNavi_act!Y7*1000)</f>
        <v>46896.191373549882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42490.226637209307</v>
      </c>
      <c r="C15" s="58">
        <f>IF(C5=0,0,C5/TrNavi_act!C9*1000)</f>
        <v>54657.379597099542</v>
      </c>
      <c r="D15" s="58">
        <f>IF(D5=0,0,D5/TrNavi_act!D9*1000)</f>
        <v>60308.161958140736</v>
      </c>
      <c r="E15" s="58">
        <f>IF(E5=0,0,E5/TrNavi_act!E9*1000)</f>
        <v>49323.712521279551</v>
      </c>
      <c r="F15" s="58">
        <f>IF(F5=0,0,F5/TrNavi_act!F9*1000)</f>
        <v>49162.345157480326</v>
      </c>
      <c r="G15" s="58">
        <f>IF(G5=0,0,G5/TrNavi_act!G9*1000)</f>
        <v>52529.330862730625</v>
      </c>
      <c r="H15" s="58">
        <f>IF(H5=0,0,H5/TrNavi_act!H9*1000)</f>
        <v>52030.148625000002</v>
      </c>
      <c r="I15" s="58">
        <f>IF(I5=0,0,I5/TrNavi_act!I9*1000)</f>
        <v>51534.623400000004</v>
      </c>
      <c r="J15" s="58">
        <f>IF(J5=0,0,J5/TrNavi_act!J9*1000)</f>
        <v>51036.608098492463</v>
      </c>
      <c r="K15" s="58">
        <f>IF(K5=0,0,K5/TrNavi_act!K9*1000)</f>
        <v>50547.53187323569</v>
      </c>
      <c r="L15" s="58">
        <f>IF(L5=0,0,L5/TrNavi_act!L9*1000)</f>
        <v>50049.040761523051</v>
      </c>
      <c r="M15" s="58">
        <f>IF(M5=0,0,M5/TrNavi_act!M9*1000)</f>
        <v>49577.86905882354</v>
      </c>
      <c r="N15" s="58">
        <f>IF(N5=0,0,N5/TrNavi_act!N9*1000)</f>
        <v>49130.257287144268</v>
      </c>
      <c r="O15" s="58">
        <f>IF(O5=0,0,O5/TrNavi_act!O9*1000)</f>
        <v>48633.9920620216</v>
      </c>
      <c r="P15" s="58">
        <f>IF(P5=0,0,P5/TrNavi_act!P9*1000)</f>
        <v>48185.013405500991</v>
      </c>
      <c r="Q15" s="58">
        <f>IF(Q5=0,0,Q5/TrNavi_act!Q9*1000)</f>
        <v>47735.151801769913</v>
      </c>
      <c r="R15" s="58">
        <f>IF(R5=0,0,R5/TrNavi_act!R9*1000)</f>
        <v>46345.443270822943</v>
      </c>
      <c r="S15" s="58">
        <f>IF(S5=0,0,S5/TrNavi_act!S9*1000)</f>
        <v>46114.934903476147</v>
      </c>
      <c r="T15" s="58">
        <f>IF(T5=0,0,T5/TrNavi_act!T9*1000)</f>
        <v>47387.983764905664</v>
      </c>
      <c r="U15" s="58">
        <f>IF(U5=0,0,U5/TrNavi_act!U9*1000)</f>
        <v>46066.672713043481</v>
      </c>
      <c r="V15" s="58">
        <f>IF(V5=0,0,V5/TrNavi_act!V9*1000)</f>
        <v>46878.541725266907</v>
      </c>
      <c r="W15" s="58">
        <f>IF(W5=0,0,W5/TrNavi_act!W9*1000)</f>
        <v>46862.70802758621</v>
      </c>
      <c r="X15" s="58">
        <f>IF(X5=0,0,X5/TrNavi_act!X9*1000)</f>
        <v>46891.908609170314</v>
      </c>
      <c r="Y15" s="58">
        <f>IF(Y5=0,0,Y5/TrNavi_act!Y9*1000)</f>
        <v>46896.191373549882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50.336424508953819</v>
      </c>
      <c r="C17" s="62">
        <f>IF(C3=0,0,C3/TrNavi_act!C3*1000)</f>
        <v>83.315157605305473</v>
      </c>
      <c r="D17" s="62">
        <f>IF(D3=0,0,D3/TrNavi_act!D3*1000)</f>
        <v>101.4689601730265</v>
      </c>
      <c r="E17" s="62">
        <f>IF(E3=0,0,E3/TrNavi_act!E3*1000)</f>
        <v>67.873204407272723</v>
      </c>
      <c r="F17" s="62">
        <f>IF(F3=0,0,F3/TrNavi_act!F3*1000)</f>
        <v>67.407480000000007</v>
      </c>
      <c r="G17" s="62">
        <f>IF(G3=0,0,G3/TrNavi_act!G3*1000)</f>
        <v>76.917188511684458</v>
      </c>
      <c r="H17" s="62">
        <f>IF(H3=0,0,H3/TrNavi_act!H3*1000)</f>
        <v>50.0413266676942</v>
      </c>
      <c r="I17" s="62">
        <f>IF(I3=0,0,I3/TrNavi_act!I3*1000)</f>
        <v>45.272448046613547</v>
      </c>
      <c r="J17" s="62">
        <f>IF(J3=0,0,J3/TrNavi_act!J3*1000)</f>
        <v>55.347602243051767</v>
      </c>
      <c r="K17" s="62">
        <f>IF(K3=0,0,K3/TrNavi_act!K3*1000)</f>
        <v>42.226024957508344</v>
      </c>
      <c r="L17" s="62">
        <f>IF(L3=0,0,L3/TrNavi_act!L3*1000)</f>
        <v>42.009203263246434</v>
      </c>
      <c r="M17" s="62">
        <f>IF(M3=0,0,M3/TrNavi_act!M3*1000)</f>
        <v>54.317321632653069</v>
      </c>
      <c r="N17" s="62">
        <f>IF(N3=0,0,N3/TrNavi_act!N3*1000)</f>
        <v>50.774576243002031</v>
      </c>
      <c r="O17" s="62">
        <f>IF(O3=0,0,O3/TrNavi_act!O3*1000)</f>
        <v>49.262463132405571</v>
      </c>
      <c r="P17" s="62">
        <f>IF(P3=0,0,P3/TrNavi_act!P3*1000)</f>
        <v>54.201484692596686</v>
      </c>
      <c r="Q17" s="62">
        <f>IF(Q3=0,0,Q3/TrNavi_act!Q3*1000)</f>
        <v>65.515046400000003</v>
      </c>
      <c r="R17" s="62">
        <f>IF(R3=0,0,R3/TrNavi_act!R3*1000)</f>
        <v>61.742600503654486</v>
      </c>
      <c r="S17" s="62">
        <f>IF(S3=0,0,S3/TrNavi_act!S3*1000)</f>
        <v>61.140594293247595</v>
      </c>
      <c r="T17" s="62">
        <f>IF(T3=0,0,T3/TrNavi_act!T3*1000)</f>
        <v>64.564605129562977</v>
      </c>
      <c r="U17" s="62">
        <f>IF(U3=0,0,U3/TrNavi_act!U3*1000)</f>
        <v>61.061694247171822</v>
      </c>
      <c r="V17" s="62">
        <f>IF(V3=0,0,V3/TrNavi_act!V3*1000)</f>
        <v>63.179233692086349</v>
      </c>
      <c r="W17" s="62">
        <f>IF(W3=0,0,W3/TrNavi_act!W3*1000)</f>
        <v>63.172494373301554</v>
      </c>
      <c r="X17" s="62">
        <f>IF(X3=0,0,X3/TrNavi_act!X3*1000)</f>
        <v>63.166159244117658</v>
      </c>
      <c r="Y17" s="62">
        <f>IF(Y3=0,0,Y3/TrNavi_act!Y3*1000)</f>
        <v>63.163307756249992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50.336424508953819</v>
      </c>
      <c r="C19" s="64">
        <f>IF(C5=0,0,C5/TrNavi_act!C5*1000)</f>
        <v>83.315157605305473</v>
      </c>
      <c r="D19" s="64">
        <f>IF(D5=0,0,D5/TrNavi_act!D5*1000)</f>
        <v>101.4689601730265</v>
      </c>
      <c r="E19" s="64">
        <f>IF(E5=0,0,E5/TrNavi_act!E5*1000)</f>
        <v>67.873204407272723</v>
      </c>
      <c r="F19" s="64">
        <f>IF(F5=0,0,F5/TrNavi_act!F5*1000)</f>
        <v>67.407480000000007</v>
      </c>
      <c r="G19" s="64">
        <f>IF(G5=0,0,G5/TrNavi_act!G5*1000)</f>
        <v>76.917188511684458</v>
      </c>
      <c r="H19" s="64">
        <f>IF(H5=0,0,H5/TrNavi_act!H5*1000)</f>
        <v>50.0413266676942</v>
      </c>
      <c r="I19" s="64">
        <f>IF(I5=0,0,I5/TrNavi_act!I5*1000)</f>
        <v>45.272448046613547</v>
      </c>
      <c r="J19" s="64">
        <f>IF(J5=0,0,J5/TrNavi_act!J5*1000)</f>
        <v>55.347602243051767</v>
      </c>
      <c r="K19" s="64">
        <f>IF(K5=0,0,K5/TrNavi_act!K5*1000)</f>
        <v>42.226024957508344</v>
      </c>
      <c r="L19" s="64">
        <f>IF(L5=0,0,L5/TrNavi_act!L5*1000)</f>
        <v>42.009203263246434</v>
      </c>
      <c r="M19" s="64">
        <f>IF(M5=0,0,M5/TrNavi_act!M5*1000)</f>
        <v>54.317321632653069</v>
      </c>
      <c r="N19" s="64">
        <f>IF(N5=0,0,N5/TrNavi_act!N5*1000)</f>
        <v>50.774576243002031</v>
      </c>
      <c r="O19" s="64">
        <f>IF(O5=0,0,O5/TrNavi_act!O5*1000)</f>
        <v>49.262463132405571</v>
      </c>
      <c r="P19" s="64">
        <f>IF(P5=0,0,P5/TrNavi_act!P5*1000)</f>
        <v>54.201484692596686</v>
      </c>
      <c r="Q19" s="64">
        <f>IF(Q5=0,0,Q5/TrNavi_act!Q5*1000)</f>
        <v>65.515046400000003</v>
      </c>
      <c r="R19" s="64">
        <f>IF(R5=0,0,R5/TrNavi_act!R5*1000)</f>
        <v>61.742600503654486</v>
      </c>
      <c r="S19" s="64">
        <f>IF(S5=0,0,S5/TrNavi_act!S5*1000)</f>
        <v>61.140594293247595</v>
      </c>
      <c r="T19" s="64">
        <f>IF(T5=0,0,T5/TrNavi_act!T5*1000)</f>
        <v>64.564605129562977</v>
      </c>
      <c r="U19" s="64">
        <f>IF(U5=0,0,U5/TrNavi_act!U5*1000)</f>
        <v>61.061694247171822</v>
      </c>
      <c r="V19" s="64">
        <f>IF(V5=0,0,V5/TrNavi_act!V5*1000)</f>
        <v>63.179233692086349</v>
      </c>
      <c r="W19" s="64">
        <f>IF(W5=0,0,W5/TrNavi_act!W5*1000)</f>
        <v>63.172494373301554</v>
      </c>
      <c r="X19" s="64">
        <f>IF(X5=0,0,X5/TrNavi_act!X5*1000)</f>
        <v>63.166159244117658</v>
      </c>
      <c r="Y19" s="64">
        <f>IF(Y5=0,0,Y5/TrNavi_act!Y5*1000)</f>
        <v>63.163307756249992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1</v>
      </c>
      <c r="C23" s="78">
        <f t="shared" si="9"/>
        <v>1</v>
      </c>
      <c r="D23" s="78">
        <f t="shared" si="9"/>
        <v>1</v>
      </c>
      <c r="E23" s="78">
        <f t="shared" si="9"/>
        <v>1</v>
      </c>
      <c r="F23" s="78">
        <f t="shared" si="9"/>
        <v>1</v>
      </c>
      <c r="G23" s="78">
        <f t="shared" si="9"/>
        <v>1</v>
      </c>
      <c r="H23" s="78">
        <f t="shared" si="9"/>
        <v>1</v>
      </c>
      <c r="I23" s="78">
        <f t="shared" si="9"/>
        <v>1</v>
      </c>
      <c r="J23" s="78">
        <f t="shared" si="9"/>
        <v>1</v>
      </c>
      <c r="K23" s="78">
        <f t="shared" si="9"/>
        <v>1</v>
      </c>
      <c r="L23" s="78">
        <f t="shared" si="9"/>
        <v>1</v>
      </c>
      <c r="M23" s="78">
        <f t="shared" si="9"/>
        <v>1</v>
      </c>
      <c r="N23" s="78">
        <f t="shared" si="9"/>
        <v>1</v>
      </c>
      <c r="O23" s="78">
        <f t="shared" si="9"/>
        <v>1</v>
      </c>
      <c r="P23" s="78">
        <f t="shared" si="9"/>
        <v>1</v>
      </c>
      <c r="Q23" s="78">
        <f t="shared" si="9"/>
        <v>1</v>
      </c>
      <c r="R23" s="78">
        <f t="shared" si="9"/>
        <v>1</v>
      </c>
      <c r="S23" s="78">
        <f t="shared" si="9"/>
        <v>1</v>
      </c>
      <c r="T23" s="78">
        <f t="shared" si="9"/>
        <v>1</v>
      </c>
      <c r="U23" s="78">
        <f t="shared" si="9"/>
        <v>1</v>
      </c>
      <c r="V23" s="78">
        <f t="shared" ref="V23:W23" si="10">IF(V5=0,0,V5/V$3)</f>
        <v>1</v>
      </c>
      <c r="W23" s="78">
        <f t="shared" si="10"/>
        <v>1</v>
      </c>
      <c r="X23" s="78">
        <f t="shared" ref="X23:Y23" si="11">IF(X5=0,0,X5/X$3)</f>
        <v>1</v>
      </c>
      <c r="Y23" s="78">
        <f t="shared" si="11"/>
        <v>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X3" s="54">
        <f t="shared" ref="X3:Y3" si="2">SUM(X4:X5)</f>
        <v>0</v>
      </c>
      <c r="Y3" s="54">
        <f t="shared" si="2"/>
        <v>0</v>
      </c>
      <c r="DA3" s="172" t="s">
        <v>388</v>
      </c>
    </row>
    <row r="4" spans="1:105" ht="11.45" customHeight="1" x14ac:dyDescent="0.25">
      <c r="A4" s="55" t="s">
        <v>166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DA4" s="181" t="s">
        <v>389</v>
      </c>
    </row>
    <row r="5" spans="1:105" ht="11.45" customHeight="1" x14ac:dyDescent="0.25">
      <c r="A5" s="57" t="s">
        <v>167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si="3"/>
        <v>0</v>
      </c>
      <c r="S7" s="59">
        <f t="shared" si="3"/>
        <v>0</v>
      </c>
      <c r="T7" s="59">
        <f t="shared" si="3"/>
        <v>0</v>
      </c>
      <c r="U7" s="59">
        <f t="shared" si="3"/>
        <v>0</v>
      </c>
      <c r="V7" s="59">
        <f t="shared" si="3"/>
        <v>0</v>
      </c>
      <c r="W7" s="59">
        <f t="shared" si="3"/>
        <v>0</v>
      </c>
      <c r="X7" s="59">
        <f t="shared" ref="X7:Y7" si="4">SUM(X8:X9)</f>
        <v>0</v>
      </c>
      <c r="Y7" s="59">
        <f t="shared" si="4"/>
        <v>0</v>
      </c>
      <c r="DA7" s="172" t="s">
        <v>963</v>
      </c>
    </row>
    <row r="8" spans="1:105" ht="11.45" customHeight="1" x14ac:dyDescent="0.25">
      <c r="A8" s="55" t="s">
        <v>166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DA8" s="181" t="s">
        <v>964</v>
      </c>
    </row>
    <row r="9" spans="1:105" ht="11.45" customHeight="1" x14ac:dyDescent="0.25">
      <c r="A9" s="57" t="s">
        <v>167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0</v>
      </c>
      <c r="C13" s="62">
        <f t="shared" si="5"/>
        <v>0</v>
      </c>
      <c r="D13" s="62">
        <f t="shared" si="5"/>
        <v>0</v>
      </c>
      <c r="E13" s="62">
        <f t="shared" si="5"/>
        <v>0</v>
      </c>
      <c r="F13" s="62">
        <f t="shared" si="5"/>
        <v>0</v>
      </c>
      <c r="G13" s="62">
        <f t="shared" si="5"/>
        <v>0</v>
      </c>
      <c r="H13" s="62">
        <f t="shared" si="5"/>
        <v>0</v>
      </c>
      <c r="I13" s="62">
        <f t="shared" si="5"/>
        <v>0</v>
      </c>
      <c r="J13" s="62">
        <f t="shared" si="5"/>
        <v>0</v>
      </c>
      <c r="K13" s="62">
        <f t="shared" si="5"/>
        <v>0</v>
      </c>
      <c r="L13" s="62">
        <f t="shared" si="5"/>
        <v>0</v>
      </c>
      <c r="M13" s="62">
        <f t="shared" si="5"/>
        <v>0</v>
      </c>
      <c r="N13" s="62">
        <f t="shared" si="5"/>
        <v>0</v>
      </c>
      <c r="O13" s="62">
        <f t="shared" si="5"/>
        <v>0</v>
      </c>
      <c r="P13" s="62">
        <f t="shared" si="5"/>
        <v>0</v>
      </c>
      <c r="Q13" s="62">
        <f t="shared" si="5"/>
        <v>0</v>
      </c>
      <c r="R13" s="62">
        <f t="shared" si="5"/>
        <v>0</v>
      </c>
      <c r="S13" s="62">
        <f t="shared" si="5"/>
        <v>0</v>
      </c>
      <c r="T13" s="62">
        <f t="shared" si="5"/>
        <v>0</v>
      </c>
      <c r="U13" s="62">
        <f t="shared" si="5"/>
        <v>0</v>
      </c>
      <c r="V13" s="62">
        <f t="shared" si="5"/>
        <v>0</v>
      </c>
      <c r="W13" s="62">
        <f t="shared" si="5"/>
        <v>0</v>
      </c>
      <c r="X13" s="62">
        <f t="shared" ref="X13:Y13" si="6">IF(X3=0,0,X3/X7)</f>
        <v>0</v>
      </c>
      <c r="Y13" s="62">
        <f t="shared" si="6"/>
        <v>0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0</v>
      </c>
      <c r="C14" s="63">
        <f t="shared" si="5"/>
        <v>0</v>
      </c>
      <c r="D14" s="63">
        <f t="shared" si="5"/>
        <v>0</v>
      </c>
      <c r="E14" s="63">
        <f t="shared" si="5"/>
        <v>0</v>
      </c>
      <c r="F14" s="63">
        <f t="shared" si="5"/>
        <v>0</v>
      </c>
      <c r="G14" s="63">
        <f t="shared" si="5"/>
        <v>0</v>
      </c>
      <c r="H14" s="63">
        <f t="shared" si="5"/>
        <v>0</v>
      </c>
      <c r="I14" s="63">
        <f t="shared" si="5"/>
        <v>0</v>
      </c>
      <c r="J14" s="63">
        <f t="shared" si="5"/>
        <v>0</v>
      </c>
      <c r="K14" s="63">
        <f t="shared" si="5"/>
        <v>0</v>
      </c>
      <c r="L14" s="63">
        <f t="shared" si="5"/>
        <v>0</v>
      </c>
      <c r="M14" s="63">
        <f t="shared" si="5"/>
        <v>0</v>
      </c>
      <c r="N14" s="63">
        <f t="shared" si="5"/>
        <v>0</v>
      </c>
      <c r="O14" s="63">
        <f t="shared" si="5"/>
        <v>0</v>
      </c>
      <c r="P14" s="63">
        <f t="shared" si="5"/>
        <v>0</v>
      </c>
      <c r="Q14" s="63">
        <f t="shared" si="5"/>
        <v>0</v>
      </c>
      <c r="R14" s="63">
        <f t="shared" si="5"/>
        <v>0</v>
      </c>
      <c r="S14" s="63">
        <f t="shared" si="5"/>
        <v>0</v>
      </c>
      <c r="T14" s="63">
        <f t="shared" si="5"/>
        <v>0</v>
      </c>
      <c r="U14" s="63">
        <f t="shared" si="5"/>
        <v>0</v>
      </c>
      <c r="V14" s="63">
        <f t="shared" si="5"/>
        <v>0</v>
      </c>
      <c r="W14" s="63">
        <f t="shared" si="5"/>
        <v>0</v>
      </c>
      <c r="X14" s="63">
        <f t="shared" ref="X14:Y14" si="7">IF(X4=0,0,X4/X8)</f>
        <v>0</v>
      </c>
      <c r="Y14" s="63">
        <f t="shared" si="7"/>
        <v>0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0</v>
      </c>
      <c r="C15" s="64">
        <f t="shared" si="5"/>
        <v>0</v>
      </c>
      <c r="D15" s="64">
        <f t="shared" si="5"/>
        <v>0</v>
      </c>
      <c r="E15" s="64">
        <f t="shared" si="5"/>
        <v>0</v>
      </c>
      <c r="F15" s="64">
        <f t="shared" si="5"/>
        <v>0</v>
      </c>
      <c r="G15" s="64">
        <f t="shared" si="5"/>
        <v>0</v>
      </c>
      <c r="H15" s="64">
        <f t="shared" si="5"/>
        <v>0</v>
      </c>
      <c r="I15" s="64">
        <f t="shared" si="5"/>
        <v>0</v>
      </c>
      <c r="J15" s="64">
        <f t="shared" si="5"/>
        <v>0</v>
      </c>
      <c r="K15" s="64">
        <f t="shared" si="5"/>
        <v>0</v>
      </c>
      <c r="L15" s="64">
        <f t="shared" si="5"/>
        <v>0</v>
      </c>
      <c r="M15" s="64">
        <f t="shared" si="5"/>
        <v>0</v>
      </c>
      <c r="N15" s="64">
        <f t="shared" si="5"/>
        <v>0</v>
      </c>
      <c r="O15" s="64">
        <f t="shared" si="5"/>
        <v>0</v>
      </c>
      <c r="P15" s="64">
        <f t="shared" si="5"/>
        <v>0</v>
      </c>
      <c r="Q15" s="64">
        <f t="shared" si="5"/>
        <v>0</v>
      </c>
      <c r="R15" s="64">
        <f t="shared" si="5"/>
        <v>0</v>
      </c>
      <c r="S15" s="64">
        <f t="shared" si="5"/>
        <v>0</v>
      </c>
      <c r="T15" s="64">
        <f t="shared" si="5"/>
        <v>0</v>
      </c>
      <c r="U15" s="64">
        <f t="shared" si="5"/>
        <v>0</v>
      </c>
      <c r="V15" s="64">
        <f t="shared" si="5"/>
        <v>0</v>
      </c>
      <c r="W15" s="64">
        <f t="shared" si="5"/>
        <v>0</v>
      </c>
      <c r="X15" s="64">
        <f t="shared" ref="X15:Y15" si="8">IF(X5=0,0,X5/X9)</f>
        <v>0</v>
      </c>
      <c r="Y15" s="64">
        <f t="shared" si="8"/>
        <v>0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0</v>
      </c>
      <c r="C17" s="65">
        <f t="shared" si="9"/>
        <v>0</v>
      </c>
      <c r="D17" s="65">
        <f t="shared" si="9"/>
        <v>0</v>
      </c>
      <c r="E17" s="65">
        <f t="shared" si="9"/>
        <v>0</v>
      </c>
      <c r="F17" s="65">
        <f t="shared" si="9"/>
        <v>0</v>
      </c>
      <c r="G17" s="65">
        <f t="shared" si="9"/>
        <v>0</v>
      </c>
      <c r="H17" s="65">
        <f t="shared" si="9"/>
        <v>0</v>
      </c>
      <c r="I17" s="65">
        <f t="shared" si="9"/>
        <v>0</v>
      </c>
      <c r="J17" s="65">
        <f t="shared" si="9"/>
        <v>0</v>
      </c>
      <c r="K17" s="65">
        <f t="shared" si="9"/>
        <v>0</v>
      </c>
      <c r="L17" s="65">
        <f t="shared" si="9"/>
        <v>0</v>
      </c>
      <c r="M17" s="65">
        <f t="shared" si="9"/>
        <v>0</v>
      </c>
      <c r="N17" s="65">
        <f t="shared" si="9"/>
        <v>0</v>
      </c>
      <c r="O17" s="65">
        <f t="shared" si="9"/>
        <v>0</v>
      </c>
      <c r="P17" s="65">
        <f t="shared" si="9"/>
        <v>0</v>
      </c>
      <c r="Q17" s="65">
        <f t="shared" si="9"/>
        <v>0</v>
      </c>
      <c r="R17" s="65">
        <f t="shared" si="9"/>
        <v>0</v>
      </c>
      <c r="S17" s="65">
        <f t="shared" si="9"/>
        <v>0</v>
      </c>
      <c r="T17" s="65">
        <f t="shared" si="9"/>
        <v>0</v>
      </c>
      <c r="U17" s="65">
        <f t="shared" si="9"/>
        <v>0</v>
      </c>
      <c r="V17" s="65">
        <f t="shared" si="9"/>
        <v>0</v>
      </c>
      <c r="W17" s="65">
        <f t="shared" si="9"/>
        <v>0</v>
      </c>
      <c r="X17" s="65">
        <f t="shared" ref="X17:Y17" si="10">IF(X3=0,0,X3/X$3)</f>
        <v>0</v>
      </c>
      <c r="Y17" s="65">
        <f t="shared" si="10"/>
        <v>0</v>
      </c>
      <c r="DA17" s="172"/>
    </row>
    <row r="18" spans="1:105" ht="11.45" customHeight="1" x14ac:dyDescent="0.25">
      <c r="A18" s="55" t="s">
        <v>166</v>
      </c>
      <c r="B18" s="66">
        <f t="shared" si="9"/>
        <v>0</v>
      </c>
      <c r="C18" s="66">
        <f t="shared" si="9"/>
        <v>0</v>
      </c>
      <c r="D18" s="66">
        <f t="shared" si="9"/>
        <v>0</v>
      </c>
      <c r="E18" s="66">
        <f t="shared" si="9"/>
        <v>0</v>
      </c>
      <c r="F18" s="66">
        <f t="shared" si="9"/>
        <v>0</v>
      </c>
      <c r="G18" s="66">
        <f t="shared" si="9"/>
        <v>0</v>
      </c>
      <c r="H18" s="66">
        <f t="shared" si="9"/>
        <v>0</v>
      </c>
      <c r="I18" s="66">
        <f t="shared" si="9"/>
        <v>0</v>
      </c>
      <c r="J18" s="66">
        <f t="shared" si="9"/>
        <v>0</v>
      </c>
      <c r="K18" s="66">
        <f t="shared" si="9"/>
        <v>0</v>
      </c>
      <c r="L18" s="66">
        <f t="shared" si="9"/>
        <v>0</v>
      </c>
      <c r="M18" s="66">
        <f t="shared" si="9"/>
        <v>0</v>
      </c>
      <c r="N18" s="66">
        <f t="shared" si="9"/>
        <v>0</v>
      </c>
      <c r="O18" s="66">
        <f t="shared" si="9"/>
        <v>0</v>
      </c>
      <c r="P18" s="66">
        <f t="shared" si="9"/>
        <v>0</v>
      </c>
      <c r="Q18" s="66">
        <f t="shared" si="9"/>
        <v>0</v>
      </c>
      <c r="R18" s="66">
        <f t="shared" si="9"/>
        <v>0</v>
      </c>
      <c r="S18" s="66">
        <f t="shared" si="9"/>
        <v>0</v>
      </c>
      <c r="T18" s="66">
        <f t="shared" si="9"/>
        <v>0</v>
      </c>
      <c r="U18" s="66">
        <f t="shared" si="9"/>
        <v>0</v>
      </c>
      <c r="V18" s="66">
        <f t="shared" si="9"/>
        <v>0</v>
      </c>
      <c r="W18" s="66">
        <f t="shared" si="9"/>
        <v>0</v>
      </c>
      <c r="X18" s="66">
        <f t="shared" ref="X18:Y18" si="11">IF(X4=0,0,X4/X$3)</f>
        <v>0</v>
      </c>
      <c r="Y18" s="66">
        <f t="shared" si="11"/>
        <v>0</v>
      </c>
      <c r="DA18" s="181"/>
    </row>
    <row r="19" spans="1:105" ht="11.45" customHeight="1" x14ac:dyDescent="0.25">
      <c r="A19" s="57" t="s">
        <v>167</v>
      </c>
      <c r="B19" s="67">
        <f t="shared" si="9"/>
        <v>0</v>
      </c>
      <c r="C19" s="67">
        <f t="shared" si="9"/>
        <v>0</v>
      </c>
      <c r="D19" s="67">
        <f t="shared" si="9"/>
        <v>0</v>
      </c>
      <c r="E19" s="67">
        <f t="shared" si="9"/>
        <v>0</v>
      </c>
      <c r="F19" s="67">
        <f t="shared" si="9"/>
        <v>0</v>
      </c>
      <c r="G19" s="67">
        <f t="shared" si="9"/>
        <v>0</v>
      </c>
      <c r="H19" s="67">
        <f t="shared" si="9"/>
        <v>0</v>
      </c>
      <c r="I19" s="67">
        <f t="shared" si="9"/>
        <v>0</v>
      </c>
      <c r="J19" s="67">
        <f t="shared" si="9"/>
        <v>0</v>
      </c>
      <c r="K19" s="67">
        <f t="shared" si="9"/>
        <v>0</v>
      </c>
      <c r="L19" s="67">
        <f t="shared" si="9"/>
        <v>0</v>
      </c>
      <c r="M19" s="67">
        <f t="shared" si="9"/>
        <v>0</v>
      </c>
      <c r="N19" s="67">
        <f t="shared" si="9"/>
        <v>0</v>
      </c>
      <c r="O19" s="67">
        <f t="shared" si="9"/>
        <v>0</v>
      </c>
      <c r="P19" s="67">
        <f t="shared" si="9"/>
        <v>0</v>
      </c>
      <c r="Q19" s="67">
        <f t="shared" si="9"/>
        <v>0</v>
      </c>
      <c r="R19" s="67">
        <f t="shared" si="9"/>
        <v>0</v>
      </c>
      <c r="S19" s="67">
        <f t="shared" si="9"/>
        <v>0</v>
      </c>
      <c r="T19" s="67">
        <f t="shared" si="9"/>
        <v>0</v>
      </c>
      <c r="U19" s="67">
        <f t="shared" si="9"/>
        <v>0</v>
      </c>
      <c r="V19" s="67">
        <f t="shared" si="9"/>
        <v>0</v>
      </c>
      <c r="W19" s="67">
        <f t="shared" si="9"/>
        <v>0</v>
      </c>
      <c r="X19" s="67">
        <f t="shared" ref="X19:Y19" si="12">IF(X5=0,0,X5/X$3)</f>
        <v>0</v>
      </c>
      <c r="Y19" s="67">
        <f t="shared" si="12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0</v>
      </c>
      <c r="C21" s="65">
        <f t="shared" si="13"/>
        <v>0</v>
      </c>
      <c r="D21" s="65">
        <f t="shared" si="13"/>
        <v>0</v>
      </c>
      <c r="E21" s="65">
        <f t="shared" si="13"/>
        <v>0</v>
      </c>
      <c r="F21" s="65">
        <f t="shared" si="13"/>
        <v>0</v>
      </c>
      <c r="G21" s="65">
        <f t="shared" si="13"/>
        <v>0</v>
      </c>
      <c r="H21" s="65">
        <f t="shared" si="13"/>
        <v>0</v>
      </c>
      <c r="I21" s="65">
        <f t="shared" si="13"/>
        <v>0</v>
      </c>
      <c r="J21" s="65">
        <f t="shared" si="13"/>
        <v>0</v>
      </c>
      <c r="K21" s="65">
        <f t="shared" si="13"/>
        <v>0</v>
      </c>
      <c r="L21" s="65">
        <f t="shared" si="13"/>
        <v>0</v>
      </c>
      <c r="M21" s="65">
        <f t="shared" si="13"/>
        <v>0</v>
      </c>
      <c r="N21" s="65">
        <f t="shared" si="13"/>
        <v>0</v>
      </c>
      <c r="O21" s="65">
        <f t="shared" si="13"/>
        <v>0</v>
      </c>
      <c r="P21" s="65">
        <f t="shared" si="13"/>
        <v>0</v>
      </c>
      <c r="Q21" s="65">
        <f t="shared" si="13"/>
        <v>0</v>
      </c>
      <c r="R21" s="65">
        <f t="shared" si="13"/>
        <v>0</v>
      </c>
      <c r="S21" s="65">
        <f t="shared" si="13"/>
        <v>0</v>
      </c>
      <c r="T21" s="65">
        <f t="shared" si="13"/>
        <v>0</v>
      </c>
      <c r="U21" s="65">
        <f t="shared" si="13"/>
        <v>0</v>
      </c>
      <c r="V21" s="65">
        <f t="shared" si="13"/>
        <v>0</v>
      </c>
      <c r="W21" s="65">
        <f t="shared" si="13"/>
        <v>0</v>
      </c>
      <c r="X21" s="65">
        <f t="shared" ref="X21:Y21" si="14">IF(X7=0,0,X7/X$7)</f>
        <v>0</v>
      </c>
      <c r="Y21" s="65">
        <f t="shared" si="14"/>
        <v>0</v>
      </c>
      <c r="DA21" s="172"/>
    </row>
    <row r="22" spans="1:105" ht="11.45" customHeight="1" x14ac:dyDescent="0.25">
      <c r="A22" s="55" t="s">
        <v>166</v>
      </c>
      <c r="B22" s="66">
        <f t="shared" si="13"/>
        <v>0</v>
      </c>
      <c r="C22" s="66">
        <f t="shared" si="13"/>
        <v>0</v>
      </c>
      <c r="D22" s="66">
        <f t="shared" si="13"/>
        <v>0</v>
      </c>
      <c r="E22" s="66">
        <f t="shared" si="13"/>
        <v>0</v>
      </c>
      <c r="F22" s="66">
        <f t="shared" si="13"/>
        <v>0</v>
      </c>
      <c r="G22" s="66">
        <f t="shared" si="13"/>
        <v>0</v>
      </c>
      <c r="H22" s="66">
        <f t="shared" si="13"/>
        <v>0</v>
      </c>
      <c r="I22" s="66">
        <f t="shared" si="13"/>
        <v>0</v>
      </c>
      <c r="J22" s="66">
        <f t="shared" si="13"/>
        <v>0</v>
      </c>
      <c r="K22" s="66">
        <f t="shared" si="13"/>
        <v>0</v>
      </c>
      <c r="L22" s="66">
        <f t="shared" si="13"/>
        <v>0</v>
      </c>
      <c r="M22" s="66">
        <f t="shared" si="13"/>
        <v>0</v>
      </c>
      <c r="N22" s="66">
        <f t="shared" si="13"/>
        <v>0</v>
      </c>
      <c r="O22" s="66">
        <f t="shared" si="13"/>
        <v>0</v>
      </c>
      <c r="P22" s="66">
        <f t="shared" si="13"/>
        <v>0</v>
      </c>
      <c r="Q22" s="66">
        <f t="shared" si="13"/>
        <v>0</v>
      </c>
      <c r="R22" s="66">
        <f t="shared" si="13"/>
        <v>0</v>
      </c>
      <c r="S22" s="66">
        <f t="shared" si="13"/>
        <v>0</v>
      </c>
      <c r="T22" s="66">
        <f t="shared" si="13"/>
        <v>0</v>
      </c>
      <c r="U22" s="66">
        <f t="shared" si="13"/>
        <v>0</v>
      </c>
      <c r="V22" s="66">
        <f t="shared" si="13"/>
        <v>0</v>
      </c>
      <c r="W22" s="66">
        <f t="shared" si="13"/>
        <v>0</v>
      </c>
      <c r="X22" s="66">
        <f t="shared" ref="X22:Y22" si="15">IF(X8=0,0,X8/X$7)</f>
        <v>0</v>
      </c>
      <c r="Y22" s="66">
        <f t="shared" si="15"/>
        <v>0</v>
      </c>
      <c r="DA22" s="181"/>
    </row>
    <row r="23" spans="1:105" ht="11.45" customHeight="1" x14ac:dyDescent="0.25">
      <c r="A23" s="57" t="s">
        <v>167</v>
      </c>
      <c r="B23" s="67">
        <f t="shared" si="13"/>
        <v>0</v>
      </c>
      <c r="C23" s="67">
        <f t="shared" si="13"/>
        <v>0</v>
      </c>
      <c r="D23" s="67">
        <f t="shared" si="13"/>
        <v>0</v>
      </c>
      <c r="E23" s="67">
        <f t="shared" si="13"/>
        <v>0</v>
      </c>
      <c r="F23" s="67">
        <f t="shared" si="13"/>
        <v>0</v>
      </c>
      <c r="G23" s="67">
        <f t="shared" si="13"/>
        <v>0</v>
      </c>
      <c r="H23" s="67">
        <f t="shared" si="13"/>
        <v>0</v>
      </c>
      <c r="I23" s="67">
        <f t="shared" si="13"/>
        <v>0</v>
      </c>
      <c r="J23" s="67">
        <f t="shared" si="13"/>
        <v>0</v>
      </c>
      <c r="K23" s="67">
        <f t="shared" si="13"/>
        <v>0</v>
      </c>
      <c r="L23" s="67">
        <f t="shared" si="13"/>
        <v>0</v>
      </c>
      <c r="M23" s="67">
        <f t="shared" si="13"/>
        <v>0</v>
      </c>
      <c r="N23" s="67">
        <f t="shared" si="13"/>
        <v>0</v>
      </c>
      <c r="O23" s="67">
        <f t="shared" si="13"/>
        <v>0</v>
      </c>
      <c r="P23" s="67">
        <f t="shared" si="13"/>
        <v>0</v>
      </c>
      <c r="Q23" s="67">
        <f t="shared" si="13"/>
        <v>0</v>
      </c>
      <c r="R23" s="67">
        <f t="shared" si="13"/>
        <v>0</v>
      </c>
      <c r="S23" s="67">
        <f t="shared" si="13"/>
        <v>0</v>
      </c>
      <c r="T23" s="67">
        <f t="shared" si="13"/>
        <v>0</v>
      </c>
      <c r="U23" s="67">
        <f t="shared" si="13"/>
        <v>0</v>
      </c>
      <c r="V23" s="67">
        <f t="shared" si="13"/>
        <v>0</v>
      </c>
      <c r="W23" s="67">
        <f t="shared" si="13"/>
        <v>0</v>
      </c>
      <c r="X23" s="67">
        <f t="shared" ref="X23:Y23" si="16">IF(X9=0,0,X9/X$7)</f>
        <v>0</v>
      </c>
      <c r="Y23" s="67">
        <f t="shared" si="16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X3" s="62">
        <f t="shared" ref="X3:Y3" si="1">SUM(X4,X10)</f>
        <v>0</v>
      </c>
      <c r="Y3" s="62">
        <f t="shared" si="1"/>
        <v>0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0</v>
      </c>
      <c r="C4" s="71">
        <f t="shared" ref="C4:W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si="2"/>
        <v>0</v>
      </c>
      <c r="X4" s="71">
        <f t="shared" ref="X4:Y4" si="3">SUM(X5:X9)</f>
        <v>0</v>
      </c>
      <c r="Y4" s="71">
        <f t="shared" si="3"/>
        <v>0</v>
      </c>
      <c r="DA4" s="186" t="s">
        <v>971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0</v>
      </c>
      <c r="C10" s="71">
        <f t="shared" ref="C10:W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si="4"/>
        <v>0</v>
      </c>
      <c r="X10" s="71">
        <f t="shared" ref="X10:Y10" si="5">SUM(X11:X15)</f>
        <v>0</v>
      </c>
      <c r="Y10" s="71">
        <f t="shared" si="5"/>
        <v>0</v>
      </c>
      <c r="DA10" s="186" t="s">
        <v>977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X19" s="62">
        <f>IF(X3=0,0,X3/MBunk_act!X7*100)</f>
        <v>0</v>
      </c>
      <c r="Y19" s="62">
        <f>IF(Y3=0,0,Y3/MBunk_act!Y7*100)</f>
        <v>0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X20" s="63">
        <f>IF(X4=0,0,X4/MBunk_act!X8*100)</f>
        <v>0</v>
      </c>
      <c r="Y20" s="63">
        <f>IF(Y4=0,0,Y4/MBunk_act!Y8*100)</f>
        <v>0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X21" s="64">
        <f>IF(X10=0,0,X10/MBunk_act!X9*100)</f>
        <v>0</v>
      </c>
      <c r="Y21" s="64">
        <f>IF(Y10=0,0,Y10/MBunk_act!Y9*100)</f>
        <v>0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X23" s="62">
        <f>IF(X3=0,0,X3/MBunk_act!X3*1000)</f>
        <v>0</v>
      </c>
      <c r="Y23" s="62">
        <f>IF(Y3=0,0,Y3/MBunk_act!Y3*1000)</f>
        <v>0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X24" s="63">
        <f>IF(X4=0,0,X4/MBunk_act!X4*1000)</f>
        <v>0</v>
      </c>
      <c r="Y24" s="63">
        <f>IF(Y4=0,0,Y4/MBunk_act!Y4*1000)</f>
        <v>0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X25" s="64">
        <f>IF(X10=0,0,X10/MBunk_act!X5*1000)</f>
        <v>0</v>
      </c>
      <c r="Y25" s="64">
        <f>IF(Y10=0,0,Y10/MBunk_act!Y5*1000)</f>
        <v>0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6">IF(C3=0,0,C3/C$3)</f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si="6"/>
        <v>0</v>
      </c>
      <c r="W27" s="76">
        <f t="shared" si="6"/>
        <v>0</v>
      </c>
      <c r="X27" s="76">
        <f t="shared" ref="X27:Y27" si="7">IF(X3=0,0,X3/X$3)</f>
        <v>0</v>
      </c>
      <c r="Y27" s="76">
        <f t="shared" si="7"/>
        <v>0</v>
      </c>
      <c r="DA27" s="183"/>
    </row>
    <row r="28" spans="1:105" ht="11.45" customHeight="1" x14ac:dyDescent="0.25">
      <c r="A28" s="55" t="s">
        <v>166</v>
      </c>
      <c r="B28" s="77">
        <f>IF(B4=0,0,B4/B$3)</f>
        <v>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</v>
      </c>
      <c r="H28" s="77">
        <f t="shared" si="6"/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6"/>
        <v>0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77">
        <f t="shared" si="6"/>
        <v>0</v>
      </c>
      <c r="U28" s="77">
        <f t="shared" si="6"/>
        <v>0</v>
      </c>
      <c r="V28" s="77">
        <f t="shared" si="6"/>
        <v>0</v>
      </c>
      <c r="W28" s="77">
        <f t="shared" si="6"/>
        <v>0</v>
      </c>
      <c r="X28" s="77">
        <f t="shared" ref="X28:Y28" si="8">IF(X4=0,0,X4/X$3)</f>
        <v>0</v>
      </c>
      <c r="Y28" s="77">
        <f t="shared" si="8"/>
        <v>0</v>
      </c>
      <c r="DA28" s="184"/>
    </row>
    <row r="29" spans="1:105" ht="11.45" customHeight="1" x14ac:dyDescent="0.25">
      <c r="A29" s="57" t="s">
        <v>167</v>
      </c>
      <c r="B29" s="78">
        <f>IF(B10=0,0,B10/B$3)</f>
        <v>0</v>
      </c>
      <c r="C29" s="78">
        <f t="shared" ref="C29:W29" si="9">IF(C10=0,0,C10/C$3)</f>
        <v>0</v>
      </c>
      <c r="D29" s="78">
        <f t="shared" si="9"/>
        <v>0</v>
      </c>
      <c r="E29" s="78">
        <f t="shared" si="9"/>
        <v>0</v>
      </c>
      <c r="F29" s="78">
        <f t="shared" si="9"/>
        <v>0</v>
      </c>
      <c r="G29" s="78">
        <f t="shared" si="9"/>
        <v>0</v>
      </c>
      <c r="H29" s="78">
        <f t="shared" si="9"/>
        <v>0</v>
      </c>
      <c r="I29" s="78">
        <f t="shared" si="9"/>
        <v>0</v>
      </c>
      <c r="J29" s="78">
        <f t="shared" si="9"/>
        <v>0</v>
      </c>
      <c r="K29" s="78">
        <f t="shared" si="9"/>
        <v>0</v>
      </c>
      <c r="L29" s="78">
        <f t="shared" si="9"/>
        <v>0</v>
      </c>
      <c r="M29" s="78">
        <f t="shared" si="9"/>
        <v>0</v>
      </c>
      <c r="N29" s="78">
        <f t="shared" si="9"/>
        <v>0</v>
      </c>
      <c r="O29" s="78">
        <f t="shared" si="9"/>
        <v>0</v>
      </c>
      <c r="P29" s="78">
        <f t="shared" si="9"/>
        <v>0</v>
      </c>
      <c r="Q29" s="78">
        <f t="shared" si="9"/>
        <v>0</v>
      </c>
      <c r="R29" s="78">
        <f t="shared" si="9"/>
        <v>0</v>
      </c>
      <c r="S29" s="78">
        <f t="shared" si="9"/>
        <v>0</v>
      </c>
      <c r="T29" s="78">
        <f t="shared" si="9"/>
        <v>0</v>
      </c>
      <c r="U29" s="78">
        <f t="shared" si="9"/>
        <v>0</v>
      </c>
      <c r="V29" s="78">
        <f t="shared" si="9"/>
        <v>0</v>
      </c>
      <c r="W29" s="78">
        <f t="shared" si="9"/>
        <v>0</v>
      </c>
      <c r="X29" s="78">
        <f t="shared" ref="X29:Y29" si="10">IF(X10=0,0,X10/X$3)</f>
        <v>0</v>
      </c>
      <c r="Y29" s="78">
        <f t="shared" si="10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X3" s="62">
        <f t="shared" ref="X3:Y3" si="2">SUM(X4:X5)</f>
        <v>0</v>
      </c>
      <c r="Y3" s="62">
        <f t="shared" si="2"/>
        <v>0</v>
      </c>
      <c r="DA3" s="172" t="s">
        <v>987</v>
      </c>
    </row>
    <row r="4" spans="1:105" ht="11.45" customHeight="1" x14ac:dyDescent="0.25">
      <c r="A4" s="55" t="s">
        <v>166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DA4" s="181" t="s">
        <v>988</v>
      </c>
    </row>
    <row r="5" spans="1:105" ht="11.45" customHeight="1" x14ac:dyDescent="0.25">
      <c r="A5" s="57" t="s">
        <v>167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X9" s="79">
        <f>IF(X3=0,0,X3/MBunk_ene!X3)</f>
        <v>0</v>
      </c>
      <c r="Y9" s="79">
        <f>IF(Y3=0,0,Y3/MBunk_ene!Y3)</f>
        <v>0</v>
      </c>
      <c r="DA9" s="172"/>
    </row>
    <row r="10" spans="1:105" ht="11.45" customHeight="1" x14ac:dyDescent="0.25">
      <c r="A10" s="55" t="s">
        <v>166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X10" s="80">
        <f>IF(X4=0,0,X4/MBunk_ene!X4)</f>
        <v>0</v>
      </c>
      <c r="Y10" s="80">
        <f>IF(Y4=0,0,Y4/MBunk_ene!Y4)</f>
        <v>0</v>
      </c>
      <c r="DA10" s="181"/>
    </row>
    <row r="11" spans="1:105" ht="11.45" customHeight="1" x14ac:dyDescent="0.25">
      <c r="A11" s="57" t="s">
        <v>167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X11" s="81">
        <f>IF(X5=0,0,X5/MBunk_ene!X10)</f>
        <v>0</v>
      </c>
      <c r="Y11" s="81">
        <f>IF(Y5=0,0,Y5/MBunk_ene!Y10)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X13" s="62">
        <f>IF(X3=0,0,X3/MBunk_act!X7*100)</f>
        <v>0</v>
      </c>
      <c r="Y13" s="62">
        <f>IF(Y3=0,0,Y3/MBunk_act!Y7*100)</f>
        <v>0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X14" s="63">
        <f>IF(X4=0,0,X4/MBunk_act!X8*100)</f>
        <v>0</v>
      </c>
      <c r="Y14" s="63">
        <f>IF(Y4=0,0,Y4/MBunk_act!Y8*100)</f>
        <v>0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X15" s="64">
        <f>IF(X5=0,0,X5/MBunk_act!X9*100)</f>
        <v>0</v>
      </c>
      <c r="Y15" s="64">
        <f>IF(Y5=0,0,Y5/MBunk_act!Y9*100)</f>
        <v>0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X17" s="62">
        <f>IF(X3=0,0,X3/MBunk_act!X3*1000)</f>
        <v>0</v>
      </c>
      <c r="Y17" s="62">
        <f>IF(Y3=0,0,Y3/MBunk_act!Y3*1000)</f>
        <v>0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X18" s="63">
        <f>IF(X4=0,0,X4/MBunk_act!X4*1000)</f>
        <v>0</v>
      </c>
      <c r="Y18" s="63">
        <f>IF(Y4=0,0,Y4/MBunk_act!Y4*1000)</f>
        <v>0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X19" s="64">
        <f>IF(X5=0,0,X5/MBunk_act!X5*1000)</f>
        <v>0</v>
      </c>
      <c r="Y19" s="64">
        <f>IF(Y5=0,0,Y5/MBunk_act!Y5*1000)</f>
        <v>0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si="3"/>
        <v>0</v>
      </c>
      <c r="W21" s="76">
        <f t="shared" si="3"/>
        <v>0</v>
      </c>
      <c r="X21" s="76">
        <f t="shared" ref="X21:Y21" si="4">IF(X3=0,0,X3/X$3)</f>
        <v>0</v>
      </c>
      <c r="Y21" s="76">
        <f t="shared" si="4"/>
        <v>0</v>
      </c>
      <c r="DA21" s="183"/>
    </row>
    <row r="22" spans="1:105" ht="11.45" customHeight="1" x14ac:dyDescent="0.25">
      <c r="A22" s="55" t="s">
        <v>166</v>
      </c>
      <c r="B22" s="77">
        <f t="shared" si="3"/>
        <v>0</v>
      </c>
      <c r="C22" s="77">
        <f t="shared" si="3"/>
        <v>0</v>
      </c>
      <c r="D22" s="77">
        <f t="shared" si="3"/>
        <v>0</v>
      </c>
      <c r="E22" s="77">
        <f t="shared" si="3"/>
        <v>0</v>
      </c>
      <c r="F22" s="77">
        <f t="shared" si="3"/>
        <v>0</v>
      </c>
      <c r="G22" s="77">
        <f t="shared" si="3"/>
        <v>0</v>
      </c>
      <c r="H22" s="77">
        <f t="shared" si="3"/>
        <v>0</v>
      </c>
      <c r="I22" s="77">
        <f t="shared" si="3"/>
        <v>0</v>
      </c>
      <c r="J22" s="77">
        <f t="shared" si="3"/>
        <v>0</v>
      </c>
      <c r="K22" s="77">
        <f t="shared" si="3"/>
        <v>0</v>
      </c>
      <c r="L22" s="77">
        <f t="shared" si="3"/>
        <v>0</v>
      </c>
      <c r="M22" s="77">
        <f t="shared" si="3"/>
        <v>0</v>
      </c>
      <c r="N22" s="77">
        <f t="shared" si="3"/>
        <v>0</v>
      </c>
      <c r="O22" s="77">
        <f t="shared" si="3"/>
        <v>0</v>
      </c>
      <c r="P22" s="77">
        <f t="shared" si="3"/>
        <v>0</v>
      </c>
      <c r="Q22" s="77">
        <f t="shared" si="3"/>
        <v>0</v>
      </c>
      <c r="R22" s="77">
        <f t="shared" si="3"/>
        <v>0</v>
      </c>
      <c r="S22" s="77">
        <f t="shared" si="3"/>
        <v>0</v>
      </c>
      <c r="T22" s="77">
        <f t="shared" si="3"/>
        <v>0</v>
      </c>
      <c r="U22" s="77">
        <f t="shared" si="3"/>
        <v>0</v>
      </c>
      <c r="V22" s="77">
        <f t="shared" si="3"/>
        <v>0</v>
      </c>
      <c r="W22" s="77">
        <f t="shared" si="3"/>
        <v>0</v>
      </c>
      <c r="X22" s="77">
        <f t="shared" ref="X22:Y22" si="5">IF(X4=0,0,X4/X$3)</f>
        <v>0</v>
      </c>
      <c r="Y22" s="77">
        <f t="shared" si="5"/>
        <v>0</v>
      </c>
      <c r="DA22" s="184"/>
    </row>
    <row r="23" spans="1:105" ht="11.45" customHeight="1" x14ac:dyDescent="0.25">
      <c r="A23" s="57" t="s">
        <v>167</v>
      </c>
      <c r="B23" s="78">
        <f t="shared" si="3"/>
        <v>0</v>
      </c>
      <c r="C23" s="78">
        <f t="shared" si="3"/>
        <v>0</v>
      </c>
      <c r="D23" s="78">
        <f t="shared" si="3"/>
        <v>0</v>
      </c>
      <c r="E23" s="78">
        <f t="shared" si="3"/>
        <v>0</v>
      </c>
      <c r="F23" s="78">
        <f t="shared" si="3"/>
        <v>0</v>
      </c>
      <c r="G23" s="78">
        <f t="shared" si="3"/>
        <v>0</v>
      </c>
      <c r="H23" s="78">
        <f t="shared" si="3"/>
        <v>0</v>
      </c>
      <c r="I23" s="78">
        <f t="shared" si="3"/>
        <v>0</v>
      </c>
      <c r="J23" s="78">
        <f t="shared" si="3"/>
        <v>0</v>
      </c>
      <c r="K23" s="78">
        <f t="shared" si="3"/>
        <v>0</v>
      </c>
      <c r="L23" s="78">
        <f t="shared" si="3"/>
        <v>0</v>
      </c>
      <c r="M23" s="78">
        <f t="shared" si="3"/>
        <v>0</v>
      </c>
      <c r="N23" s="78">
        <f t="shared" si="3"/>
        <v>0</v>
      </c>
      <c r="O23" s="78">
        <f t="shared" si="3"/>
        <v>0</v>
      </c>
      <c r="P23" s="78">
        <f t="shared" si="3"/>
        <v>0</v>
      </c>
      <c r="Q23" s="78">
        <f t="shared" si="3"/>
        <v>0</v>
      </c>
      <c r="R23" s="78">
        <f t="shared" si="3"/>
        <v>0</v>
      </c>
      <c r="S23" s="78">
        <f t="shared" si="3"/>
        <v>0</v>
      </c>
      <c r="T23" s="78">
        <f t="shared" si="3"/>
        <v>0</v>
      </c>
      <c r="U23" s="78">
        <f t="shared" si="3"/>
        <v>0</v>
      </c>
      <c r="V23" s="78">
        <f t="shared" si="3"/>
        <v>0</v>
      </c>
      <c r="W23" s="78">
        <f t="shared" si="3"/>
        <v>0</v>
      </c>
      <c r="X23" s="78">
        <f t="shared" ref="X23:Y23" si="6">IF(X5=0,0,X5/X$3)</f>
        <v>0</v>
      </c>
      <c r="Y23" s="78">
        <f t="shared" si="6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2025-11-06T10:31:56Z</dcterms:created>
  <dcterms:modified xsi:type="dcterms:W3CDTF">2025-11-06T10:31:56Z</dcterms:modified>
</cp:coreProperties>
</file>