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V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119" i="6"/>
  <c r="Y173" i="6" s="1"/>
  <c r="X119" i="6"/>
  <c r="X173" i="6" s="1"/>
  <c r="X26" i="12"/>
  <c r="Y16" i="7"/>
  <c r="X16" i="7"/>
  <c r="Y14" i="13"/>
  <c r="X13" i="12"/>
  <c r="X21" i="12"/>
  <c r="X20" i="12"/>
  <c r="X16" i="8"/>
  <c r="Y14" i="12"/>
  <c r="X7" i="12"/>
  <c r="Y6" i="12"/>
  <c r="X33" i="10"/>
  <c r="Y22" i="13"/>
  <c r="X22" i="13"/>
  <c r="Y21" i="13"/>
  <c r="X21" i="13"/>
  <c r="Y20" i="13"/>
  <c r="Y18" i="13"/>
  <c r="X18" i="10"/>
  <c r="Y17" i="13"/>
  <c r="X17" i="10"/>
  <c r="Y6" i="13"/>
  <c r="X5" i="10"/>
  <c r="Y33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14" i="24"/>
  <c r="X13" i="23"/>
  <c r="Y10" i="24"/>
  <c r="X9" i="23"/>
  <c r="Y8" i="23"/>
  <c r="Y7" i="25"/>
  <c r="X24" i="23"/>
  <c r="Y23" i="23"/>
  <c r="X23" i="23"/>
  <c r="Y22" i="23"/>
  <c r="Y20" i="23"/>
  <c r="Y20" i="26" s="1"/>
  <c r="X33" i="21"/>
  <c r="Y22" i="24"/>
  <c r="Y20" i="21"/>
  <c r="X18" i="24"/>
  <c r="Y17" i="24"/>
  <c r="X15" i="21"/>
  <c r="X20" i="21"/>
  <c r="Y18" i="21"/>
  <c r="X5" i="21"/>
  <c r="Y33" i="25"/>
  <c r="Y33" i="28" s="1"/>
  <c r="X33" i="25"/>
  <c r="X33" i="28" s="1"/>
  <c r="Y26" i="25"/>
  <c r="Y26" i="28" s="1"/>
  <c r="X25" i="25"/>
  <c r="X25" i="28" s="1"/>
  <c r="X24" i="25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33" i="24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2" i="29"/>
  <c r="X5" i="30" s="1"/>
  <c r="Y12" i="35"/>
  <c r="X12" i="35"/>
  <c r="Y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X12" i="34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27" i="6" l="1"/>
  <c r="Y24" i="28" s="1"/>
  <c r="Y17" i="10"/>
  <c r="Y18" i="10"/>
  <c r="X8" i="12"/>
  <c r="Y24" i="23"/>
  <c r="Y24" i="26" s="1"/>
  <c r="Y5" i="10"/>
  <c r="X25" i="23"/>
  <c r="Y24" i="12"/>
  <c r="X25" i="12"/>
  <c r="X23" i="21"/>
  <c r="Y23" i="10"/>
  <c r="Y10" i="12"/>
  <c r="X8" i="13"/>
  <c r="X11" i="12"/>
  <c r="Y8" i="13"/>
  <c r="X21" i="21"/>
  <c r="X9" i="21"/>
  <c r="X25" i="24"/>
  <c r="X17" i="24"/>
  <c r="X17" i="27" s="1"/>
  <c r="X25" i="13"/>
  <c r="X12" i="12"/>
  <c r="X7" i="21"/>
  <c r="X14" i="30"/>
  <c r="X7" i="14"/>
  <c r="Y25" i="13"/>
  <c r="X31" i="23"/>
  <c r="X26" i="13"/>
  <c r="Y26" i="24"/>
  <c r="Y31" i="23"/>
  <c r="Y10" i="13"/>
  <c r="Y26" i="13"/>
  <c r="X27" i="21"/>
  <c r="X32" i="23"/>
  <c r="X32" i="26" s="1"/>
  <c r="X11" i="13"/>
  <c r="Y11" i="24"/>
  <c r="Y11" i="27" s="1"/>
  <c r="X13" i="29"/>
  <c r="X5" i="29" s="1"/>
  <c r="X12" i="24"/>
  <c r="X12" i="13"/>
  <c r="X30" i="13"/>
  <c r="X8" i="24"/>
  <c r="X8" i="27" s="1"/>
  <c r="Y8" i="25"/>
  <c r="Y8" i="28" s="1"/>
  <c r="Y13" i="29"/>
  <c r="Y5" i="29" s="1"/>
  <c r="Y9" i="25"/>
  <c r="Y9" i="28" s="1"/>
  <c r="Y12" i="24"/>
  <c r="Y12" i="27" s="1"/>
  <c r="Y21" i="25"/>
  <c r="Y21" i="28" s="1"/>
  <c r="X10" i="14"/>
  <c r="X30" i="14"/>
  <c r="Y12" i="13"/>
  <c r="Y7" i="24"/>
  <c r="Y52" i="38"/>
  <c r="X14" i="29"/>
  <c r="X10" i="25"/>
  <c r="X13" i="21"/>
  <c r="X31" i="24"/>
  <c r="X17" i="23"/>
  <c r="X22" i="24"/>
  <c r="Y10" i="14"/>
  <c r="X31" i="13"/>
  <c r="Y33" i="12"/>
  <c r="Y17" i="23"/>
  <c r="X31" i="14"/>
  <c r="Y31" i="13"/>
  <c r="X8" i="25"/>
  <c r="X8" i="28" s="1"/>
  <c r="X9" i="36"/>
  <c r="Y53" i="38"/>
  <c r="Y31" i="14"/>
  <c r="X32" i="10"/>
  <c r="Y8" i="24"/>
  <c r="Y8" i="27" s="1"/>
  <c r="Y14" i="21"/>
  <c r="Y32" i="21"/>
  <c r="X17" i="13"/>
  <c r="Y19" i="22"/>
  <c r="Y45" i="37"/>
  <c r="Y33" i="21"/>
  <c r="Y12" i="23"/>
  <c r="X6" i="14"/>
  <c r="X10" i="12"/>
  <c r="X14" i="13"/>
  <c r="X13" i="24"/>
  <c r="X32" i="25"/>
  <c r="X11" i="24"/>
  <c r="X29" i="19"/>
  <c r="X71" i="6"/>
  <c r="X7" i="25"/>
  <c r="X17" i="25"/>
  <c r="X17" i="28" s="1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11" i="23"/>
  <c r="Y26" i="12"/>
  <c r="Y29" i="7"/>
  <c r="Y37" i="6"/>
  <c r="X33" i="24"/>
  <c r="Y30" i="14"/>
  <c r="Y24" i="13"/>
  <c r="Y30" i="13"/>
  <c r="X18" i="12"/>
  <c r="X23" i="14"/>
  <c r="X28" i="12"/>
  <c r="X33" i="12"/>
  <c r="X27" i="6"/>
  <c r="X23" i="26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24" i="15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31" i="6" s="1"/>
  <c r="X21" i="27"/>
  <c r="X29" i="8"/>
  <c r="X30" i="12"/>
  <c r="X30" i="10"/>
  <c r="X4" i="7"/>
  <c r="X5" i="12"/>
  <c r="X32" i="14"/>
  <c r="X29" i="11"/>
  <c r="Y20" i="12"/>
  <c r="Y20" i="10"/>
  <c r="X33" i="6"/>
  <c r="X5" i="24"/>
  <c r="X5" i="23"/>
  <c r="X30" i="23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4" i="13" s="1"/>
  <c r="X15" i="10"/>
  <c r="Y13" i="12"/>
  <c r="X27" i="10"/>
  <c r="Y11" i="12"/>
  <c r="Y21" i="27"/>
  <c r="X5" i="25"/>
  <c r="X28" i="13"/>
  <c r="X11" i="26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46" i="37"/>
  <c r="X21" i="23"/>
  <c r="X21" i="26" s="1"/>
  <c r="Y13" i="13"/>
  <c r="X19" i="7"/>
  <c r="X27" i="12" s="1"/>
  <c r="X29" i="7"/>
  <c r="Y19" i="18"/>
  <c r="Y31" i="25"/>
  <c r="Y31" i="28" s="1"/>
  <c r="Y9" i="38"/>
  <c r="Y52" i="37"/>
  <c r="X32" i="24"/>
  <c r="X32" i="27" s="1"/>
  <c r="Y51" i="39"/>
  <c r="Y6" i="24"/>
  <c r="Y6" i="27" s="1"/>
  <c r="Y24" i="24"/>
  <c r="Y18" i="23"/>
  <c r="X16" i="9"/>
  <c r="X16" i="13" s="1"/>
  <c r="X19" i="8"/>
  <c r="Y33" i="6"/>
  <c r="Y31" i="6" s="1"/>
  <c r="X16" i="10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X28" i="26"/>
  <c r="Y16" i="11"/>
  <c r="Y16" i="14" s="1"/>
  <c r="Y6" i="10"/>
  <c r="X25" i="10"/>
  <c r="X16" i="19"/>
  <c r="X7" i="10"/>
  <c r="Y25" i="10"/>
  <c r="Y19" i="9"/>
  <c r="X12" i="23"/>
  <c r="Y22" i="21"/>
  <c r="Y13" i="21"/>
  <c r="Y16" i="19"/>
  <c r="X8" i="10"/>
  <c r="X26" i="10"/>
  <c r="X30" i="25"/>
  <c r="Y23" i="21"/>
  <c r="X14" i="21"/>
  <c r="X33" i="23"/>
  <c r="X4" i="11"/>
  <c r="X4" i="14" s="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10" i="28"/>
  <c r="X23" i="24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X29" i="22"/>
  <c r="Y12" i="10"/>
  <c r="X24" i="6"/>
  <c r="X17" i="38"/>
  <c r="X53" i="37"/>
  <c r="X17" i="39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4" i="19"/>
  <c r="X26" i="23"/>
  <c r="Y9" i="14"/>
  <c r="Y25" i="6"/>
  <c r="Y49" i="37"/>
  <c r="X16" i="29"/>
  <c r="Y9" i="23"/>
  <c r="X26" i="6"/>
  <c r="X33" i="39"/>
  <c r="Y51" i="38"/>
  <c r="X9" i="38"/>
  <c r="X52" i="38"/>
  <c r="X68" i="29"/>
  <c r="X6" i="30" s="1"/>
  <c r="X10" i="23"/>
  <c r="X6" i="29"/>
  <c r="X5" i="32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3" i="7"/>
  <c r="X69" i="29"/>
  <c r="X6" i="31" s="1"/>
  <c r="Y8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21" i="6"/>
  <c r="Y20" i="6"/>
  <c r="Y69" i="29"/>
  <c r="Y6" i="31" s="1"/>
  <c r="Y5" i="24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10" i="27"/>
  <c r="Y14" i="27"/>
  <c r="X16" i="22"/>
  <c r="Y7" i="21"/>
  <c r="X16" i="20"/>
  <c r="X18" i="21"/>
  <c r="Y28" i="23"/>
  <c r="Y28" i="26" s="1"/>
  <c r="X16" i="18"/>
  <c r="X18" i="23"/>
  <c r="Y7" i="13"/>
  <c r="Y11" i="13"/>
  <c r="Y23" i="13"/>
  <c r="X92" i="6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25" i="26" l="1"/>
  <c r="Y19" i="23"/>
  <c r="Y19" i="26" s="1"/>
  <c r="Y33" i="27"/>
  <c r="X18" i="27"/>
  <c r="Y12" i="26"/>
  <c r="X31" i="26"/>
  <c r="Y9" i="27"/>
  <c r="Y5" i="27"/>
  <c r="Y31" i="27"/>
  <c r="Y18" i="26"/>
  <c r="Y33" i="26"/>
  <c r="Y26" i="27"/>
  <c r="Y24" i="27"/>
  <c r="Y22" i="27"/>
  <c r="X5" i="31"/>
  <c r="Y18" i="27"/>
  <c r="Y7" i="26"/>
  <c r="Y22" i="28"/>
  <c r="Y5" i="31"/>
  <c r="X10" i="26"/>
  <c r="Y9" i="26"/>
  <c r="Y25" i="27"/>
  <c r="Y29" i="12"/>
  <c r="Y29" i="15" s="1"/>
  <c r="Y29" i="14"/>
  <c r="Y29" i="17" s="1"/>
  <c r="X12" i="36"/>
  <c r="X29" i="23"/>
  <c r="X29" i="26" s="1"/>
  <c r="Y23" i="26"/>
  <c r="X22" i="27"/>
  <c r="X23" i="28"/>
  <c r="Y5" i="37"/>
  <c r="Y34" i="37" s="1"/>
  <c r="X14" i="27"/>
  <c r="X30" i="28"/>
  <c r="X29" i="13"/>
  <c r="X29" i="16" s="1"/>
  <c r="X7" i="28"/>
  <c r="X30" i="26"/>
  <c r="Y10" i="16"/>
  <c r="X113" i="6"/>
  <c r="X143" i="6" s="1"/>
  <c r="X19" i="10"/>
  <c r="X94" i="6"/>
  <c r="X163" i="6"/>
  <c r="X15" i="12"/>
  <c r="X15" i="15" s="1"/>
  <c r="X114" i="6"/>
  <c r="X168" i="6" s="1"/>
  <c r="Y16" i="23"/>
  <c r="Y16" i="26" s="1"/>
  <c r="X90" i="6"/>
  <c r="X91" i="6"/>
  <c r="X5" i="28"/>
  <c r="X5" i="39"/>
  <c r="Y5" i="39"/>
  <c r="Y37" i="39" s="1"/>
  <c r="X14" i="26"/>
  <c r="X26" i="26"/>
  <c r="X12" i="26"/>
  <c r="X23" i="27"/>
  <c r="X18" i="26"/>
  <c r="X10" i="27"/>
  <c r="X31" i="28"/>
  <c r="X7" i="26"/>
  <c r="Y7" i="27"/>
  <c r="Y23" i="28"/>
  <c r="X4" i="23"/>
  <c r="X4" i="26" s="1"/>
  <c r="X29" i="10"/>
  <c r="X3" i="8"/>
  <c r="X3" i="19"/>
  <c r="X3" i="23" s="1"/>
  <c r="X9" i="29"/>
  <c r="X3" i="35" s="1"/>
  <c r="X25" i="27"/>
  <c r="Y27" i="24"/>
  <c r="Y27" i="27" s="1"/>
  <c r="X5" i="26"/>
  <c r="X13" i="26"/>
  <c r="X5" i="27"/>
  <c r="X17" i="26"/>
  <c r="X11" i="27"/>
  <c r="X27" i="13"/>
  <c r="X27" i="16" s="1"/>
  <c r="X33" i="27"/>
  <c r="X9" i="27"/>
  <c r="X13" i="27"/>
  <c r="X89" i="6"/>
  <c r="Y139" i="6"/>
  <c r="X26" i="27"/>
  <c r="X21" i="28"/>
  <c r="X22" i="26"/>
  <c r="X4" i="12"/>
  <c r="X4" i="15" s="1"/>
  <c r="X7" i="27"/>
  <c r="X30" i="27"/>
  <c r="X24" i="27"/>
  <c r="Y30" i="15"/>
  <c r="Y15" i="13"/>
  <c r="Y15" i="16" s="1"/>
  <c r="X33" i="26"/>
  <c r="Y16" i="25"/>
  <c r="Y16" i="28" s="1"/>
  <c r="Y10" i="17"/>
  <c r="Y7" i="28"/>
  <c r="X22" i="15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38" i="37" s="1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4" i="17"/>
  <c r="X140" i="6"/>
  <c r="X16" i="15"/>
  <c r="X20" i="17"/>
  <c r="X32" i="16"/>
  <c r="X8" i="15"/>
  <c r="X23" i="15"/>
  <c r="Y31" i="36"/>
  <c r="Y34" i="36"/>
  <c r="Y32" i="36"/>
  <c r="X8" i="36"/>
  <c r="X3" i="11"/>
  <c r="Y44" i="37"/>
  <c r="Y159" i="6"/>
  <c r="Y135" i="6"/>
  <c r="X5" i="38"/>
  <c r="X38" i="38" s="1"/>
  <c r="X44" i="37"/>
  <c r="X3" i="31"/>
  <c r="Y163" i="6"/>
  <c r="Y165" i="6"/>
  <c r="Y37" i="37"/>
  <c r="Y3" i="31"/>
  <c r="X158" i="6"/>
  <c r="X125" i="6"/>
  <c r="Y164" i="6"/>
  <c r="X3" i="32"/>
  <c r="X3" i="30"/>
  <c r="X3" i="33"/>
  <c r="Y171" i="6"/>
  <c r="Y162" i="6"/>
  <c r="Y157" i="6"/>
  <c r="Y124" i="6"/>
  <c r="Y134" i="6"/>
  <c r="Y125" i="6"/>
  <c r="X12" i="15"/>
  <c r="X13" i="16"/>
  <c r="X16" i="16"/>
  <c r="Y169" i="6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3" i="29" s="1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Y36" i="37"/>
  <c r="Y35" i="37"/>
  <c r="Y39" i="37"/>
  <c r="Y40" i="37"/>
  <c r="Y32" i="37"/>
  <c r="X31" i="36" l="1"/>
  <c r="X34" i="36"/>
  <c r="X167" i="6"/>
  <c r="X38" i="39"/>
  <c r="X32" i="36"/>
  <c r="X144" i="6"/>
  <c r="Y38" i="37"/>
  <c r="X3" i="12"/>
  <c r="Y38" i="39"/>
  <c r="Y35" i="39"/>
  <c r="X36" i="39"/>
  <c r="Y36" i="39"/>
  <c r="Y44" i="39"/>
  <c r="X44" i="39"/>
  <c r="X32" i="37"/>
  <c r="X35" i="39"/>
  <c r="X33" i="37"/>
  <c r="X39" i="37"/>
  <c r="X40" i="37"/>
  <c r="X34" i="37"/>
  <c r="X37" i="39"/>
  <c r="X36" i="37"/>
  <c r="Y39" i="38"/>
  <c r="Y44" i="38"/>
  <c r="X37" i="37"/>
  <c r="X35" i="37"/>
  <c r="X3" i="13"/>
  <c r="X153" i="6"/>
  <c r="X3" i="10"/>
  <c r="X3" i="14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15" l="1"/>
  <c r="X31" i="37"/>
  <c r="X31" i="39"/>
  <c r="X3" i="1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K5" i="29" s="1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8" i="34"/>
  <c r="W3" i="33"/>
  <c r="W8" i="32"/>
  <c r="S3" i="31"/>
  <c r="S8" i="30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W3" i="30"/>
  <c r="U3" i="34"/>
  <c r="U19" i="23"/>
  <c r="R3" i="35"/>
  <c r="W3" i="31"/>
  <c r="T3" i="35"/>
  <c r="N3" i="29"/>
  <c r="U3" i="32"/>
  <c r="G3" i="29"/>
  <c r="S3" i="33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E4" i="24"/>
  <c r="P29" i="25"/>
  <c r="P29" i="28" s="1"/>
  <c r="K29" i="12"/>
  <c r="K29" i="13"/>
  <c r="N19" i="24"/>
  <c r="K16" i="24"/>
  <c r="O4" i="24"/>
  <c r="E19" i="14"/>
  <c r="F4" i="24"/>
  <c r="O4" i="23"/>
  <c r="N19" i="23"/>
  <c r="G16" i="12"/>
  <c r="C4" i="13"/>
  <c r="O4" i="12"/>
  <c r="C16" i="13"/>
  <c r="E4" i="23"/>
  <c r="H4" i="12"/>
  <c r="J29" i="13"/>
  <c r="C4" i="12"/>
  <c r="G19" i="24"/>
  <c r="G19" i="27" s="1"/>
  <c r="P29" i="12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H4" i="27" s="1"/>
  <c r="M4" i="12"/>
  <c r="M4" i="15" s="1"/>
  <c r="O19" i="24"/>
  <c r="O19" i="27" s="1"/>
  <c r="P16" i="24"/>
  <c r="P16" i="27" s="1"/>
  <c r="L19" i="13"/>
  <c r="L19" i="16" s="1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N16" i="17" s="1"/>
  <c r="D4" i="13"/>
  <c r="D4" i="16" s="1"/>
  <c r="N16" i="12"/>
  <c r="N16" i="15" s="1"/>
  <c r="E16" i="12"/>
  <c r="E16" i="15" s="1"/>
  <c r="I16" i="14"/>
  <c r="I16" i="17" s="1"/>
  <c r="Q4" i="23"/>
  <c r="Q4" i="26" s="1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B19" i="16" s="1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L4" i="16" s="1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B19" i="15" s="1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4" i="4"/>
  <c r="B17" i="4"/>
  <c r="B34" i="4"/>
  <c r="B23" i="4"/>
  <c r="B13" i="4"/>
  <c r="B38" i="4"/>
  <c r="B37" i="4"/>
  <c r="B8" i="4"/>
  <c r="B7" i="4"/>
  <c r="B35" i="4"/>
  <c r="B44" i="4"/>
  <c r="B30" i="4"/>
  <c r="B36" i="4"/>
  <c r="B14" i="4"/>
  <c r="B33" i="4"/>
  <c r="B25" i="4"/>
  <c r="B16" i="4"/>
  <c r="B29" i="4"/>
  <c r="B21" i="4"/>
  <c r="B11" i="4"/>
  <c r="B9" i="4"/>
  <c r="B45" i="4"/>
  <c r="B12" i="4"/>
  <c r="B22" i="4"/>
  <c r="B26" i="4"/>
  <c r="B42" i="4"/>
  <c r="B43" i="4"/>
  <c r="B10" i="4"/>
  <c r="B39" i="4"/>
  <c r="B15" i="4"/>
  <c r="B27" i="4"/>
  <c r="B20" i="4"/>
  <c r="B28" i="4"/>
  <c r="B4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<sst xmlns="http://schemas.openxmlformats.org/spreadsheetml/2006/main" count="2101" uniqueCount="1057">
  <si>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</si>
  <si>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</si>
  <si>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</si>
  <si>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</si>
  <si>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</si>
  <si>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</si>
  <si>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</si>
  <si>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</si>
  <si>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</si>
  <si>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</si>
  <si>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</si>
  <si>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</si>
  <si>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</si>
  <si>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</si>
  <si>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</si>
  <si>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</si>
  <si>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</si>
  <si>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</si>
  <si>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</si>
  <si>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</si>
  <si>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</si>
  <si>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</si>
  <si>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</si>
  <si>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</si>
  <si>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</si>
  <si>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</si>
  <si>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</si>
  <si>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</si>
  <si>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</si>
  <si>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</si>
  <si>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</si>
  <si>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</si>
  <si>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</si>
  <si>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</si>
  <si>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</si>
  <si>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</si>
  <si>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</si>
  <si>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</si>
  <si>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</si>
  <si>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</si>
  <si>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</si>
  <si>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</si>
  <si>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</si>
  <si>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</si>
  <si>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</si>
  <si>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</si>
  <si>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</si>
  <si>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</si>
  <si>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</si>
  <si>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</si>
  <si>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</si>
  <si>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</si>
  <si>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</si>
  <si>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</si>
  <si>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</si>
  <si>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</si>
  <si>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</si>
  <si>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</si>
  <si>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</si>
  <si>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</si>
  <si>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</si>
  <si>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</si>
  <si>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</si>
  <si>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</si>
  <si>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</si>
  <si>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</si>
  <si>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</si>
  <si>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</si>
  <si>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</si>
  <si>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</si>
  <si>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</si>
  <si>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</si>
  <si>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</si>
  <si>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</si>
  <si>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</si>
  <si>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</si>
  <si>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</si>
  <si>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</si>
  <si>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</si>
  <si>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</si>
  <si>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</si>
  <si>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</si>
  <si>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</si>
  <si>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</si>
  <si>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</si>
  <si>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</si>
  <si>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</si>
  <si>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</si>
  <si>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</si>
  <si>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</si>
  <si>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</si>
  <si>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</si>
  <si>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</si>
  <si>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</si>
  <si>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</si>
  <si>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</si>
  <si>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</si>
  <si>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</si>
  <si>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</si>
  <si>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</si>
  <si>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</si>
  <si>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</si>
  <si>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</si>
  <si>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</si>
  <si>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</si>
  <si>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</si>
  <si>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</si>
  <si>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</si>
  <si>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</si>
  <si>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</si>
  <si>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</si>
  <si>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</si>
  <si>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</si>
  <si>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</si>
  <si>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</si>
  <si>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</si>
  <si>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</si>
  <si>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</si>
  <si>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</si>
  <si>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</si>
  <si>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</si>
  <si>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</si>
  <si>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</si>
  <si>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</si>
  <si>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</si>
  <si>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</si>
  <si>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</si>
  <si>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</si>
  <si>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</si>
  <si>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</si>
  <si>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</si>
  <si>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</si>
  <si>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</si>
  <si>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</si>
  <si>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</si>
  <si>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</si>
  <si>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</si>
  <si>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</si>
  <si>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</si>
  <si>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</si>
  <si>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</si>
  <si>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</si>
  <si>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</si>
  <si>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</si>
  <si>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</si>
  <si>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</si>
  <si>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</si>
  <si>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</si>
  <si>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</si>
  <si>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</si>
  <si>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</si>
  <si>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</si>
  <si>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</si>
  <si>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</si>
  <si>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</si>
  <si>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</si>
  <si>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</si>
  <si>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</si>
  <si>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</si>
  <si>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</si>
  <si>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</si>
  <si>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</si>
  <si>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</si>
  <si>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</si>
  <si>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</si>
  <si>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</si>
  <si>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</si>
  <si>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</si>
  <si>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</si>
  <si>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</si>
  <si>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</si>
  <si>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</si>
  <si>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</si>
  <si>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</si>
  <si>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</si>
  <si>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</si>
  <si>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</si>
  <si>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</si>
  <si>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</si>
  <si>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</si>
  <si>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</si>
  <si>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</si>
  <si>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</si>
  <si>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</si>
  <si>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</si>
  <si>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LV</t>
  </si>
  <si>
    <t>Latvia</t>
  </si>
  <si>
    <t>LV - Services sector summary</t>
  </si>
  <si>
    <t>Macro.number.LV.Population</t>
  </si>
  <si>
    <t>Macro.Meuro2015.LV.GDP</t>
  </si>
  <si>
    <t>Macro.Meuro2015.LV.VA</t>
  </si>
  <si>
    <t>Macro.number.LV.Employees</t>
  </si>
  <si>
    <t>NUM.number.LV.Ser.Bld</t>
  </si>
  <si>
    <t>SurfaceArea.ksqm.LV.Ser.Bld</t>
  </si>
  <si>
    <t>NUM.number.LV.Ser.BldNew</t>
  </si>
  <si>
    <t>SurfaceArea.ksqm.LV.Ser.BldNew</t>
  </si>
  <si>
    <t>HDD.Celsius.LV.Actual</t>
  </si>
  <si>
    <t>HDD.Celsius.LV.Mean</t>
  </si>
  <si>
    <t>HDD.ratio.LV.Relative</t>
  </si>
  <si>
    <t>FEC.ktoe.LV.ES.Ser</t>
  </si>
  <si>
    <t>FEC.ktoe.LV.ES.Ser.Solids</t>
  </si>
  <si>
    <t>FEC.ktoe.LV.ES.Ser.LPG</t>
  </si>
  <si>
    <t>FEC.ktoe.LV.ES.Ser.Oil</t>
  </si>
  <si>
    <t>FEC.ktoe.LV.ES.Ser.NG</t>
  </si>
  <si>
    <t>FEC.ktoe.LV.ES.Ser.Biomass_Waste</t>
  </si>
  <si>
    <t>FEC.ktoe.LV.ES.Ser.Biogas</t>
  </si>
  <si>
    <t>FEC.ktoe.LV.ES.Ser.LiqBio</t>
  </si>
  <si>
    <t>FEC.ktoe.LV.ES.Ser.Solar</t>
  </si>
  <si>
    <t>FEC.ktoe.LV.ES.Ser.Geo</t>
  </si>
  <si>
    <t>FEC.ktoe.LV.ES.Ser.Ambient</t>
  </si>
  <si>
    <t>FEC.ktoe.LV.ES.Ser.Steam_Distr</t>
  </si>
  <si>
    <t>FEC.ktoe.LV.ES.Ser.Elec</t>
  </si>
  <si>
    <t>FEC.ktoe.LV.Ser</t>
  </si>
  <si>
    <t>FEC.ktoe.LV.Ser.Bld.Thermal</t>
  </si>
  <si>
    <t>FEC.ktoe.LV.Ser.Bld.Thermal.SH</t>
  </si>
  <si>
    <t>FEC.ktoe.LV.Ser.Bld.Thermal.SC</t>
  </si>
  <si>
    <t>FEC.ktoe.LV.Ser.Bld.Thermal.HW</t>
  </si>
  <si>
    <t>FEC.ktoe.LV.Ser.Bld.Thermal.CA</t>
  </si>
  <si>
    <t>FEC.ktoe.LV.Ser.SEU</t>
  </si>
  <si>
    <t>EMI.ktCO2.LV.ES.Ser</t>
  </si>
  <si>
    <t>EMI.ktCO2.LV.ES.Ser.Solids</t>
  </si>
  <si>
    <t>EMI.ktCO2.LV.ES.Ser.LPG</t>
  </si>
  <si>
    <t>EMI.ktCO2.LV.ES.Ser.Oil</t>
  </si>
  <si>
    <t>EMI.ktCO2.LV.ES.Ser.NG</t>
  </si>
  <si>
    <t>EMI.ktCO2.LV.ES.Ser.Biomass_Waste</t>
  </si>
  <si>
    <t>EMI.ktCO2.LV.ES.Ser.Biogas</t>
  </si>
  <si>
    <t>EMI.ktCO2.LV.ES.Ser.LiqBio</t>
  </si>
  <si>
    <t>EMI.ktCO2.LV.ES.Ser.Solar</t>
  </si>
  <si>
    <t>EMI.ktCO2.LV.ES.Ser.Geo</t>
  </si>
  <si>
    <t>EMI.ktCO2.LV.ES.Ser.Ambient</t>
  </si>
  <si>
    <t>EMI.ktCO2.LV.ES.Ser.Steam_Distr</t>
  </si>
  <si>
    <t>EMI.ktCO2.LV.ES.Ser.Elec</t>
  </si>
  <si>
    <t>EMI.ktCO2.LV.Ser</t>
  </si>
  <si>
    <t>EMI.ktCO2.LV.Ser.Bld.Thermal</t>
  </si>
  <si>
    <t>EMI.ktCO2.LV.Ser.Bld.Thermal.SH</t>
  </si>
  <si>
    <t>EMI.ktCO2.LV.Ser.Bld.Thermal.SC</t>
  </si>
  <si>
    <t>EMI.ktCO2.LV.Ser.Bld.Thermal.HW</t>
  </si>
  <si>
    <t>EMI.ktCO2.LV.Ser.Bld.Thermal.CA</t>
  </si>
  <si>
    <t>EMI.ktCO2.LV.Ser.SEU</t>
  </si>
  <si>
    <t>Eff.ratio.LV.Ser.Bld.Thermal</t>
  </si>
  <si>
    <t>Eff.ratio.LV.Ser.Bld.Thermal.SH</t>
  </si>
  <si>
    <t>Eff.ratio.LV.Ser.Bld.Thermal.SC</t>
  </si>
  <si>
    <t>Eff.ratio.LV.Ser.Bld.Thermal.HW</t>
  </si>
  <si>
    <t>Eff.ratio.LV.Ser.Bld.Thermal.CA</t>
  </si>
  <si>
    <t>LV - Number of buildings</t>
  </si>
  <si>
    <t>NUM.number.LV.Ser.Bld.Thermal</t>
  </si>
  <si>
    <t>NUM.number.LV.Ser.Bld.Thermal.SH</t>
  </si>
  <si>
    <t>NUM.number.LV.Ser.Bld.Thermal.SH.Solids</t>
  </si>
  <si>
    <t>NUM.number.LV.Ser.Bld.Thermal.SH.LPG</t>
  </si>
  <si>
    <t>NUM.number.LV.Ser.Bld.Thermal.SH.Oil</t>
  </si>
  <si>
    <t>NUM.number.LV.Ser.Bld.Thermal.SH.GasHP</t>
  </si>
  <si>
    <t>NUM.number.LV.Ser.Bld.Thermal.SH.GasTH</t>
  </si>
  <si>
    <t>NUM.number.LV.Ser.Bld.Thermal.SH.Biomass</t>
  </si>
  <si>
    <t>NUM.number.LV.Ser.Bld.Thermal.SH.Geo</t>
  </si>
  <si>
    <t>NUM.number.LV.Ser.Bld.Thermal.SH.DistrHeat</t>
  </si>
  <si>
    <t>NUM.number.LV.Ser.Bld.Thermal.SH.AdvElc</t>
  </si>
  <si>
    <t>NUM.number.LV.Ser.Bld.Thermal.SH.ConvElc</t>
  </si>
  <si>
    <t>NUM.number.LV.Ser.Bld.Thermal.SC</t>
  </si>
  <si>
    <t>NUM.number.LV.Ser.Bld.Thermal.SC.GasHP</t>
  </si>
  <si>
    <t>NUM.number.LV.Ser.Bld.Thermal.SC.AC</t>
  </si>
  <si>
    <t>NUM.number.LV.Ser.Bld.Thermal.HW</t>
  </si>
  <si>
    <t>NUM.number.LV.Ser.Bld.Thermal.HW.Solids</t>
  </si>
  <si>
    <t>NUM.number.LV.Ser.Bld.Thermal.HW.LPG</t>
  </si>
  <si>
    <t>NUM.number.LV.Ser.Bld.Thermal.HW.Oil</t>
  </si>
  <si>
    <t>NUM.number.LV.Ser.Bld.Thermal.HW.Gas</t>
  </si>
  <si>
    <t>NUM.number.LV.Ser.Bld.Thermal.HW.Biomass</t>
  </si>
  <si>
    <t>NUM.number.LV.Ser.Bld.Thermal.HW.DistrHeat</t>
  </si>
  <si>
    <t>NUM.number.LV.Ser.Bld.Thermal.HW.Elc</t>
  </si>
  <si>
    <t>NUM.number.LV.Ser.Bld.Thermal.HW.Solar</t>
  </si>
  <si>
    <t>NUM.number.LV.Ser.Bld.Thermal.CA</t>
  </si>
  <si>
    <t>NUM.number.LV.Ser.Bld.Thermal.CA.LPG</t>
  </si>
  <si>
    <t>NUM.number.LV.Ser.Bld.Thermal.CA.Gas</t>
  </si>
  <si>
    <t>NUM.number.LV.Ser.Bld.Thermal.CA.Biomass</t>
  </si>
  <si>
    <t>NUM.number.LV.Ser.Bld.Thermal.CA.Elc</t>
  </si>
  <si>
    <t>LV - Final energy consumption</t>
  </si>
  <si>
    <t>FEC.ktoe.LV.Ser.Bld.Thermal.SH.Solids.Solids</t>
  </si>
  <si>
    <t>FEC.ktoe.LV.Ser.Bld.Thermal.SH.LPG.LPG</t>
  </si>
  <si>
    <t>FEC.ktoe.LV.Ser.Bld.Thermal.SH.Oil.Oil_LiqBio</t>
  </si>
  <si>
    <t>FEC.ktoe.LV.Ser.Bld.Thermal.SH.GasHP.NG_Biogas</t>
  </si>
  <si>
    <t>FEC.ktoe.LV.Ser.Bld.Thermal.SH.GasTH.NG_Biogas</t>
  </si>
  <si>
    <t>FEC.ktoe.LV.Ser.Bld.Thermal.SH.Biomass.Biomass_Waste</t>
  </si>
  <si>
    <t>FEC.ktoe.LV.Ser.Bld.Thermal.SH.Geo.Geo</t>
  </si>
  <si>
    <t>FEC.ktoe.LV.Ser.Bld.Thermal.SH.DistrHeat.Steam_Distr</t>
  </si>
  <si>
    <t>FEC.ktoe.LV.Ser.Bld.Thermal.SH.AdvElc.Elec</t>
  </si>
  <si>
    <t>FEC.ktoe.LV.Ser.Bld.Thermal.SH.ConvElc.Elec</t>
  </si>
  <si>
    <t>FEC.ktoe.LV.Ser.Bld.Thermal.SH.TotalCirculation.Elec</t>
  </si>
  <si>
    <t>FEC.ktoe.LV.Ser.Bld.Thermal.SC.GasHP.NG_Biogas</t>
  </si>
  <si>
    <t>FEC.ktoe.LV.Ser.Bld.Thermal.SC.AC.Elec</t>
  </si>
  <si>
    <t>FEC.ktoe.LV.Ser.Bld.Thermal.HW.Solids.Solids</t>
  </si>
  <si>
    <t>FEC.ktoe.LV.Ser.Bld.Thermal.HW.LPG.LPG</t>
  </si>
  <si>
    <t>FEC.ktoe.LV.Ser.Bld.Thermal.HW.Oil.Oil_LiqBio</t>
  </si>
  <si>
    <t>FEC.ktoe.LV.Ser.Bld.Thermal.HW.Gas.NG_Biogas</t>
  </si>
  <si>
    <t>FEC.ktoe.LV.Ser.Bld.Thermal.HW.Biomass.Biomass_Waste</t>
  </si>
  <si>
    <t>FEC.ktoe.LV.Ser.Bld.Thermal.HW.DistrHeat.Steam_Distr</t>
  </si>
  <si>
    <t>FEC.ktoe.LV.Ser.Bld.Thermal.HW.Elc.Elec</t>
  </si>
  <si>
    <t>FEC.ktoe.LV.Ser.Bld.Thermal.HW.TotalSolar.Solar</t>
  </si>
  <si>
    <t>FEC.ktoe.LV.Ser.Bld.Thermal.CA.LPG</t>
  </si>
  <si>
    <t>FEC.ktoe.LV.Ser.Bld.Thermal.CA.Gas.NG_Biogas</t>
  </si>
  <si>
    <t>FEC.ktoe.LV.Ser.Bld.Thermal.CA.Biomass.Biomass_Waste</t>
  </si>
  <si>
    <t>FEC.ktoe.LV.Ser.Bld.Thermal.CA.Elc.Elec</t>
  </si>
  <si>
    <t>LV - Thermal energy service</t>
  </si>
  <si>
    <t>TES.ktoe.LV.Ser.Bld.Thermal</t>
  </si>
  <si>
    <t>TES.ktoe.LV.Ser.Bld.Thermal.SH</t>
  </si>
  <si>
    <t>TES.ktoe.LV.Ser.Bld.Thermal.SH.Solids.Solids</t>
  </si>
  <si>
    <t>TES.ktoe.LV.Ser.Bld.Thermal.SH.LPG.LPG</t>
  </si>
  <si>
    <t>TES.ktoe.LV.Ser.Bld.Thermal.SH.Oil.Oil_LiqBio</t>
  </si>
  <si>
    <t>TES.ktoe.LV.Ser.Bld.Thermal.SH.GasHP.NG_Biogas</t>
  </si>
  <si>
    <t>TES.ktoe.LV.Ser.Bld.Thermal.SH.GasTH.NG_Biogas</t>
  </si>
  <si>
    <t>TES.ktoe.LV.Ser.Bld.Thermal.SH.Biomass.Biomass_Waste</t>
  </si>
  <si>
    <t>TES.ktoe.LV.Ser.Bld.Thermal.SH.Geo.Geo</t>
  </si>
  <si>
    <t>TES.ktoe.LV.Ser.Bld.Thermal.SH.DistrHeat.Steam_Distr</t>
  </si>
  <si>
    <t>TES.ktoe.LV.Ser.Bld.Thermal.SH.AdvElc.Elec</t>
  </si>
  <si>
    <t>TES.ktoe.LV.Ser.Bld.Thermal.SH.ConvElc.Elec</t>
  </si>
  <si>
    <t>TES.ktoe.LV.Ser.Bld.Thermal.SH.TotalCirculation.Elec</t>
  </si>
  <si>
    <t>TES.ktoe.LV.Ser.Bld.Thermal.SC</t>
  </si>
  <si>
    <t>TES.ktoe.LV.Ser.Bld.Thermal.SC.GasHP.NG_Biogas</t>
  </si>
  <si>
    <t>TES.ktoe.LV.Ser.Bld.Thermal.SC.AC.Elec</t>
  </si>
  <si>
    <t>TES.ktoe.LV.Ser.Bld.Thermal.HW</t>
  </si>
  <si>
    <t>TES.ktoe.LV.Ser.Bld.Thermal.HW.Solids.Solids</t>
  </si>
  <si>
    <t>TES.ktoe.LV.Ser.Bld.Thermal.HW.LPG.LPG</t>
  </si>
  <si>
    <t>TES.ktoe.LV.Ser.Bld.Thermal.HW.Oil.Oil_LiqBio</t>
  </si>
  <si>
    <t>TES.ktoe.LV.Ser.Bld.Thermal.HW.Gas.NG_Biogas</t>
  </si>
  <si>
    <t>TES.ktoe.LV.Ser.Bld.Thermal.HW.Biomass.Biomass_Waste</t>
  </si>
  <si>
    <t>TES.ktoe.LV.Ser.Bld.Thermal.HW.DistrHeat.Steam_Distr</t>
  </si>
  <si>
    <t>TES.ktoe.LV.Ser.Bld.Thermal.HW.Elc.Elec</t>
  </si>
  <si>
    <t>TES.ktoe.LV.Ser.Bld.Thermal.HW.TotalSolar.Solar</t>
  </si>
  <si>
    <t>TES.ktoe.LV.Ser.Bld.Thermal.CA</t>
  </si>
  <si>
    <t>TES.ktoe.LV.Ser.Bld.Thermal.CA.LPG</t>
  </si>
  <si>
    <t>TES.ktoe.LV.Ser.Bld.Thermal.CA.Gas.NG_Biogas</t>
  </si>
  <si>
    <t>TES.ktoe.LV.Ser.Bld.Thermal.CA.Biomass.Biomass_Waste</t>
  </si>
  <si>
    <t>TES.ktoe.LV.Ser.Bld.Thermal.CA.Elc.Elec</t>
  </si>
  <si>
    <t>LV - System efficiency indicator of total stock</t>
  </si>
  <si>
    <t>Eff.ratio.LV.Ser.Bld.Thermal.SH.Solids.Solids</t>
  </si>
  <si>
    <t>Eff.ratio.LV.Ser.Bld.Thermal.SH.LPG.LPG</t>
  </si>
  <si>
    <t>Eff.ratio.LV.Ser.Bld.Thermal.SH.Oil.Oil_LiqBio</t>
  </si>
  <si>
    <t>Eff.ratio.LV.Ser.Bld.Thermal.SH.GasHP.NG_Biogas</t>
  </si>
  <si>
    <t>Eff.ratio.LV.Ser.Bld.Thermal.SH.GasTH.NG_Biogas</t>
  </si>
  <si>
    <t>Eff.ratio.LV.Ser.Bld.Thermal.SH.Biomass.Biomass_Waste</t>
  </si>
  <si>
    <t>Eff.ratio.LV.Ser.Bld.Thermal.SH.Geo.Geo</t>
  </si>
  <si>
    <t>Eff.ratio.LV.Ser.Bld.Thermal.SH.DistrHeat.Steam_Distr</t>
  </si>
  <si>
    <t>Eff.ratio.LV.Ser.Bld.Thermal.SH.AdvElc.Elec</t>
  </si>
  <si>
    <t>Eff.ratio.LV.Ser.Bld.Thermal.SH.ConvElc.Elec</t>
  </si>
  <si>
    <t>Eff.ratio.LV.Ser.Bld.Thermal.SH.TotalCirculation.Elec</t>
  </si>
  <si>
    <t>Eff.ratio.LV.Ser.Bld.Thermal.SC.GasHP.NG_Biogas</t>
  </si>
  <si>
    <t>Eff.ratio.LV.Ser.Bld.Thermal.SC.AC.Elec</t>
  </si>
  <si>
    <t>Eff.ratio.LV.Ser.Bld.Thermal.HW.Solids.Solids</t>
  </si>
  <si>
    <t>Eff.ratio.LV.Ser.Bld.Thermal.HW.LPG.LPG</t>
  </si>
  <si>
    <t>Eff.ratio.LV.Ser.Bld.Thermal.HW.Oil.Oil_LiqBio</t>
  </si>
  <si>
    <t>Eff.ratio.LV.Ser.Bld.Thermal.HW.Gas.NG_Biogas</t>
  </si>
  <si>
    <t>Eff.ratio.LV.Ser.Bld.Thermal.HW.Biomass.Biomass_Waste</t>
  </si>
  <si>
    <t>Eff.ratio.LV.Ser.Bld.Thermal.HW.DistrHeat.Steam_Distr</t>
  </si>
  <si>
    <t>Eff.ratio.LV.Ser.Bld.Thermal.HW.Elc.Elec</t>
  </si>
  <si>
    <t>Eff.ratio.LV.Ser.Bld.Thermal.HW.TotalSolar.Solar</t>
  </si>
  <si>
    <t>Eff.ratio.LV.Ser.Bld.Thermal.CA.LPG</t>
  </si>
  <si>
    <t>Eff.ratio.LV.Ser.Bld.Thermal.CA.Gas.NG_Biogas</t>
  </si>
  <si>
    <t>Eff.ratio.LV.Ser.Bld.Thermal.CA.Biomass.Biomass_Waste</t>
  </si>
  <si>
    <t>Eff.ratio.LV.Ser.Bld.Thermal.CA.Elc.Elec</t>
  </si>
  <si>
    <t>LV - CO2 emissions</t>
  </si>
  <si>
    <t>EMI.ktCO2.LV.Ser.Bld.Thermal.SH.Solids.Solids</t>
  </si>
  <si>
    <t>EMI.ktCO2.LV.Ser.Bld.Thermal.SH.LPG.LPG</t>
  </si>
  <si>
    <t>EMI.ktCO2.LV.Ser.Bld.Thermal.SH.Oil.Oil_LiqBio</t>
  </si>
  <si>
    <t>EMI.ktCO2.LV.Ser.Bld.Thermal.SH.GasHP.NG_Biogas</t>
  </si>
  <si>
    <t>EMI.ktCO2.LV.Ser.Bld.Thermal.SH.GasTH.NG_Biogas</t>
  </si>
  <si>
    <t>EMI.ktCO2.LV.Ser.Bld.Thermal.SH.Biomass.Biomass_Waste</t>
  </si>
  <si>
    <t>EMI.ktCO2.LV.Ser.Bld.Thermal.SH.Geo.Geo</t>
  </si>
  <si>
    <t>EMI.ktCO2.LV.Ser.Bld.Thermal.SH.DistrHeat.Steam_Distr</t>
  </si>
  <si>
    <t>EMI.ktCO2.LV.Ser.Bld.Thermal.SH.AdvElc.Elec</t>
  </si>
  <si>
    <t>EMI.ktCO2.LV.Ser.Bld.Thermal.SH.ConvElc.Elec</t>
  </si>
  <si>
    <t>EMI.ktCO2.LV.Ser.Bld.Thermal.SH.TotalCirculation.Elec</t>
  </si>
  <si>
    <t>EMI.ktCO2.LV.Ser.Bld.Thermal.SC.GasHP.NG_Biogas</t>
  </si>
  <si>
    <t>EMI.ktCO2.LV.Ser.Bld.Thermal.SC.AC.Elec</t>
  </si>
  <si>
    <t>EMI.ktCO2.LV.Ser.Bld.Thermal.HW.Solids.Solids</t>
  </si>
  <si>
    <t>EMI.ktCO2.LV.Ser.Bld.Thermal.HW.LPG.LPG</t>
  </si>
  <si>
    <t>EMI.ktCO2.LV.Ser.Bld.Thermal.HW.Oil.Oil_LiqBio</t>
  </si>
  <si>
    <t>EMI.ktCO2.LV.Ser.Bld.Thermal.HW.Gas.NG_Biogas</t>
  </si>
  <si>
    <t>EMI.ktCO2.LV.Ser.Bld.Thermal.HW.Biomass.Biomass_Waste</t>
  </si>
  <si>
    <t>EMI.ktCO2.LV.Ser.Bld.Thermal.HW.DistrHeat.Steam_Distr</t>
  </si>
  <si>
    <t>EMI.ktCO2.LV.Ser.Bld.Thermal.HW.Elc.Elec</t>
  </si>
  <si>
    <t>EMI.ktCO2.LV.Ser.Bld.Thermal.HW.TotalSolar.Solar</t>
  </si>
  <si>
    <t>EMI.ktCO2.LV.Ser.Bld.Thermal.CA.LPG</t>
  </si>
  <si>
    <t>EMI.ktCO2.LV.Ser.Bld.Thermal.CA.Gas.NG_Biogas</t>
  </si>
  <si>
    <t>EMI.ktCO2.LV.Ser.Bld.Thermal.CA.Biomass.Biomass_Waste</t>
  </si>
  <si>
    <t>EMI.ktCO2.LV.Ser.Bld.Thermal.CA.Elc.Elec</t>
  </si>
  <si>
    <t>LV - Final energy consumption per building</t>
  </si>
  <si>
    <t>FEC_per_building.kWh.LV.Ser.Bld.Thermal</t>
  </si>
  <si>
    <t>FEC_per_building.kWh.LV.Ser.Bld.Thermal.SH</t>
  </si>
  <si>
    <t>FEC_per_building.kWh.LV.Ser.Bld.Thermal.SH.Solids.Solids</t>
  </si>
  <si>
    <t>FEC_per_building.kWh.LV.Ser.Bld.Thermal.SH.LPG.LPG</t>
  </si>
  <si>
    <t>FEC_per_building.kWh.LV.Ser.Bld.Thermal.SH.Oil.Oil_LiqBio</t>
  </si>
  <si>
    <t>FEC_per_building.kWh.LV.Ser.Bld.Thermal.SH.GasHP.NG_Biogas</t>
  </si>
  <si>
    <t>FEC_per_building.kWh.LV.Ser.Bld.Thermal.SH.GasTH.NG_Biogas</t>
  </si>
  <si>
    <t>FEC_per_building.kWh.LV.Ser.Bld.Thermal.SH.Biomass.Biomass_Waste</t>
  </si>
  <si>
    <t>FEC_per_building.kWh.LV.Ser.Bld.Thermal.SH.Geo.Geo</t>
  </si>
  <si>
    <t>FEC_per_building.kWh.LV.Ser.Bld.Thermal.SH.DistrHeat.Steam_Distr</t>
  </si>
  <si>
    <t>FEC_per_building.kWh.LV.Ser.Bld.Thermal.SH.AdvElc.Elec</t>
  </si>
  <si>
    <t>FEC_per_building.kWh.LV.Ser.Bld.Thermal.SH.ConvElc.Elec</t>
  </si>
  <si>
    <t>FEC_per_building.kWh.LV.Ser.Bld.Thermal.SH.TotalCirculation.Elec</t>
  </si>
  <si>
    <t>FEC_per_building.kWh.LV.Ser.Bld.Thermal.SC</t>
  </si>
  <si>
    <t>FEC_per_building.kWh.LV.Ser.Bld.Thermal.SC.GasHP.NG_Biogas</t>
  </si>
  <si>
    <t>FEC_per_building.kWh.LV.Ser.Bld.Thermal.SC.AC.Elec</t>
  </si>
  <si>
    <t>FEC_per_building.kWh.LV.Ser.Bld.Thermal.HW</t>
  </si>
  <si>
    <t>FEC_per_building.kWh.LV.Ser.Bld.Thermal.HW.Solids.Solids</t>
  </si>
  <si>
    <t>FEC_per_building.kWh.LV.Ser.Bld.Thermal.HW.LPG.LPG</t>
  </si>
  <si>
    <t>FEC_per_building.kWh.LV.Ser.Bld.Thermal.HW.Oil.Oil_LiqBio</t>
  </si>
  <si>
    <t>FEC_per_building.kWh.LV.Ser.Bld.Thermal.HW.Gas.NG_Biogas</t>
  </si>
  <si>
    <t>FEC_per_building.kWh.LV.Ser.Bld.Thermal.HW.Biomass.Biomass_Waste</t>
  </si>
  <si>
    <t>FEC_per_building.kWh.LV.Ser.Bld.Thermal.HW.DistrHeat.Steam_Distr</t>
  </si>
  <si>
    <t>FEC_per_building.kWh.LV.Ser.Bld.Thermal.HW.Elc.Elec</t>
  </si>
  <si>
    <t>FEC_per_building.kWh.LV.Ser.Bld.Thermal.HW.TotalSolar.Solar</t>
  </si>
  <si>
    <t>FEC_per_building.kWh.LV.Ser.Bld.Thermal.CA</t>
  </si>
  <si>
    <t>FEC_per_building.kWh.LV.Ser.Bld.Thermal.CA.LPG</t>
  </si>
  <si>
    <t>FEC_per_building.kWh.LV.Ser.Bld.Thermal.CA.Gas.NG_Biogas</t>
  </si>
  <si>
    <t>FEC_per_building.kWh.LV.Ser.Bld.Thermal.CA.Biomass.Biomass_Waste</t>
  </si>
  <si>
    <t>FEC_per_building.kWh.LV.Ser.Bld.Thermal.CA.Elc.Elec</t>
  </si>
  <si>
    <t>LV - Thermal energy service per building</t>
  </si>
  <si>
    <t>TES_per_building.kWh.LV.Ser.Bld.Thermal</t>
  </si>
  <si>
    <t>TES_per_building.kWh.LV.Ser.Bld.Thermal.SH</t>
  </si>
  <si>
    <t>TES_per_building.kWh.LV.Ser.Bld.Thermal.SH.Solids.Solids</t>
  </si>
  <si>
    <t>TES_per_building.kWh.LV.Ser.Bld.Thermal.SH.LPG.LPG</t>
  </si>
  <si>
    <t>TES_per_building.kWh.LV.Ser.Bld.Thermal.SH.Oil.Oil_LiqBio</t>
  </si>
  <si>
    <t>TES_per_building.kWh.LV.Ser.Bld.Thermal.SH.GasHP.NG_Biogas</t>
  </si>
  <si>
    <t>TES_per_building.kWh.LV.Ser.Bld.Thermal.SH.GasTH.NG_Biogas</t>
  </si>
  <si>
    <t>TES_per_building.kWh.LV.Ser.Bld.Thermal.SH.Biomass.Biomass_Waste</t>
  </si>
  <si>
    <t>TES_per_building.kWh.LV.Ser.Bld.Thermal.SH.Geo.Geo</t>
  </si>
  <si>
    <t>TES_per_building.kWh.LV.Ser.Bld.Thermal.SH.DistrHeat.Steam_Distr</t>
  </si>
  <si>
    <t>TES_per_building.kWh.LV.Ser.Bld.Thermal.SH.AdvElc.Elec</t>
  </si>
  <si>
    <t>TES_per_building.kWh.LV.Ser.Bld.Thermal.SH.ConvElc.Elec</t>
  </si>
  <si>
    <t>TES_per_building.kWh.LV.Ser.Bld.Thermal.SH.TotalCirculation.Elec</t>
  </si>
  <si>
    <t>TES_per_building.kWh.LV.Ser.Bld.Thermal.SC</t>
  </si>
  <si>
    <t>TES_per_building.kWh.LV.Ser.Bld.Thermal.SC.GasHP.NG_Biogas</t>
  </si>
  <si>
    <t>TES_per_building.kWh.LV.Ser.Bld.Thermal.SC.AC.Elec</t>
  </si>
  <si>
    <t>TES_per_building.kWh.LV.Ser.Bld.Thermal.HW</t>
  </si>
  <si>
    <t>TES_per_building.kWh.LV.Ser.Bld.Thermal.HW.Solids.Solids</t>
  </si>
  <si>
    <t>TES_per_building.kWh.LV.Ser.Bld.Thermal.HW.LPG.LPG</t>
  </si>
  <si>
    <t>TES_per_building.kWh.LV.Ser.Bld.Thermal.HW.Oil.Oil_LiqBio</t>
  </si>
  <si>
    <t>TES_per_building.kWh.LV.Ser.Bld.Thermal.HW.Gas.NG_Biogas</t>
  </si>
  <si>
    <t>TES_per_building.kWh.LV.Ser.Bld.Thermal.HW.Biomass.Biomass_Waste</t>
  </si>
  <si>
    <t>TES_per_building.kWh.LV.Ser.Bld.Thermal.HW.DistrHeat.Steam_Distr</t>
  </si>
  <si>
    <t>TES_per_building.kWh.LV.Ser.Bld.Thermal.HW.Elc.Elec</t>
  </si>
  <si>
    <t>TES_per_building.kWh.LV.Ser.Bld.Thermal.HW.TotalSolar.Solar</t>
  </si>
  <si>
    <t>TES_per_building.kWh.LV.Ser.Bld.Thermal.CA</t>
  </si>
  <si>
    <t>TES_per_building.kWh.LV.Ser.Bld.Thermal.CA.LPG</t>
  </si>
  <si>
    <t>TES_per_building.kWh.LV.Ser.Bld.Thermal.CA.Gas.NG_Biogas</t>
  </si>
  <si>
    <t>TES_per_building.kWh.LV.Ser.Bld.Thermal.CA.Biomass.Biomass_Waste</t>
  </si>
  <si>
    <t>TES_per_building.kWh.LV.Ser.Bld.Thermal.CA.Elc.Elec</t>
  </si>
  <si>
    <t>LV - CO2 emissions per building</t>
  </si>
  <si>
    <t>EMI_per_building.kgCO2.LV.Ser.Bld.Thermal</t>
  </si>
  <si>
    <t>EMI_per_building.kgCO2.LV.Ser.Bld.Thermal.SH</t>
  </si>
  <si>
    <t>EMI_per_building.kgCO2.LV.Ser.Bld.Thermal.SH.Solids.Solids</t>
  </si>
  <si>
    <t>EMI_per_building.kgCO2.LV.Ser.Bld.Thermal.SH.LPG.LPG</t>
  </si>
  <si>
    <t>EMI_per_building.kgCO2.LV.Ser.Bld.Thermal.SH.Oil.Oil_LiqBio</t>
  </si>
  <si>
    <t>EMI_per_building.kgCO2.LV.Ser.Bld.Thermal.SH.GasHP.NG_Biogas</t>
  </si>
  <si>
    <t>EMI_per_building.kgCO2.LV.Ser.Bld.Thermal.SH.GasTH.NG_Biogas</t>
  </si>
  <si>
    <t>EMI_per_building.kgCO2.LV.Ser.Bld.Thermal.SH.Biomass.Biomass_Waste</t>
  </si>
  <si>
    <t>EMI_per_building.kgCO2.LV.Ser.Bld.Thermal.SH.Geo.Geo</t>
  </si>
  <si>
    <t>EMI_per_building.kgCO2.LV.Ser.Bld.Thermal.SH.DistrHeat.Steam_Distr</t>
  </si>
  <si>
    <t>EMI_per_building.kgCO2.LV.Ser.Bld.Thermal.SH.AdvElc.Elec</t>
  </si>
  <si>
    <t>EMI_per_building.kgCO2.LV.Ser.Bld.Thermal.SH.ConvElc.Elec</t>
  </si>
  <si>
    <t>EMI_per_building.kgCO2.LV.Ser.Bld.Thermal.SH.TotalCirculation.Elec</t>
  </si>
  <si>
    <t>EMI_per_building.kgCO2.LV.Ser.Bld.Thermal.SC</t>
  </si>
  <si>
    <t>EMI_per_building.kgCO2.LV.Ser.Bld.Thermal.SC.GasHP.NG_Biogas</t>
  </si>
  <si>
    <t>EMI_per_building.kgCO2.LV.Ser.Bld.Thermal.SC.AC.Elec</t>
  </si>
  <si>
    <t>EMI_per_building.kgCO2.LV.Ser.Bld.Thermal.HW</t>
  </si>
  <si>
    <t>EMI_per_building.kgCO2.LV.Ser.Bld.Thermal.HW.Solids.Solids</t>
  </si>
  <si>
    <t>EMI_per_building.kgCO2.LV.Ser.Bld.Thermal.HW.LPG.LPG</t>
  </si>
  <si>
    <t>EMI_per_building.kgCO2.LV.Ser.Bld.Thermal.HW.Oil.Oil_LiqBio</t>
  </si>
  <si>
    <t>EMI_per_building.kgCO2.LV.Ser.Bld.Thermal.HW.Gas.NG_Biogas</t>
  </si>
  <si>
    <t>EMI_per_building.kgCO2.LV.Ser.Bld.Thermal.HW.Biomass.Biomass_Waste</t>
  </si>
  <si>
    <t>EMI_per_building.kgCO2.LV.Ser.Bld.Thermal.HW.DistrHeat.Steam_Distr</t>
  </si>
  <si>
    <t>EMI_per_building.kgCO2.LV.Ser.Bld.Thermal.HW.Elc.Elec</t>
  </si>
  <si>
    <t>EMI_per_building.kgCO2.LV.Ser.Bld.Thermal.HW.TotalSolar.Solar</t>
  </si>
  <si>
    <t>EMI_per_building.kgCO2.LV.Ser.Bld.Thermal.CA</t>
  </si>
  <si>
    <t>EMI_per_building.kgCO2.LV.Ser.Bld.Thermal.CA.LPG</t>
  </si>
  <si>
    <t>EMI_per_building.kgCO2.LV.Ser.Bld.Thermal.CA.Gas.NG_Biogas</t>
  </si>
  <si>
    <t>EMI_per_building.kgCO2.LV.Ser.Bld.Thermal.CA.Biomass.Biomass_Waste</t>
  </si>
  <si>
    <t>EMI_per_building.kgCO2.LV.Ser.Bld.Thermal.CA.Elc.Elec</t>
  </si>
  <si>
    <t>LV - Final energy consumption per useful surface area</t>
  </si>
  <si>
    <t>FEC_per_sqm.kWh.LV.Ser.Bld.Thermal</t>
  </si>
  <si>
    <t>FEC_per_sqm.kWh.LV.Ser.Bld.Thermal.SH</t>
  </si>
  <si>
    <t>FEC_per_sqm.kWh.LV.Ser.Bld.Thermal.SH.Solids.Solids</t>
  </si>
  <si>
    <t>FEC_per_sqm.kWh.LV.Ser.Bld.Thermal.SH.LPG.LPG</t>
  </si>
  <si>
    <t>FEC_per_sqm.kWh.LV.Ser.Bld.Thermal.SH.Oil.Oil_LiqBio</t>
  </si>
  <si>
    <t>FEC_per_sqm.kWh.LV.Ser.Bld.Thermal.SH.GasHP.NG_Biogas</t>
  </si>
  <si>
    <t>FEC_per_sqm.kWh.LV.Ser.Bld.Thermal.SH.GasTH.NG_Biogas</t>
  </si>
  <si>
    <t>FEC_per_sqm.kWh.LV.Ser.Bld.Thermal.SH.Biomass.Biomass_Waste</t>
  </si>
  <si>
    <t>FEC_per_sqm.kWh.LV.Ser.Bld.Thermal.SH.Geo.Geo</t>
  </si>
  <si>
    <t>FEC_per_sqm.kWh.LV.Ser.Bld.Thermal.SH.DistrHeat.Steam_Distr</t>
  </si>
  <si>
    <t>FEC_per_sqm.kWh.LV.Ser.Bld.Thermal.SH.AdvElc.Elec</t>
  </si>
  <si>
    <t>FEC_per_sqm.kWh.LV.Ser.Bld.Thermal.SH.ConvElc.Elec</t>
  </si>
  <si>
    <t>FEC_per_sqm.kWh.LV.Ser.Bld.Thermal.SH.TotalCirculation.Elec</t>
  </si>
  <si>
    <t>FEC_per_sqm.kWh.LV.Ser.Bld.Thermal.SC</t>
  </si>
  <si>
    <t>FEC_per_sqm.kWh.LV.Ser.Bld.Thermal.SC.GasHP.NG_Biogas</t>
  </si>
  <si>
    <t>FEC_per_sqm.kWh.LV.Ser.Bld.Thermal.SC.AC.Elec</t>
  </si>
  <si>
    <t>FEC_per_sqm.kWh.LV.Ser.Bld.Thermal.HW</t>
  </si>
  <si>
    <t>FEC_per_sqm.kWh.LV.Ser.Bld.Thermal.HW.Solids.Solids</t>
  </si>
  <si>
    <t>FEC_per_sqm.kWh.LV.Ser.Bld.Thermal.HW.LPG.LPG</t>
  </si>
  <si>
    <t>FEC_per_sqm.kWh.LV.Ser.Bld.Thermal.HW.Oil.Oil_LiqBio</t>
  </si>
  <si>
    <t>FEC_per_sqm.kWh.LV.Ser.Bld.Thermal.HW.Gas.NG_Biogas</t>
  </si>
  <si>
    <t>FEC_per_sqm.kWh.LV.Ser.Bld.Thermal.HW.Biomass.Biomass_Waste</t>
  </si>
  <si>
    <t>FEC_per_sqm.kWh.LV.Ser.Bld.Thermal.HW.DistrHeat.Steam_Distr</t>
  </si>
  <si>
    <t>FEC_per_sqm.kWh.LV.Ser.Bld.Thermal.HW.Elc.Elec</t>
  </si>
  <si>
    <t>FEC_per_sqm.kWh.LV.Ser.Bld.Thermal.HW.TotalSolar.Solar</t>
  </si>
  <si>
    <t>FEC_per_sqm.kWh.LV.Ser.Bld.Thermal.CA</t>
  </si>
  <si>
    <t>FEC_per_sqm.kWh.LV.Ser.Bld.Thermal.CA.LPG</t>
  </si>
  <si>
    <t>FEC_per_sqm.kWh.LV.Ser.Bld.Thermal.CA.Gas.NG_Biogas</t>
  </si>
  <si>
    <t>FEC_per_sqm.kWh.LV.Ser.Bld.Thermal.CA.Biomass.Biomass_Waste</t>
  </si>
  <si>
    <t>FEC_per_sqm.kWh.LV.Ser.Bld.Thermal.CA.Elc.Elec</t>
  </si>
  <si>
    <t>LV - Thermal energy service per useful surface area</t>
  </si>
  <si>
    <t>TES_per_sqm.kWh.LV.Ser.Bld.Thermal</t>
  </si>
  <si>
    <t>TES_per_sqm.kWh.LV.Ser.Bld.Thermal.SH</t>
  </si>
  <si>
    <t>TES_per_sqm.kWh.LV.Ser.Bld.Thermal.SH.Solids.Solids</t>
  </si>
  <si>
    <t>TES_per_sqm.kWh.LV.Ser.Bld.Thermal.SH.LPG.LPG</t>
  </si>
  <si>
    <t>TES_per_sqm.kWh.LV.Ser.Bld.Thermal.SH.Oil.Oil_LiqBio</t>
  </si>
  <si>
    <t>TES_per_sqm.kWh.LV.Ser.Bld.Thermal.SH.GasHP.NG_Biogas</t>
  </si>
  <si>
    <t>TES_per_sqm.kWh.LV.Ser.Bld.Thermal.SH.GasTH.NG_Biogas</t>
  </si>
  <si>
    <t>TES_per_sqm.kWh.LV.Ser.Bld.Thermal.SH.Biomass.Biomass_Waste</t>
  </si>
  <si>
    <t>TES_per_sqm.kWh.LV.Ser.Bld.Thermal.SH.Geo.Geo</t>
  </si>
  <si>
    <t>TES_per_sqm.kWh.LV.Ser.Bld.Thermal.SH.DistrHeat.Steam_Distr</t>
  </si>
  <si>
    <t>TES_per_sqm.kWh.LV.Ser.Bld.Thermal.SH.AdvElc.Elec</t>
  </si>
  <si>
    <t>TES_per_sqm.kWh.LV.Ser.Bld.Thermal.SH.ConvElc.Elec</t>
  </si>
  <si>
    <t>TES_per_sqm.kWh.LV.Ser.Bld.Thermal.SH.TotalCirculation.Elec</t>
  </si>
  <si>
    <t>TES_per_sqm.kWh.LV.Ser.Bld.Thermal.SC</t>
  </si>
  <si>
    <t>TES_per_sqm.kWh.LV.Ser.Bld.Thermal.SC.GasHP.NG_Biogas</t>
  </si>
  <si>
    <t>TES_per_sqm.kWh.LV.Ser.Bld.Thermal.SC.AC.Elec</t>
  </si>
  <si>
    <t>TES_per_sqm.kWh.LV.Ser.Bld.Thermal.HW</t>
  </si>
  <si>
    <t>TES_per_sqm.kWh.LV.Ser.Bld.Thermal.HW.Solids.Solids</t>
  </si>
  <si>
    <t>TES_per_sqm.kWh.LV.Ser.Bld.Thermal.HW.LPG.LPG</t>
  </si>
  <si>
    <t>TES_per_sqm.kWh.LV.Ser.Bld.Thermal.HW.Oil.Oil_LiqBio</t>
  </si>
  <si>
    <t>TES_per_sqm.kWh.LV.Ser.Bld.Thermal.HW.Gas.NG_Biogas</t>
  </si>
  <si>
    <t>TES_per_sqm.kWh.LV.Ser.Bld.Thermal.HW.Biomass.Biomass_Waste</t>
  </si>
  <si>
    <t>TES_per_sqm.kWh.LV.Ser.Bld.Thermal.HW.DistrHeat.Steam_Distr</t>
  </si>
  <si>
    <t>TES_per_sqm.kWh.LV.Ser.Bld.Thermal.HW.Elc.Elec</t>
  </si>
  <si>
    <t>TES_per_sqm.kWh.LV.Ser.Bld.Thermal.HW.TotalSolar.Solar</t>
  </si>
  <si>
    <t>TES_per_sqm.kWh.LV.Ser.Bld.Thermal.CA</t>
  </si>
  <si>
    <t>TES_per_sqm.kWh.LV.Ser.Bld.Thermal.CA.LPG</t>
  </si>
  <si>
    <t>TES_per_sqm.kWh.LV.Ser.Bld.Thermal.CA.Gas.NG_Biogas</t>
  </si>
  <si>
    <t>TES_per_sqm.kWh.LV.Ser.Bld.Thermal.CA.Biomass.Biomass_Waste</t>
  </si>
  <si>
    <t>TES_per_sqm.kWh.LV.Ser.Bld.Thermal.CA.Elc.Elec</t>
  </si>
  <si>
    <t>LV - CO2 emissions per useful surface area</t>
  </si>
  <si>
    <t>EMI_per_sqm.kgCO2.LV.Ser.Bld.Thermal</t>
  </si>
  <si>
    <t>EMI_per_sqm.kgCO2.LV.Ser.Bld.Thermal.SH</t>
  </si>
  <si>
    <t>EMI_per_sqm.kgCO2.LV.Ser.Bld.Thermal.SH.Solids.Solids</t>
  </si>
  <si>
    <t>EMI_per_sqm.kgCO2.LV.Ser.Bld.Thermal.SH.LPG.LPG</t>
  </si>
  <si>
    <t>EMI_per_sqm.kgCO2.LV.Ser.Bld.Thermal.SH.Oil.Oil_LiqBio</t>
  </si>
  <si>
    <t>EMI_per_sqm.kgCO2.LV.Ser.Bld.Thermal.SH.GasHP.NG_Biogas</t>
  </si>
  <si>
    <t>EMI_per_sqm.kgCO2.LV.Ser.Bld.Thermal.SH.GasTH.NG_Biogas</t>
  </si>
  <si>
    <t>EMI_per_sqm.kgCO2.LV.Ser.Bld.Thermal.SH.Biomass.Biomass_Waste</t>
  </si>
  <si>
    <t>EMI_per_sqm.kgCO2.LV.Ser.Bld.Thermal.SH.Geo.Geo</t>
  </si>
  <si>
    <t>EMI_per_sqm.kgCO2.LV.Ser.Bld.Thermal.SH.DistrHeat.Steam_Distr</t>
  </si>
  <si>
    <t>EMI_per_sqm.kgCO2.LV.Ser.Bld.Thermal.SH.AdvElc.Elec</t>
  </si>
  <si>
    <t>EMI_per_sqm.kgCO2.LV.Ser.Bld.Thermal.SH.ConvElc.Elec</t>
  </si>
  <si>
    <t>EMI_per_sqm.kgCO2.LV.Ser.Bld.Thermal.SH.TotalCirculation.Elec</t>
  </si>
  <si>
    <t>EMI_per_sqm.kgCO2.LV.Ser.Bld.Thermal.SC</t>
  </si>
  <si>
    <t>EMI_per_sqm.kgCO2.LV.Ser.Bld.Thermal.SC.GasHP.NG_Biogas</t>
  </si>
  <si>
    <t>EMI_per_sqm.kgCO2.LV.Ser.Bld.Thermal.SC.AC.Elec</t>
  </si>
  <si>
    <t>EMI_per_sqm.kgCO2.LV.Ser.Bld.Thermal.HW</t>
  </si>
  <si>
    <t>EMI_per_sqm.kgCO2.LV.Ser.Bld.Thermal.HW.Solids.Solids</t>
  </si>
  <si>
    <t>EMI_per_sqm.kgCO2.LV.Ser.Bld.Thermal.HW.LPG.LPG</t>
  </si>
  <si>
    <t>EMI_per_sqm.kgCO2.LV.Ser.Bld.Thermal.HW.Oil.Oil_LiqBio</t>
  </si>
  <si>
    <t>EMI_per_sqm.kgCO2.LV.Ser.Bld.Thermal.HW.Gas.NG_Biogas</t>
  </si>
  <si>
    <t>EMI_per_sqm.kgCO2.LV.Ser.Bld.Thermal.HW.Biomass.Biomass_Waste</t>
  </si>
  <si>
    <t>EMI_per_sqm.kgCO2.LV.Ser.Bld.Thermal.HW.DistrHeat.Steam_Distr</t>
  </si>
  <si>
    <t>EMI_per_sqm.kgCO2.LV.Ser.Bld.Thermal.HW.Elc.Elec</t>
  </si>
  <si>
    <t>EMI_per_sqm.kgCO2.LV.Ser.Bld.Thermal.HW.TotalSolar.Solar</t>
  </si>
  <si>
    <t>EMI_per_sqm.kgCO2.LV.Ser.Bld.Thermal.CA</t>
  </si>
  <si>
    <t>EMI_per_sqm.kgCO2.LV.Ser.Bld.Thermal.CA.LPG</t>
  </si>
  <si>
    <t>EMI_per_sqm.kgCO2.LV.Ser.Bld.Thermal.CA.Gas.NG_Biogas</t>
  </si>
  <si>
    <t>EMI_per_sqm.kgCO2.LV.Ser.Bld.Thermal.CA.Biomass.Biomass_Waste</t>
  </si>
  <si>
    <t>EMI_per_sqm.kgCO2.LV.Ser.Bld.Thermal.CA.Elc.Elec</t>
  </si>
  <si>
    <t>LV - Number of new and renovated buildings</t>
  </si>
  <si>
    <t>NUM.number.LV.Ser.BldNew.Thermal</t>
  </si>
  <si>
    <t>NUM.number.LV.Ser.BldNew.Thermal.SH</t>
  </si>
  <si>
    <t>NUM.number.LV.Ser.BldNew.Thermal.SH.Solids</t>
  </si>
  <si>
    <t>NUM.number.LV.Ser.BldNew.Thermal.SH.LPG</t>
  </si>
  <si>
    <t>NUM.number.LV.Ser.BldNew.Thermal.SH.Oil</t>
  </si>
  <si>
    <t>NUM.number.LV.Ser.BldNew.Thermal.SH.GasHP</t>
  </si>
  <si>
    <t>NUM.number.LV.Ser.BldNew.Thermal.SH.GasTH</t>
  </si>
  <si>
    <t>NUM.number.LV.Ser.BldNew.Thermal.SH.Biomass</t>
  </si>
  <si>
    <t>NUM.number.LV.Ser.BldNew.Thermal.SH.Geo</t>
  </si>
  <si>
    <t>NUM.number.LV.Ser.BldNew.Thermal.SH.DistrHeat</t>
  </si>
  <si>
    <t>NUM.number.LV.Ser.BldNew.Thermal.SH.AdvElc</t>
  </si>
  <si>
    <t>NUM.number.LV.Ser.BldNew.Thermal.SH.ConvElc</t>
  </si>
  <si>
    <t>NUM.number.LV.Ser.BldNew.Thermal.SC</t>
  </si>
  <si>
    <t>NUM.number.LV.Ser.BldNew.Thermal.SC.GasHP</t>
  </si>
  <si>
    <t>NUM.number.LV.Ser.BldNew.Thermal.SC.AC</t>
  </si>
  <si>
    <t>NUM.number.LV.Ser.BldNew.Thermal.HW</t>
  </si>
  <si>
    <t>NUM.number.LV.Ser.BldNew.Thermal.HW.Solids</t>
  </si>
  <si>
    <t>NUM.number.LV.Ser.BldNew.Thermal.HW.LPG</t>
  </si>
  <si>
    <t>NUM.number.LV.Ser.BldNew.Thermal.HW.Oil</t>
  </si>
  <si>
    <t>NUM.number.LV.Ser.BldNew.Thermal.HW.Gas</t>
  </si>
  <si>
    <t>NUM.number.LV.Ser.BldNew.Thermal.HW.Biomass</t>
  </si>
  <si>
    <t>NUM.number.LV.Ser.BldNew.Thermal.HW.DistrHeat</t>
  </si>
  <si>
    <t>NUM.number.LV.Ser.BldNew.Thermal.HW.Elc</t>
  </si>
  <si>
    <t>NUM.number.LV.Ser.BldNew.Thermal.HW.Solar</t>
  </si>
  <si>
    <t>NUM.number.LV.Ser.BldNew.Thermal.CA</t>
  </si>
  <si>
    <t>NUM.number.LV.Ser.BldNew.Thermal.CA.LPG</t>
  </si>
  <si>
    <t>NUM.number.LV.Ser.BldNew.Thermal.CA.Gas</t>
  </si>
  <si>
    <t>NUM.number.LV.Ser.BldNew.Thermal.CA.Biomass</t>
  </si>
  <si>
    <t>NUM.number.LV.Ser.BldNew.Thermal.CA.Elc</t>
  </si>
  <si>
    <t>LV - Final energy consumption in new and renovated buildings</t>
  </si>
  <si>
    <t>FEC.ktoe.LV.Ser.BldNew.Thermal</t>
  </si>
  <si>
    <t>FEC.ktoe.LV.Ser.BldNew.Thermal.SH</t>
  </si>
  <si>
    <t>FEC.ktoe.LV.Ser.BldNew.Thermal.SH.Solids.Solids</t>
  </si>
  <si>
    <t>FEC.ktoe.LV.Ser.BldNew.Thermal.SH.LPG.LPG</t>
  </si>
  <si>
    <t>FEC.ktoe.LV.Ser.BldNew.Thermal.SH.Oil.Oil_LiqBio</t>
  </si>
  <si>
    <t>FEC.ktoe.LV.Ser.BldNew.Thermal.SH.GasHP.NG_Biogas</t>
  </si>
  <si>
    <t>FEC.ktoe.LV.Ser.BldNew.Thermal.SH.GasTH.NG_Biogas</t>
  </si>
  <si>
    <t>FEC.ktoe.LV.Ser.BldNew.Thermal.SH.Biomass.Biomass_Waste</t>
  </si>
  <si>
    <t>FEC.ktoe.LV.Ser.BldNew.Thermal.SH.Geo.Geo</t>
  </si>
  <si>
    <t>FEC.ktoe.LV.Ser.BldNew.Thermal.SH.DistrHeat.Steam_Distr</t>
  </si>
  <si>
    <t>FEC.ktoe.LV.Ser.BldNew.Thermal.SH.AdvElc.Elec</t>
  </si>
  <si>
    <t>FEC.ktoe.LV.Ser.BldNew.Thermal.SH.ConvElc.Elec</t>
  </si>
  <si>
    <t>FEC.ktoe.LV.Ser.BldNew.Thermal.SH.TotalCirculation.Elec</t>
  </si>
  <si>
    <t>FEC.ktoe.LV.Ser.BldNew.Thermal.SC</t>
  </si>
  <si>
    <t>FEC.ktoe.LV.Ser.BldNew.Thermal.SC.GasHP.NG_Biogas</t>
  </si>
  <si>
    <t>FEC.ktoe.LV.Ser.BldNew.Thermal.SC.AC.Elec</t>
  </si>
  <si>
    <t>FEC.ktoe.LV.Ser.BldNew.Thermal.HW</t>
  </si>
  <si>
    <t>FEC.ktoe.LV.Ser.BldNew.Thermal.HW.Solids.Solids</t>
  </si>
  <si>
    <t>FEC.ktoe.LV.Ser.BldNew.Thermal.HW.LPG.LPG</t>
  </si>
  <si>
    <t>FEC.ktoe.LV.Ser.BldNew.Thermal.HW.Oil.Oil_LiqBio</t>
  </si>
  <si>
    <t>FEC.ktoe.LV.Ser.BldNew.Thermal.HW.Gas.NG_Biogas</t>
  </si>
  <si>
    <t>FEC.ktoe.LV.Ser.BldNew.Thermal.HW.Biomass.Biomass_Waste</t>
  </si>
  <si>
    <t>FEC.ktoe.LV.Ser.BldNew.Thermal.HW.DistrHeat.Steam_Distr</t>
  </si>
  <si>
    <t>FEC.ktoe.LV.Ser.BldNew.Thermal.HW.Elc.Elec</t>
  </si>
  <si>
    <t>FEC.ktoe.LV.Ser.BldNew.Thermal.HW.TotalSolar.Solar</t>
  </si>
  <si>
    <t>FEC.ktoe.LV.Ser.BldNew.Thermal.CA</t>
  </si>
  <si>
    <t>FEC.ktoe.LV.Ser.BldNew.Thermal.CA.LPG</t>
  </si>
  <si>
    <t>FEC.ktoe.LV.Ser.BldNew.Thermal.CA.Gas.NG_Biogas</t>
  </si>
  <si>
    <t>FEC.ktoe.LV.Ser.BldNew.Thermal.CA.Biomass.Biomass_Waste</t>
  </si>
  <si>
    <t>FEC.ktoe.LV.Ser.BldNew.Thermal.CA.Elc.Elec</t>
  </si>
  <si>
    <t>LV - Thermal energy service in new and renovated buildings</t>
  </si>
  <si>
    <t>TES.ktoe.LV.Ser.BldNew.Thermal</t>
  </si>
  <si>
    <t>TES.ktoe.LV.Ser.BldNew.Thermal.SH</t>
  </si>
  <si>
    <t>TES.ktoe.LV.Ser.BldNew.Thermal.SH.Solids.Solids</t>
  </si>
  <si>
    <t>TES.ktoe.LV.Ser.BldNew.Thermal.SH.LPG.LPG</t>
  </si>
  <si>
    <t>TES.ktoe.LV.Ser.BldNew.Thermal.SH.Oil.Oil_LiqBio</t>
  </si>
  <si>
    <t>TES.ktoe.LV.Ser.BldNew.Thermal.SH.GasHP.NG_Biogas</t>
  </si>
  <si>
    <t>TES.ktoe.LV.Ser.BldNew.Thermal.SH.GasTH.NG_Biogas</t>
  </si>
  <si>
    <t>TES.ktoe.LV.Ser.BldNew.Thermal.SH.Biomass.Biomass_Waste</t>
  </si>
  <si>
    <t>TES.ktoe.LV.Ser.BldNew.Thermal.SH.Geo.Geo</t>
  </si>
  <si>
    <t>TES.ktoe.LV.Ser.BldNew.Thermal.SH.DistrHeat.Steam_Distr</t>
  </si>
  <si>
    <t>TES.ktoe.LV.Ser.BldNew.Thermal.SH.AdvElc.Elec</t>
  </si>
  <si>
    <t>TES.ktoe.LV.Ser.BldNew.Thermal.SH.ConvElc.Elec</t>
  </si>
  <si>
    <t>TES.ktoe.LV.Ser.BldNew.Thermal.SH.TotalCirculation.Elec</t>
  </si>
  <si>
    <t>TES.ktoe.LV.Ser.BldNew.Thermal.SC</t>
  </si>
  <si>
    <t>TES.ktoe.LV.Ser.BldNew.Thermal.SC.GasHP.NG_Biogas</t>
  </si>
  <si>
    <t>TES.ktoe.LV.Ser.BldNew.Thermal.SC.AC.Elec</t>
  </si>
  <si>
    <t>TES.ktoe.LV.Ser.BldNew.Thermal.HW</t>
  </si>
  <si>
    <t>TES.ktoe.LV.Ser.BldNew.Thermal.HW.Solids.Solids</t>
  </si>
  <si>
    <t>TES.ktoe.LV.Ser.BldNew.Thermal.HW.LPG.LPG</t>
  </si>
  <si>
    <t>TES.ktoe.LV.Ser.BldNew.Thermal.HW.Oil.Oil_LiqBio</t>
  </si>
  <si>
    <t>TES.ktoe.LV.Ser.BldNew.Thermal.HW.Gas.NG_Biogas</t>
  </si>
  <si>
    <t>TES.ktoe.LV.Ser.BldNew.Thermal.HW.Biomass.Biomass_Waste</t>
  </si>
  <si>
    <t>TES.ktoe.LV.Ser.BldNew.Thermal.HW.DistrHeat.Steam_Distr</t>
  </si>
  <si>
    <t>TES.ktoe.LV.Ser.BldNew.Thermal.HW.Elc.Elec</t>
  </si>
  <si>
    <t>TES.ktoe.LV.Ser.BldNew.Thermal.HW.TotalSolar.Solar</t>
  </si>
  <si>
    <t>TES.ktoe.LV.Ser.BldNew.Thermal.CA</t>
  </si>
  <si>
    <t>TES.ktoe.LV.Ser.BldNew.Thermal.CA.LPG</t>
  </si>
  <si>
    <t>TES.ktoe.LV.Ser.BldNew.Thermal.CA.Gas.NG_Biogas</t>
  </si>
  <si>
    <t>TES.ktoe.LV.Ser.BldNew.Thermal.CA.Biomass.Biomass_Waste</t>
  </si>
  <si>
    <t>TES.ktoe.LV.Ser.BldNew.Thermal.CA.Elc.Elec</t>
  </si>
  <si>
    <t>LV - System efficiency indicator of new and renovated buildings</t>
  </si>
  <si>
    <t>Eff.ratio.LV.Ser.BldNew.Thermal</t>
  </si>
  <si>
    <t>Eff.ratio.LV.Ser.BldNew.Thermal.SH</t>
  </si>
  <si>
    <t>Eff.ratio.LV.Ser.BldNew.Thermal.SH.Solids.Solids</t>
  </si>
  <si>
    <t>Eff.ratio.LV.Ser.BldNew.Thermal.SH.LPG.LPG</t>
  </si>
  <si>
    <t>Eff.ratio.LV.Ser.BldNew.Thermal.SH.Oil.Oil_LiqBio</t>
  </si>
  <si>
    <t>Eff.ratio.LV.Ser.BldNew.Thermal.SH.GasHP.NG_Biogas</t>
  </si>
  <si>
    <t>Eff.ratio.LV.Ser.BldNew.Thermal.SH.GasTH.NG_Biogas</t>
  </si>
  <si>
    <t>Eff.ratio.LV.Ser.BldNew.Thermal.SH.Biomass.Biomass_Waste</t>
  </si>
  <si>
    <t>Eff.ratio.LV.Ser.BldNew.Thermal.SH.Geo.Geo</t>
  </si>
  <si>
    <t>Eff.ratio.LV.Ser.BldNew.Thermal.SH.DistrHeat.Steam_Distr</t>
  </si>
  <si>
    <t>Eff.ratio.LV.Ser.BldNew.Thermal.SH.AdvElc.Elec</t>
  </si>
  <si>
    <t>Eff.ratio.LV.Ser.BldNew.Thermal.SH.ConvElc.Elec</t>
  </si>
  <si>
    <t>Eff.ratio.LV.Ser.BldNew.Thermal.SH.TotalCirculation.Elec</t>
  </si>
  <si>
    <t>Eff.ratio.LV.Ser.BldNew.Thermal.SC</t>
  </si>
  <si>
    <t>Eff.ratio.LV.Ser.BldNew.Thermal.SC.GasHP.NG_Biogas</t>
  </si>
  <si>
    <t>Eff.ratio.LV.Ser.BldNew.Thermal.SC.AC.Elec</t>
  </si>
  <si>
    <t>Eff.ratio.LV.Ser.BldNew.Thermal.HW</t>
  </si>
  <si>
    <t>Eff.ratio.LV.Ser.BldNew.Thermal.HW.Solids.Solids</t>
  </si>
  <si>
    <t>Eff.ratio.LV.Ser.BldNew.Thermal.HW.LPG.LPG</t>
  </si>
  <si>
    <t>Eff.ratio.LV.Ser.BldNew.Thermal.HW.Oil.Oil_LiqBio</t>
  </si>
  <si>
    <t>Eff.ratio.LV.Ser.BldNew.Thermal.HW.Gas.NG_Biogas</t>
  </si>
  <si>
    <t>Eff.ratio.LV.Ser.BldNew.Thermal.HW.Biomass.Biomass_Waste</t>
  </si>
  <si>
    <t>Eff.ratio.LV.Ser.BldNew.Thermal.HW.DistrHeat.Steam_Distr</t>
  </si>
  <si>
    <t>Eff.ratio.LV.Ser.BldNew.Thermal.HW.Elc.Elec</t>
  </si>
  <si>
    <t>Eff.ratio.LV.Ser.BldNew.Thermal.HW.TotalSolar.Solar</t>
  </si>
  <si>
    <t>Eff.ratio.LV.Ser.BldNew.Thermal.CA</t>
  </si>
  <si>
    <t>Eff.ratio.LV.Ser.BldNew.Thermal.CA.LPG</t>
  </si>
  <si>
    <t>Eff.ratio.LV.Ser.BldNew.Thermal.CA.Gas.NG_Biogas</t>
  </si>
  <si>
    <t>Eff.ratio.LV.Ser.BldNew.Thermal.CA.Biomass.Biomass_Waste</t>
  </si>
  <si>
    <t>Eff.ratio.LV.Ser.BldNew.Thermal.CA.Elc.Elec</t>
  </si>
  <si>
    <t>LV - CO2 emissions in new and renovated buildings</t>
  </si>
  <si>
    <t>EMI.ktCO2.LV.Ser.BldNew.Thermal</t>
  </si>
  <si>
    <t>EMI.ktCO2.LV.Ser.BldNew.Thermal.SH</t>
  </si>
  <si>
    <t>EMI.ktCO2.LV.Ser.BldNew.Thermal.SH.Solids.Solids</t>
  </si>
  <si>
    <t>EMI.ktCO2.LV.Ser.BldNew.Thermal.SH.LPG.LPG</t>
  </si>
  <si>
    <t>EMI.ktCO2.LV.Ser.BldNew.Thermal.SH.Oil.Oil_LiqBio</t>
  </si>
  <si>
    <t>EMI.ktCO2.LV.Ser.BldNew.Thermal.SH.GasHP.NG_Biogas</t>
  </si>
  <si>
    <t>EMI.ktCO2.LV.Ser.BldNew.Thermal.SH.GasTH.NG_Biogas</t>
  </si>
  <si>
    <t>EMI.ktCO2.LV.Ser.BldNew.Thermal.SH.Biomass.Biomass_Waste</t>
  </si>
  <si>
    <t>EMI.ktCO2.LV.Ser.BldNew.Thermal.SH.Geo.Geo</t>
  </si>
  <si>
    <t>EMI.ktCO2.LV.Ser.BldNew.Thermal.SH.DistrHeat.Steam_Distr</t>
  </si>
  <si>
    <t>EMI.ktCO2.LV.Ser.BldNew.Thermal.SH.AdvElc.Elec</t>
  </si>
  <si>
    <t>EMI.ktCO2.LV.Ser.BldNew.Thermal.SH.ConvElc.Elec</t>
  </si>
  <si>
    <t>EMI.ktCO2.LV.Ser.BldNew.Thermal.SH.TotalCirculation.Elec</t>
  </si>
  <si>
    <t>EMI.ktCO2.LV.Ser.BldNew.Thermal.SC</t>
  </si>
  <si>
    <t>EMI.ktCO2.LV.Ser.BldNew.Thermal.SC.GasHP.NG_Biogas</t>
  </si>
  <si>
    <t>EMI.ktCO2.LV.Ser.BldNew.Thermal.SC.AC.Elec</t>
  </si>
  <si>
    <t>EMI.ktCO2.LV.Ser.BldNew.Thermal.HW</t>
  </si>
  <si>
    <t>EMI.ktCO2.LV.Ser.BldNew.Thermal.HW.Solids.Solids</t>
  </si>
  <si>
    <t>EMI.ktCO2.LV.Ser.BldNew.Thermal.HW.LPG.LPG</t>
  </si>
  <si>
    <t>EMI.ktCO2.LV.Ser.BldNew.Thermal.HW.Oil.Oil_LiqBio</t>
  </si>
  <si>
    <t>EMI.ktCO2.LV.Ser.BldNew.Thermal.HW.Gas.NG_Biogas</t>
  </si>
  <si>
    <t>EMI.ktCO2.LV.Ser.BldNew.Thermal.HW.Biomass.Biomass_Waste</t>
  </si>
  <si>
    <t>EMI.ktCO2.LV.Ser.BldNew.Thermal.HW.DistrHeat.Steam_Distr</t>
  </si>
  <si>
    <t>EMI.ktCO2.LV.Ser.BldNew.Thermal.HW.Elc.Elec</t>
  </si>
  <si>
    <t>EMI.ktCO2.LV.Ser.BldNew.Thermal.HW.TotalSolar.Solar</t>
  </si>
  <si>
    <t>EMI.ktCO2.LV.Ser.BldNew.Thermal.CA</t>
  </si>
  <si>
    <t>EMI.ktCO2.LV.Ser.BldNew.Thermal.CA.LPG</t>
  </si>
  <si>
    <t>EMI.ktCO2.LV.Ser.BldNew.Thermal.CA.Gas.NG_Biogas</t>
  </si>
  <si>
    <t>EMI.ktCO2.LV.Ser.BldNew.Thermal.CA.Biomass.Biomass_Waste</t>
  </si>
  <si>
    <t>EMI.ktCO2.LV.Ser.BldNew.Thermal.CA.Elc.Elec</t>
  </si>
  <si>
    <t>LV - Final energy consumption of new and renovated buildings (per building)</t>
  </si>
  <si>
    <t>FEC_per_building.kWh.LV.Ser.BldNew.Thermal</t>
  </si>
  <si>
    <t>FEC_per_building.kWh.LV.Ser.BldNew.Thermal.SH</t>
  </si>
  <si>
    <t>FEC_per_building.kWh.LV.Ser.BldNew.Thermal.SH.Solids.Solids</t>
  </si>
  <si>
    <t>FEC_per_building.kWh.LV.Ser.BldNew.Thermal.SH.LPG.LPG</t>
  </si>
  <si>
    <t>FEC_per_building.kWh.LV.Ser.BldNew.Thermal.SH.Oil.Oil_LiqBio</t>
  </si>
  <si>
    <t>FEC_per_building.kWh.LV.Ser.BldNew.Thermal.SH.GasHP.NG_Biogas</t>
  </si>
  <si>
    <t>FEC_per_building.kWh.LV.Ser.BldNew.Thermal.SH.GasTH.NG_Biogas</t>
  </si>
  <si>
    <t>FEC_per_building.kWh.LV.Ser.BldNew.Thermal.SH.Biomass.Biomass_Waste</t>
  </si>
  <si>
    <t>FEC_per_building.kWh.LV.Ser.BldNew.Thermal.SH.Geo.Geo</t>
  </si>
  <si>
    <t>FEC_per_building.kWh.LV.Ser.BldNew.Thermal.SH.DistrHeat.Steam_Distr</t>
  </si>
  <si>
    <t>FEC_per_building.kWh.LV.Ser.BldNew.Thermal.SH.AdvElc.Elec</t>
  </si>
  <si>
    <t>FEC_per_building.kWh.LV.Ser.BldNew.Thermal.SH.ConvElc.Elec</t>
  </si>
  <si>
    <t>FEC_per_building.kWh.LV.Ser.BldNew.Thermal.SH.TotalCirculation.Elec</t>
  </si>
  <si>
    <t>FEC_per_building.kWh.LV.Ser.BldNew.Thermal.SC</t>
  </si>
  <si>
    <t>FEC_per_building.kWh.LV.Ser.BldNew.Thermal.SC.GasHP.NG_Biogas</t>
  </si>
  <si>
    <t>FEC_per_building.kWh.LV.Ser.BldNew.Thermal.SC.AC.Elec</t>
  </si>
  <si>
    <t>FEC_per_building.kWh.LV.Ser.BldNew.Thermal.HW</t>
  </si>
  <si>
    <t>FEC_per_building.kWh.LV.Ser.BldNew.Thermal.HW.Solids.Solids</t>
  </si>
  <si>
    <t>FEC_per_building.kWh.LV.Ser.BldNew.Thermal.HW.LPG.LPG</t>
  </si>
  <si>
    <t>FEC_per_building.kWh.LV.Ser.BldNew.Thermal.HW.Oil.Oil_LiqBio</t>
  </si>
  <si>
    <t>FEC_per_building.kWh.LV.Ser.BldNew.Thermal.HW.Gas.NG_Biogas</t>
  </si>
  <si>
    <t>FEC_per_building.kWh.LV.Ser.BldNew.Thermal.HW.Biomass.Biomass_Waste</t>
  </si>
  <si>
    <t>FEC_per_building.kWh.LV.Ser.BldNew.Thermal.HW.DistrHeat.Steam_Distr</t>
  </si>
  <si>
    <t>FEC_per_building.kWh.LV.Ser.BldNew.Thermal.HW.Elc.Elec</t>
  </si>
  <si>
    <t>FEC_per_building.kWh.LV.Ser.BldNew.Thermal.HW.TotalSolar.Solar</t>
  </si>
  <si>
    <t>FEC_per_building.kWh.LV.Ser.BldNew.Thermal.CA</t>
  </si>
  <si>
    <t>FEC_per_building.kWh.LV.Ser.BldNew.Thermal.CA.LPG</t>
  </si>
  <si>
    <t>FEC_per_building.kWh.LV.Ser.BldNew.Thermal.CA.Gas.NG_Biogas</t>
  </si>
  <si>
    <t>FEC_per_building.kWh.LV.Ser.BldNew.Thermal.CA.Biomass.Biomass_Waste</t>
  </si>
  <si>
    <t>FEC_per_building.kWh.LV.Ser.BldNew.Thermal.CA.Elc.Elec</t>
  </si>
  <si>
    <t>LV - Thermal energy service of new and renovated buildings (per building)</t>
  </si>
  <si>
    <t>TES_per_building.kWh.LV.Ser.BldNew.Thermal</t>
  </si>
  <si>
    <t>TES_per_building.kWh.LV.Ser.BldNew.Thermal.SH</t>
  </si>
  <si>
    <t>TES_per_building.kWh.LV.Ser.BldNew.Thermal.SH.Solids.Solids</t>
  </si>
  <si>
    <t>TES_per_building.kWh.LV.Ser.BldNew.Thermal.SH.LPG.LPG</t>
  </si>
  <si>
    <t>TES_per_building.kWh.LV.Ser.BldNew.Thermal.SH.Oil.Oil_LiqBio</t>
  </si>
  <si>
    <t>TES_per_building.kWh.LV.Ser.BldNew.Thermal.SH.GasHP.NG_Biogas</t>
  </si>
  <si>
    <t>TES_per_building.kWh.LV.Ser.BldNew.Thermal.SH.GasTH.NG_Biogas</t>
  </si>
  <si>
    <t>TES_per_building.kWh.LV.Ser.BldNew.Thermal.SH.Biomass.Biomass_Waste</t>
  </si>
  <si>
    <t>TES_per_building.kWh.LV.Ser.BldNew.Thermal.SH.Geo.Geo</t>
  </si>
  <si>
    <t>TES_per_building.kWh.LV.Ser.BldNew.Thermal.SH.DistrHeat.Steam_Distr</t>
  </si>
  <si>
    <t>TES_per_building.kWh.LV.Ser.BldNew.Thermal.SH.AdvElc.Elec</t>
  </si>
  <si>
    <t>TES_per_building.kWh.LV.Ser.BldNew.Thermal.SH.ConvElc.Elec</t>
  </si>
  <si>
    <t>TES_per_building.kWh.LV.Ser.BldNew.Thermal.SH.TotalCirculation.Elec</t>
  </si>
  <si>
    <t>TES_per_building.kWh.LV.Ser.BldNew.Thermal.SC</t>
  </si>
  <si>
    <t>TES_per_building.kWh.LV.Ser.BldNew.Thermal.SC.GasHP.NG_Biogas</t>
  </si>
  <si>
    <t>TES_per_building.kWh.LV.Ser.BldNew.Thermal.SC.AC.Elec</t>
  </si>
  <si>
    <t>TES_per_building.kWh.LV.Ser.BldNew.Thermal.HW</t>
  </si>
  <si>
    <t>TES_per_building.kWh.LV.Ser.BldNew.Thermal.HW.Solids.Solids</t>
  </si>
  <si>
    <t>TES_per_building.kWh.LV.Ser.BldNew.Thermal.HW.LPG.LPG</t>
  </si>
  <si>
    <t>TES_per_building.kWh.LV.Ser.BldNew.Thermal.HW.Oil.Oil_LiqBio</t>
  </si>
  <si>
    <t>TES_per_building.kWh.LV.Ser.BldNew.Thermal.HW.Gas.NG_Biogas</t>
  </si>
  <si>
    <t>TES_per_building.kWh.LV.Ser.BldNew.Thermal.HW.Biomass.Biomass_Waste</t>
  </si>
  <si>
    <t>TES_per_building.kWh.LV.Ser.BldNew.Thermal.HW.DistrHeat.Steam_Distr</t>
  </si>
  <si>
    <t>TES_per_building.kWh.LV.Ser.BldNew.Thermal.HW.Elc.Elec</t>
  </si>
  <si>
    <t>TES_per_building.kWh.LV.Ser.BldNew.Thermal.HW.TotalSolar.Solar</t>
  </si>
  <si>
    <t>TES_per_building.kWh.LV.Ser.BldNew.Thermal.CA</t>
  </si>
  <si>
    <t>TES_per_building.kWh.LV.Ser.BldNew.Thermal.CA.LPG</t>
  </si>
  <si>
    <t>TES_per_building.kWh.LV.Ser.BldNew.Thermal.CA.Gas.NG_Biogas</t>
  </si>
  <si>
    <t>TES_per_building.kWh.LV.Ser.BldNew.Thermal.CA.Biomass.Biomass_Waste</t>
  </si>
  <si>
    <t>TES_per_building.kWh.LV.Ser.BldNew.Thermal.CA.Elc.Elec</t>
  </si>
  <si>
    <t>LV - CO2 emissions in new and renovated buildings (per building)</t>
  </si>
  <si>
    <t>EMI_per_building.kgCO2.LV.Ser.BldNew.Thermal</t>
  </si>
  <si>
    <t>EMI_per_building.kgCO2.LV.Ser.BldNew.Thermal.SH</t>
  </si>
  <si>
    <t>EMI_per_building.kgCO2.LV.Ser.BldNew.Thermal.SH.Solids.Solids</t>
  </si>
  <si>
    <t>EMI_per_building.kgCO2.LV.Ser.BldNew.Thermal.SH.LPG.LPG</t>
  </si>
  <si>
    <t>EMI_per_building.kgCO2.LV.Ser.BldNew.Thermal.SH.Oil.Oil_LiqBio</t>
  </si>
  <si>
    <t>EMI_per_building.kgCO2.LV.Ser.BldNew.Thermal.SH.GasHP.NG_Biogas</t>
  </si>
  <si>
    <t>EMI_per_building.kgCO2.LV.Ser.BldNew.Thermal.SH.GasTH.NG_Biogas</t>
  </si>
  <si>
    <t>EMI_per_building.kgCO2.LV.Ser.BldNew.Thermal.SH.Biomass.Biomass_Waste</t>
  </si>
  <si>
    <t>EMI_per_building.kgCO2.LV.Ser.BldNew.Thermal.SH.Geo.Geo</t>
  </si>
  <si>
    <t>EMI_per_building.kgCO2.LV.Ser.BldNew.Thermal.SH.DistrHeat.Steam_Distr</t>
  </si>
  <si>
    <t>EMI_per_building.kgCO2.LV.Ser.BldNew.Thermal.SH.AdvElc.Elec</t>
  </si>
  <si>
    <t>EMI_per_building.kgCO2.LV.Ser.BldNew.Thermal.SH.ConvElc.Elec</t>
  </si>
  <si>
    <t>EMI_per_building.kgCO2.LV.Ser.BldNew.Thermal.SH.TotalCirculation.Elec</t>
  </si>
  <si>
    <t>EMI_per_building.kgCO2.LV.Ser.BldNew.Thermal.SC</t>
  </si>
  <si>
    <t>EMI_per_building.kgCO2.LV.Ser.BldNew.Thermal.SC.GasHP.NG_Biogas</t>
  </si>
  <si>
    <t>EMI_per_building.kgCO2.LV.Ser.BldNew.Thermal.SC.AC.Elec</t>
  </si>
  <si>
    <t>EMI_per_building.kgCO2.LV.Ser.BldNew.Thermal.HW</t>
  </si>
  <si>
    <t>EMI_per_building.kgCO2.LV.Ser.BldNew.Thermal.HW.Solids.Solids</t>
  </si>
  <si>
    <t>EMI_per_building.kgCO2.LV.Ser.BldNew.Thermal.HW.LPG.LPG</t>
  </si>
  <si>
    <t>EMI_per_building.kgCO2.LV.Ser.BldNew.Thermal.HW.Oil.Oil_LiqBio</t>
  </si>
  <si>
    <t>EMI_per_building.kgCO2.LV.Ser.BldNew.Thermal.HW.Gas.NG_Biogas</t>
  </si>
  <si>
    <t>EMI_per_building.kgCO2.LV.Ser.BldNew.Thermal.HW.Biomass.Biomass_Waste</t>
  </si>
  <si>
    <t>EMI_per_building.kgCO2.LV.Ser.BldNew.Thermal.HW.DistrHeat.Steam_Distr</t>
  </si>
  <si>
    <t>EMI_per_building.kgCO2.LV.Ser.BldNew.Thermal.HW.Elc.Elec</t>
  </si>
  <si>
    <t>EMI_per_building.kgCO2.LV.Ser.BldNew.Thermal.HW.TotalSolar.Solar</t>
  </si>
  <si>
    <t>EMI_per_building.kgCO2.LV.Ser.BldNew.Thermal.CA</t>
  </si>
  <si>
    <t>EMI_per_building.kgCO2.LV.Ser.BldNew.Thermal.CA.LPG</t>
  </si>
  <si>
    <t>EMI_per_building.kgCO2.LV.Ser.BldNew.Thermal.CA.Gas.NG_Biogas</t>
  </si>
  <si>
    <t>EMI_per_building.kgCO2.LV.Ser.BldNew.Thermal.CA.Biomass.Biomass_Waste</t>
  </si>
  <si>
    <t>EMI_per_building.kgCO2.LV.Ser.BldNew.Thermal.CA.Elc.Elec</t>
  </si>
  <si>
    <t>LV - Final energy consumption in new and renovated buildings per surface area</t>
  </si>
  <si>
    <t>FEC_per_sqm.kWh.LV.Ser.BldNew.Thermal</t>
  </si>
  <si>
    <t>FEC_per_sqm.kWh.LV.Ser.BldNew.Thermal.SH</t>
  </si>
  <si>
    <t>FEC_per_sqm.kWh.LV.Ser.BldNew.Thermal.SH.Solids.Solids</t>
  </si>
  <si>
    <t>FEC_per_sqm.kWh.LV.Ser.BldNew.Thermal.SH.LPG.LPG</t>
  </si>
  <si>
    <t>FEC_per_sqm.kWh.LV.Ser.BldNew.Thermal.SH.Oil.Oil_LiqBio</t>
  </si>
  <si>
    <t>FEC_per_sqm.kWh.LV.Ser.BldNew.Thermal.SH.GasHP.NG_Biogas</t>
  </si>
  <si>
    <t>FEC_per_sqm.kWh.LV.Ser.BldNew.Thermal.SH.GasTH.NG_Biogas</t>
  </si>
  <si>
    <t>FEC_per_sqm.kWh.LV.Ser.BldNew.Thermal.SH.Biomass.Biomass_Waste</t>
  </si>
  <si>
    <t>FEC_per_sqm.kWh.LV.Ser.BldNew.Thermal.SH.Geo.Geo</t>
  </si>
  <si>
    <t>FEC_per_sqm.kWh.LV.Ser.BldNew.Thermal.SH.DistrHeat.Steam_Distr</t>
  </si>
  <si>
    <t>FEC_per_sqm.kWh.LV.Ser.BldNew.Thermal.SH.AdvElc.Elec</t>
  </si>
  <si>
    <t>FEC_per_sqm.kWh.LV.Ser.BldNew.Thermal.SH.ConvElc.Elec</t>
  </si>
  <si>
    <t>FEC_per_sqm.kWh.LV.Ser.BldNew.Thermal.SH.TotalCirculation.Elec</t>
  </si>
  <si>
    <t>FEC_per_sqm.kWh.LV.Ser.BldNew.Thermal.SC</t>
  </si>
  <si>
    <t>FEC_per_sqm.kWh.LV.Ser.BldNew.Thermal.SC.GasHP.NG_Biogas</t>
  </si>
  <si>
    <t>FEC_per_sqm.kWh.LV.Ser.BldNew.Thermal.SC.AC.Elec</t>
  </si>
  <si>
    <t>FEC_per_sqm.kWh.LV.Ser.BldNew.Thermal.HW</t>
  </si>
  <si>
    <t>FEC_per_sqm.kWh.LV.Ser.BldNew.Thermal.HW.Solids.Solids</t>
  </si>
  <si>
    <t>FEC_per_sqm.kWh.LV.Ser.BldNew.Thermal.HW.LPG.LPG</t>
  </si>
  <si>
    <t>FEC_per_sqm.kWh.LV.Ser.BldNew.Thermal.HW.Oil.Oil_LiqBio</t>
  </si>
  <si>
    <t>FEC_per_sqm.kWh.LV.Ser.BldNew.Thermal.HW.Gas.NG_Biogas</t>
  </si>
  <si>
    <t>FEC_per_sqm.kWh.LV.Ser.BldNew.Thermal.HW.Biomass.Biomass_Waste</t>
  </si>
  <si>
    <t>FEC_per_sqm.kWh.LV.Ser.BldNew.Thermal.HW.DistrHeat.Steam_Distr</t>
  </si>
  <si>
    <t>FEC_per_sqm.kWh.LV.Ser.BldNew.Thermal.HW.Elc.Elec</t>
  </si>
  <si>
    <t>FEC_per_sqm.kWh.LV.Ser.BldNew.Thermal.HW.TotalSolar.Solar</t>
  </si>
  <si>
    <t>FEC_per_sqm.kWh.LV.Ser.BldNew.Thermal.CA</t>
  </si>
  <si>
    <t>FEC_per_sqm.kWh.LV.Ser.BldNew.Thermal.CA.LPG</t>
  </si>
  <si>
    <t>FEC_per_sqm.kWh.LV.Ser.BldNew.Thermal.CA.Gas.NG_Biogas</t>
  </si>
  <si>
    <t>FEC_per_sqm.kWh.LV.Ser.BldNew.Thermal.CA.Biomass.Biomass_Waste</t>
  </si>
  <si>
    <t>FEC_per_sqm.kWh.LV.Ser.BldNew.Thermal.CA.Elc.Elec</t>
  </si>
  <si>
    <t>LV - Thermal energy service in new and renovated buildings per surface area</t>
  </si>
  <si>
    <t>TES_per_sqm.kWh.LV.Ser.BldNew.Thermal</t>
  </si>
  <si>
    <t>TES_per_sqm.kWh.LV.Ser.BldNew.Thermal.SH</t>
  </si>
  <si>
    <t>TES_per_sqm.kWh.LV.Ser.BldNew.Thermal.SH.Solids.Solids</t>
  </si>
  <si>
    <t>TES_per_sqm.kWh.LV.Ser.BldNew.Thermal.SH.LPG.LPG</t>
  </si>
  <si>
    <t>TES_per_sqm.kWh.LV.Ser.BldNew.Thermal.SH.Oil.Oil_LiqBio</t>
  </si>
  <si>
    <t>TES_per_sqm.kWh.LV.Ser.BldNew.Thermal.SH.GasHP.NG_Biogas</t>
  </si>
  <si>
    <t>TES_per_sqm.kWh.LV.Ser.BldNew.Thermal.SH.GasTH.NG_Biogas</t>
  </si>
  <si>
    <t>TES_per_sqm.kWh.LV.Ser.BldNew.Thermal.SH.Biomass.Biomass_Waste</t>
  </si>
  <si>
    <t>TES_per_sqm.kWh.LV.Ser.BldNew.Thermal.SH.Geo.Geo</t>
  </si>
  <si>
    <t>TES_per_sqm.kWh.LV.Ser.BldNew.Thermal.SH.DistrHeat.Steam_Distr</t>
  </si>
  <si>
    <t>TES_per_sqm.kWh.LV.Ser.BldNew.Thermal.SH.AdvElc.Elec</t>
  </si>
  <si>
    <t>TES_per_sqm.kWh.LV.Ser.BldNew.Thermal.SH.ConvElc.Elec</t>
  </si>
  <si>
    <t>TES_per_sqm.kWh.LV.Ser.BldNew.Thermal.SH.TotalCirculation.Elec</t>
  </si>
  <si>
    <t>TES_per_sqm.kWh.LV.Ser.BldNew.Thermal.SC</t>
  </si>
  <si>
    <t>TES_per_sqm.kWh.LV.Ser.BldNew.Thermal.SC.GasHP.NG_Biogas</t>
  </si>
  <si>
    <t>TES_per_sqm.kWh.LV.Ser.BldNew.Thermal.SC.AC.Elec</t>
  </si>
  <si>
    <t>TES_per_sqm.kWh.LV.Ser.BldNew.Thermal.HW</t>
  </si>
  <si>
    <t>TES_per_sqm.kWh.LV.Ser.BldNew.Thermal.HW.Solids.Solids</t>
  </si>
  <si>
    <t>TES_per_sqm.kWh.LV.Ser.BldNew.Thermal.HW.LPG.LPG</t>
  </si>
  <si>
    <t>TES_per_sqm.kWh.LV.Ser.BldNew.Thermal.HW.Oil.Oil_LiqBio</t>
  </si>
  <si>
    <t>TES_per_sqm.kWh.LV.Ser.BldNew.Thermal.HW.Gas.NG_Biogas</t>
  </si>
  <si>
    <t>TES_per_sqm.kWh.LV.Ser.BldNew.Thermal.HW.Biomass.Biomass_Waste</t>
  </si>
  <si>
    <t>TES_per_sqm.kWh.LV.Ser.BldNew.Thermal.HW.DistrHeat.Steam_Distr</t>
  </si>
  <si>
    <t>TES_per_sqm.kWh.LV.Ser.BldNew.Thermal.HW.Elc.Elec</t>
  </si>
  <si>
    <t>TES_per_sqm.kWh.LV.Ser.BldNew.Thermal.HW.TotalSolar.Solar</t>
  </si>
  <si>
    <t>TES_per_sqm.kWh.LV.Ser.BldNew.Thermal.CA</t>
  </si>
  <si>
    <t>TES_per_sqm.kWh.LV.Ser.BldNew.Thermal.CA.LPG</t>
  </si>
  <si>
    <t>TES_per_sqm.kWh.LV.Ser.BldNew.Thermal.CA.Gas.NG_Biogas</t>
  </si>
  <si>
    <t>TES_per_sqm.kWh.LV.Ser.BldNew.Thermal.CA.Biomass.Biomass_Waste</t>
  </si>
  <si>
    <t>TES_per_sqm.kWh.LV.Ser.BldNew.Thermal.CA.Elc.Elec</t>
  </si>
  <si>
    <t>LV - CO2 emissions in new and renovated buildings per surface area</t>
  </si>
  <si>
    <t>EMI_per_sqm.kgCO2.LV.Ser.BldNew.Thermal</t>
  </si>
  <si>
    <t>EMI_per_sqm.kgCO2.LV.Ser.BldNew.Thermal.SH</t>
  </si>
  <si>
    <t>EMI_per_sqm.kgCO2.LV.Ser.BldNew.Thermal.SH.Solids.Solids</t>
  </si>
  <si>
    <t>EMI_per_sqm.kgCO2.LV.Ser.BldNew.Thermal.SH.LPG.LPG</t>
  </si>
  <si>
    <t>EMI_per_sqm.kgCO2.LV.Ser.BldNew.Thermal.SH.Oil.Oil_LiqBio</t>
  </si>
  <si>
    <t>EMI_per_sqm.kgCO2.LV.Ser.BldNew.Thermal.SH.GasHP.NG_Biogas</t>
  </si>
  <si>
    <t>EMI_per_sqm.kgCO2.LV.Ser.BldNew.Thermal.SH.GasTH.NG_Biogas</t>
  </si>
  <si>
    <t>EMI_per_sqm.kgCO2.LV.Ser.BldNew.Thermal.SH.Biomass.Biomass_Waste</t>
  </si>
  <si>
    <t>EMI_per_sqm.kgCO2.LV.Ser.BldNew.Thermal.SH.Geo.Geo</t>
  </si>
  <si>
    <t>EMI_per_sqm.kgCO2.LV.Ser.BldNew.Thermal.SH.DistrHeat.Steam_Distr</t>
  </si>
  <si>
    <t>EMI_per_sqm.kgCO2.LV.Ser.BldNew.Thermal.SH.AdvElc.Elec</t>
  </si>
  <si>
    <t>EMI_per_sqm.kgCO2.LV.Ser.BldNew.Thermal.SH.ConvElc.Elec</t>
  </si>
  <si>
    <t>EMI_per_sqm.kgCO2.LV.Ser.BldNew.Thermal.SH.TotalCirculation.Elec</t>
  </si>
  <si>
    <t>EMI_per_sqm.kgCO2.LV.Ser.BldNew.Thermal.SC</t>
  </si>
  <si>
    <t>EMI_per_sqm.kgCO2.LV.Ser.BldNew.Thermal.SC.GasHP.NG_Biogas</t>
  </si>
  <si>
    <t>EMI_per_sqm.kgCO2.LV.Ser.BldNew.Thermal.SC.AC.Elec</t>
  </si>
  <si>
    <t>EMI_per_sqm.kgCO2.LV.Ser.BldNew.Thermal.HW</t>
  </si>
  <si>
    <t>EMI_per_sqm.kgCO2.LV.Ser.BldNew.Thermal.HW.Solids.Solids</t>
  </si>
  <si>
    <t>EMI_per_sqm.kgCO2.LV.Ser.BldNew.Thermal.HW.LPG.LPG</t>
  </si>
  <si>
    <t>EMI_per_sqm.kgCO2.LV.Ser.BldNew.Thermal.HW.Oil.Oil_LiqBio</t>
  </si>
  <si>
    <t>EMI_per_sqm.kgCO2.LV.Ser.BldNew.Thermal.HW.Gas.NG_Biogas</t>
  </si>
  <si>
    <t>EMI_per_sqm.kgCO2.LV.Ser.BldNew.Thermal.HW.Biomass.Biomass_Waste</t>
  </si>
  <si>
    <t>EMI_per_sqm.kgCO2.LV.Ser.BldNew.Thermal.HW.DistrHeat.Steam_Distr</t>
  </si>
  <si>
    <t>EMI_per_sqm.kgCO2.LV.Ser.BldNew.Thermal.HW.Elc.Elec</t>
  </si>
  <si>
    <t>EMI_per_sqm.kgCO2.LV.Ser.BldNew.Thermal.HW.TotalSolar.Solar</t>
  </si>
  <si>
    <t>EMI_per_sqm.kgCO2.LV.Ser.BldNew.Thermal.CA</t>
  </si>
  <si>
    <t>EMI_per_sqm.kgCO2.LV.Ser.BldNew.Thermal.CA.LPG</t>
  </si>
  <si>
    <t>EMI_per_sqm.kgCO2.LV.Ser.BldNew.Thermal.CA.Gas.NG_Biogas</t>
  </si>
  <si>
    <t>EMI_per_sqm.kgCO2.LV.Ser.BldNew.Thermal.CA.Biomass.Biomass_Waste</t>
  </si>
  <si>
    <t>EMI_per_sqm.kgCO2.LV.Ser.BldNew.Thermal.CA.Elc.Elec</t>
  </si>
  <si>
    <t>FEC.ktoe.LV.Ser.SEU.VE</t>
  </si>
  <si>
    <t>FEC.ktoe.LV.Ser.SEU.SL</t>
  </si>
  <si>
    <t>FEC.ktoe.LV.Ser.SEU.BL</t>
  </si>
  <si>
    <t>FEC.ktoe.LV.Ser.SEU.CR</t>
  </si>
  <si>
    <t>FEC.ktoe.LV.Ser.SEU.BT</t>
  </si>
  <si>
    <t>FEC.ktoe.LV.Ser.SEU.IT</t>
  </si>
  <si>
    <t>Size.MW.LV.Ser.SEU</t>
  </si>
  <si>
    <t>Size.MW.LV.Ser.SEU.VE</t>
  </si>
  <si>
    <t>Size.MW.LV.Ser.SEU.SL</t>
  </si>
  <si>
    <t>Size.MW.LV.Ser.SEU.BL</t>
  </si>
  <si>
    <t>Size.MW.LV.Ser.SEU.CR</t>
  </si>
  <si>
    <t>Size.MW.LV.Ser.SEU.BT</t>
  </si>
  <si>
    <t>Size.MW.LV.Ser.SEU.IT</t>
  </si>
  <si>
    <t>NUM.Msqm.LV.Ser.SEU.VE</t>
  </si>
  <si>
    <t>NUM.k.LV.Ser.SEU.SL</t>
  </si>
  <si>
    <t>NUM.M.LV.Ser.SEU.BL</t>
  </si>
  <si>
    <t>NUM.k.LV.Ser.SEU.CR</t>
  </si>
  <si>
    <t>NUM.Msqm.LV.Ser.SEU.BT</t>
  </si>
  <si>
    <t>NUM.k.LV.Ser.SEU.IT</t>
  </si>
  <si>
    <t>NUM.Msqm.LV.Ser.SEUnew.VE</t>
  </si>
  <si>
    <t>NUM.k.LV.Ser.SEUnew.SL</t>
  </si>
  <si>
    <t>NUM.M.LV.Ser.SEUnew.BL</t>
  </si>
  <si>
    <t>NUM.k.LV.Ser.SEUnew.CR</t>
  </si>
  <si>
    <t>NUM.Msqm.LV.Ser.SEUnew.BT</t>
  </si>
  <si>
    <t>NUM.k.LV.Ser.SEUnew.IT</t>
  </si>
  <si>
    <t>NUM.Msqm.LV.Ser.SEUrepl.VE</t>
  </si>
  <si>
    <t>NUM.k.LV.Ser.SEUrepl.SL</t>
  </si>
  <si>
    <t>NUM.M.LV.Ser.SEUrepl.BL</t>
  </si>
  <si>
    <t>NUM.k.LV.Ser.SEUrepl.CR</t>
  </si>
  <si>
    <t>NUM.Msqm.LV.Ser.SEUrepl.BT</t>
  </si>
  <si>
    <t>NUM.k.LV.Ser.SEUrepl.IT</t>
  </si>
  <si>
    <t>Op.hours.LV.Ser.SEU.VE</t>
  </si>
  <si>
    <t>Op.hours.LV.Ser.SEU.SL</t>
  </si>
  <si>
    <t>Op.hours.LV.Ser.SEU.BL</t>
  </si>
  <si>
    <t>Op.hours.LV.Ser.SEU.CR</t>
  </si>
  <si>
    <t>Op.hours.LV.Ser.SEU.BT</t>
  </si>
  <si>
    <t>Op.hours.LV.Ser.SEU.IT</t>
  </si>
  <si>
    <t>Size_per_appl.W.LV.Ser.SEU.VE</t>
  </si>
  <si>
    <t>Size_per_appl.W.LV.Ser.SEU.SL</t>
  </si>
  <si>
    <t>Size_per_appl.W.LV.Ser.SEU.BL</t>
  </si>
  <si>
    <t>Size_per_appl.W.LV.Ser.SEU.CR</t>
  </si>
  <si>
    <t>Size_per_appl.W.LV.Ser.SEU.BT</t>
  </si>
  <si>
    <t>Size_per_appl.W.LV.Ser.SEU.IT</t>
  </si>
  <si>
    <t>Size_per_appl.W.LV.Ser.SEUnew.VE</t>
  </si>
  <si>
    <t>Size_per_appl.W.LV.Ser.SEUnew.SL</t>
  </si>
  <si>
    <t>Size_per_appl.W.LV.Ser.SEUnew.BL</t>
  </si>
  <si>
    <t>Size_per_appl.W.LV.Ser.SEUnew.CR</t>
  </si>
  <si>
    <t>Size_per_appl.W.LV.Ser.SEUnew.BT</t>
  </si>
  <si>
    <t>Size_per_appl.W.LV.Ser.SEUnew.IT</t>
  </si>
  <si>
    <t>NUM.sqm_per_building.LV.Ser.SEU.VE</t>
  </si>
  <si>
    <t>NUM.number_per_capita.LV.Ser.SEU.SL</t>
  </si>
  <si>
    <t>NUM.number_per_building.LV.Ser.SEU.BL</t>
  </si>
  <si>
    <t>NUM.number_per_capita.LV.Ser.SEU.CR</t>
  </si>
  <si>
    <t>NUM.sqm_per_building.LV.Ser.SEU.BT</t>
  </si>
  <si>
    <t>NUM.number_per_capita.LV.Ser.SEU.IT</t>
  </si>
  <si>
    <t>Lumens_per_sqm.lumen.LV.Ser.SEU.BL</t>
  </si>
  <si>
    <t>FEC.ktoe.LV.Ser.SEU.IT.DataCenters</t>
  </si>
  <si>
    <t>LV - Services / specific electric uses</t>
  </si>
  <si>
    <t>LV - Ventilation and others</t>
  </si>
  <si>
    <t>LV - Street lighting</t>
  </si>
  <si>
    <t>LV - Building lighting</t>
  </si>
  <si>
    <t>LV - Commercial refrigeration</t>
  </si>
  <si>
    <t>LV - Miscellaneous building technologies</t>
  </si>
  <si>
    <t>LV - ICT and multimedia</t>
  </si>
  <si>
    <t>LV - Agriculture, forestry and fishing</t>
  </si>
  <si>
    <t>VA.Meuro2015.Meuro2023.LV.AGR.AGR</t>
  </si>
  <si>
    <t>OUTPUT.index.index.LV.AGR.AGR</t>
  </si>
  <si>
    <t>CAP.index.index.LV.AGR.AGR</t>
  </si>
  <si>
    <t>NEWCAP.index.index.LV.AGR.AGR</t>
  </si>
  <si>
    <t>CAPOUT.index.LV.AGR.AGR</t>
  </si>
  <si>
    <t>CAPIDLE.index.LV.AGR.AGR</t>
  </si>
  <si>
    <t>FEC.ktoe.LV.ES.AGR</t>
  </si>
  <si>
    <t>FEC.ktoe.LV.ES.AGR.Solids</t>
  </si>
  <si>
    <t>FEC.ktoe.LV.ES.AGR.LPG</t>
  </si>
  <si>
    <t>FEC.ktoe.LV.ES.AGR.Diesel</t>
  </si>
  <si>
    <t>FEC.ktoe.LV.ES.AGR.RFO</t>
  </si>
  <si>
    <t>FEC.ktoe.LV.ES.AGR.NG</t>
  </si>
  <si>
    <t>FEC.ktoe.LV.ES.AGR.Biomass_Waste</t>
  </si>
  <si>
    <t>FEC.ktoe.LV.ES.AGR.Biogas</t>
  </si>
  <si>
    <t>FEC.ktoe.LV.ES.AGR.LiqBio</t>
  </si>
  <si>
    <t>FEC.ktoe.LV.ES.AGR.Solar</t>
  </si>
  <si>
    <t>FEC.ktoe.LV.ES.AGR.Geo</t>
  </si>
  <si>
    <t>FEC.ktoe.LV.ES.AGR.Ambient</t>
  </si>
  <si>
    <t>FEC.ktoe.LV.ES.AGR.Steam_Distr</t>
  </si>
  <si>
    <t>FEC.ktoe.LV.ES.AGR.Elec</t>
  </si>
  <si>
    <t>LV - Agriculture, forestry and fishing / final energy consumption</t>
  </si>
  <si>
    <t>FEC.ktoe.ktoe.LV.AGR.AGR.LIGHT.GENERIC.ELEC</t>
  </si>
  <si>
    <t>FEC.ktoe.ktoe.LV.AGR.AGR.FANS.GENERIC.ELEC</t>
  </si>
  <si>
    <t>FEC.ktoe.ktoe.LV.AGR.AGR.MOTOR.GENERIC.ELEC</t>
  </si>
  <si>
    <t>FEC.ktoe.ktoe.LV.AGR.AGR.LOW_ENTH.THERM.DIESEL_LIQBIO</t>
  </si>
  <si>
    <t>FEC.ktoe.ktoe.LV.AGR.AGR.LOW_ENTH.THERM.NG_BIOGAS</t>
  </si>
  <si>
    <t>FEC.ktoe.ktoe.LV.AGR.AGR.LOW_ENTH.THERM.SOLAR_GEO</t>
  </si>
  <si>
    <t>FEC.ktoe.ktoe.LV.AGR.AGR.LOW_ENTH.HP.AMBIENT</t>
  </si>
  <si>
    <t>FEC.ktoe.ktoe.LV.AGR.AGR.LOW_ENTH.THERM.STEAM_DISTR</t>
  </si>
  <si>
    <t>FEC.ktoe.ktoe.LV.AGR.AGR.LOW_ENTH.THERM.ELEC</t>
  </si>
  <si>
    <t>FEC.ktoe.ktoe.LV.AGR.AGR.FARM_DRIVES.MECH.DIESEL_LIQBIO</t>
  </si>
  <si>
    <t>FEC.ktoe.ktoe.LV.AGR.AGR.HEAT_USE.THERM.SOLIDS</t>
  </si>
  <si>
    <t>FEC.ktoe.ktoe.LV.AGR.AGR.HEAT_USE.THERM.LPG</t>
  </si>
  <si>
    <t>FEC.ktoe.ktoe.LV.AGR.AGR.HEAT_USE.THERM.DIESEL_LIQBIO</t>
  </si>
  <si>
    <t>FEC.ktoe.ktoe.LV.AGR.AGR.HEAT_USE.THERM.RFO</t>
  </si>
  <si>
    <t>FEC.ktoe.ktoe.LV.AGR.AGR.HEAT_USE.THERM.NG_BIOGAS</t>
  </si>
  <si>
    <t>FEC.ktoe.ktoe.LV.AGR.AGR.HEAT_USE.THERM.BIOMASS_WASTE</t>
  </si>
  <si>
    <t>FEC.ktoe.ktoe.LV.AGR.AGR.HEAT_USE.THERM.SOLAR_GEO</t>
  </si>
  <si>
    <t>FEC.ktoe.ktoe.LV.AGR.AGR.FARM_PUMP.MECH.DIESEL_LIQBIO</t>
  </si>
  <si>
    <t>FEC.ktoe.ktoe.LV.AGR.AGR.FARM_PUMP_ELEC.MECH.ELEC</t>
  </si>
  <si>
    <t>FEC.ktoe.ktoe.LV.AGR.AGR.GENERIC.MECH.ELEC</t>
  </si>
  <si>
    <t>LV - Agriculture, forestry and fishing / useful energy demand</t>
  </si>
  <si>
    <t>UED.ktoe.ktoe.LV.AGR.AGR.LIGHT.GENERIC.ELEC</t>
  </si>
  <si>
    <t>UED.ktoe.ktoe.LV.AGR.AGR.FANS.GENERIC.ELEC</t>
  </si>
  <si>
    <t>UED.ktoe.ktoe.LV.AGR.AGR.MOTOR.GENERIC.ELEC</t>
  </si>
  <si>
    <t>UED.ktoe.ktoe.LV.AGR.AGR.LOW_ENTH.THERM.DIESEL_LIQBIO</t>
  </si>
  <si>
    <t>UED.ktoe.ktoe.LV.AGR.AGR.LOW_ENTH.THERM.NG_BIOGAS</t>
  </si>
  <si>
    <t>UED.ktoe.ktoe.LV.AGR.AGR.LOW_ENTH.THERM.SOLAR_GEO</t>
  </si>
  <si>
    <t>UED.ktoe.ktoe.LV.AGR.AGR.LOW_ENTH.HP.AMBIENT</t>
  </si>
  <si>
    <t>UED.ktoe.ktoe.LV.AGR.AGR.LOW_ENTH.THERM.STEAM_DISTR</t>
  </si>
  <si>
    <t>UED.ktoe.ktoe.LV.AGR.AGR.LOW_ENTH.THERM.ELEC</t>
  </si>
  <si>
    <t>UED.ktoe.ktoe.LV.AGR.AGR.FARM_DRIVES.MECH.DIESEL_LIQBIO</t>
  </si>
  <si>
    <t>UED.ktoe.ktoe.LV.AGR.AGR.HEAT_USE.THERM.SOLIDS</t>
  </si>
  <si>
    <t>UED.ktoe.ktoe.LV.AGR.AGR.HEAT_USE.THERM.LPG</t>
  </si>
  <si>
    <t>UED.ktoe.ktoe.LV.AGR.AGR.HEAT_USE.THERM.DIESEL_LIQBIO</t>
  </si>
  <si>
    <t>UED.ktoe.ktoe.LV.AGR.AGR.HEAT_USE.THERM.RFO</t>
  </si>
  <si>
    <t>UED.ktoe.ktoe.LV.AGR.AGR.HEAT_USE.THERM.NG_BIOGAS</t>
  </si>
  <si>
    <t>UED.ktoe.ktoe.LV.AGR.AGR.HEAT_USE.THERM.BIOMASS_WASTE</t>
  </si>
  <si>
    <t>UED.ktoe.ktoe.LV.AGR.AGR.HEAT_USE.THERM.SOLAR_GEO</t>
  </si>
  <si>
    <t>UED.ktoe.ktoe.LV.AGR.AGR.FARM_PUMP.MECH.DIESEL_LIQBIO</t>
  </si>
  <si>
    <t>UED.ktoe.ktoe.LV.AGR.AGR.FARM_PUMP_ELEC.MECH.ELEC</t>
  </si>
  <si>
    <t>UED.ktoe.ktoe.LV.AGR.AGR.GENERIC.MECH.ELEC</t>
  </si>
  <si>
    <t>LV - Agriculture, forestry and fishing / CO2 emissions</t>
  </si>
  <si>
    <t>FUEL_EMI.ktCO2.ktCO2.LV.AGR.AGR.LIGHT.GENERIC.ELEC</t>
  </si>
  <si>
    <t>FUEL_EMI.ktCO2.ktCO2.LV.AGR.AGR.FANS.GENERIC.ELEC</t>
  </si>
  <si>
    <t>FUEL_EMI.ktCO2.ktCO2.LV.AGR.AGR.MOTOR.GENERIC.ELEC</t>
  </si>
  <si>
    <t>FUEL_EMI.ktCO2.ktCO2.LV.AGR.AGR.LOW_ENTH.THERM.DIESEL_LIQBIO</t>
  </si>
  <si>
    <t>FUEL_EMI.ktCO2.ktCO2.LV.AGR.AGR.LOW_ENTH.THERM.NG_BIOGAS</t>
  </si>
  <si>
    <t>FUEL_EMI.ktCO2.ktCO2.LV.AGR.AGR.LOW_ENTH.THERM.SOLAR_GEO</t>
  </si>
  <si>
    <t>FUEL_EMI.ktCO2.ktCO2.LV.AGR.AGR.LOW_ENTH.HP.AMBIENT</t>
  </si>
  <si>
    <t>FUEL_EMI.ktCO2.ktCO2.LV.AGR.AGR.LOW_ENTH.THERM.STEAM_DISTR</t>
  </si>
  <si>
    <t>FUEL_EMI.ktCO2.ktCO2.LV.AGR.AGR.LOW_ENTH.THERM.ELEC</t>
  </si>
  <si>
    <t>FUEL_EMI.ktCO2.ktCO2.LV.AGR.AGR.FARM_DRIVES.MECH.DIESEL_LIQBIO</t>
  </si>
  <si>
    <t>FUEL_EMI.ktCO2.ktCO2.LV.AGR.AGR.HEAT_USE.THERM.SOLIDS</t>
  </si>
  <si>
    <t>FUEL_EMI.ktCO2.ktCO2.LV.AGR.AGR.HEAT_USE.THERM.LPG</t>
  </si>
  <si>
    <t>FUEL_EMI.ktCO2.ktCO2.LV.AGR.AGR.HEAT_USE.THERM.DIESEL_LIQBIO</t>
  </si>
  <si>
    <t>FUEL_EMI.ktCO2.ktCO2.LV.AGR.AGR.HEAT_USE.THERM.RFO</t>
  </si>
  <si>
    <t>FUEL_EMI.ktCO2.ktCO2.LV.AGR.AGR.HEAT_USE.THERM.NG_BIOGAS</t>
  </si>
  <si>
    <t>FUEL_EMI.ktCO2.ktCO2.LV.AGR.AGR.HEAT_USE.THERM.BIOMASS_WASTE</t>
  </si>
  <si>
    <t>FUEL_EMI.ktCO2.ktCO2.LV.AGR.AGR.HEAT_USE.THERM.SOLAR_GEO</t>
  </si>
  <si>
    <t>FUEL_EMI.ktCO2.ktCO2.LV.AGR.AGR.FARM_PUMP.MECH.DIESEL_LIQBIO</t>
  </si>
  <si>
    <t>FUEL_EMI.ktCO2.ktCO2.LV.AGR.AGR.FARM_PUMP_ELEC.MECH.ELEC</t>
  </si>
  <si>
    <t>FUEL_EMI.ktCO2.ktCO2.LV.AGR.AGR.GENERIC.MECH.ELEC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</si>
</sst>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45967.477731481478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2381715</v>
      </c>
      <c r="C3" s="34">
        <v>2353384</v>
      </c>
      <c r="D3" s="34">
        <v>2320956</v>
      </c>
      <c r="E3" s="34">
        <v>2299390</v>
      </c>
      <c r="F3" s="34">
        <v>2276520</v>
      </c>
      <c r="G3" s="34">
        <v>2249724</v>
      </c>
      <c r="H3" s="34">
        <v>2227874</v>
      </c>
      <c r="I3" s="34">
        <v>2208840</v>
      </c>
      <c r="J3" s="34">
        <v>2191810</v>
      </c>
      <c r="K3" s="34">
        <v>2162834</v>
      </c>
      <c r="L3" s="34">
        <v>2120504</v>
      </c>
      <c r="M3" s="34">
        <v>2074605</v>
      </c>
      <c r="N3" s="34">
        <v>2044813</v>
      </c>
      <c r="O3" s="34">
        <v>2023825</v>
      </c>
      <c r="P3" s="34">
        <v>2001468</v>
      </c>
      <c r="Q3" s="34">
        <v>1986096</v>
      </c>
      <c r="R3" s="34">
        <v>1968957</v>
      </c>
      <c r="S3" s="34">
        <v>1950116</v>
      </c>
      <c r="T3" s="34">
        <v>1934379</v>
      </c>
      <c r="U3" s="34">
        <v>1919968</v>
      </c>
      <c r="V3" s="34">
        <v>1907675</v>
      </c>
      <c r="W3" s="34">
        <v>1893223</v>
      </c>
      <c r="X3" s="34">
        <v>1875757</v>
      </c>
      <c r="Y3" s="34">
        <v>1883008</v>
      </c>
      <c r="DA3" s="88" t="s">
        <v>188</v>
      </c>
    </row>
    <row r="4" spans="1:105" ht="12" customHeight="1" x14ac:dyDescent="0.25">
      <c r="A4" s="35" t="s">
        <v>178</v>
      </c>
      <c r="B4" s="36">
        <v>18625.901604587289</v>
      </c>
      <c r="C4" s="36">
        <v>19829.486952295851</v>
      </c>
      <c r="D4" s="36">
        <v>21349.262130112282</v>
      </c>
      <c r="E4" s="36">
        <v>23148.990868115485</v>
      </c>
      <c r="F4" s="36">
        <v>25168.53041129767</v>
      </c>
      <c r="G4" s="36">
        <v>28092.148385007942</v>
      </c>
      <c r="H4" s="36">
        <v>31695.017014015164</v>
      </c>
      <c r="I4" s="36">
        <v>34995.560431079117</v>
      </c>
      <c r="J4" s="36">
        <v>33809.71738965952</v>
      </c>
      <c r="K4" s="36">
        <v>28386.767157762752</v>
      </c>
      <c r="L4" s="36">
        <v>27347.326847123681</v>
      </c>
      <c r="M4" s="36">
        <v>28177.781087765325</v>
      </c>
      <c r="N4" s="36">
        <v>30236.240846145909</v>
      </c>
      <c r="O4" s="36">
        <v>30869.884495879218</v>
      </c>
      <c r="P4" s="36">
        <v>31516.620167645437</v>
      </c>
      <c r="Q4" s="36">
        <v>32709.197907999998</v>
      </c>
      <c r="R4" s="36">
        <v>33543.794123727741</v>
      </c>
      <c r="S4" s="36">
        <v>34683.75972671144</v>
      </c>
      <c r="T4" s="36">
        <v>36178.506986072636</v>
      </c>
      <c r="U4" s="36">
        <v>36422.939674136607</v>
      </c>
      <c r="V4" s="36">
        <v>35159.409187612444</v>
      </c>
      <c r="W4" s="36">
        <v>37600.290441164034</v>
      </c>
      <c r="X4" s="36">
        <v>38279.670491336372</v>
      </c>
      <c r="Y4" s="36">
        <v>39372.400000000001</v>
      </c>
      <c r="DA4" s="89" t="s">
        <v>189</v>
      </c>
    </row>
    <row r="5" spans="1:105" ht="12" customHeight="1" x14ac:dyDescent="0.25">
      <c r="A5" s="35" t="s">
        <v>179</v>
      </c>
      <c r="B5" s="36">
        <v>11177.826211474337</v>
      </c>
      <c r="C5" s="36">
        <v>12176.840976385105</v>
      </c>
      <c r="D5" s="36">
        <v>13072.83302731342</v>
      </c>
      <c r="E5" s="36">
        <v>14497.69343747303</v>
      </c>
      <c r="F5" s="36">
        <v>15673.506221449459</v>
      </c>
      <c r="G5" s="36">
        <v>17932.268277588169</v>
      </c>
      <c r="H5" s="36">
        <v>19983.423982736509</v>
      </c>
      <c r="I5" s="36">
        <v>21644.170652920966</v>
      </c>
      <c r="J5" s="36">
        <v>21527.103174700835</v>
      </c>
      <c r="K5" s="36">
        <v>19027.417920881922</v>
      </c>
      <c r="L5" s="36">
        <v>18047.941431378833</v>
      </c>
      <c r="M5" s="36">
        <v>18391.178387638931</v>
      </c>
      <c r="N5" s="36">
        <v>19761.651535499674</v>
      </c>
      <c r="O5" s="36">
        <v>20307.355691801062</v>
      </c>
      <c r="P5" s="36">
        <v>20810.714393870847</v>
      </c>
      <c r="Q5" s="36">
        <v>21519.316886999994</v>
      </c>
      <c r="R5" s="36">
        <v>22153.10635023344</v>
      </c>
      <c r="S5" s="36">
        <v>22575.902661949713</v>
      </c>
      <c r="T5" s="36">
        <v>23476.70358533736</v>
      </c>
      <c r="U5" s="36">
        <v>23482.521275664665</v>
      </c>
      <c r="V5" s="36">
        <v>22380.416616668841</v>
      </c>
      <c r="W5" s="36">
        <v>23658.858238801695</v>
      </c>
      <c r="X5" s="36">
        <v>23917.903304902236</v>
      </c>
      <c r="Y5" s="36">
        <v>25049.233621471409</v>
      </c>
      <c r="DA5" s="89" t="s">
        <v>190</v>
      </c>
    </row>
    <row r="6" spans="1:105" ht="12" customHeight="1" x14ac:dyDescent="0.25">
      <c r="A6" s="37" t="s">
        <v>70</v>
      </c>
      <c r="B6" s="38">
        <v>574420</v>
      </c>
      <c r="C6" s="38">
        <v>565500</v>
      </c>
      <c r="D6" s="38">
        <v>581940</v>
      </c>
      <c r="E6" s="38">
        <v>594620</v>
      </c>
      <c r="F6" s="38">
        <v>619880</v>
      </c>
      <c r="G6" s="38">
        <v>639140</v>
      </c>
      <c r="H6" s="38">
        <v>652689.99999999988</v>
      </c>
      <c r="I6" s="38">
        <v>705949.99999999988</v>
      </c>
      <c r="J6" s="38">
        <v>705220</v>
      </c>
      <c r="K6" s="38">
        <v>628300</v>
      </c>
      <c r="L6" s="38">
        <v>594800</v>
      </c>
      <c r="M6" s="38">
        <v>598330</v>
      </c>
      <c r="N6" s="38">
        <v>607300</v>
      </c>
      <c r="O6" s="38">
        <v>623370</v>
      </c>
      <c r="P6" s="38">
        <v>617240</v>
      </c>
      <c r="Q6" s="38">
        <v>627820</v>
      </c>
      <c r="R6" s="38">
        <v>632140</v>
      </c>
      <c r="S6" s="38">
        <v>631169.99999999988</v>
      </c>
      <c r="T6" s="38">
        <v>641199.99999999988</v>
      </c>
      <c r="U6" s="38">
        <v>671360</v>
      </c>
      <c r="V6" s="38">
        <v>659860</v>
      </c>
      <c r="W6" s="38">
        <v>648069.99999999988</v>
      </c>
      <c r="X6" s="38">
        <v>649980</v>
      </c>
      <c r="Y6" s="38">
        <v>652777.6583486927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12774.925639396286</v>
      </c>
      <c r="C8" s="34">
        <v>13313.459304722574</v>
      </c>
      <c r="D8" s="34">
        <v>13941.25368506809</v>
      </c>
      <c r="E8" s="34">
        <v>14612.782811719753</v>
      </c>
      <c r="F8" s="34">
        <v>15415.531562818484</v>
      </c>
      <c r="G8" s="34">
        <v>16049.300002318019</v>
      </c>
      <c r="H8" s="34">
        <v>17008.270010500972</v>
      </c>
      <c r="I8" s="34">
        <v>18023.322830821682</v>
      </c>
      <c r="J8" s="34">
        <v>18579.373307633439</v>
      </c>
      <c r="K8" s="34">
        <v>18613.824129688681</v>
      </c>
      <c r="L8" s="34">
        <v>18523.221166702595</v>
      </c>
      <c r="M8" s="34">
        <v>18824.137865271809</v>
      </c>
      <c r="N8" s="34">
        <v>18740.271850200534</v>
      </c>
      <c r="O8" s="34">
        <v>18930.684800060611</v>
      </c>
      <c r="P8" s="34">
        <v>19141.279222169578</v>
      </c>
      <c r="Q8" s="34">
        <v>19404.648510811057</v>
      </c>
      <c r="R8" s="34">
        <v>19489.205356709066</v>
      </c>
      <c r="S8" s="34">
        <v>19704.30398500077</v>
      </c>
      <c r="T8" s="34">
        <v>19851.318053630082</v>
      </c>
      <c r="U8" s="34">
        <v>19997.182811536593</v>
      </c>
      <c r="V8" s="34">
        <v>20133.015555555554</v>
      </c>
      <c r="W8" s="34">
        <v>20265.836886542897</v>
      </c>
      <c r="X8" s="34">
        <v>20395.513874088167</v>
      </c>
      <c r="Y8" s="34">
        <v>20515.963831675395</v>
      </c>
      <c r="DA8" s="88" t="s">
        <v>192</v>
      </c>
    </row>
    <row r="9" spans="1:105" ht="12" customHeight="1" x14ac:dyDescent="0.25">
      <c r="A9" s="39" t="s">
        <v>68</v>
      </c>
      <c r="B9" s="40">
        <v>11497.433075456658</v>
      </c>
      <c r="C9" s="40">
        <v>11982.113374250317</v>
      </c>
      <c r="D9" s="40">
        <v>12547.12831656128</v>
      </c>
      <c r="E9" s="40">
        <v>13151.504530547778</v>
      </c>
      <c r="F9" s="40">
        <v>13873.978406536635</v>
      </c>
      <c r="G9" s="40">
        <v>14444.370002086218</v>
      </c>
      <c r="H9" s="40">
        <v>15307.443009450875</v>
      </c>
      <c r="I9" s="40">
        <v>16220.990547739515</v>
      </c>
      <c r="J9" s="40">
        <v>16721.435976870096</v>
      </c>
      <c r="K9" s="40">
        <v>16752.441716719812</v>
      </c>
      <c r="L9" s="40">
        <v>16670.899050032334</v>
      </c>
      <c r="M9" s="40">
        <v>16941.724078744628</v>
      </c>
      <c r="N9" s="40">
        <v>16866.244665180478</v>
      </c>
      <c r="O9" s="40">
        <v>17037.616320054549</v>
      </c>
      <c r="P9" s="40">
        <v>17227.15129995262</v>
      </c>
      <c r="Q9" s="40">
        <v>17464.183659729952</v>
      </c>
      <c r="R9" s="40">
        <v>17540.28482103816</v>
      </c>
      <c r="S9" s="40">
        <v>17733.873586500693</v>
      </c>
      <c r="T9" s="40">
        <v>17866.186248267073</v>
      </c>
      <c r="U9" s="40">
        <v>17997.464530382935</v>
      </c>
      <c r="V9" s="40">
        <v>18119.714</v>
      </c>
      <c r="W9" s="40">
        <v>18239.253197888607</v>
      </c>
      <c r="X9" s="40">
        <v>18355.962486679349</v>
      </c>
      <c r="Y9" s="40">
        <v>18464.367448507855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589.49488358265444</v>
      </c>
      <c r="D10" s="41">
        <v>681.14974979513022</v>
      </c>
      <c r="E10" s="41">
        <v>727.27864729453268</v>
      </c>
      <c r="F10" s="41">
        <v>861.23444453388151</v>
      </c>
      <c r="G10" s="41">
        <v>695.3323273260188</v>
      </c>
      <c r="H10" s="41">
        <v>1023.2700688017213</v>
      </c>
      <c r="I10" s="41">
        <v>1083.1151185288752</v>
      </c>
      <c r="J10" s="41">
        <v>628.21703420835502</v>
      </c>
      <c r="K10" s="41">
        <v>108.66950904605216</v>
      </c>
      <c r="L10" s="41">
        <v>74.560708589848261</v>
      </c>
      <c r="M10" s="41">
        <v>375.13538556002584</v>
      </c>
      <c r="N10" s="41">
        <v>75.244751787920237</v>
      </c>
      <c r="O10" s="41">
        <v>265.31568004895917</v>
      </c>
      <c r="P10" s="41">
        <v>286.18119549592518</v>
      </c>
      <c r="Q10" s="41">
        <v>339.98212682554293</v>
      </c>
      <c r="R10" s="41">
        <v>185.09906616127776</v>
      </c>
      <c r="S10" s="41">
        <v>316.07896692750393</v>
      </c>
      <c r="T10" s="41">
        <v>249.10890792982769</v>
      </c>
      <c r="U10" s="41">
        <v>248.72132813258062</v>
      </c>
      <c r="V10" s="41">
        <v>239.44509019272419</v>
      </c>
      <c r="W10" s="41">
        <v>237.13747376223554</v>
      </c>
      <c r="X10" s="41">
        <v>234.68132374497969</v>
      </c>
      <c r="Y10" s="41">
        <v>226.1261952768086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530.54539522438904</v>
      </c>
      <c r="D11" s="42">
        <v>613.0347748156172</v>
      </c>
      <c r="E11" s="42">
        <v>654.55078256507932</v>
      </c>
      <c r="F11" s="42">
        <v>775.11100008049334</v>
      </c>
      <c r="G11" s="42">
        <v>625.79909459341695</v>
      </c>
      <c r="H11" s="42">
        <v>920.9430619215492</v>
      </c>
      <c r="I11" s="42">
        <v>974.80360667598768</v>
      </c>
      <c r="J11" s="42">
        <v>565.39533078751958</v>
      </c>
      <c r="K11" s="42">
        <v>97.802558141446937</v>
      </c>
      <c r="L11" s="42">
        <v>67.104637730863431</v>
      </c>
      <c r="M11" s="42">
        <v>337.62184700402327</v>
      </c>
      <c r="N11" s="42">
        <v>67.72027660912822</v>
      </c>
      <c r="O11" s="42">
        <v>238.78411204406325</v>
      </c>
      <c r="P11" s="42">
        <v>257.56307594633262</v>
      </c>
      <c r="Q11" s="42">
        <v>305.98391414298862</v>
      </c>
      <c r="R11" s="42">
        <v>166.58915954515001</v>
      </c>
      <c r="S11" s="42">
        <v>284.47107023475354</v>
      </c>
      <c r="T11" s="42">
        <v>224.19801713684492</v>
      </c>
      <c r="U11" s="42">
        <v>223.84919531932258</v>
      </c>
      <c r="V11" s="42">
        <v>215.50058117345176</v>
      </c>
      <c r="W11" s="42">
        <v>213.42372638601199</v>
      </c>
      <c r="X11" s="42">
        <v>211.21319137048172</v>
      </c>
      <c r="Y11" s="42">
        <v>203.51357574912771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3732.08</v>
      </c>
      <c r="C13" s="43">
        <v>4180.03</v>
      </c>
      <c r="D13" s="43">
        <v>4057.45</v>
      </c>
      <c r="E13" s="43">
        <v>4244.78</v>
      </c>
      <c r="F13" s="43">
        <v>4206.53</v>
      </c>
      <c r="G13" s="43">
        <v>4181.3</v>
      </c>
      <c r="H13" s="43">
        <v>4013.78</v>
      </c>
      <c r="I13" s="43">
        <v>3900.67</v>
      </c>
      <c r="J13" s="43">
        <v>3727.95</v>
      </c>
      <c r="K13" s="43">
        <v>4150.4399999999996</v>
      </c>
      <c r="L13" s="43">
        <v>4635.9799999999996</v>
      </c>
      <c r="M13" s="43">
        <v>3937.92</v>
      </c>
      <c r="N13" s="43">
        <v>4322.0200000000004</v>
      </c>
      <c r="O13" s="43">
        <v>4036.79</v>
      </c>
      <c r="P13" s="43">
        <v>3939.85</v>
      </c>
      <c r="Q13" s="43">
        <v>3657.39</v>
      </c>
      <c r="R13" s="43">
        <v>4002.81</v>
      </c>
      <c r="S13" s="43">
        <v>3997.38</v>
      </c>
      <c r="T13" s="43">
        <v>3862.19</v>
      </c>
      <c r="U13" s="43">
        <v>3622.92</v>
      </c>
      <c r="V13" s="43">
        <v>3402.72</v>
      </c>
      <c r="W13" s="43">
        <v>4143.7</v>
      </c>
      <c r="X13" s="43">
        <v>4011.58</v>
      </c>
      <c r="Y13" s="43">
        <v>3755.06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3991.0942857142854</v>
      </c>
      <c r="C14" s="44">
        <f t="shared" ref="C14:Y14" si="0">AVERAGE($B$13:$V$13)</f>
        <v>3991.0942857142854</v>
      </c>
      <c r="D14" s="44">
        <f t="shared" si="0"/>
        <v>3991.0942857142854</v>
      </c>
      <c r="E14" s="44">
        <f t="shared" si="0"/>
        <v>3991.0942857142854</v>
      </c>
      <c r="F14" s="44">
        <f t="shared" si="0"/>
        <v>3991.0942857142854</v>
      </c>
      <c r="G14" s="44">
        <f t="shared" si="0"/>
        <v>3991.0942857142854</v>
      </c>
      <c r="H14" s="44">
        <f t="shared" si="0"/>
        <v>3991.0942857142854</v>
      </c>
      <c r="I14" s="44">
        <f t="shared" si="0"/>
        <v>3991.0942857142854</v>
      </c>
      <c r="J14" s="44">
        <f t="shared" si="0"/>
        <v>3991.0942857142854</v>
      </c>
      <c r="K14" s="44">
        <f t="shared" si="0"/>
        <v>3991.0942857142854</v>
      </c>
      <c r="L14" s="44">
        <f t="shared" si="0"/>
        <v>3991.0942857142854</v>
      </c>
      <c r="M14" s="44">
        <f t="shared" si="0"/>
        <v>3991.0942857142854</v>
      </c>
      <c r="N14" s="44">
        <f t="shared" si="0"/>
        <v>3991.0942857142854</v>
      </c>
      <c r="O14" s="44">
        <f t="shared" si="0"/>
        <v>3991.0942857142854</v>
      </c>
      <c r="P14" s="44">
        <f t="shared" si="0"/>
        <v>3991.0942857142854</v>
      </c>
      <c r="Q14" s="44">
        <f t="shared" si="0"/>
        <v>3991.0942857142854</v>
      </c>
      <c r="R14" s="44">
        <f t="shared" si="0"/>
        <v>3991.0942857142854</v>
      </c>
      <c r="S14" s="44">
        <f t="shared" si="0"/>
        <v>3991.0942857142854</v>
      </c>
      <c r="T14" s="44">
        <f t="shared" si="0"/>
        <v>3991.0942857142854</v>
      </c>
      <c r="U14" s="44">
        <f t="shared" si="0"/>
        <v>3991.0942857142854</v>
      </c>
      <c r="V14" s="44">
        <f t="shared" si="0"/>
        <v>3991.0942857142854</v>
      </c>
      <c r="W14" s="44">
        <f t="shared" si="0"/>
        <v>3991.0942857142854</v>
      </c>
      <c r="X14" s="44">
        <f t="shared" si="0"/>
        <v>3991.0942857142854</v>
      </c>
      <c r="Y14" s="44">
        <f t="shared" si="0"/>
        <v>3991.0942857142854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0.93510193767122951</v>
      </c>
      <c r="C15" s="46">
        <f t="shared" ref="C15:W15" si="1">C13/C14</f>
        <v>1.0473393261998321</v>
      </c>
      <c r="D15" s="46">
        <f t="shared" si="1"/>
        <v>1.0166259450505162</v>
      </c>
      <c r="E15" s="46">
        <f t="shared" si="1"/>
        <v>1.0635629469325634</v>
      </c>
      <c r="F15" s="46">
        <f t="shared" si="1"/>
        <v>1.0539791092024171</v>
      </c>
      <c r="G15" s="46">
        <f t="shared" si="1"/>
        <v>1.047657534668258</v>
      </c>
      <c r="H15" s="46">
        <f t="shared" si="1"/>
        <v>1.0056840837779544</v>
      </c>
      <c r="I15" s="46">
        <f t="shared" si="1"/>
        <v>0.97734348546012806</v>
      </c>
      <c r="J15" s="46">
        <f t="shared" si="1"/>
        <v>0.93406713375422279</v>
      </c>
      <c r="K15" s="46">
        <f t="shared" si="1"/>
        <v>1.0399253194433606</v>
      </c>
      <c r="L15" s="46">
        <f t="shared" si="1"/>
        <v>1.1615811775216678</v>
      </c>
      <c r="M15" s="46">
        <f t="shared" si="1"/>
        <v>0.98667676534112025</v>
      </c>
      <c r="N15" s="46">
        <f t="shared" si="1"/>
        <v>1.0829160352012304</v>
      </c>
      <c r="O15" s="46">
        <f t="shared" si="1"/>
        <v>1.0114494198869912</v>
      </c>
      <c r="P15" s="46">
        <f t="shared" si="1"/>
        <v>0.9871603419899877</v>
      </c>
      <c r="Q15" s="46">
        <f t="shared" si="1"/>
        <v>0.91638777191790588</v>
      </c>
      <c r="R15" s="46">
        <f t="shared" si="1"/>
        <v>1.0029354641727333</v>
      </c>
      <c r="S15" s="46">
        <f t="shared" si="1"/>
        <v>1.0015749350518262</v>
      </c>
      <c r="T15" s="46">
        <f t="shared" si="1"/>
        <v>0.96770201942467626</v>
      </c>
      <c r="U15" s="46">
        <f t="shared" si="1"/>
        <v>0.90775104285756225</v>
      </c>
      <c r="V15" s="46">
        <f t="shared" si="1"/>
        <v>0.85257820447381782</v>
      </c>
      <c r="W15" s="46">
        <f t="shared" si="1"/>
        <v>1.0382365595400618</v>
      </c>
      <c r="X15" s="46">
        <f t="shared" ref="X15:Y15" si="2">X13/X14</f>
        <v>1.0051328565098152</v>
      </c>
      <c r="Y15" s="46">
        <f t="shared" si="2"/>
        <v>0.94085975704479197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7820.3738081958954</v>
      </c>
      <c r="C19" s="34">
        <f t="shared" si="3"/>
        <v>8425.946191652467</v>
      </c>
      <c r="D19" s="34">
        <f t="shared" ref="D19:W19" si="4">D4*1000000/D3</f>
        <v>9198.4777523194243</v>
      </c>
      <c r="E19" s="34">
        <f t="shared" si="4"/>
        <v>10067.448700792596</v>
      </c>
      <c r="F19" s="34">
        <f t="shared" si="4"/>
        <v>11055.703622765302</v>
      </c>
      <c r="G19" s="34">
        <f t="shared" si="4"/>
        <v>12486.931012429943</v>
      </c>
      <c r="H19" s="34">
        <f t="shared" si="4"/>
        <v>14226.575207581382</v>
      </c>
      <c r="I19" s="34">
        <f t="shared" si="4"/>
        <v>15843.411216330343</v>
      </c>
      <c r="J19" s="34">
        <f t="shared" si="4"/>
        <v>15425.478207353521</v>
      </c>
      <c r="K19" s="34">
        <f t="shared" si="4"/>
        <v>13124.801606486099</v>
      </c>
      <c r="L19" s="34">
        <f t="shared" si="4"/>
        <v>12896.616486987848</v>
      </c>
      <c r="M19" s="34">
        <f t="shared" si="4"/>
        <v>13582.239070938962</v>
      </c>
      <c r="N19" s="34">
        <f t="shared" si="4"/>
        <v>14786.799989116809</v>
      </c>
      <c r="O19" s="34">
        <f t="shared" si="4"/>
        <v>15253.238049672882</v>
      </c>
      <c r="P19" s="34">
        <f t="shared" si="4"/>
        <v>15746.751967878296</v>
      </c>
      <c r="Q19" s="34">
        <f t="shared" si="4"/>
        <v>16469.092082155141</v>
      </c>
      <c r="R19" s="34">
        <f t="shared" si="4"/>
        <v>17036.326402114286</v>
      </c>
      <c r="S19" s="34">
        <f t="shared" si="4"/>
        <v>17785.485441230903</v>
      </c>
      <c r="T19" s="34">
        <f t="shared" si="4"/>
        <v>18702.905162883097</v>
      </c>
      <c r="U19" s="34">
        <f t="shared" si="4"/>
        <v>18970.59725690043</v>
      </c>
      <c r="V19" s="34">
        <f t="shared" si="4"/>
        <v>18430.502673470295</v>
      </c>
      <c r="W19" s="34">
        <f t="shared" si="4"/>
        <v>19860.465693245875</v>
      </c>
      <c r="X19" s="34">
        <f t="shared" ref="X19:Y19" si="5">X4*1000000/X3</f>
        <v>20407.5850397127</v>
      </c>
      <c r="Y19" s="34">
        <f t="shared" si="5"/>
        <v>20909.311059751206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19459.326296915737</v>
      </c>
      <c r="C20" s="36">
        <f t="shared" si="6"/>
        <v>21532.875289805666</v>
      </c>
      <c r="D20" s="36">
        <f t="shared" ref="D20:W20" si="7">D5*1000000/D6</f>
        <v>22464.22831789088</v>
      </c>
      <c r="E20" s="36">
        <f t="shared" si="7"/>
        <v>24381.442665018047</v>
      </c>
      <c r="F20" s="36">
        <f t="shared" si="7"/>
        <v>25284.742565415014</v>
      </c>
      <c r="G20" s="36">
        <f t="shared" si="7"/>
        <v>28056.870603605108</v>
      </c>
      <c r="H20" s="36">
        <f t="shared" si="7"/>
        <v>30617.021836915705</v>
      </c>
      <c r="I20" s="36">
        <f t="shared" si="7"/>
        <v>30659.636876437384</v>
      </c>
      <c r="J20" s="36">
        <f t="shared" si="7"/>
        <v>30525.372471995739</v>
      </c>
      <c r="K20" s="36">
        <f t="shared" si="7"/>
        <v>30283.969315425631</v>
      </c>
      <c r="L20" s="36">
        <f t="shared" si="7"/>
        <v>30342.873959950964</v>
      </c>
      <c r="M20" s="36">
        <f t="shared" si="7"/>
        <v>30737.516734308712</v>
      </c>
      <c r="N20" s="36">
        <f t="shared" si="7"/>
        <v>32540.180364728589</v>
      </c>
      <c r="O20" s="36">
        <f t="shared" si="7"/>
        <v>32576.729216678799</v>
      </c>
      <c r="P20" s="36">
        <f t="shared" si="7"/>
        <v>33715.75788003183</v>
      </c>
      <c r="Q20" s="36">
        <f t="shared" si="7"/>
        <v>34276.252567614909</v>
      </c>
      <c r="R20" s="36">
        <f t="shared" si="7"/>
        <v>35044.620416732752</v>
      </c>
      <c r="S20" s="36">
        <f t="shared" si="7"/>
        <v>35768.339214395033</v>
      </c>
      <c r="T20" s="36">
        <f t="shared" si="7"/>
        <v>36613.698667088844</v>
      </c>
      <c r="U20" s="36">
        <f t="shared" si="7"/>
        <v>34977.540031674012</v>
      </c>
      <c r="V20" s="36">
        <f t="shared" si="7"/>
        <v>33916.916643937868</v>
      </c>
      <c r="W20" s="36">
        <f t="shared" si="7"/>
        <v>36506.640083326951</v>
      </c>
      <c r="X20" s="36">
        <f t="shared" ref="X20:Y20" si="8">X5*1000000/X6</f>
        <v>36797.906558512936</v>
      </c>
      <c r="Y20" s="36">
        <f t="shared" si="8"/>
        <v>38373.301079019038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4693.1837820538294</v>
      </c>
      <c r="C21" s="36">
        <f t="shared" si="9"/>
        <v>5174.183633603825</v>
      </c>
      <c r="D21" s="36">
        <f t="shared" ref="D21:W21" si="10">D5*1000000/D3</f>
        <v>5632.5208350840858</v>
      </c>
      <c r="E21" s="36">
        <f t="shared" si="10"/>
        <v>6305.0171730211187</v>
      </c>
      <c r="F21" s="36">
        <f t="shared" si="10"/>
        <v>6884.8532942603006</v>
      </c>
      <c r="G21" s="36">
        <f t="shared" si="10"/>
        <v>7970.874772900218</v>
      </c>
      <c r="H21" s="36">
        <f t="shared" si="10"/>
        <v>8969.7280827984468</v>
      </c>
      <c r="I21" s="36">
        <f t="shared" si="10"/>
        <v>9798.8856833998689</v>
      </c>
      <c r="J21" s="36">
        <f t="shared" si="10"/>
        <v>9821.6100732731556</v>
      </c>
      <c r="K21" s="36">
        <f t="shared" si="10"/>
        <v>8797.4472016261643</v>
      </c>
      <c r="L21" s="36">
        <f t="shared" si="10"/>
        <v>8511.1565134415378</v>
      </c>
      <c r="M21" s="36">
        <f t="shared" si="10"/>
        <v>8864.9060363967747</v>
      </c>
      <c r="N21" s="36">
        <f t="shared" si="10"/>
        <v>9664.283010475614</v>
      </c>
      <c r="O21" s="36">
        <f t="shared" si="10"/>
        <v>10034.146080714027</v>
      </c>
      <c r="P21" s="36">
        <f t="shared" si="10"/>
        <v>10397.725266589747</v>
      </c>
      <c r="Q21" s="36">
        <f t="shared" si="10"/>
        <v>10834.983247033371</v>
      </c>
      <c r="R21" s="36">
        <f t="shared" si="10"/>
        <v>11251.188497378786</v>
      </c>
      <c r="S21" s="36">
        <f t="shared" si="10"/>
        <v>11576.69731541596</v>
      </c>
      <c r="T21" s="36">
        <f t="shared" si="10"/>
        <v>12136.558340086074</v>
      </c>
      <c r="U21" s="36">
        <f t="shared" si="10"/>
        <v>12230.683675803277</v>
      </c>
      <c r="V21" s="36">
        <f t="shared" si="10"/>
        <v>11731.77643816103</v>
      </c>
      <c r="W21" s="36">
        <f t="shared" si="10"/>
        <v>12496.604065554715</v>
      </c>
      <c r="X21" s="36">
        <f t="shared" ref="X21:Y21" si="11">X5*1000000/X3</f>
        <v>12751.067065138095</v>
      </c>
      <c r="Y21" s="36">
        <f t="shared" si="11"/>
        <v>13302.7759953603</v>
      </c>
      <c r="DA21" s="89"/>
    </row>
    <row r="22" spans="1:105" ht="12" customHeight="1" x14ac:dyDescent="0.25">
      <c r="A22" s="51" t="s">
        <v>148</v>
      </c>
      <c r="B22" s="52">
        <v>0.25606883074915943</v>
      </c>
      <c r="C22" s="52">
        <v>0.27527260658795916</v>
      </c>
      <c r="D22" s="52">
        <v>0.29372992741271942</v>
      </c>
      <c r="E22" s="52">
        <v>0.32520678463110725</v>
      </c>
      <c r="F22" s="52">
        <v>0.34706241347404659</v>
      </c>
      <c r="G22" s="52">
        <v>0.39332172486878775</v>
      </c>
      <c r="H22" s="52">
        <v>0.42945630957745407</v>
      </c>
      <c r="I22" s="52">
        <v>0.4552076055969963</v>
      </c>
      <c r="J22" s="52">
        <v>0.45020013383295232</v>
      </c>
      <c r="K22" s="52">
        <v>0.41258672183673334</v>
      </c>
      <c r="L22" s="52">
        <v>0.39324448558342351</v>
      </c>
      <c r="M22" s="52">
        <v>0.40152092313843796</v>
      </c>
      <c r="N22" s="52">
        <v>0.43911926503249499</v>
      </c>
      <c r="O22" s="52">
        <v>0.45330122137205436</v>
      </c>
      <c r="P22" s="52">
        <v>0.4620878899486765</v>
      </c>
      <c r="Q22" s="52">
        <v>0.47364838223777855</v>
      </c>
      <c r="R22" s="52">
        <v>0.4837019767460462</v>
      </c>
      <c r="S22" s="52">
        <v>0.48466894393800153</v>
      </c>
      <c r="T22" s="52">
        <v>0.4973812176772594</v>
      </c>
      <c r="U22" s="52">
        <v>0.4919150452891034</v>
      </c>
      <c r="V22" s="52">
        <v>0.49854325781790992</v>
      </c>
      <c r="W22" s="52">
        <v>0.50038878478431115</v>
      </c>
      <c r="X22" s="52">
        <v>0.49516601621864248</v>
      </c>
      <c r="Y22" s="52">
        <v>0.51538864575337562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44.964645291441855</v>
      </c>
      <c r="C23" s="53">
        <f t="shared" si="12"/>
        <v>42.475812413337593</v>
      </c>
      <c r="D23" s="53">
        <f t="shared" ref="D23:W23" si="13">D6/D8</f>
        <v>41.742300452024075</v>
      </c>
      <c r="E23" s="53">
        <f t="shared" si="13"/>
        <v>40.691770189255294</v>
      </c>
      <c r="F23" s="53">
        <f t="shared" si="13"/>
        <v>40.21139313127032</v>
      </c>
      <c r="G23" s="53">
        <f t="shared" si="13"/>
        <v>39.823543700204262</v>
      </c>
      <c r="H23" s="53">
        <f t="shared" si="13"/>
        <v>38.374861146784859</v>
      </c>
      <c r="I23" s="53">
        <f t="shared" si="13"/>
        <v>39.168693066561225</v>
      </c>
      <c r="J23" s="53">
        <f t="shared" si="13"/>
        <v>37.957146795164313</v>
      </c>
      <c r="K23" s="53">
        <f t="shared" si="13"/>
        <v>33.75448245467593</v>
      </c>
      <c r="L23" s="53">
        <f t="shared" si="13"/>
        <v>32.111045624678631</v>
      </c>
      <c r="M23" s="53">
        <f t="shared" si="13"/>
        <v>31.785253820513308</v>
      </c>
      <c r="N23" s="53">
        <f t="shared" si="13"/>
        <v>32.406146765341695</v>
      </c>
      <c r="O23" s="53">
        <f t="shared" si="13"/>
        <v>32.929078191508644</v>
      </c>
      <c r="P23" s="53">
        <f t="shared" si="13"/>
        <v>32.24653863703675</v>
      </c>
      <c r="Q23" s="53">
        <f t="shared" si="13"/>
        <v>32.354103175340583</v>
      </c>
      <c r="R23" s="53">
        <f t="shared" si="13"/>
        <v>32.435391204002521</v>
      </c>
      <c r="S23" s="53">
        <f t="shared" si="13"/>
        <v>32.032088039265766</v>
      </c>
      <c r="T23" s="53">
        <f t="shared" si="13"/>
        <v>32.30012225222233</v>
      </c>
      <c r="U23" s="53">
        <f t="shared" si="13"/>
        <v>33.572729035246155</v>
      </c>
      <c r="V23" s="53">
        <f t="shared" si="13"/>
        <v>32.775020621186407</v>
      </c>
      <c r="W23" s="53">
        <f t="shared" si="13"/>
        <v>31.978447454609544</v>
      </c>
      <c r="X23" s="53">
        <f t="shared" ref="X23:Y23" si="14">X6/X8</f>
        <v>31.868772908231467</v>
      </c>
      <c r="Y23" s="53">
        <f t="shared" si="14"/>
        <v>31.818035150795296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4.8273756832604482</v>
      </c>
      <c r="C24" s="54">
        <f t="shared" si="15"/>
        <v>5.0914399750530794</v>
      </c>
      <c r="D24" s="54">
        <f t="shared" ref="D24:W24" si="16">D9*1000/D3</f>
        <v>5.4060173120736801</v>
      </c>
      <c r="E24" s="54">
        <f t="shared" si="16"/>
        <v>5.7195623754768778</v>
      </c>
      <c r="F24" s="54">
        <f t="shared" si="16"/>
        <v>6.0943801972030274</v>
      </c>
      <c r="G24" s="54">
        <f t="shared" si="16"/>
        <v>6.4205075831907461</v>
      </c>
      <c r="H24" s="54">
        <f t="shared" si="16"/>
        <v>6.8708746587333369</v>
      </c>
      <c r="I24" s="54">
        <f t="shared" si="16"/>
        <v>7.3436693231467718</v>
      </c>
      <c r="J24" s="54">
        <f t="shared" si="16"/>
        <v>7.6290536026708953</v>
      </c>
      <c r="K24" s="54">
        <f t="shared" si="16"/>
        <v>7.7455975431863067</v>
      </c>
      <c r="L24" s="54">
        <f t="shared" si="16"/>
        <v>7.8617626045658646</v>
      </c>
      <c r="M24" s="54">
        <f t="shared" si="16"/>
        <v>8.1662408404224553</v>
      </c>
      <c r="N24" s="54">
        <f t="shared" si="16"/>
        <v>8.2483066496449684</v>
      </c>
      <c r="O24" s="54">
        <f t="shared" si="16"/>
        <v>8.4185225106195194</v>
      </c>
      <c r="P24" s="54">
        <f t="shared" si="16"/>
        <v>8.607257922661077</v>
      </c>
      <c r="Q24" s="54">
        <f t="shared" si="16"/>
        <v>8.7932223113736452</v>
      </c>
      <c r="R24" s="54">
        <f t="shared" si="16"/>
        <v>8.9084143640710085</v>
      </c>
      <c r="S24" s="54">
        <f t="shared" si="16"/>
        <v>9.0937531851954923</v>
      </c>
      <c r="T24" s="54">
        <f t="shared" si="16"/>
        <v>9.2361353427984234</v>
      </c>
      <c r="U24" s="54">
        <f t="shared" si="16"/>
        <v>9.3738356735023363</v>
      </c>
      <c r="V24" s="54">
        <f t="shared" si="16"/>
        <v>9.4983233517239576</v>
      </c>
      <c r="W24" s="54">
        <f t="shared" si="16"/>
        <v>9.6339697953641004</v>
      </c>
      <c r="X24" s="54">
        <f t="shared" ref="X24:Y24" si="17">X9*1000/X3</f>
        <v>9.7858957672445577</v>
      </c>
      <c r="Y24" s="54">
        <f t="shared" si="17"/>
        <v>9.8057827946072749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20.0157255587491</v>
      </c>
      <c r="C25" s="54">
        <f t="shared" si="18"/>
        <v>21.188529397436458</v>
      </c>
      <c r="D25" s="54">
        <f t="shared" ref="D25:W25" si="19">D9*1000/D6</f>
        <v>21.560862488506167</v>
      </c>
      <c r="E25" s="54">
        <f t="shared" si="19"/>
        <v>22.117494417523421</v>
      </c>
      <c r="F25" s="54">
        <f t="shared" si="19"/>
        <v>22.381716471795567</v>
      </c>
      <c r="G25" s="54">
        <f t="shared" si="19"/>
        <v>22.599696470391805</v>
      </c>
      <c r="H25" s="54">
        <f t="shared" si="19"/>
        <v>23.452853589684043</v>
      </c>
      <c r="I25" s="54">
        <f t="shared" si="19"/>
        <v>22.977534595565576</v>
      </c>
      <c r="J25" s="54">
        <f t="shared" si="19"/>
        <v>23.710949741740301</v>
      </c>
      <c r="K25" s="54">
        <f t="shared" si="19"/>
        <v>26.663125444405239</v>
      </c>
      <c r="L25" s="54">
        <f t="shared" si="19"/>
        <v>28.027738819825714</v>
      </c>
      <c r="M25" s="54">
        <f t="shared" si="19"/>
        <v>28.315016928358311</v>
      </c>
      <c r="N25" s="54">
        <f t="shared" si="19"/>
        <v>27.772508916812907</v>
      </c>
      <c r="O25" s="54">
        <f t="shared" si="19"/>
        <v>27.331466576919887</v>
      </c>
      <c r="P25" s="54">
        <f t="shared" si="19"/>
        <v>27.909972295950713</v>
      </c>
      <c r="Q25" s="54">
        <f t="shared" si="19"/>
        <v>27.81718272710323</v>
      </c>
      <c r="R25" s="54">
        <f t="shared" si="19"/>
        <v>27.747468632008985</v>
      </c>
      <c r="S25" s="54">
        <f t="shared" si="19"/>
        <v>28.096825873379114</v>
      </c>
      <c r="T25" s="54">
        <f t="shared" si="19"/>
        <v>27.863671628613655</v>
      </c>
      <c r="U25" s="54">
        <f t="shared" si="19"/>
        <v>26.807472191347319</v>
      </c>
      <c r="V25" s="54">
        <f t="shared" si="19"/>
        <v>27.459936956324068</v>
      </c>
      <c r="W25" s="54">
        <f t="shared" si="19"/>
        <v>28.143955433654718</v>
      </c>
      <c r="X25" s="54">
        <f t="shared" ref="X25:Y25" si="20">X9*1000/X6</f>
        <v>28.240811235237008</v>
      </c>
      <c r="Y25" s="54">
        <f t="shared" si="20"/>
        <v>28.285844670628709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900.00000000000011</v>
      </c>
      <c r="C26" s="55">
        <f t="shared" si="21"/>
        <v>900.00000000000011</v>
      </c>
      <c r="D26" s="55">
        <f t="shared" ref="D26:W26" si="22">D9*1000/D8</f>
        <v>899.99999999999989</v>
      </c>
      <c r="E26" s="55">
        <f t="shared" si="22"/>
        <v>900</v>
      </c>
      <c r="F26" s="55">
        <f t="shared" si="22"/>
        <v>900</v>
      </c>
      <c r="G26" s="55">
        <f t="shared" si="22"/>
        <v>900.00000000000011</v>
      </c>
      <c r="H26" s="55">
        <f t="shared" si="22"/>
        <v>900</v>
      </c>
      <c r="I26" s="55">
        <f t="shared" si="22"/>
        <v>900.00000000000011</v>
      </c>
      <c r="J26" s="55">
        <f t="shared" si="22"/>
        <v>900</v>
      </c>
      <c r="K26" s="55">
        <f t="shared" si="22"/>
        <v>900</v>
      </c>
      <c r="L26" s="55">
        <f t="shared" si="22"/>
        <v>900</v>
      </c>
      <c r="M26" s="55">
        <f t="shared" si="22"/>
        <v>900</v>
      </c>
      <c r="N26" s="55">
        <f t="shared" si="22"/>
        <v>899.99999999999989</v>
      </c>
      <c r="O26" s="55">
        <f t="shared" si="22"/>
        <v>900</v>
      </c>
      <c r="P26" s="55">
        <f t="shared" si="22"/>
        <v>899.99999999999989</v>
      </c>
      <c r="Q26" s="55">
        <f t="shared" si="22"/>
        <v>899.99999999999989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900</v>
      </c>
      <c r="V26" s="55">
        <f t="shared" si="22"/>
        <v>900.00000000000011</v>
      </c>
      <c r="W26" s="55">
        <f t="shared" si="22"/>
        <v>900.00000000000011</v>
      </c>
      <c r="X26" s="55">
        <f t="shared" ref="X26:Y26" si="23">X9*1000/X8</f>
        <v>900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900.00000000000011</v>
      </c>
      <c r="E27" s="57">
        <f t="shared" si="25"/>
        <v>899.99999999999977</v>
      </c>
      <c r="F27" s="57">
        <f t="shared" si="25"/>
        <v>900</v>
      </c>
      <c r="G27" s="57">
        <f t="shared" si="25"/>
        <v>900</v>
      </c>
      <c r="H27" s="57">
        <f t="shared" si="25"/>
        <v>900</v>
      </c>
      <c r="I27" s="57">
        <f t="shared" si="25"/>
        <v>900</v>
      </c>
      <c r="J27" s="57">
        <f t="shared" si="25"/>
        <v>900.00000000000011</v>
      </c>
      <c r="K27" s="57">
        <f t="shared" si="25"/>
        <v>900</v>
      </c>
      <c r="L27" s="57">
        <f t="shared" si="25"/>
        <v>899.99999999999989</v>
      </c>
      <c r="M27" s="57">
        <f t="shared" si="25"/>
        <v>900</v>
      </c>
      <c r="N27" s="57">
        <f t="shared" si="25"/>
        <v>900.00000000000011</v>
      </c>
      <c r="O27" s="57">
        <f t="shared" si="25"/>
        <v>900</v>
      </c>
      <c r="P27" s="57">
        <f t="shared" si="25"/>
        <v>899.99999999999989</v>
      </c>
      <c r="Q27" s="57">
        <f t="shared" si="25"/>
        <v>900</v>
      </c>
      <c r="R27" s="57">
        <f t="shared" si="25"/>
        <v>900.00000000000011</v>
      </c>
      <c r="S27" s="57">
        <f t="shared" si="25"/>
        <v>900</v>
      </c>
      <c r="T27" s="57">
        <f t="shared" si="25"/>
        <v>900</v>
      </c>
      <c r="U27" s="57">
        <f t="shared" si="25"/>
        <v>900.00000000000011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</v>
      </c>
      <c r="Y27" s="57">
        <f t="shared" si="26"/>
        <v>899.99999999999989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479.06966111875863</v>
      </c>
      <c r="C31" s="80">
        <f t="shared" ref="C31:W31" si="27">SUM(C32:C33,C36:C37,C44:C45)</f>
        <v>508.15823577210688</v>
      </c>
      <c r="D31" s="80">
        <f t="shared" si="27"/>
        <v>541.12073264277853</v>
      </c>
      <c r="E31" s="80">
        <f t="shared" si="27"/>
        <v>570.99205806106443</v>
      </c>
      <c r="F31" s="80">
        <f t="shared" si="27"/>
        <v>602.61435308172599</v>
      </c>
      <c r="G31" s="80">
        <f t="shared" si="27"/>
        <v>600.69473708010617</v>
      </c>
      <c r="H31" s="80">
        <f t="shared" si="27"/>
        <v>644.03023871345249</v>
      </c>
      <c r="I31" s="80">
        <f t="shared" si="27"/>
        <v>689.77298179444949</v>
      </c>
      <c r="J31" s="80">
        <f t="shared" si="27"/>
        <v>615.39032249007244</v>
      </c>
      <c r="K31" s="80">
        <f t="shared" si="27"/>
        <v>575.66684525285177</v>
      </c>
      <c r="L31" s="80">
        <f t="shared" si="27"/>
        <v>601.26501665475348</v>
      </c>
      <c r="M31" s="80">
        <f t="shared" si="27"/>
        <v>559.09053451345858</v>
      </c>
      <c r="N31" s="80">
        <f t="shared" si="27"/>
        <v>626.89133042434014</v>
      </c>
      <c r="O31" s="80">
        <f t="shared" si="27"/>
        <v>604.01491160340538</v>
      </c>
      <c r="P31" s="80">
        <f t="shared" si="27"/>
        <v>611.73145249144011</v>
      </c>
      <c r="Q31" s="80">
        <f t="shared" si="27"/>
        <v>585.36080359470657</v>
      </c>
      <c r="R31" s="80">
        <f t="shared" si="27"/>
        <v>592.32494260188969</v>
      </c>
      <c r="S31" s="80">
        <f t="shared" si="27"/>
        <v>610.24790063090836</v>
      </c>
      <c r="T31" s="80">
        <f t="shared" si="27"/>
        <v>596.34133243061365</v>
      </c>
      <c r="U31" s="80">
        <f t="shared" si="27"/>
        <v>573.88110412705396</v>
      </c>
      <c r="V31" s="80">
        <f t="shared" si="27"/>
        <v>552.75923727652844</v>
      </c>
      <c r="W31" s="80">
        <f t="shared" si="27"/>
        <v>605.73638653258161</v>
      </c>
      <c r="X31" s="80">
        <f t="shared" ref="X31:Y31" si="28">SUM(X32:X33,X36:X37,X44:X45)</f>
        <v>576.3441494442684</v>
      </c>
      <c r="Y31" s="80">
        <f t="shared" si="28"/>
        <v>544.63590117421472</v>
      </c>
      <c r="DA31" s="103" t="s">
        <v>199</v>
      </c>
    </row>
    <row r="32" spans="1:105" ht="12" customHeight="1" x14ac:dyDescent="0.25">
      <c r="A32" s="58" t="s">
        <v>29</v>
      </c>
      <c r="B32" s="59">
        <v>35.407480653482374</v>
      </c>
      <c r="C32" s="59">
        <v>35.037489251934652</v>
      </c>
      <c r="D32" s="59">
        <v>32.628288907996563</v>
      </c>
      <c r="E32" s="59">
        <v>30.060189165950131</v>
      </c>
      <c r="F32" s="59">
        <v>28.807652622527939</v>
      </c>
      <c r="G32" s="59">
        <v>23.1713671539123</v>
      </c>
      <c r="H32" s="59">
        <v>23.797678417884779</v>
      </c>
      <c r="I32" s="59">
        <v>23.411435941530527</v>
      </c>
      <c r="J32" s="59">
        <v>20.280223559759246</v>
      </c>
      <c r="K32" s="59">
        <v>15.27016337059329</v>
      </c>
      <c r="L32" s="59">
        <v>21.292605331040409</v>
      </c>
      <c r="M32" s="59">
        <v>18.787618228718831</v>
      </c>
      <c r="N32" s="59">
        <v>10.113929492691316</v>
      </c>
      <c r="O32" s="59">
        <v>10.91857265692175</v>
      </c>
      <c r="P32" s="59">
        <v>8.3194325021496134</v>
      </c>
      <c r="Q32" s="59">
        <v>6.2818572656921754</v>
      </c>
      <c r="R32" s="59">
        <v>5.75408426483233</v>
      </c>
      <c r="S32" s="59">
        <v>3.876268271711091</v>
      </c>
      <c r="T32" s="59">
        <v>3.6726569217540832</v>
      </c>
      <c r="U32" s="59">
        <v>2.6890799656061901</v>
      </c>
      <c r="V32" s="59">
        <v>1.5437661220980226</v>
      </c>
      <c r="W32" s="59">
        <v>1.9831470335339634</v>
      </c>
      <c r="X32" s="59">
        <v>1.1374032674118657</v>
      </c>
      <c r="Y32" s="59">
        <v>2.3927773000859842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40.034049871023214</v>
      </c>
      <c r="C33" s="55">
        <f t="shared" ref="C33:W33" si="29">SUM(C34:C35)</f>
        <v>47.258039552880483</v>
      </c>
      <c r="D33" s="55">
        <f t="shared" si="29"/>
        <v>46.285038693035247</v>
      </c>
      <c r="E33" s="55">
        <f t="shared" si="29"/>
        <v>54.208598452278586</v>
      </c>
      <c r="F33" s="55">
        <f t="shared" si="29"/>
        <v>55.16431642304385</v>
      </c>
      <c r="G33" s="55">
        <f t="shared" si="29"/>
        <v>45.012467755803954</v>
      </c>
      <c r="H33" s="55">
        <f t="shared" si="29"/>
        <v>57.545829750644884</v>
      </c>
      <c r="I33" s="55">
        <f t="shared" si="29"/>
        <v>46.818228718830611</v>
      </c>
      <c r="J33" s="55">
        <f t="shared" si="29"/>
        <v>39.577815993121234</v>
      </c>
      <c r="K33" s="55">
        <f t="shared" si="29"/>
        <v>37.685640584694752</v>
      </c>
      <c r="L33" s="55">
        <f t="shared" si="29"/>
        <v>37.68564058469476</v>
      </c>
      <c r="M33" s="55">
        <f t="shared" si="29"/>
        <v>32.619002579535682</v>
      </c>
      <c r="N33" s="55">
        <f t="shared" si="29"/>
        <v>44.851934651762676</v>
      </c>
      <c r="O33" s="55">
        <f t="shared" si="29"/>
        <v>46.917024935511606</v>
      </c>
      <c r="P33" s="55">
        <f t="shared" si="29"/>
        <v>51.013929492691318</v>
      </c>
      <c r="Q33" s="55">
        <f t="shared" si="29"/>
        <v>53.026483233018055</v>
      </c>
      <c r="R33" s="55">
        <f t="shared" si="29"/>
        <v>37.966552020636286</v>
      </c>
      <c r="S33" s="55">
        <f t="shared" si="29"/>
        <v>41.900601891659505</v>
      </c>
      <c r="T33" s="55">
        <f t="shared" si="29"/>
        <v>44.437661220980218</v>
      </c>
      <c r="U33" s="55">
        <f t="shared" si="29"/>
        <v>35.589509888220128</v>
      </c>
      <c r="V33" s="55">
        <f t="shared" si="29"/>
        <v>40.968271711092001</v>
      </c>
      <c r="W33" s="55">
        <f t="shared" si="29"/>
        <v>58.082459157351671</v>
      </c>
      <c r="X33" s="55">
        <f t="shared" ref="X33:Y33" si="30">SUM(X34:X35)</f>
        <v>58.546603611349951</v>
      </c>
      <c r="Y33" s="55">
        <f t="shared" si="30"/>
        <v>63.731728288907995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2.1754084264832332</v>
      </c>
      <c r="D34" s="55">
        <v>1.0877042132416159</v>
      </c>
      <c r="E34" s="55">
        <v>4.3508168529664646</v>
      </c>
      <c r="F34" s="55">
        <v>3.26311263972485</v>
      </c>
      <c r="G34" s="55">
        <v>3.26311263972485</v>
      </c>
      <c r="H34" s="55">
        <v>3.26311263972485</v>
      </c>
      <c r="I34" s="55">
        <v>3.26311263972485</v>
      </c>
      <c r="J34" s="55">
        <v>2.1754084264832332</v>
      </c>
      <c r="K34" s="55">
        <v>2.1754084264832332</v>
      </c>
      <c r="L34" s="55">
        <v>2.1754084264832332</v>
      </c>
      <c r="M34" s="55">
        <v>1.0877042132416159</v>
      </c>
      <c r="N34" s="55">
        <v>2.1754084264832332</v>
      </c>
      <c r="O34" s="55">
        <v>2.1754084264832332</v>
      </c>
      <c r="P34" s="55">
        <v>3.26311263972485</v>
      </c>
      <c r="Q34" s="55">
        <v>3.26311263972485</v>
      </c>
      <c r="R34" s="55">
        <v>5.4385210662080823</v>
      </c>
      <c r="S34" s="55">
        <v>7.9021496130696471</v>
      </c>
      <c r="T34" s="55">
        <v>6.6567497850386932</v>
      </c>
      <c r="U34" s="55">
        <v>5.1557179707652621</v>
      </c>
      <c r="V34" s="55">
        <v>5.1252794496990539</v>
      </c>
      <c r="W34" s="55">
        <v>5.4308684436801373</v>
      </c>
      <c r="X34" s="55">
        <v>9.5141874462596725</v>
      </c>
      <c r="Y34" s="55">
        <v>6.7208942390369728</v>
      </c>
      <c r="DA34" s="101" t="s">
        <v>201</v>
      </c>
    </row>
    <row r="35" spans="1:105" ht="12" customHeight="1" x14ac:dyDescent="0.25">
      <c r="A35" s="61" t="s">
        <v>163</v>
      </c>
      <c r="B35" s="55">
        <v>40.034049871023214</v>
      </c>
      <c r="C35" s="55">
        <v>45.082631126397253</v>
      </c>
      <c r="D35" s="55">
        <v>45.197334479793632</v>
      </c>
      <c r="E35" s="55">
        <v>49.857781599312119</v>
      </c>
      <c r="F35" s="55">
        <v>51.901203783318998</v>
      </c>
      <c r="G35" s="55">
        <v>41.749355116079101</v>
      </c>
      <c r="H35" s="55">
        <v>54.282717110920032</v>
      </c>
      <c r="I35" s="55">
        <v>43.555116079105758</v>
      </c>
      <c r="J35" s="55">
        <v>37.402407566638004</v>
      </c>
      <c r="K35" s="55">
        <v>35.510232158211522</v>
      </c>
      <c r="L35" s="55">
        <v>35.510232158211529</v>
      </c>
      <c r="M35" s="55">
        <v>31.531298366294067</v>
      </c>
      <c r="N35" s="55">
        <v>42.676526225279446</v>
      </c>
      <c r="O35" s="55">
        <v>44.741616509028376</v>
      </c>
      <c r="P35" s="55">
        <v>47.750816852966466</v>
      </c>
      <c r="Q35" s="55">
        <v>49.763370593293203</v>
      </c>
      <c r="R35" s="55">
        <v>32.528030954428203</v>
      </c>
      <c r="S35" s="55">
        <v>33.998452278589859</v>
      </c>
      <c r="T35" s="55">
        <v>37.780911435941526</v>
      </c>
      <c r="U35" s="55">
        <v>30.433791917454865</v>
      </c>
      <c r="V35" s="55">
        <v>35.842992261392951</v>
      </c>
      <c r="W35" s="55">
        <v>52.651590713671531</v>
      </c>
      <c r="X35" s="55">
        <v>49.032416165090282</v>
      </c>
      <c r="Y35" s="55">
        <v>57.010834049871022</v>
      </c>
      <c r="DA35" s="101" t="s">
        <v>202</v>
      </c>
    </row>
    <row r="36" spans="1:105" ht="12" customHeight="1" x14ac:dyDescent="0.25">
      <c r="A36" s="60" t="s">
        <v>149</v>
      </c>
      <c r="B36" s="55">
        <v>44.217540842648319</v>
      </c>
      <c r="C36" s="55">
        <v>47.506448839208943</v>
      </c>
      <c r="D36" s="55">
        <v>69.840928632846087</v>
      </c>
      <c r="E36" s="55">
        <v>74.699054170249354</v>
      </c>
      <c r="F36" s="55">
        <v>89.746345657781589</v>
      </c>
      <c r="G36" s="55">
        <v>93.723129836629397</v>
      </c>
      <c r="H36" s="55">
        <v>101.7411865864144</v>
      </c>
      <c r="I36" s="55">
        <v>114.35941530524509</v>
      </c>
      <c r="J36" s="55">
        <v>115.3052450558899</v>
      </c>
      <c r="K36" s="55">
        <v>111.62940670679281</v>
      </c>
      <c r="L36" s="55">
        <v>115.5631986242476</v>
      </c>
      <c r="M36" s="55">
        <v>104.4067067927773</v>
      </c>
      <c r="N36" s="55">
        <v>97.979363714531374</v>
      </c>
      <c r="O36" s="55">
        <v>83.6414445399828</v>
      </c>
      <c r="P36" s="55">
        <v>90.627687016337049</v>
      </c>
      <c r="Q36" s="55">
        <v>85.576096302665519</v>
      </c>
      <c r="R36" s="55">
        <v>94.152192605331038</v>
      </c>
      <c r="S36" s="55">
        <v>101.0527944969905</v>
      </c>
      <c r="T36" s="55">
        <v>105.02897678417889</v>
      </c>
      <c r="U36" s="55">
        <v>110.05245055889939</v>
      </c>
      <c r="V36" s="55">
        <v>111.2376612209802</v>
      </c>
      <c r="W36" s="55">
        <v>117.6981943250215</v>
      </c>
      <c r="X36" s="55">
        <v>111.7760103181427</v>
      </c>
      <c r="Y36" s="55">
        <v>105.46680997420459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78.413069647463445</v>
      </c>
      <c r="C37" s="55">
        <f t="shared" ref="C37:W37" si="31">SUM(C38:C42)</f>
        <v>89.471711092003432</v>
      </c>
      <c r="D37" s="55">
        <f t="shared" si="31"/>
        <v>88.30128976784178</v>
      </c>
      <c r="E37" s="55">
        <f t="shared" si="31"/>
        <v>91.931728288907976</v>
      </c>
      <c r="F37" s="55">
        <f t="shared" si="31"/>
        <v>107.4089423903697</v>
      </c>
      <c r="G37" s="55">
        <f t="shared" si="31"/>
        <v>104.8772141014617</v>
      </c>
      <c r="H37" s="55">
        <f t="shared" si="31"/>
        <v>110.72889079965611</v>
      </c>
      <c r="I37" s="55">
        <f t="shared" si="31"/>
        <v>128.90515907136714</v>
      </c>
      <c r="J37" s="55">
        <f t="shared" si="31"/>
        <v>76.979965606190873</v>
      </c>
      <c r="K37" s="55">
        <f t="shared" si="31"/>
        <v>76.78890799656061</v>
      </c>
      <c r="L37" s="55">
        <f t="shared" si="31"/>
        <v>80.754256233877896</v>
      </c>
      <c r="M37" s="55">
        <f t="shared" si="31"/>
        <v>69.408684436801366</v>
      </c>
      <c r="N37" s="55">
        <f t="shared" si="31"/>
        <v>94.630696474634561</v>
      </c>
      <c r="O37" s="55">
        <f t="shared" si="31"/>
        <v>95.753310404127248</v>
      </c>
      <c r="P37" s="55">
        <f t="shared" si="31"/>
        <v>86.772742906276861</v>
      </c>
      <c r="Q37" s="55">
        <f t="shared" si="31"/>
        <v>83.309372312983655</v>
      </c>
      <c r="R37" s="55">
        <f t="shared" si="31"/>
        <v>80.156663800515901</v>
      </c>
      <c r="S37" s="55">
        <f t="shared" si="31"/>
        <v>85.079535683576935</v>
      </c>
      <c r="T37" s="55">
        <f t="shared" si="31"/>
        <v>70.315477214101449</v>
      </c>
      <c r="U37" s="55">
        <f t="shared" si="31"/>
        <v>58.265864144454</v>
      </c>
      <c r="V37" s="55">
        <f t="shared" si="31"/>
        <v>47.610232158211524</v>
      </c>
      <c r="W37" s="55">
        <f t="shared" si="31"/>
        <v>50.150472914875323</v>
      </c>
      <c r="X37" s="55">
        <f t="shared" ref="X37:Y37" si="32">SUM(X38:X42)</f>
        <v>55.926053310404129</v>
      </c>
      <c r="Y37" s="55">
        <f t="shared" si="32"/>
        <v>41.508942390369725</v>
      </c>
      <c r="DA37" s="101"/>
    </row>
    <row r="38" spans="1:105" ht="12" customHeight="1" x14ac:dyDescent="0.25">
      <c r="A38" s="61" t="s">
        <v>164</v>
      </c>
      <c r="B38" s="55">
        <v>78.413069647463445</v>
      </c>
      <c r="C38" s="55">
        <v>89.471711092003432</v>
      </c>
      <c r="D38" s="55">
        <v>88.30128976784178</v>
      </c>
      <c r="E38" s="55">
        <v>90.020980223559746</v>
      </c>
      <c r="F38" s="55">
        <v>104.3278589853826</v>
      </c>
      <c r="G38" s="55">
        <v>103.06199484092861</v>
      </c>
      <c r="H38" s="55">
        <v>108.62708512467761</v>
      </c>
      <c r="I38" s="55">
        <v>126.87497850386929</v>
      </c>
      <c r="J38" s="55">
        <v>75.093121238177119</v>
      </c>
      <c r="K38" s="55">
        <v>74.448237317282874</v>
      </c>
      <c r="L38" s="55">
        <v>77.815993121238165</v>
      </c>
      <c r="M38" s="55">
        <v>66.68581255374032</v>
      </c>
      <c r="N38" s="55">
        <v>91.454084264832332</v>
      </c>
      <c r="O38" s="55">
        <v>92.552794496990529</v>
      </c>
      <c r="P38" s="55">
        <v>83.40498710232157</v>
      </c>
      <c r="Q38" s="55">
        <v>80.132760103181425</v>
      </c>
      <c r="R38" s="55">
        <v>77.338263112639723</v>
      </c>
      <c r="S38" s="55">
        <v>82.210748065348213</v>
      </c>
      <c r="T38" s="55">
        <v>67.091143594153039</v>
      </c>
      <c r="U38" s="55">
        <v>55.216423043852103</v>
      </c>
      <c r="V38" s="55">
        <v>44.595614789337922</v>
      </c>
      <c r="W38" s="55">
        <v>47.017626827171107</v>
      </c>
      <c r="X38" s="55">
        <v>52.912639724849527</v>
      </c>
      <c r="Y38" s="55">
        <v>38.689767841788473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1.9107480653482369</v>
      </c>
      <c r="F39" s="55">
        <v>3.0810834049871021</v>
      </c>
      <c r="G39" s="55">
        <v>1.8152192605331039</v>
      </c>
      <c r="H39" s="55">
        <v>2.101805674978503</v>
      </c>
      <c r="I39" s="55">
        <v>2.0301805674978501</v>
      </c>
      <c r="J39" s="55">
        <v>1.886844368013757</v>
      </c>
      <c r="K39" s="55">
        <v>2.3406706792777299</v>
      </c>
      <c r="L39" s="55">
        <v>2.842304385210662</v>
      </c>
      <c r="M39" s="55">
        <v>2.7228718830610492</v>
      </c>
      <c r="N39" s="55">
        <v>3.176612209802236</v>
      </c>
      <c r="O39" s="55">
        <v>3.2005159071367149</v>
      </c>
      <c r="P39" s="55">
        <v>3.367755803955288</v>
      </c>
      <c r="Q39" s="55">
        <v>3.176612209802236</v>
      </c>
      <c r="R39" s="55">
        <v>2.8184006878761818</v>
      </c>
      <c r="S39" s="55">
        <v>2.8687876182287182</v>
      </c>
      <c r="T39" s="55">
        <v>3.214015477214101</v>
      </c>
      <c r="U39" s="55">
        <v>3.0484952708512472</v>
      </c>
      <c r="V39" s="55">
        <v>3.0146173688736031</v>
      </c>
      <c r="W39" s="55">
        <v>3.132846087704213</v>
      </c>
      <c r="X39" s="55">
        <v>3.0134135855545998</v>
      </c>
      <c r="Y39" s="55">
        <v>2.8191745485812549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9.5958727429062765E-2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1.031814273430782E-2</v>
      </c>
      <c r="U40" s="55">
        <v>9.4582975064488384E-4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  <c r="DA42" s="101" t="s">
        <v>208</v>
      </c>
    </row>
    <row r="43" spans="1:105" ht="12" customHeight="1" x14ac:dyDescent="0.25">
      <c r="A43" s="61" t="s">
        <v>151</v>
      </c>
      <c r="B43" s="309">
        <v>3.6273925944831139E-6</v>
      </c>
      <c r="C43" s="309">
        <v>7.4134070598382716E-6</v>
      </c>
      <c r="D43" s="55">
        <v>7.5078949568659992E-5</v>
      </c>
      <c r="E43" s="55">
        <v>1.6554084843835185E-4</v>
      </c>
      <c r="F43" s="55">
        <v>3.7364119852813693E-4</v>
      </c>
      <c r="G43" s="55">
        <v>8.2727291891849511E-4</v>
      </c>
      <c r="H43" s="55">
        <v>1.8503926817465223E-3</v>
      </c>
      <c r="I43" s="55">
        <v>4.1213376114265475E-3</v>
      </c>
      <c r="J43" s="55">
        <v>8.8118386503839401E-3</v>
      </c>
      <c r="K43" s="55">
        <v>1.9366849761490876E-2</v>
      </c>
      <c r="L43" s="55">
        <v>4.1606968612452847E-2</v>
      </c>
      <c r="M43" s="55">
        <v>9.1077788700195408E-2</v>
      </c>
      <c r="N43" s="55">
        <v>0.15949910652714039</v>
      </c>
      <c r="O43" s="55">
        <v>0.30874761162169206</v>
      </c>
      <c r="P43" s="55">
        <v>0.46021803916573534</v>
      </c>
      <c r="Q43" s="55">
        <v>0.62264533158950042</v>
      </c>
      <c r="R43" s="55">
        <v>0.74162009629066672</v>
      </c>
      <c r="S43" s="55">
        <v>0.86758383490971669</v>
      </c>
      <c r="T43" s="55">
        <v>0.86758383490971536</v>
      </c>
      <c r="U43" s="55">
        <v>0.86758383490971602</v>
      </c>
      <c r="V43" s="55">
        <v>0.86758383490971713</v>
      </c>
      <c r="W43" s="55">
        <v>0.62811693895098886</v>
      </c>
      <c r="X43" s="55">
        <v>0.62811693895098908</v>
      </c>
      <c r="Y43" s="55">
        <v>0.62811693895098819</v>
      </c>
      <c r="DA43" s="101" t="s">
        <v>209</v>
      </c>
    </row>
    <row r="44" spans="1:105" ht="12" customHeight="1" x14ac:dyDescent="0.25">
      <c r="A44" s="60" t="s">
        <v>162</v>
      </c>
      <c r="B44" s="55">
        <v>141.68340498710231</v>
      </c>
      <c r="C44" s="55">
        <v>156.6351676698194</v>
      </c>
      <c r="D44" s="55">
        <v>149.37420464316421</v>
      </c>
      <c r="E44" s="55">
        <v>153.43456577815991</v>
      </c>
      <c r="F44" s="55">
        <v>144.1674118658641</v>
      </c>
      <c r="G44" s="55">
        <v>143.61805674978501</v>
      </c>
      <c r="H44" s="55">
        <v>143.61805674978501</v>
      </c>
      <c r="I44" s="55">
        <v>138.36345657781601</v>
      </c>
      <c r="J44" s="55">
        <v>132.86999140154771</v>
      </c>
      <c r="K44" s="55">
        <v>130.8159071367154</v>
      </c>
      <c r="L44" s="55">
        <v>136.45262252794501</v>
      </c>
      <c r="M44" s="55">
        <v>118.65864144454</v>
      </c>
      <c r="N44" s="55">
        <v>137.2169389509888</v>
      </c>
      <c r="O44" s="55">
        <v>132.8460877042132</v>
      </c>
      <c r="P44" s="55">
        <v>126.27781599312119</v>
      </c>
      <c r="Q44" s="55">
        <v>124.820894239037</v>
      </c>
      <c r="R44" s="55">
        <v>141.51616509028369</v>
      </c>
      <c r="S44" s="55">
        <v>142.25872742906279</v>
      </c>
      <c r="T44" s="55">
        <v>128.95692175408419</v>
      </c>
      <c r="U44" s="55">
        <v>124.34660361134991</v>
      </c>
      <c r="V44" s="55">
        <v>128.21332760103181</v>
      </c>
      <c r="W44" s="55">
        <v>147.94978503869299</v>
      </c>
      <c r="X44" s="55">
        <v>124.3709372312984</v>
      </c>
      <c r="Y44" s="55">
        <v>113.6239896818573</v>
      </c>
      <c r="DA44" s="101" t="s">
        <v>210</v>
      </c>
    </row>
    <row r="45" spans="1:105" ht="12" customHeight="1" x14ac:dyDescent="0.25">
      <c r="A45" s="62" t="s">
        <v>24</v>
      </c>
      <c r="B45" s="63">
        <v>139.31411511703899</v>
      </c>
      <c r="C45" s="63">
        <v>132.24937936625994</v>
      </c>
      <c r="D45" s="63">
        <v>154.69098199789465</v>
      </c>
      <c r="E45" s="63">
        <v>166.65792220551847</v>
      </c>
      <c r="F45" s="63">
        <v>177.31968412213877</v>
      </c>
      <c r="G45" s="63">
        <v>190.29250148251387</v>
      </c>
      <c r="H45" s="63">
        <v>206.59859640906726</v>
      </c>
      <c r="I45" s="63">
        <v>237.91528617966011</v>
      </c>
      <c r="J45" s="63">
        <v>230.37708087356347</v>
      </c>
      <c r="K45" s="63">
        <v>203.47681945749497</v>
      </c>
      <c r="L45" s="63">
        <v>209.51669335294781</v>
      </c>
      <c r="M45" s="63">
        <v>215.20988103108536</v>
      </c>
      <c r="N45" s="63">
        <v>242.09846713973141</v>
      </c>
      <c r="O45" s="63">
        <v>233.93847136264884</v>
      </c>
      <c r="P45" s="63">
        <v>248.71984458086408</v>
      </c>
      <c r="Q45" s="63">
        <v>232.34610024131021</v>
      </c>
      <c r="R45" s="63">
        <v>232.77928482029034</v>
      </c>
      <c r="S45" s="63">
        <v>236.07997285790756</v>
      </c>
      <c r="T45" s="63">
        <v>243.92963853551487</v>
      </c>
      <c r="U45" s="63">
        <v>242.9375959585243</v>
      </c>
      <c r="V45" s="63">
        <v>223.18597846311491</v>
      </c>
      <c r="W45" s="63">
        <v>229.87232806310621</v>
      </c>
      <c r="X45" s="63">
        <v>224.58714170566128</v>
      </c>
      <c r="Y45" s="63">
        <v>217.91165353878907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479.06966111875869</v>
      </c>
      <c r="C47" s="82">
        <f t="shared" ref="C47:W47" si="34">SUM(C48,C53)</f>
        <v>508.15823577210676</v>
      </c>
      <c r="D47" s="82">
        <f t="shared" si="34"/>
        <v>541.12073264277865</v>
      </c>
      <c r="E47" s="82">
        <f t="shared" si="34"/>
        <v>570.99205806106443</v>
      </c>
      <c r="F47" s="82">
        <f t="shared" si="34"/>
        <v>602.61435308172588</v>
      </c>
      <c r="G47" s="82">
        <f t="shared" si="34"/>
        <v>600.69473708010628</v>
      </c>
      <c r="H47" s="82">
        <f t="shared" si="34"/>
        <v>644.03023871345249</v>
      </c>
      <c r="I47" s="82">
        <f t="shared" si="34"/>
        <v>689.77298179444949</v>
      </c>
      <c r="J47" s="82">
        <f t="shared" si="34"/>
        <v>615.39032249007244</v>
      </c>
      <c r="K47" s="82">
        <f t="shared" si="34"/>
        <v>575.666845252852</v>
      </c>
      <c r="L47" s="82">
        <f t="shared" si="34"/>
        <v>601.26501665475348</v>
      </c>
      <c r="M47" s="82">
        <f t="shared" si="34"/>
        <v>559.09053451345858</v>
      </c>
      <c r="N47" s="82">
        <f t="shared" si="34"/>
        <v>626.89133042434037</v>
      </c>
      <c r="O47" s="82">
        <f t="shared" si="34"/>
        <v>604.01491160340549</v>
      </c>
      <c r="P47" s="82">
        <f t="shared" si="34"/>
        <v>611.73145249144011</v>
      </c>
      <c r="Q47" s="82">
        <f t="shared" si="34"/>
        <v>585.36080359470668</v>
      </c>
      <c r="R47" s="82">
        <f t="shared" si="34"/>
        <v>592.32494260188957</v>
      </c>
      <c r="S47" s="82">
        <f t="shared" si="34"/>
        <v>610.24790063090836</v>
      </c>
      <c r="T47" s="82">
        <f t="shared" si="34"/>
        <v>596.34133243061365</v>
      </c>
      <c r="U47" s="82">
        <f t="shared" si="34"/>
        <v>573.88110412705396</v>
      </c>
      <c r="V47" s="82">
        <f t="shared" si="34"/>
        <v>552.75923727652855</v>
      </c>
      <c r="W47" s="82">
        <f t="shared" si="34"/>
        <v>605.73638653258161</v>
      </c>
      <c r="X47" s="82">
        <f t="shared" ref="X47:Y47" si="35">SUM(X48,X53)</f>
        <v>576.3441494442684</v>
      </c>
      <c r="Y47" s="82">
        <f t="shared" si="35"/>
        <v>544.63590117421472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419.94852721352999</v>
      </c>
      <c r="C48" s="64">
        <f t="shared" ref="C48:W48" si="37">SUM(C49:C52)</f>
        <v>446.0132252970381</v>
      </c>
      <c r="D48" s="64">
        <f t="shared" si="37"/>
        <v>475.65503929913734</v>
      </c>
      <c r="E48" s="64">
        <f t="shared" si="37"/>
        <v>501.39890551936946</v>
      </c>
      <c r="F48" s="64">
        <f t="shared" si="37"/>
        <v>528.08580898620608</v>
      </c>
      <c r="G48" s="64">
        <f t="shared" si="37"/>
        <v>520.73679549120175</v>
      </c>
      <c r="H48" s="64">
        <f t="shared" si="37"/>
        <v>558.04401162813303</v>
      </c>
      <c r="I48" s="64">
        <f t="shared" si="37"/>
        <v>597.43147334559831</v>
      </c>
      <c r="J48" s="64">
        <f t="shared" si="37"/>
        <v>518.34506559088766</v>
      </c>
      <c r="K48" s="64">
        <f t="shared" si="37"/>
        <v>476.21652626512753</v>
      </c>
      <c r="L48" s="64">
        <f t="shared" si="37"/>
        <v>500.59906087178439</v>
      </c>
      <c r="M48" s="64">
        <f t="shared" si="37"/>
        <v>457.49032186903031</v>
      </c>
      <c r="N48" s="64">
        <f t="shared" si="37"/>
        <v>524.16456790055804</v>
      </c>
      <c r="O48" s="64">
        <f t="shared" si="37"/>
        <v>499.41644773282638</v>
      </c>
      <c r="P48" s="64">
        <f t="shared" si="37"/>
        <v>505.14124322313239</v>
      </c>
      <c r="Q48" s="64">
        <f t="shared" si="37"/>
        <v>475.86115283012651</v>
      </c>
      <c r="R48" s="64">
        <f t="shared" si="37"/>
        <v>482.29776961296477</v>
      </c>
      <c r="S48" s="64">
        <f t="shared" si="37"/>
        <v>497.29438007532451</v>
      </c>
      <c r="T48" s="64">
        <f t="shared" si="37"/>
        <v>484.19503442254268</v>
      </c>
      <c r="U48" s="64">
        <f t="shared" si="37"/>
        <v>462.28527111263679</v>
      </c>
      <c r="V48" s="64">
        <f t="shared" si="37"/>
        <v>444.90900841635619</v>
      </c>
      <c r="W48" s="64">
        <f t="shared" si="37"/>
        <v>496.89816706280101</v>
      </c>
      <c r="X48" s="64">
        <f t="shared" ref="X48:Y48" si="38">SUM(X49:X52)</f>
        <v>467.19672431347692</v>
      </c>
      <c r="Y48" s="64">
        <f t="shared" si="38"/>
        <v>433.24679528347167</v>
      </c>
      <c r="DA48" s="108" t="s">
        <v>213</v>
      </c>
    </row>
    <row r="49" spans="1:105" ht="12" customHeight="1" x14ac:dyDescent="0.25">
      <c r="A49" s="61" t="s">
        <v>32</v>
      </c>
      <c r="B49" s="65">
        <v>331.22575714430815</v>
      </c>
      <c r="C49" s="65">
        <v>352.40513259699486</v>
      </c>
      <c r="D49" s="65">
        <v>381.46909256546172</v>
      </c>
      <c r="E49" s="65">
        <v>403.88491724757108</v>
      </c>
      <c r="F49" s="65">
        <v>424.60460615365503</v>
      </c>
      <c r="G49" s="65">
        <v>412.80275382016345</v>
      </c>
      <c r="H49" s="65">
        <v>443.8682387750751</v>
      </c>
      <c r="I49" s="65">
        <v>479.63075177515543</v>
      </c>
      <c r="J49" s="65">
        <v>396.89096574046437</v>
      </c>
      <c r="K49" s="65">
        <v>350.17627595585316</v>
      </c>
      <c r="L49" s="65">
        <v>376.91325436051824</v>
      </c>
      <c r="M49" s="65">
        <v>331.71748901682918</v>
      </c>
      <c r="N49" s="65">
        <v>401.27646000615221</v>
      </c>
      <c r="O49" s="65">
        <v>373.57326637830442</v>
      </c>
      <c r="P49" s="65">
        <v>379.87073092134767</v>
      </c>
      <c r="Q49" s="65">
        <v>349.51592088811691</v>
      </c>
      <c r="R49" s="65">
        <v>356.43504622409051</v>
      </c>
      <c r="S49" s="65">
        <v>369.15656192636709</v>
      </c>
      <c r="T49" s="65">
        <v>357.82302256670897</v>
      </c>
      <c r="U49" s="65">
        <v>337.29923616953846</v>
      </c>
      <c r="V49" s="65">
        <v>329.81161196413507</v>
      </c>
      <c r="W49" s="65">
        <v>376.49990866917955</v>
      </c>
      <c r="X49" s="65">
        <v>344.05120074916363</v>
      </c>
      <c r="Y49" s="65">
        <v>311.57739544469086</v>
      </c>
      <c r="DA49" s="109" t="s">
        <v>214</v>
      </c>
    </row>
    <row r="50" spans="1:105" ht="12" customHeight="1" x14ac:dyDescent="0.25">
      <c r="A50" s="61" t="s">
        <v>31</v>
      </c>
      <c r="B50" s="65">
        <v>0.54816220212352695</v>
      </c>
      <c r="C50" s="65">
        <v>0.58974449799820494</v>
      </c>
      <c r="D50" s="65">
        <v>0.64481989691773833</v>
      </c>
      <c r="E50" s="65">
        <v>0.66130799194950851</v>
      </c>
      <c r="F50" s="65">
        <v>0.6698637403189458</v>
      </c>
      <c r="G50" s="65">
        <v>0.7153283095310905</v>
      </c>
      <c r="H50" s="65">
        <v>0.80657846003450906</v>
      </c>
      <c r="I50" s="65">
        <v>0.81780278306964294</v>
      </c>
      <c r="J50" s="65">
        <v>0.8534391042814613</v>
      </c>
      <c r="K50" s="65">
        <v>0.90952932322379332</v>
      </c>
      <c r="L50" s="65">
        <v>1.1355054098093551</v>
      </c>
      <c r="M50" s="65">
        <v>0.97070283074045804</v>
      </c>
      <c r="N50" s="65">
        <v>0.97623093577169151</v>
      </c>
      <c r="O50" s="65">
        <v>0.96223810506148533</v>
      </c>
      <c r="P50" s="65">
        <v>1.0187016967428961</v>
      </c>
      <c r="Q50" s="65">
        <v>0.96700789411612842</v>
      </c>
      <c r="R50" s="65">
        <v>0.96778460022161028</v>
      </c>
      <c r="S50" s="65">
        <v>0.97097281798106505</v>
      </c>
      <c r="T50" s="65">
        <v>1.0386778147420601</v>
      </c>
      <c r="U50" s="65">
        <v>0.99222521564407673</v>
      </c>
      <c r="V50" s="65">
        <v>1.0020610342539098</v>
      </c>
      <c r="W50" s="65">
        <v>1.1714726857000031</v>
      </c>
      <c r="X50" s="65">
        <v>1.0153757892995787</v>
      </c>
      <c r="Y50" s="65">
        <v>1.0380909545736579</v>
      </c>
      <c r="DA50" s="109" t="s">
        <v>215</v>
      </c>
    </row>
    <row r="51" spans="1:105" ht="12" customHeight="1" x14ac:dyDescent="0.25">
      <c r="A51" s="61" t="s">
        <v>35</v>
      </c>
      <c r="B51" s="65">
        <v>41.820602613214874</v>
      </c>
      <c r="C51" s="65">
        <v>43.860563960971739</v>
      </c>
      <c r="D51" s="65">
        <v>44.422896840781654</v>
      </c>
      <c r="E51" s="65">
        <v>46.150891904285714</v>
      </c>
      <c r="F51" s="65">
        <v>49.102965977718711</v>
      </c>
      <c r="G51" s="65">
        <v>50.436443881937819</v>
      </c>
      <c r="H51" s="65">
        <v>53.635586335422758</v>
      </c>
      <c r="I51" s="65">
        <v>56.36096481081961</v>
      </c>
      <c r="J51" s="65">
        <v>57.252049689959875</v>
      </c>
      <c r="K51" s="65">
        <v>59.473256383836862</v>
      </c>
      <c r="L51" s="65">
        <v>58.182684481043374</v>
      </c>
      <c r="M51" s="65">
        <v>59.83741849314162</v>
      </c>
      <c r="N51" s="65">
        <v>57.792540413993308</v>
      </c>
      <c r="O51" s="65">
        <v>59.333598173285502</v>
      </c>
      <c r="P51" s="65">
        <v>58.757395546608535</v>
      </c>
      <c r="Q51" s="65">
        <v>59.533071157844589</v>
      </c>
      <c r="R51" s="65">
        <v>59.751801240766298</v>
      </c>
      <c r="S51" s="65">
        <v>60.816699980838933</v>
      </c>
      <c r="T51" s="65">
        <v>59.296471306713102</v>
      </c>
      <c r="U51" s="65">
        <v>57.686254188342872</v>
      </c>
      <c r="V51" s="65">
        <v>52.285965676794618</v>
      </c>
      <c r="W51" s="65">
        <v>55.220039136829612</v>
      </c>
      <c r="X51" s="65">
        <v>56.140973062696396</v>
      </c>
      <c r="Y51" s="65">
        <v>55.59872062710533</v>
      </c>
      <c r="DA51" s="109" t="s">
        <v>216</v>
      </c>
    </row>
    <row r="52" spans="1:105" ht="12" customHeight="1" x14ac:dyDescent="0.25">
      <c r="A52" s="66" t="s">
        <v>34</v>
      </c>
      <c r="B52" s="67">
        <v>46.354005253883422</v>
      </c>
      <c r="C52" s="67">
        <v>49.157784241073308</v>
      </c>
      <c r="D52" s="67">
        <v>49.118229995976236</v>
      </c>
      <c r="E52" s="67">
        <v>50.701788375563197</v>
      </c>
      <c r="F52" s="67">
        <v>53.708373114513392</v>
      </c>
      <c r="G52" s="67">
        <v>56.782269479569337</v>
      </c>
      <c r="H52" s="67">
        <v>59.733608057600591</v>
      </c>
      <c r="I52" s="67">
        <v>60.621953976553613</v>
      </c>
      <c r="J52" s="67">
        <v>63.348611056182037</v>
      </c>
      <c r="K52" s="67">
        <v>65.657464602213665</v>
      </c>
      <c r="L52" s="67">
        <v>64.367616620413386</v>
      </c>
      <c r="M52" s="67">
        <v>64.964711528319057</v>
      </c>
      <c r="N52" s="67">
        <v>64.119336544640788</v>
      </c>
      <c r="O52" s="67">
        <v>65.547345076174949</v>
      </c>
      <c r="P52" s="67">
        <v>65.494415058433361</v>
      </c>
      <c r="Q52" s="67">
        <v>65.845152890048894</v>
      </c>
      <c r="R52" s="67">
        <v>65.143137547886369</v>
      </c>
      <c r="S52" s="67">
        <v>66.350145350137382</v>
      </c>
      <c r="T52" s="67">
        <v>66.036862734378559</v>
      </c>
      <c r="U52" s="67">
        <v>66.307555539111348</v>
      </c>
      <c r="V52" s="67">
        <v>61.809369741172567</v>
      </c>
      <c r="W52" s="67">
        <v>64.006746571091895</v>
      </c>
      <c r="X52" s="67">
        <v>65.98917471231735</v>
      </c>
      <c r="Y52" s="67">
        <v>65.032588257101835</v>
      </c>
      <c r="DA52" s="110" t="s">
        <v>217</v>
      </c>
    </row>
    <row r="53" spans="1:105" ht="12" customHeight="1" x14ac:dyDescent="0.25">
      <c r="A53" s="78" t="s">
        <v>33</v>
      </c>
      <c r="B53" s="68">
        <v>59.121133905228717</v>
      </c>
      <c r="C53" s="68">
        <v>62.145010475068673</v>
      </c>
      <c r="D53" s="68">
        <v>65.465693343641306</v>
      </c>
      <c r="E53" s="68">
        <v>69.593152541694934</v>
      </c>
      <c r="F53" s="68">
        <v>74.528544095519806</v>
      </c>
      <c r="G53" s="68">
        <v>79.957941588904561</v>
      </c>
      <c r="H53" s="68">
        <v>85.986227085319513</v>
      </c>
      <c r="I53" s="68">
        <v>92.341508448851144</v>
      </c>
      <c r="J53" s="68">
        <v>97.045256899184764</v>
      </c>
      <c r="K53" s="68">
        <v>99.450318987724444</v>
      </c>
      <c r="L53" s="68">
        <v>100.66595578296912</v>
      </c>
      <c r="M53" s="68">
        <v>101.60021264442821</v>
      </c>
      <c r="N53" s="68">
        <v>102.72676252378227</v>
      </c>
      <c r="O53" s="68">
        <v>104.59846387057908</v>
      </c>
      <c r="P53" s="68">
        <v>106.59020926830769</v>
      </c>
      <c r="Q53" s="68">
        <v>109.49965076458014</v>
      </c>
      <c r="R53" s="68">
        <v>110.02717298892479</v>
      </c>
      <c r="S53" s="68">
        <v>112.95352055558379</v>
      </c>
      <c r="T53" s="68">
        <v>112.14629800807103</v>
      </c>
      <c r="U53" s="68">
        <v>111.59583301441714</v>
      </c>
      <c r="V53" s="68">
        <v>107.85022886017232</v>
      </c>
      <c r="W53" s="68">
        <v>108.83821946978058</v>
      </c>
      <c r="X53" s="68">
        <v>109.14742513079143</v>
      </c>
      <c r="Y53" s="68">
        <v>111.38910589074301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0.87659178047892938</v>
      </c>
      <c r="C56" s="70">
        <f t="shared" ref="C56:W56" si="43">IF(C48=0,0,C48/C$47)</f>
        <v>0.87770539548445148</v>
      </c>
      <c r="D56" s="70">
        <f t="shared" si="43"/>
        <v>0.87901832364856269</v>
      </c>
      <c r="E56" s="70">
        <f t="shared" si="43"/>
        <v>0.87811887825898205</v>
      </c>
      <c r="F56" s="70">
        <f t="shared" si="43"/>
        <v>0.8763246449169585</v>
      </c>
      <c r="G56" s="70">
        <f t="shared" si="43"/>
        <v>0.86689089040871414</v>
      </c>
      <c r="H56" s="70">
        <f t="shared" si="43"/>
        <v>0.86648728286875176</v>
      </c>
      <c r="I56" s="70">
        <f t="shared" si="43"/>
        <v>0.86612768130084761</v>
      </c>
      <c r="J56" s="70">
        <f t="shared" si="43"/>
        <v>0.84230292002885643</v>
      </c>
      <c r="K56" s="70">
        <f t="shared" si="43"/>
        <v>0.82724327480759707</v>
      </c>
      <c r="L56" s="70">
        <f t="shared" si="43"/>
        <v>0.83257639643988879</v>
      </c>
      <c r="M56" s="70">
        <f t="shared" si="43"/>
        <v>0.81827592067384125</v>
      </c>
      <c r="N56" s="70">
        <f t="shared" si="43"/>
        <v>0.83613306240134644</v>
      </c>
      <c r="O56" s="70">
        <f t="shared" si="43"/>
        <v>0.82682801059842348</v>
      </c>
      <c r="P56" s="70">
        <f t="shared" si="43"/>
        <v>0.82575653281486416</v>
      </c>
      <c r="Q56" s="70">
        <f t="shared" si="43"/>
        <v>0.81293648277755926</v>
      </c>
      <c r="R56" s="70">
        <f t="shared" si="43"/>
        <v>0.81424524770878048</v>
      </c>
      <c r="S56" s="70">
        <f t="shared" si="43"/>
        <v>0.81490551554736002</v>
      </c>
      <c r="T56" s="70">
        <f t="shared" si="43"/>
        <v>0.81194277185018104</v>
      </c>
      <c r="U56" s="70">
        <f t="shared" si="43"/>
        <v>0.80554189323907333</v>
      </c>
      <c r="V56" s="70">
        <f t="shared" si="43"/>
        <v>0.80488751415253479</v>
      </c>
      <c r="W56" s="70">
        <f t="shared" si="43"/>
        <v>0.82032081629963904</v>
      </c>
      <c r="X56" s="70">
        <f t="shared" ref="X56:Y56" si="44">IF(X48=0,0,X48/X$47)</f>
        <v>0.81062109290770923</v>
      </c>
      <c r="Y56" s="70">
        <f t="shared" si="44"/>
        <v>0.79547968532630275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0.69139372418367173</v>
      </c>
      <c r="C57" s="71">
        <f t="shared" ref="C57:W57" si="46">IF(C49=0,0,C49/C$47)</f>
        <v>0.69349487578715074</v>
      </c>
      <c r="D57" s="71">
        <f t="shared" si="46"/>
        <v>0.70496114739940841</v>
      </c>
      <c r="E57" s="71">
        <f t="shared" si="46"/>
        <v>0.70733894026311983</v>
      </c>
      <c r="F57" s="71">
        <f t="shared" si="46"/>
        <v>0.70460420330557683</v>
      </c>
      <c r="G57" s="71">
        <f t="shared" si="46"/>
        <v>0.68720887388949059</v>
      </c>
      <c r="H57" s="71">
        <f t="shared" si="46"/>
        <v>0.68920403436610189</v>
      </c>
      <c r="I57" s="71">
        <f t="shared" si="46"/>
        <v>0.69534580859834849</v>
      </c>
      <c r="J57" s="71">
        <f t="shared" si="46"/>
        <v>0.64494183810774353</v>
      </c>
      <c r="K57" s="71">
        <f t="shared" si="46"/>
        <v>0.60829675852192622</v>
      </c>
      <c r="L57" s="71">
        <f t="shared" si="46"/>
        <v>0.62686709507488592</v>
      </c>
      <c r="M57" s="71">
        <f t="shared" si="46"/>
        <v>0.59331623152143342</v>
      </c>
      <c r="N57" s="71">
        <f t="shared" si="46"/>
        <v>0.64010529501904212</v>
      </c>
      <c r="O57" s="71">
        <f t="shared" si="46"/>
        <v>0.61848351622085718</v>
      </c>
      <c r="P57" s="71">
        <f t="shared" si="46"/>
        <v>0.62097629502982465</v>
      </c>
      <c r="Q57" s="71">
        <f t="shared" si="46"/>
        <v>0.59709484943599922</v>
      </c>
      <c r="R57" s="71">
        <f t="shared" si="46"/>
        <v>0.60175592920059728</v>
      </c>
      <c r="S57" s="71">
        <f t="shared" si="46"/>
        <v>0.60492885193822443</v>
      </c>
      <c r="T57" s="71">
        <f t="shared" si="46"/>
        <v>0.60003055818429774</v>
      </c>
      <c r="U57" s="71">
        <f t="shared" si="46"/>
        <v>0.58775107551696348</v>
      </c>
      <c r="V57" s="71">
        <f t="shared" si="46"/>
        <v>0.59666413462239509</v>
      </c>
      <c r="W57" s="71">
        <f t="shared" si="46"/>
        <v>0.62155735900955034</v>
      </c>
      <c r="X57" s="71">
        <f t="shared" ref="X57:Y57" si="47">IF(X49=0,0,X49/X$47)</f>
        <v>0.59695444307174816</v>
      </c>
      <c r="Y57" s="71">
        <f t="shared" si="47"/>
        <v>0.5720838357753163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1.1442223263385502E-3</v>
      </c>
      <c r="C58" s="72">
        <f t="shared" ref="C58:W58" si="49">IF(C50=0,0,C50/C$47)</f>
        <v>1.1605528681477221E-3</v>
      </c>
      <c r="D58" s="72">
        <f t="shared" si="49"/>
        <v>1.1916377584878398E-3</v>
      </c>
      <c r="E58" s="72">
        <f t="shared" si="49"/>
        <v>1.1581737129499363E-3</v>
      </c>
      <c r="F58" s="72">
        <f t="shared" si="49"/>
        <v>1.1115960595583418E-3</v>
      </c>
      <c r="G58" s="72">
        <f t="shared" si="49"/>
        <v>1.1908349871820121E-3</v>
      </c>
      <c r="H58" s="72">
        <f t="shared" si="49"/>
        <v>1.2523922194177888E-3</v>
      </c>
      <c r="I58" s="72">
        <f t="shared" si="49"/>
        <v>1.1856115050231787E-3</v>
      </c>
      <c r="J58" s="72">
        <f t="shared" si="49"/>
        <v>1.3868256829716868E-3</v>
      </c>
      <c r="K58" s="72">
        <f t="shared" si="49"/>
        <v>1.5799578015028776E-3</v>
      </c>
      <c r="L58" s="72">
        <f t="shared" si="49"/>
        <v>1.8885273188301301E-3</v>
      </c>
      <c r="M58" s="72">
        <f t="shared" si="49"/>
        <v>1.7362176084508385E-3</v>
      </c>
      <c r="N58" s="72">
        <f t="shared" si="49"/>
        <v>1.5572570370543878E-3</v>
      </c>
      <c r="O58" s="72">
        <f t="shared" si="49"/>
        <v>1.5930701156154374E-3</v>
      </c>
      <c r="P58" s="72">
        <f t="shared" si="49"/>
        <v>1.6652759844110691E-3</v>
      </c>
      <c r="Q58" s="72">
        <f t="shared" si="49"/>
        <v>1.6519860711166909E-3</v>
      </c>
      <c r="R58" s="72">
        <f t="shared" si="49"/>
        <v>1.6338744675691848E-3</v>
      </c>
      <c r="S58" s="72">
        <f t="shared" si="49"/>
        <v>1.5911120988326532E-3</v>
      </c>
      <c r="T58" s="72">
        <f t="shared" si="49"/>
        <v>1.7417505013589073E-3</v>
      </c>
      <c r="U58" s="72">
        <f t="shared" si="49"/>
        <v>1.7289734903423546E-3</v>
      </c>
      <c r="V58" s="72">
        <f t="shared" si="49"/>
        <v>1.8128345338761101E-3</v>
      </c>
      <c r="W58" s="72">
        <f t="shared" si="49"/>
        <v>1.9339645293654346E-3</v>
      </c>
      <c r="X58" s="72">
        <f t="shared" ref="X58:Y58" si="50">IF(X50=0,0,X50/X$47)</f>
        <v>1.761752574878465E-3</v>
      </c>
      <c r="Y58" s="72">
        <f t="shared" si="50"/>
        <v>1.9060274071826195E-3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8.7295452013288269E-2</v>
      </c>
      <c r="C59" s="72">
        <f t="shared" ref="C59:W59" si="52">IF(C51=0,0,C51/C$47)</f>
        <v>8.6312807455199536E-2</v>
      </c>
      <c r="D59" s="72">
        <f t="shared" si="52"/>
        <v>8.2094242857457603E-2</v>
      </c>
      <c r="E59" s="72">
        <f t="shared" si="52"/>
        <v>8.0825803533943613E-2</v>
      </c>
      <c r="F59" s="72">
        <f t="shared" si="52"/>
        <v>8.1483233392317528E-2</v>
      </c>
      <c r="G59" s="72">
        <f t="shared" si="52"/>
        <v>8.3963518853356983E-2</v>
      </c>
      <c r="H59" s="72">
        <f t="shared" si="52"/>
        <v>8.3281161522117231E-2</v>
      </c>
      <c r="I59" s="72">
        <f t="shared" si="52"/>
        <v>8.1709441074650599E-2</v>
      </c>
      <c r="J59" s="72">
        <f t="shared" si="52"/>
        <v>9.3033717947170802E-2</v>
      </c>
      <c r="K59" s="72">
        <f t="shared" si="52"/>
        <v>0.10331193619065249</v>
      </c>
      <c r="L59" s="72">
        <f t="shared" si="52"/>
        <v>9.6767120769395906E-2</v>
      </c>
      <c r="M59" s="72">
        <f t="shared" si="52"/>
        <v>0.10702634868468015</v>
      </c>
      <c r="N59" s="72">
        <f t="shared" si="52"/>
        <v>9.2189088617438297E-2</v>
      </c>
      <c r="O59" s="72">
        <f t="shared" si="52"/>
        <v>9.8232008901534829E-2</v>
      </c>
      <c r="P59" s="72">
        <f t="shared" si="52"/>
        <v>9.6050963715047372E-2</v>
      </c>
      <c r="Q59" s="72">
        <f t="shared" si="52"/>
        <v>0.10170320730778588</v>
      </c>
      <c r="R59" s="72">
        <f t="shared" si="52"/>
        <v>0.10087672651145872</v>
      </c>
      <c r="S59" s="72">
        <f t="shared" si="52"/>
        <v>9.9659007295171742E-2</v>
      </c>
      <c r="T59" s="72">
        <f t="shared" si="52"/>
        <v>9.943377740568142E-2</v>
      </c>
      <c r="U59" s="72">
        <f t="shared" si="52"/>
        <v>0.10051952185477686</v>
      </c>
      <c r="V59" s="72">
        <f t="shared" si="52"/>
        <v>9.4590849235573329E-2</v>
      </c>
      <c r="W59" s="72">
        <f t="shared" si="52"/>
        <v>9.1161832712288962E-2</v>
      </c>
      <c r="X59" s="72">
        <f t="shared" ref="X59:Y59" si="53">IF(X51=0,0,X51/X$47)</f>
        <v>9.7408767169458607E-2</v>
      </c>
      <c r="Y59" s="72">
        <f t="shared" si="53"/>
        <v>0.10208420066917469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9.6758381955630718E-2</v>
      </c>
      <c r="C60" s="73">
        <f t="shared" ref="C60:W60" si="55">IF(C52=0,0,C52/C$47)</f>
        <v>9.6737159373953455E-2</v>
      </c>
      <c r="D60" s="73">
        <f t="shared" si="55"/>
        <v>9.0771295633208862E-2</v>
      </c>
      <c r="E60" s="73">
        <f t="shared" si="55"/>
        <v>8.8795960748968811E-2</v>
      </c>
      <c r="F60" s="73">
        <f t="shared" si="55"/>
        <v>8.9125612159505804E-2</v>
      </c>
      <c r="G60" s="73">
        <f t="shared" si="55"/>
        <v>9.4527662678684454E-2</v>
      </c>
      <c r="H60" s="73">
        <f t="shared" si="55"/>
        <v>9.2749694761114762E-2</v>
      </c>
      <c r="I60" s="73">
        <f t="shared" si="55"/>
        <v>8.7886820122825268E-2</v>
      </c>
      <c r="J60" s="73">
        <f t="shared" si="55"/>
        <v>0.10294053829097058</v>
      </c>
      <c r="K60" s="73">
        <f t="shared" si="55"/>
        <v>0.11405462229351548</v>
      </c>
      <c r="L60" s="73">
        <f t="shared" si="55"/>
        <v>0.10705365327677677</v>
      </c>
      <c r="M60" s="73">
        <f t="shared" si="55"/>
        <v>0.11619712285927676</v>
      </c>
      <c r="N60" s="73">
        <f t="shared" si="55"/>
        <v>0.1022814217278115</v>
      </c>
      <c r="O60" s="73">
        <f t="shared" si="55"/>
        <v>0.10851941536041605</v>
      </c>
      <c r="P60" s="73">
        <f t="shared" si="55"/>
        <v>0.10706399808558122</v>
      </c>
      <c r="Q60" s="73">
        <f t="shared" si="55"/>
        <v>0.11248643996265745</v>
      </c>
      <c r="R60" s="73">
        <f t="shared" si="55"/>
        <v>0.10997871752915535</v>
      </c>
      <c r="S60" s="73">
        <f t="shared" si="55"/>
        <v>0.10872654421513109</v>
      </c>
      <c r="T60" s="73">
        <f t="shared" si="55"/>
        <v>0.11073668575884295</v>
      </c>
      <c r="U60" s="73">
        <f t="shared" si="55"/>
        <v>0.11554232237699055</v>
      </c>
      <c r="V60" s="73">
        <f t="shared" si="55"/>
        <v>0.11181969576069016</v>
      </c>
      <c r="W60" s="73">
        <f t="shared" si="55"/>
        <v>0.10566766004843441</v>
      </c>
      <c r="X60" s="73">
        <f t="shared" ref="X60:Y60" si="56">IF(X52=0,0,X52/X$47)</f>
        <v>0.11449613009162402</v>
      </c>
      <c r="Y60" s="73">
        <f t="shared" si="56"/>
        <v>0.11940562147462919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0.12340821952107069</v>
      </c>
      <c r="C61" s="70">
        <f t="shared" ref="C61:W61" si="58">IF(C53=0,0,C53/C$47)</f>
        <v>0.12229460451554855</v>
      </c>
      <c r="D61" s="70">
        <f t="shared" si="58"/>
        <v>0.12098167635143735</v>
      </c>
      <c r="E61" s="70">
        <f t="shared" si="58"/>
        <v>0.12188112174101787</v>
      </c>
      <c r="F61" s="70">
        <f t="shared" si="58"/>
        <v>0.12367535508304152</v>
      </c>
      <c r="G61" s="70">
        <f t="shared" si="58"/>
        <v>0.13310910959128594</v>
      </c>
      <c r="H61" s="70">
        <f t="shared" si="58"/>
        <v>0.13351271713124832</v>
      </c>
      <c r="I61" s="70">
        <f t="shared" si="58"/>
        <v>0.13387231869915234</v>
      </c>
      <c r="J61" s="70">
        <f t="shared" si="58"/>
        <v>0.15769707997114354</v>
      </c>
      <c r="K61" s="70">
        <f t="shared" si="58"/>
        <v>0.17275672519240284</v>
      </c>
      <c r="L61" s="70">
        <f t="shared" si="58"/>
        <v>0.16742360356011124</v>
      </c>
      <c r="M61" s="70">
        <f t="shared" si="58"/>
        <v>0.18172407932615869</v>
      </c>
      <c r="N61" s="70">
        <f t="shared" si="58"/>
        <v>0.16386693759865353</v>
      </c>
      <c r="O61" s="70">
        <f t="shared" si="58"/>
        <v>0.17317198940157646</v>
      </c>
      <c r="P61" s="70">
        <f t="shared" si="58"/>
        <v>0.17424346718513578</v>
      </c>
      <c r="Q61" s="70">
        <f t="shared" si="58"/>
        <v>0.18706351722244069</v>
      </c>
      <c r="R61" s="70">
        <f t="shared" si="58"/>
        <v>0.18575475229121946</v>
      </c>
      <c r="S61" s="70">
        <f t="shared" si="58"/>
        <v>0.18509448445263987</v>
      </c>
      <c r="T61" s="70">
        <f t="shared" si="58"/>
        <v>0.18805722814981909</v>
      </c>
      <c r="U61" s="70">
        <f t="shared" si="58"/>
        <v>0.19445810676092667</v>
      </c>
      <c r="V61" s="70">
        <f t="shared" si="58"/>
        <v>0.19511248584746518</v>
      </c>
      <c r="W61" s="70">
        <f t="shared" si="58"/>
        <v>0.17967918370036096</v>
      </c>
      <c r="X61" s="70">
        <f t="shared" ref="X61:Y61" si="59">IF(X53=0,0,X53/X$47)</f>
        <v>0.18937890709229074</v>
      </c>
      <c r="Y61" s="70">
        <f t="shared" si="59"/>
        <v>0.20452031467369713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365.51382709309848</v>
      </c>
      <c r="C65" s="80">
        <v>393.14088000662991</v>
      </c>
      <c r="D65" s="80">
        <v>433.05632820000005</v>
      </c>
      <c r="E65" s="80">
        <v>460.65305232000014</v>
      </c>
      <c r="F65" s="80">
        <v>494.33170494974837</v>
      </c>
      <c r="G65" s="80">
        <v>450.55544106974833</v>
      </c>
      <c r="H65" s="80">
        <v>510.53970785025172</v>
      </c>
      <c r="I65" s="80">
        <v>504.54707588913215</v>
      </c>
      <c r="J65" s="80">
        <v>472.59797051396174</v>
      </c>
      <c r="K65" s="80">
        <v>438.3360301358378</v>
      </c>
      <c r="L65" s="80">
        <v>471.19741158974836</v>
      </c>
      <c r="M65" s="80">
        <v>419.55668100000008</v>
      </c>
      <c r="N65" s="80">
        <v>408.1951060489796</v>
      </c>
      <c r="O65" s="80">
        <v>384.65858338008297</v>
      </c>
      <c r="P65" s="80">
        <v>403.05766599900056</v>
      </c>
      <c r="Q65" s="80">
        <v>389.20680358904565</v>
      </c>
      <c r="R65" s="80">
        <v>359.44174389161822</v>
      </c>
      <c r="S65" s="80">
        <v>379.11738613689619</v>
      </c>
      <c r="T65" s="80">
        <v>396.26716122509833</v>
      </c>
      <c r="U65" s="80">
        <v>377.24228922169351</v>
      </c>
      <c r="V65" s="80">
        <v>392.16373671340159</v>
      </c>
      <c r="W65" s="80">
        <v>462.01788009981806</v>
      </c>
      <c r="X65" s="80">
        <v>443.9380301037977</v>
      </c>
      <c r="Y65" s="80">
        <v>451.91848365985499</v>
      </c>
      <c r="DA65" s="103" t="s">
        <v>219</v>
      </c>
    </row>
    <row r="66" spans="1:105" ht="12" customHeight="1" x14ac:dyDescent="0.25">
      <c r="A66" s="58" t="s">
        <v>29</v>
      </c>
      <c r="B66" s="59">
        <v>136.33309417309849</v>
      </c>
      <c r="C66" s="59">
        <v>134.69188392662991</v>
      </c>
      <c r="D66" s="59">
        <v>125.22411000000002</v>
      </c>
      <c r="E66" s="59">
        <v>118.4832000000001</v>
      </c>
      <c r="F66" s="59">
        <v>113.54628702974834</v>
      </c>
      <c r="G66" s="59">
        <v>91.330687029748361</v>
      </c>
      <c r="H66" s="59">
        <v>93.799312970251776</v>
      </c>
      <c r="I66" s="59">
        <v>92.396421809131994</v>
      </c>
      <c r="J66" s="59">
        <v>80.053007153961815</v>
      </c>
      <c r="K66" s="59">
        <v>60.30377557583769</v>
      </c>
      <c r="L66" s="59">
        <v>83.925487029748339</v>
      </c>
      <c r="M66" s="59">
        <v>74.052000000000049</v>
      </c>
      <c r="N66" s="59">
        <v>40.220202448979613</v>
      </c>
      <c r="O66" s="59">
        <v>44.164792780082934</v>
      </c>
      <c r="P66" s="59">
        <v>33.734193759000576</v>
      </c>
      <c r="Q66" s="59">
        <v>25.409633029045622</v>
      </c>
      <c r="R66" s="59">
        <v>23.32024041161824</v>
      </c>
      <c r="S66" s="59">
        <v>15.781050496896222</v>
      </c>
      <c r="T66" s="59">
        <v>15.086391305098211</v>
      </c>
      <c r="U66" s="59">
        <v>11.006652901693435</v>
      </c>
      <c r="V66" s="59">
        <v>6.3661176334016396</v>
      </c>
      <c r="W66" s="59">
        <v>8.163960579818049</v>
      </c>
      <c r="X66" s="59">
        <v>4.7160240237977966</v>
      </c>
      <c r="Y66" s="59">
        <v>9.9835092998550969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125.32280292000002</v>
      </c>
      <c r="C67" s="55">
        <f t="shared" ref="C67:W67" si="60">SUM(C68:C69)</f>
        <v>146.86609608000003</v>
      </c>
      <c r="D67" s="55">
        <f t="shared" si="60"/>
        <v>143.7902082</v>
      </c>
      <c r="E67" s="55">
        <f t="shared" si="60"/>
        <v>166.71710231999998</v>
      </c>
      <c r="F67" s="55">
        <f t="shared" si="60"/>
        <v>169.98966792000002</v>
      </c>
      <c r="G67" s="55">
        <f t="shared" si="60"/>
        <v>139.08835403999998</v>
      </c>
      <c r="H67" s="55">
        <f t="shared" si="60"/>
        <v>177.77122488000001</v>
      </c>
      <c r="I67" s="55">
        <f t="shared" si="60"/>
        <v>143.54385408000002</v>
      </c>
      <c r="J67" s="55">
        <f t="shared" si="60"/>
        <v>121.71660335999999</v>
      </c>
      <c r="K67" s="55">
        <f t="shared" si="60"/>
        <v>115.83768455999999</v>
      </c>
      <c r="L67" s="55">
        <f t="shared" si="60"/>
        <v>115.83768456000001</v>
      </c>
      <c r="M67" s="55">
        <f t="shared" si="60"/>
        <v>100.27475100000001</v>
      </c>
      <c r="N67" s="55">
        <f t="shared" si="60"/>
        <v>137.8414836</v>
      </c>
      <c r="O67" s="55">
        <f t="shared" si="60"/>
        <v>144.03720060000001</v>
      </c>
      <c r="P67" s="55">
        <f t="shared" si="60"/>
        <v>156.45763224000001</v>
      </c>
      <c r="Q67" s="55">
        <f t="shared" si="60"/>
        <v>162.79648055999999</v>
      </c>
      <c r="R67" s="55">
        <f t="shared" si="60"/>
        <v>114.97732308000001</v>
      </c>
      <c r="S67" s="55">
        <f t="shared" si="60"/>
        <v>125.98405740000001</v>
      </c>
      <c r="T67" s="55">
        <f t="shared" si="60"/>
        <v>134.48925539999999</v>
      </c>
      <c r="U67" s="55">
        <f t="shared" si="60"/>
        <v>107.74501272000002</v>
      </c>
      <c r="V67" s="55">
        <f t="shared" si="60"/>
        <v>124.52317884</v>
      </c>
      <c r="W67" s="55">
        <f t="shared" si="60"/>
        <v>177.40501271999997</v>
      </c>
      <c r="X67" s="55">
        <f t="shared" ref="X67:Y67" si="61">SUM(X68:X69)</f>
        <v>176.68309427999998</v>
      </c>
      <c r="Y67" s="55">
        <f t="shared" si="61"/>
        <v>194.21507951999999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5.747148000000001</v>
      </c>
      <c r="D68" s="55">
        <v>2.8735739999999987</v>
      </c>
      <c r="E68" s="55">
        <v>11.494295999999999</v>
      </c>
      <c r="F68" s="55">
        <v>8.6207220000000024</v>
      </c>
      <c r="G68" s="55">
        <v>8.6207220000000024</v>
      </c>
      <c r="H68" s="55">
        <v>8.6207220000000024</v>
      </c>
      <c r="I68" s="55">
        <v>8.6207220000000024</v>
      </c>
      <c r="J68" s="55">
        <v>5.747148000000001</v>
      </c>
      <c r="K68" s="55">
        <v>5.747148000000001</v>
      </c>
      <c r="L68" s="55">
        <v>5.747148000000001</v>
      </c>
      <c r="M68" s="55">
        <v>2.8735739999999987</v>
      </c>
      <c r="N68" s="55">
        <v>5.747148000000001</v>
      </c>
      <c r="O68" s="55">
        <v>5.747148000000001</v>
      </c>
      <c r="P68" s="55">
        <v>8.6207220000000024</v>
      </c>
      <c r="Q68" s="55">
        <v>8.6207220000000024</v>
      </c>
      <c r="R68" s="55">
        <v>14.367870000000002</v>
      </c>
      <c r="S68" s="55">
        <v>20.876458320000001</v>
      </c>
      <c r="T68" s="55">
        <v>17.586272880000003</v>
      </c>
      <c r="U68" s="55">
        <v>13.620740760000002</v>
      </c>
      <c r="V68" s="55">
        <v>13.540326120000001</v>
      </c>
      <c r="W68" s="55">
        <v>14.347652760000001</v>
      </c>
      <c r="X68" s="55">
        <v>25.135254000000003</v>
      </c>
      <c r="Y68" s="55">
        <v>17.755734240000002</v>
      </c>
      <c r="DA68" s="101" t="s">
        <v>221</v>
      </c>
    </row>
    <row r="69" spans="1:105" ht="12" customHeight="1" x14ac:dyDescent="0.25">
      <c r="A69" s="61" t="s">
        <v>163</v>
      </c>
      <c r="B69" s="55">
        <v>125.32280292000002</v>
      </c>
      <c r="C69" s="55">
        <v>141.11894808000002</v>
      </c>
      <c r="D69" s="55">
        <v>140.9166342</v>
      </c>
      <c r="E69" s="55">
        <v>155.22280631999999</v>
      </c>
      <c r="F69" s="55">
        <v>161.36894592000002</v>
      </c>
      <c r="G69" s="55">
        <v>130.46763203999998</v>
      </c>
      <c r="H69" s="55">
        <v>169.15050288</v>
      </c>
      <c r="I69" s="55">
        <v>134.92313208000002</v>
      </c>
      <c r="J69" s="55">
        <v>115.96945536</v>
      </c>
      <c r="K69" s="55">
        <v>110.09053655999999</v>
      </c>
      <c r="L69" s="55">
        <v>110.09053656000002</v>
      </c>
      <c r="M69" s="55">
        <v>97.401177000000004</v>
      </c>
      <c r="N69" s="55">
        <v>132.09433559999999</v>
      </c>
      <c r="O69" s="55">
        <v>138.2900526</v>
      </c>
      <c r="P69" s="55">
        <v>147.83691024000001</v>
      </c>
      <c r="Q69" s="55">
        <v>154.17575855999999</v>
      </c>
      <c r="R69" s="55">
        <v>100.60945308000001</v>
      </c>
      <c r="S69" s="55">
        <v>105.10759908000001</v>
      </c>
      <c r="T69" s="55">
        <v>116.90298251999999</v>
      </c>
      <c r="U69" s="55">
        <v>94.124271960000016</v>
      </c>
      <c r="V69" s="55">
        <v>110.98285272</v>
      </c>
      <c r="W69" s="55">
        <v>163.05735995999999</v>
      </c>
      <c r="X69" s="55">
        <v>151.54784027999997</v>
      </c>
      <c r="Y69" s="55">
        <v>176.45934527999998</v>
      </c>
      <c r="DA69" s="101" t="s">
        <v>222</v>
      </c>
    </row>
    <row r="70" spans="1:105" ht="12" customHeight="1" x14ac:dyDescent="0.25">
      <c r="A70" s="60" t="s">
        <v>149</v>
      </c>
      <c r="B70" s="55">
        <v>103.85793</v>
      </c>
      <c r="C70" s="55">
        <v>111.58290000000001</v>
      </c>
      <c r="D70" s="55">
        <v>164.04201</v>
      </c>
      <c r="E70" s="55">
        <v>175.45275000000001</v>
      </c>
      <c r="F70" s="55">
        <v>210.79575</v>
      </c>
      <c r="G70" s="55">
        <v>220.13640000000001</v>
      </c>
      <c r="H70" s="55">
        <v>238.96916999999993</v>
      </c>
      <c r="I70" s="55">
        <v>268.60680000000013</v>
      </c>
      <c r="J70" s="55">
        <v>270.82835999999992</v>
      </c>
      <c r="K70" s="55">
        <v>262.19457000000011</v>
      </c>
      <c r="L70" s="55">
        <v>271.43423999999999</v>
      </c>
      <c r="M70" s="55">
        <v>245.22993000000002</v>
      </c>
      <c r="N70" s="55">
        <v>230.13342</v>
      </c>
      <c r="O70" s="55">
        <v>196.45659000000001</v>
      </c>
      <c r="P70" s="55">
        <v>212.86583999999999</v>
      </c>
      <c r="Q70" s="55">
        <v>201.00069000000002</v>
      </c>
      <c r="R70" s="55">
        <v>221.14418040000001</v>
      </c>
      <c r="S70" s="55">
        <v>237.35227823999995</v>
      </c>
      <c r="T70" s="55">
        <v>246.69151452000014</v>
      </c>
      <c r="U70" s="55">
        <v>258.49062360000005</v>
      </c>
      <c r="V70" s="55">
        <v>261.27444023999999</v>
      </c>
      <c r="W70" s="55">
        <v>276.44890680000003</v>
      </c>
      <c r="X70" s="55">
        <v>262.53891179999994</v>
      </c>
      <c r="Y70" s="55">
        <v>247.71989483999991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365.51382709309848</v>
      </c>
      <c r="C81" s="82">
        <f t="shared" ref="C81:W81" si="65">C82+C87</f>
        <v>393.14088000663003</v>
      </c>
      <c r="D81" s="82">
        <f t="shared" si="65"/>
        <v>433.05632820000005</v>
      </c>
      <c r="E81" s="82">
        <f t="shared" si="65"/>
        <v>460.65305232000014</v>
      </c>
      <c r="F81" s="82">
        <f t="shared" si="65"/>
        <v>494.33170494974826</v>
      </c>
      <c r="G81" s="82">
        <f t="shared" si="65"/>
        <v>450.55544106974833</v>
      </c>
      <c r="H81" s="82">
        <f t="shared" si="65"/>
        <v>510.53970785025166</v>
      </c>
      <c r="I81" s="82">
        <f t="shared" si="65"/>
        <v>504.54707588913226</v>
      </c>
      <c r="J81" s="82">
        <f t="shared" si="65"/>
        <v>472.5979705139618</v>
      </c>
      <c r="K81" s="82">
        <f t="shared" si="65"/>
        <v>438.3360301358378</v>
      </c>
      <c r="L81" s="82">
        <f t="shared" si="65"/>
        <v>471.19741158974824</v>
      </c>
      <c r="M81" s="82">
        <f t="shared" si="65"/>
        <v>419.55668100000008</v>
      </c>
      <c r="N81" s="82">
        <f t="shared" si="65"/>
        <v>408.19510604897965</v>
      </c>
      <c r="O81" s="82">
        <f t="shared" si="65"/>
        <v>384.65858338008303</v>
      </c>
      <c r="P81" s="82">
        <f t="shared" si="65"/>
        <v>403.05766599900068</v>
      </c>
      <c r="Q81" s="82">
        <f t="shared" si="65"/>
        <v>389.20680358904571</v>
      </c>
      <c r="R81" s="82">
        <f t="shared" si="65"/>
        <v>359.44174389161822</v>
      </c>
      <c r="S81" s="82">
        <f t="shared" si="65"/>
        <v>379.11738613689619</v>
      </c>
      <c r="T81" s="82">
        <f t="shared" si="65"/>
        <v>396.26716122509822</v>
      </c>
      <c r="U81" s="82">
        <f t="shared" si="65"/>
        <v>377.24228922169362</v>
      </c>
      <c r="V81" s="82">
        <f t="shared" si="65"/>
        <v>392.1637367134017</v>
      </c>
      <c r="W81" s="82">
        <f t="shared" si="65"/>
        <v>462.01788009981794</v>
      </c>
      <c r="X81" s="82">
        <f t="shared" ref="X81:Y81" si="66">X82+X87</f>
        <v>443.93803010379753</v>
      </c>
      <c r="Y81" s="82">
        <f t="shared" si="66"/>
        <v>451.91848365985464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365.51382709309848</v>
      </c>
      <c r="C82" s="64">
        <f t="shared" ref="C82:W82" si="68">SUM(C83:C86)</f>
        <v>393.14088000663003</v>
      </c>
      <c r="D82" s="64">
        <f t="shared" si="68"/>
        <v>433.05632820000005</v>
      </c>
      <c r="E82" s="64">
        <f t="shared" si="68"/>
        <v>460.65305232000014</v>
      </c>
      <c r="F82" s="64">
        <f t="shared" si="68"/>
        <v>494.33170494974826</v>
      </c>
      <c r="G82" s="64">
        <f t="shared" si="68"/>
        <v>450.55544106974833</v>
      </c>
      <c r="H82" s="64">
        <f t="shared" si="68"/>
        <v>510.53970785025166</v>
      </c>
      <c r="I82" s="64">
        <f t="shared" si="68"/>
        <v>504.54707588913226</v>
      </c>
      <c r="J82" s="64">
        <f t="shared" si="68"/>
        <v>472.5979705139618</v>
      </c>
      <c r="K82" s="64">
        <f t="shared" si="68"/>
        <v>438.3360301358378</v>
      </c>
      <c r="L82" s="64">
        <f t="shared" si="68"/>
        <v>471.19741158974824</v>
      </c>
      <c r="M82" s="64">
        <f t="shared" si="68"/>
        <v>419.55668100000008</v>
      </c>
      <c r="N82" s="64">
        <f t="shared" si="68"/>
        <v>408.19510604897965</v>
      </c>
      <c r="O82" s="64">
        <f t="shared" si="68"/>
        <v>384.65858338008303</v>
      </c>
      <c r="P82" s="64">
        <f t="shared" si="68"/>
        <v>403.05766599900068</v>
      </c>
      <c r="Q82" s="64">
        <f t="shared" si="68"/>
        <v>389.20680358904571</v>
      </c>
      <c r="R82" s="64">
        <f t="shared" si="68"/>
        <v>359.44174389161822</v>
      </c>
      <c r="S82" s="64">
        <f t="shared" si="68"/>
        <v>379.11738613689619</v>
      </c>
      <c r="T82" s="64">
        <f t="shared" si="68"/>
        <v>396.26716122509822</v>
      </c>
      <c r="U82" s="64">
        <f t="shared" si="68"/>
        <v>377.24228922169362</v>
      </c>
      <c r="V82" s="64">
        <f t="shared" si="68"/>
        <v>392.1637367134017</v>
      </c>
      <c r="W82" s="64">
        <f t="shared" si="68"/>
        <v>462.01788009981794</v>
      </c>
      <c r="X82" s="64">
        <f t="shared" ref="X82:Y82" si="69">SUM(X83:X86)</f>
        <v>443.93803010379753</v>
      </c>
      <c r="Y82" s="64">
        <f t="shared" si="69"/>
        <v>451.91848365985464</v>
      </c>
      <c r="DA82" s="108" t="s">
        <v>233</v>
      </c>
    </row>
    <row r="83" spans="1:105" ht="12" customHeight="1" x14ac:dyDescent="0.25">
      <c r="A83" s="61" t="s">
        <v>32</v>
      </c>
      <c r="B83" s="65">
        <v>329.98943279292143</v>
      </c>
      <c r="C83" s="65">
        <v>341.41214480343706</v>
      </c>
      <c r="D83" s="65">
        <v>376.5423150340514</v>
      </c>
      <c r="E83" s="65">
        <v>395.66300906553238</v>
      </c>
      <c r="F83" s="65">
        <v>428.74055023887718</v>
      </c>
      <c r="G83" s="65">
        <v>382.16262511832696</v>
      </c>
      <c r="H83" s="65">
        <v>440.40068307436229</v>
      </c>
      <c r="I83" s="65">
        <v>431.66546947948029</v>
      </c>
      <c r="J83" s="65">
        <v>396.31969099014941</v>
      </c>
      <c r="K83" s="65">
        <v>359.03078470168839</v>
      </c>
      <c r="L83" s="65">
        <v>393.21666085303582</v>
      </c>
      <c r="M83" s="65">
        <v>345.51229295491066</v>
      </c>
      <c r="N83" s="65">
        <v>337.98741576892326</v>
      </c>
      <c r="O83" s="65">
        <v>317.47434975440945</v>
      </c>
      <c r="P83" s="65">
        <v>332.29782872689611</v>
      </c>
      <c r="Q83" s="65">
        <v>318.87751650388122</v>
      </c>
      <c r="R83" s="65">
        <v>278.87150337424828</v>
      </c>
      <c r="S83" s="65">
        <v>288.95865800625279</v>
      </c>
      <c r="T83" s="65">
        <v>307.83069658480099</v>
      </c>
      <c r="U83" s="65">
        <v>290.98966969487623</v>
      </c>
      <c r="V83" s="65">
        <v>305.45045241690877</v>
      </c>
      <c r="W83" s="65">
        <v>373.79924041295897</v>
      </c>
      <c r="X83" s="65">
        <v>349.08104435456596</v>
      </c>
      <c r="Y83" s="65">
        <v>363.08908647147911</v>
      </c>
      <c r="DA83" s="109" t="s">
        <v>234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DA84" s="109" t="s">
        <v>235</v>
      </c>
    </row>
    <row r="85" spans="1:105" ht="12" customHeight="1" x14ac:dyDescent="0.25">
      <c r="A85" s="61" t="s">
        <v>35</v>
      </c>
      <c r="B85" s="65">
        <v>22.111242702922972</v>
      </c>
      <c r="C85" s="65">
        <v>22.930501346934257</v>
      </c>
      <c r="D85" s="65">
        <v>24.85877727721747</v>
      </c>
      <c r="E85" s="65">
        <v>25.698220381230215</v>
      </c>
      <c r="F85" s="65">
        <v>26.545565496886368</v>
      </c>
      <c r="G85" s="65">
        <v>28.291374551986955</v>
      </c>
      <c r="H85" s="65">
        <v>29.494318899805727</v>
      </c>
      <c r="I85" s="65">
        <v>30.082267863193948</v>
      </c>
      <c r="J85" s="65">
        <v>33.151068001928991</v>
      </c>
      <c r="K85" s="65">
        <v>34.09458825405104</v>
      </c>
      <c r="L85" s="65">
        <v>34.245757845874913</v>
      </c>
      <c r="M85" s="65">
        <v>35.113275620769713</v>
      </c>
      <c r="N85" s="65">
        <v>35.775642275731357</v>
      </c>
      <c r="O85" s="65">
        <v>36.214013184313266</v>
      </c>
      <c r="P85" s="65">
        <v>36.30741931015892</v>
      </c>
      <c r="Q85" s="65">
        <v>36.60688395091524</v>
      </c>
      <c r="R85" s="65">
        <v>36.343503868851172</v>
      </c>
      <c r="S85" s="65">
        <v>35.931401176925121</v>
      </c>
      <c r="T85" s="65">
        <v>34.317498824325185</v>
      </c>
      <c r="U85" s="65">
        <v>33.020309343264863</v>
      </c>
      <c r="V85" s="65">
        <v>31.403427721804398</v>
      </c>
      <c r="W85" s="65">
        <v>31.779446269860806</v>
      </c>
      <c r="X85" s="65">
        <v>30.950582695441419</v>
      </c>
      <c r="Y85" s="65">
        <v>29.370421985957101</v>
      </c>
      <c r="DA85" s="109" t="s">
        <v>236</v>
      </c>
    </row>
    <row r="86" spans="1:105" ht="12" customHeight="1" x14ac:dyDescent="0.25">
      <c r="A86" s="66" t="s">
        <v>34</v>
      </c>
      <c r="B86" s="67">
        <v>13.413151597254084</v>
      </c>
      <c r="C86" s="67">
        <v>28.798233856258747</v>
      </c>
      <c r="D86" s="67">
        <v>31.655235888731188</v>
      </c>
      <c r="E86" s="67">
        <v>39.291822873237535</v>
      </c>
      <c r="F86" s="67">
        <v>39.045589213984748</v>
      </c>
      <c r="G86" s="67">
        <v>40.101441399434407</v>
      </c>
      <c r="H86" s="67">
        <v>40.64470587608367</v>
      </c>
      <c r="I86" s="67">
        <v>42.799338546458053</v>
      </c>
      <c r="J86" s="67">
        <v>43.127211521883375</v>
      </c>
      <c r="K86" s="67">
        <v>45.21065718009838</v>
      </c>
      <c r="L86" s="67">
        <v>43.734992890837539</v>
      </c>
      <c r="M86" s="67">
        <v>38.931112424319657</v>
      </c>
      <c r="N86" s="67">
        <v>34.432048004325047</v>
      </c>
      <c r="O86" s="67">
        <v>30.970220441360297</v>
      </c>
      <c r="P86" s="67">
        <v>34.452417961945628</v>
      </c>
      <c r="Q86" s="67">
        <v>33.722403134249248</v>
      </c>
      <c r="R86" s="67">
        <v>44.226736648518809</v>
      </c>
      <c r="S86" s="67">
        <v>54.227326953718247</v>
      </c>
      <c r="T86" s="67">
        <v>54.118965815972068</v>
      </c>
      <c r="U86" s="67">
        <v>53.232310183552563</v>
      </c>
      <c r="V86" s="67">
        <v>55.30985657468851</v>
      </c>
      <c r="W86" s="67">
        <v>56.439193416998187</v>
      </c>
      <c r="X86" s="67">
        <v>63.906403053790157</v>
      </c>
      <c r="Y86" s="67">
        <v>59.458975202418451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0.90280971151570477</v>
      </c>
      <c r="C91" s="71">
        <f t="shared" ref="C91:W91" si="77">IF(C83=0,0,C83/C$81)</f>
        <v>0.86842188682509791</v>
      </c>
      <c r="D91" s="71">
        <f t="shared" si="77"/>
        <v>0.86949962513918377</v>
      </c>
      <c r="E91" s="71">
        <f t="shared" si="77"/>
        <v>0.85891758900292414</v>
      </c>
      <c r="F91" s="71">
        <f t="shared" si="77"/>
        <v>0.86731347786495139</v>
      </c>
      <c r="G91" s="71">
        <f t="shared" si="77"/>
        <v>0.84820332923061115</v>
      </c>
      <c r="H91" s="71">
        <f t="shared" si="77"/>
        <v>0.86261788515681503</v>
      </c>
      <c r="I91" s="71">
        <f t="shared" si="77"/>
        <v>0.85555043346308723</v>
      </c>
      <c r="J91" s="71">
        <f t="shared" si="77"/>
        <v>0.8385979536880831</v>
      </c>
      <c r="K91" s="71">
        <f t="shared" si="77"/>
        <v>0.81907659881490191</v>
      </c>
      <c r="L91" s="71">
        <f t="shared" si="77"/>
        <v>0.83450513772217627</v>
      </c>
      <c r="M91" s="71">
        <f t="shared" si="77"/>
        <v>0.82351755698751605</v>
      </c>
      <c r="N91" s="71">
        <f t="shared" si="77"/>
        <v>0.82800457614591749</v>
      </c>
      <c r="O91" s="71">
        <f t="shared" si="77"/>
        <v>0.82534060975499279</v>
      </c>
      <c r="P91" s="71">
        <f t="shared" si="77"/>
        <v>0.8244423980952641</v>
      </c>
      <c r="Q91" s="71">
        <f t="shared" si="77"/>
        <v>0.81930098231421589</v>
      </c>
      <c r="R91" s="71">
        <f t="shared" si="77"/>
        <v>0.77584617845148185</v>
      </c>
      <c r="S91" s="71">
        <f t="shared" si="77"/>
        <v>0.76218783039908433</v>
      </c>
      <c r="T91" s="71">
        <f t="shared" si="77"/>
        <v>0.77682615847629832</v>
      </c>
      <c r="U91" s="71">
        <f t="shared" si="77"/>
        <v>0.77136015237112132</v>
      </c>
      <c r="V91" s="71">
        <f t="shared" si="77"/>
        <v>0.77888500088455626</v>
      </c>
      <c r="W91" s="71">
        <f t="shared" si="77"/>
        <v>0.80905795319479945</v>
      </c>
      <c r="X91" s="71">
        <f t="shared" ref="X91:Y91" si="78">IF(X83=0,0,X83/X$81)</f>
        <v>0.78632831765493716</v>
      </c>
      <c r="Y91" s="71">
        <f t="shared" si="78"/>
        <v>0.80343933607452367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0</v>
      </c>
      <c r="C92" s="72">
        <f t="shared" ref="C92:W92" si="80">IF(C84=0,0,C84/C$81)</f>
        <v>0</v>
      </c>
      <c r="D92" s="72">
        <f t="shared" si="80"/>
        <v>0</v>
      </c>
      <c r="E92" s="72">
        <f t="shared" si="80"/>
        <v>0</v>
      </c>
      <c r="F92" s="72">
        <f t="shared" si="80"/>
        <v>0</v>
      </c>
      <c r="G92" s="72">
        <f t="shared" si="80"/>
        <v>0</v>
      </c>
      <c r="H92" s="72">
        <f t="shared" si="80"/>
        <v>0</v>
      </c>
      <c r="I92" s="72">
        <f t="shared" si="80"/>
        <v>0</v>
      </c>
      <c r="J92" s="72">
        <f t="shared" si="80"/>
        <v>0</v>
      </c>
      <c r="K92" s="72">
        <f t="shared" si="80"/>
        <v>0</v>
      </c>
      <c r="L92" s="72">
        <f t="shared" si="80"/>
        <v>0</v>
      </c>
      <c r="M92" s="72">
        <f t="shared" si="80"/>
        <v>0</v>
      </c>
      <c r="N92" s="72">
        <f t="shared" si="80"/>
        <v>0</v>
      </c>
      <c r="O92" s="72">
        <f t="shared" si="80"/>
        <v>0</v>
      </c>
      <c r="P92" s="72">
        <f t="shared" si="80"/>
        <v>0</v>
      </c>
      <c r="Q92" s="72">
        <f t="shared" si="80"/>
        <v>0</v>
      </c>
      <c r="R92" s="72">
        <f t="shared" si="80"/>
        <v>0</v>
      </c>
      <c r="S92" s="72">
        <f t="shared" si="80"/>
        <v>0</v>
      </c>
      <c r="T92" s="72">
        <f t="shared" si="80"/>
        <v>0</v>
      </c>
      <c r="U92" s="72">
        <f t="shared" si="80"/>
        <v>0</v>
      </c>
      <c r="V92" s="72">
        <f t="shared" si="80"/>
        <v>0</v>
      </c>
      <c r="W92" s="72">
        <f t="shared" si="80"/>
        <v>0</v>
      </c>
      <c r="X92" s="72">
        <f t="shared" ref="X92:Y92" si="81">IF(X84=0,0,X84/X$81)</f>
        <v>0</v>
      </c>
      <c r="Y92" s="72">
        <f t="shared" si="81"/>
        <v>0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6.0493587558019007E-2</v>
      </c>
      <c r="C93" s="72">
        <f t="shared" ref="C93:W93" si="83">IF(C85=0,0,C85/C$81)</f>
        <v>5.8326423206224574E-2</v>
      </c>
      <c r="D93" s="72">
        <f t="shared" si="83"/>
        <v>5.7403103611354797E-2</v>
      </c>
      <c r="E93" s="72">
        <f t="shared" si="83"/>
        <v>5.5786497564285165E-2</v>
      </c>
      <c r="F93" s="72">
        <f t="shared" si="83"/>
        <v>5.3699904802959955E-2</v>
      </c>
      <c r="G93" s="72">
        <f t="shared" si="83"/>
        <v>6.2792215947531538E-2</v>
      </c>
      <c r="H93" s="72">
        <f t="shared" si="83"/>
        <v>5.7770861788593371E-2</v>
      </c>
      <c r="I93" s="72">
        <f t="shared" si="83"/>
        <v>5.9622321287229378E-2</v>
      </c>
      <c r="J93" s="72">
        <f t="shared" si="83"/>
        <v>7.0146445965217324E-2</v>
      </c>
      <c r="K93" s="72">
        <f t="shared" si="83"/>
        <v>7.7781852072450725E-2</v>
      </c>
      <c r="L93" s="72">
        <f t="shared" si="83"/>
        <v>7.2678153579695925E-2</v>
      </c>
      <c r="M93" s="72">
        <f t="shared" si="83"/>
        <v>8.3691375232253076E-2</v>
      </c>
      <c r="N93" s="72">
        <f t="shared" si="83"/>
        <v>8.764348652293398E-2</v>
      </c>
      <c r="O93" s="72">
        <f t="shared" si="83"/>
        <v>9.4145860118582156E-2</v>
      </c>
      <c r="P93" s="72">
        <f t="shared" si="83"/>
        <v>9.0079962181513096E-2</v>
      </c>
      <c r="Q93" s="72">
        <f t="shared" si="83"/>
        <v>9.4055097735566792E-2</v>
      </c>
      <c r="R93" s="72">
        <f t="shared" si="83"/>
        <v>0.10111097135064469</v>
      </c>
      <c r="S93" s="72">
        <f t="shared" si="83"/>
        <v>9.4776453127239563E-2</v>
      </c>
      <c r="T93" s="72">
        <f t="shared" si="83"/>
        <v>8.6601924616284937E-2</v>
      </c>
      <c r="U93" s="72">
        <f t="shared" si="83"/>
        <v>8.7530773422541314E-2</v>
      </c>
      <c r="V93" s="72">
        <f t="shared" si="83"/>
        <v>8.0077337045455652E-2</v>
      </c>
      <c r="W93" s="72">
        <f t="shared" si="83"/>
        <v>6.8784018192098811E-2</v>
      </c>
      <c r="X93" s="72">
        <f t="shared" ref="X93:Y93" si="84">IF(X85=0,0,X85/X$81)</f>
        <v>6.9718250288682948E-2</v>
      </c>
      <c r="Y93" s="72">
        <f t="shared" si="84"/>
        <v>6.4990530478198652E-2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3.6696700926276249E-2</v>
      </c>
      <c r="C94" s="73">
        <f t="shared" ref="C94:W94" si="86">IF(C86=0,0,C86/C$81)</f>
        <v>7.3251689968677605E-2</v>
      </c>
      <c r="D94" s="73">
        <f t="shared" si="86"/>
        <v>7.3097271249461415E-2</v>
      </c>
      <c r="E94" s="73">
        <f t="shared" si="86"/>
        <v>8.5295913432790693E-2</v>
      </c>
      <c r="F94" s="73">
        <f t="shared" si="86"/>
        <v>7.8986617332088713E-2</v>
      </c>
      <c r="G94" s="73">
        <f t="shared" si="86"/>
        <v>8.9004454821857301E-2</v>
      </c>
      <c r="H94" s="73">
        <f t="shared" si="86"/>
        <v>7.9611253054591644E-2</v>
      </c>
      <c r="I94" s="73">
        <f t="shared" si="86"/>
        <v>8.4827245249683422E-2</v>
      </c>
      <c r="J94" s="73">
        <f t="shared" si="86"/>
        <v>9.1255600346699509E-2</v>
      </c>
      <c r="K94" s="73">
        <f t="shared" si="86"/>
        <v>0.10314154911264735</v>
      </c>
      <c r="L94" s="73">
        <f t="shared" si="86"/>
        <v>9.28167086981279E-2</v>
      </c>
      <c r="M94" s="73">
        <f t="shared" si="86"/>
        <v>9.2791067780230746E-2</v>
      </c>
      <c r="N94" s="73">
        <f t="shared" si="86"/>
        <v>8.4351937331148499E-2</v>
      </c>
      <c r="O94" s="73">
        <f t="shared" si="86"/>
        <v>8.0513530126425051E-2</v>
      </c>
      <c r="P94" s="73">
        <f t="shared" si="86"/>
        <v>8.5477639723222754E-2</v>
      </c>
      <c r="Q94" s="73">
        <f t="shared" si="86"/>
        <v>8.6643919950217363E-2</v>
      </c>
      <c r="R94" s="73">
        <f t="shared" si="86"/>
        <v>0.12304285019787355</v>
      </c>
      <c r="S94" s="73">
        <f t="shared" si="86"/>
        <v>0.14303571647367605</v>
      </c>
      <c r="T94" s="73">
        <f t="shared" si="86"/>
        <v>0.13657191690741685</v>
      </c>
      <c r="U94" s="73">
        <f t="shared" si="86"/>
        <v>0.14110907420633739</v>
      </c>
      <c r="V94" s="73">
        <f t="shared" si="86"/>
        <v>0.14103766206998802</v>
      </c>
      <c r="W94" s="73">
        <f t="shared" si="86"/>
        <v>0.12215802861310178</v>
      </c>
      <c r="X94" s="73">
        <f t="shared" ref="X94:Y94" si="87">IF(X86=0,0,X86/X$81)</f>
        <v>0.14395343205637992</v>
      </c>
      <c r="Y94" s="73">
        <f t="shared" si="87"/>
        <v>0.13157013344727767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436134.05792587169</v>
      </c>
      <c r="C99" s="82">
        <f t="shared" ref="C99:W99" si="92">C47*11630*1000/C$8</f>
        <v>443902.68124628125</v>
      </c>
      <c r="D99" s="82">
        <f t="shared" si="92"/>
        <v>451410.91775526211</v>
      </c>
      <c r="E99" s="82">
        <f t="shared" si="92"/>
        <v>454440.31577094615</v>
      </c>
      <c r="F99" s="82">
        <f t="shared" si="92"/>
        <v>454632.71232530224</v>
      </c>
      <c r="G99" s="82">
        <f t="shared" si="92"/>
        <v>435288.75348037778</v>
      </c>
      <c r="H99" s="82">
        <f t="shared" si="92"/>
        <v>440378.22021951986</v>
      </c>
      <c r="I99" s="82">
        <f t="shared" si="92"/>
        <v>445093.27461809228</v>
      </c>
      <c r="J99" s="82">
        <f t="shared" si="92"/>
        <v>385211.56403155177</v>
      </c>
      <c r="K99" s="82">
        <f t="shared" si="92"/>
        <v>359679.20206209895</v>
      </c>
      <c r="L99" s="82">
        <f t="shared" si="92"/>
        <v>377510.58958713431</v>
      </c>
      <c r="M99" s="82">
        <f t="shared" si="92"/>
        <v>345419.42706376559</v>
      </c>
      <c r="N99" s="82">
        <f t="shared" si="92"/>
        <v>389041.64417215018</v>
      </c>
      <c r="O99" s="82">
        <f t="shared" si="92"/>
        <v>371074.44850199582</v>
      </c>
      <c r="P99" s="82">
        <f t="shared" si="92"/>
        <v>371680.32031189709</v>
      </c>
      <c r="Q99" s="82">
        <f t="shared" si="92"/>
        <v>350830.68585414405</v>
      </c>
      <c r="R99" s="82">
        <f t="shared" si="92"/>
        <v>353464.33866214869</v>
      </c>
      <c r="S99" s="82">
        <f t="shared" si="92"/>
        <v>360184.40893623815</v>
      </c>
      <c r="T99" s="82">
        <f t="shared" si="92"/>
        <v>349369.73340668413</v>
      </c>
      <c r="U99" s="82">
        <f t="shared" si="92"/>
        <v>333758.87513251102</v>
      </c>
      <c r="V99" s="82">
        <f t="shared" si="92"/>
        <v>319305.86413082597</v>
      </c>
      <c r="W99" s="82">
        <f t="shared" si="92"/>
        <v>347615.26083592523</v>
      </c>
      <c r="X99" s="82">
        <f t="shared" ref="X99:Y99" si="93">X47*11630*1000/X$8</f>
        <v>328644.94120702858</v>
      </c>
      <c r="Y99" s="82">
        <f t="shared" si="93"/>
        <v>308740.82166574255</v>
      </c>
      <c r="DA99" s="107"/>
    </row>
    <row r="100" spans="1:105" ht="12" customHeight="1" x14ac:dyDescent="0.25">
      <c r="A100" s="77" t="s">
        <v>36</v>
      </c>
      <c r="B100" s="64">
        <f t="shared" si="91"/>
        <v>382311.53036474041</v>
      </c>
      <c r="C100" s="64">
        <f t="shared" ref="C100:W100" si="94">C48*11630*1000/C$8</f>
        <v>389615.77839987574</v>
      </c>
      <c r="D100" s="64">
        <f t="shared" si="94"/>
        <v>396798.46820188966</v>
      </c>
      <c r="E100" s="64">
        <f t="shared" si="94"/>
        <v>399052.62032044085</v>
      </c>
      <c r="F100" s="64">
        <f t="shared" si="94"/>
        <v>398405.85019610421</v>
      </c>
      <c r="G100" s="64">
        <f t="shared" si="94"/>
        <v>377347.85508950404</v>
      </c>
      <c r="H100" s="64">
        <f t="shared" si="94"/>
        <v>381582.12747258862</v>
      </c>
      <c r="I100" s="64">
        <f t="shared" si="94"/>
        <v>385507.6059075697</v>
      </c>
      <c r="J100" s="64">
        <f t="shared" si="94"/>
        <v>324464.82521265885</v>
      </c>
      <c r="K100" s="64">
        <f t="shared" si="94"/>
        <v>297542.20099403418</v>
      </c>
      <c r="L100" s="64">
        <f t="shared" si="94"/>
        <v>314306.40629635419</v>
      </c>
      <c r="M100" s="64">
        <f t="shared" si="94"/>
        <v>282648.39969923353</v>
      </c>
      <c r="N100" s="64">
        <f t="shared" si="94"/>
        <v>325290.58134331484</v>
      </c>
      <c r="O100" s="64">
        <f t="shared" si="94"/>
        <v>306814.74803881231</v>
      </c>
      <c r="P100" s="64">
        <f t="shared" si="94"/>
        <v>306917.45261627022</v>
      </c>
      <c r="Q100" s="64">
        <f t="shared" si="94"/>
        <v>285203.06380870665</v>
      </c>
      <c r="R100" s="64">
        <f t="shared" si="94"/>
        <v>287806.65799018159</v>
      </c>
      <c r="S100" s="64">
        <f t="shared" si="94"/>
        <v>293516.26145630627</v>
      </c>
      <c r="T100" s="64">
        <f t="shared" si="94"/>
        <v>283668.22974278184</v>
      </c>
      <c r="U100" s="64">
        <f t="shared" si="94"/>
        <v>268856.75615958637</v>
      </c>
      <c r="V100" s="64">
        <f t="shared" si="94"/>
        <v>257005.30323458751</v>
      </c>
      <c r="W100" s="64">
        <f t="shared" si="94"/>
        <v>285156.03452713817</v>
      </c>
      <c r="X100" s="64">
        <f t="shared" ref="X100:Y100" si="95">X48*11630*1000/X$8</f>
        <v>266406.52141983132</v>
      </c>
      <c r="Y100" s="64">
        <f t="shared" si="95"/>
        <v>245597.05166604908</v>
      </c>
      <c r="DA100" s="108"/>
    </row>
    <row r="101" spans="1:105" ht="12" customHeight="1" x14ac:dyDescent="0.25">
      <c r="A101" s="61" t="s">
        <v>32</v>
      </c>
      <c r="B101" s="65">
        <f t="shared" si="91"/>
        <v>301540.35055270564</v>
      </c>
      <c r="C101" s="65">
        <f t="shared" ref="C101:W101" si="96">C49*11630*1000/C$8</f>
        <v>307844.23479247297</v>
      </c>
      <c r="D101" s="65">
        <f t="shared" si="96"/>
        <v>318227.15852936951</v>
      </c>
      <c r="E101" s="65">
        <f t="shared" si="96"/>
        <v>321443.33137025859</v>
      </c>
      <c r="F101" s="65">
        <f t="shared" si="96"/>
        <v>320336.12006462307</v>
      </c>
      <c r="G101" s="65">
        <f t="shared" si="96"/>
        <v>299134.29409601056</v>
      </c>
      <c r="H101" s="65">
        <f t="shared" si="96"/>
        <v>303510.44602225674</v>
      </c>
      <c r="I101" s="65">
        <f t="shared" si="96"/>
        <v>309493.74294100417</v>
      </c>
      <c r="J101" s="65">
        <f t="shared" si="96"/>
        <v>248439.05416686775</v>
      </c>
      <c r="K101" s="65">
        <f t="shared" si="96"/>
        <v>218791.69272212771</v>
      </c>
      <c r="L101" s="65">
        <f t="shared" si="96"/>
        <v>236648.96665449438</v>
      </c>
      <c r="M101" s="65">
        <f t="shared" si="96"/>
        <v>204942.95275976602</v>
      </c>
      <c r="N101" s="65">
        <f t="shared" si="96"/>
        <v>249027.61641750741</v>
      </c>
      <c r="O101" s="65">
        <f t="shared" si="96"/>
        <v>229503.42968922976</v>
      </c>
      <c r="P101" s="65">
        <f t="shared" si="96"/>
        <v>230804.66824278032</v>
      </c>
      <c r="Q101" s="65">
        <f t="shared" si="96"/>
        <v>209479.19554760851</v>
      </c>
      <c r="R101" s="65">
        <f t="shared" si="96"/>
        <v>212699.26155091592</v>
      </c>
      <c r="S101" s="65">
        <f t="shared" si="96"/>
        <v>217885.94098384649</v>
      </c>
      <c r="T101" s="65">
        <f t="shared" si="96"/>
        <v>209632.51614871193</v>
      </c>
      <c r="U101" s="65">
        <f t="shared" si="96"/>
        <v>196167.13782246527</v>
      </c>
      <c r="V101" s="65">
        <f t="shared" si="96"/>
        <v>190518.35710147533</v>
      </c>
      <c r="W101" s="65">
        <f t="shared" si="96"/>
        <v>216062.82347659365</v>
      </c>
      <c r="X101" s="65">
        <f t="shared" ref="X101:Y101" si="97">X49*11630*1000/X$8</f>
        <v>196186.05784658916</v>
      </c>
      <c r="Y101" s="65">
        <f t="shared" si="97"/>
        <v>176625.63351896088</v>
      </c>
      <c r="DA101" s="109"/>
    </row>
    <row r="102" spans="1:105" ht="12" customHeight="1" x14ac:dyDescent="0.25">
      <c r="A102" s="61" t="s">
        <v>31</v>
      </c>
      <c r="B102" s="65">
        <f t="shared" si="91"/>
        <v>499.03432635541293</v>
      </c>
      <c r="C102" s="65">
        <f t="shared" ref="C102:W102" si="98">C50*11630*1000/C$8</f>
        <v>515.17252989883582</v>
      </c>
      <c r="D102" s="65">
        <f t="shared" si="98"/>
        <v>537.91829419081898</v>
      </c>
      <c r="E102" s="65">
        <f t="shared" si="98"/>
        <v>526.3208278305782</v>
      </c>
      <c r="F102" s="65">
        <f t="shared" si="98"/>
        <v>505.36793156712719</v>
      </c>
      <c r="G102" s="65">
        <f t="shared" si="98"/>
        <v>518.3570771712798</v>
      </c>
      <c r="H102" s="65">
        <f t="shared" si="98"/>
        <v>551.5262566039803</v>
      </c>
      <c r="I102" s="65">
        <f t="shared" si="98"/>
        <v>527.70770719565132</v>
      </c>
      <c r="J102" s="65">
        <f t="shared" si="98"/>
        <v>534.22129037664831</v>
      </c>
      <c r="K102" s="65">
        <f t="shared" si="98"/>
        <v>568.2779613363432</v>
      </c>
      <c r="L102" s="65">
        <f t="shared" si="98"/>
        <v>712.93906158297239</v>
      </c>
      <c r="M102" s="65">
        <f t="shared" si="98"/>
        <v>599.72329156910996</v>
      </c>
      <c r="N102" s="65">
        <f t="shared" si="98"/>
        <v>605.83783809429008</v>
      </c>
      <c r="O102" s="65">
        <f t="shared" si="98"/>
        <v>591.14761457700911</v>
      </c>
      <c r="P102" s="65">
        <f t="shared" si="98"/>
        <v>618.95031129361587</v>
      </c>
      <c r="Q102" s="65">
        <f t="shared" si="98"/>
        <v>579.56740635136146</v>
      </c>
      <c r="R102" s="65">
        <f t="shared" si="98"/>
        <v>577.51635813631219</v>
      </c>
      <c r="S102" s="65">
        <f t="shared" si="98"/>
        <v>573.09377086933659</v>
      </c>
      <c r="T102" s="65">
        <f t="shared" si="98"/>
        <v>608.51490832071977</v>
      </c>
      <c r="U102" s="65">
        <f t="shared" si="98"/>
        <v>577.0602472705956</v>
      </c>
      <c r="V102" s="65">
        <f t="shared" si="98"/>
        <v>578.84869736551434</v>
      </c>
      <c r="W102" s="65">
        <f t="shared" si="98"/>
        <v>672.27558432279284</v>
      </c>
      <c r="X102" s="65">
        <f t="shared" ref="X102:Y102" si="99">X50*11630*1000/X$8</f>
        <v>578.9910713922643</v>
      </c>
      <c r="Y102" s="65">
        <f t="shared" si="99"/>
        <v>588.46846781098679</v>
      </c>
      <c r="DA102" s="109"/>
    </row>
    <row r="103" spans="1:105" ht="12" customHeight="1" x14ac:dyDescent="0.25">
      <c r="A103" s="61" t="s">
        <v>35</v>
      </c>
      <c r="B103" s="65">
        <f t="shared" si="91"/>
        <v>38072.519725028622</v>
      </c>
      <c r="C103" s="65">
        <f t="shared" ref="C103:W103" si="100">C51*11630*1000/C$8</f>
        <v>38314.486655257089</v>
      </c>
      <c r="D103" s="65">
        <f t="shared" si="100"/>
        <v>37058.237510708306</v>
      </c>
      <c r="E103" s="65">
        <f t="shared" si="100"/>
        <v>36730.503680405789</v>
      </c>
      <c r="F103" s="65">
        <f t="shared" si="100"/>
        <v>37044.943406184953</v>
      </c>
      <c r="G103" s="65">
        <f t="shared" si="100"/>
        <v>36548.375459503965</v>
      </c>
      <c r="H103" s="65">
        <f t="shared" si="100"/>
        <v>36675.209688924348</v>
      </c>
      <c r="I103" s="65">
        <f t="shared" si="100"/>
        <v>36368.322695130286</v>
      </c>
      <c r="J103" s="65">
        <f t="shared" si="100"/>
        <v>35837.663998099917</v>
      </c>
      <c r="K103" s="65">
        <f t="shared" si="100"/>
        <v>37159.154772544374</v>
      </c>
      <c r="L103" s="65">
        <f t="shared" si="100"/>
        <v>36530.612814304084</v>
      </c>
      <c r="M103" s="65">
        <f t="shared" si="100"/>
        <v>36968.98004338902</v>
      </c>
      <c r="N103" s="65">
        <f t="shared" si="100"/>
        <v>35865.394610460251</v>
      </c>
      <c r="O103" s="65">
        <f t="shared" si="100"/>
        <v>36451.388528380172</v>
      </c>
      <c r="P103" s="65">
        <f t="shared" si="100"/>
        <v>35700.252959875208</v>
      </c>
      <c r="Q103" s="65">
        <f t="shared" si="100"/>
        <v>35680.605973356724</v>
      </c>
      <c r="R103" s="65">
        <f t="shared" si="100"/>
        <v>35656.325422775204</v>
      </c>
      <c r="S103" s="65">
        <f t="shared" si="100"/>
        <v>35895.620637783672</v>
      </c>
      <c r="T103" s="65">
        <f t="shared" si="100"/>
        <v>34739.152303842486</v>
      </c>
      <c r="U103" s="65">
        <f t="shared" si="100"/>
        <v>33549.28254310818</v>
      </c>
      <c r="V103" s="65">
        <f t="shared" si="100"/>
        <v>30203.41285403342</v>
      </c>
      <c r="W103" s="65">
        <f t="shared" si="100"/>
        <v>31689.244256563314</v>
      </c>
      <c r="X103" s="65">
        <f t="shared" ref="X103:Y103" si="101">X51*11630*1000/X$8</f>
        <v>32012.898559455862</v>
      </c>
      <c r="Y103" s="65">
        <f t="shared" si="101"/>
        <v>31517.559993691535</v>
      </c>
      <c r="DA103" s="109"/>
    </row>
    <row r="104" spans="1:105" ht="12" customHeight="1" x14ac:dyDescent="0.25">
      <c r="A104" s="66" t="s">
        <v>34</v>
      </c>
      <c r="B104" s="67">
        <f t="shared" si="91"/>
        <v>42199.62576065067</v>
      </c>
      <c r="C104" s="67">
        <f t="shared" ref="C104:W104" si="102">C52*11630*1000/C$8</f>
        <v>42941.884422246774</v>
      </c>
      <c r="D104" s="67">
        <f t="shared" si="102"/>
        <v>40975.153867621026</v>
      </c>
      <c r="E104" s="67">
        <f t="shared" si="102"/>
        <v>40352.464441945922</v>
      </c>
      <c r="F104" s="67">
        <f t="shared" si="102"/>
        <v>40519.418793729063</v>
      </c>
      <c r="G104" s="67">
        <f t="shared" si="102"/>
        <v>41146.828456818199</v>
      </c>
      <c r="H104" s="67">
        <f t="shared" si="102"/>
        <v>40844.945504803443</v>
      </c>
      <c r="I104" s="67">
        <f t="shared" si="102"/>
        <v>39117.83256423955</v>
      </c>
      <c r="J104" s="67">
        <f t="shared" si="102"/>
        <v>39653.885757314623</v>
      </c>
      <c r="K104" s="67">
        <f t="shared" si="102"/>
        <v>41023.075538025732</v>
      </c>
      <c r="L104" s="67">
        <f t="shared" si="102"/>
        <v>40413.88776597265</v>
      </c>
      <c r="M104" s="67">
        <f t="shared" si="102"/>
        <v>40136.743604509349</v>
      </c>
      <c r="N104" s="67">
        <f t="shared" si="102"/>
        <v>39791.732477252874</v>
      </c>
      <c r="O104" s="67">
        <f t="shared" si="102"/>
        <v>40268.782206625394</v>
      </c>
      <c r="P104" s="67">
        <f t="shared" si="102"/>
        <v>39793.581102321157</v>
      </c>
      <c r="Q104" s="67">
        <f t="shared" si="102"/>
        <v>39463.694881390118</v>
      </c>
      <c r="R104" s="67">
        <f t="shared" si="102"/>
        <v>38873.554658354158</v>
      </c>
      <c r="S104" s="67">
        <f t="shared" si="102"/>
        <v>39161.606063806757</v>
      </c>
      <c r="T104" s="67">
        <f t="shared" si="102"/>
        <v>38688.046381906708</v>
      </c>
      <c r="U104" s="67">
        <f t="shared" si="102"/>
        <v>38563.275546742327</v>
      </c>
      <c r="V104" s="67">
        <f t="shared" si="102"/>
        <v>35704.684581713227</v>
      </c>
      <c r="W104" s="67">
        <f t="shared" si="102"/>
        <v>36731.691209658406</v>
      </c>
      <c r="X104" s="67">
        <f t="shared" ref="X104:Y104" si="103">X52*11630*1000/X$8</f>
        <v>37628.573942394069</v>
      </c>
      <c r="Y104" s="67">
        <f t="shared" si="103"/>
        <v>36865.389685585651</v>
      </c>
      <c r="DA104" s="110"/>
    </row>
    <row r="105" spans="1:105" ht="12" customHeight="1" x14ac:dyDescent="0.25">
      <c r="A105" s="78" t="s">
        <v>33</v>
      </c>
      <c r="B105" s="68">
        <f t="shared" si="91"/>
        <v>53822.527561131334</v>
      </c>
      <c r="C105" s="68">
        <f t="shared" ref="C105:W105" si="104">C53*11630*1000/C$8</f>
        <v>54286.902846405574</v>
      </c>
      <c r="D105" s="68">
        <f t="shared" si="104"/>
        <v>54612.449553372426</v>
      </c>
      <c r="E105" s="68">
        <f t="shared" si="104"/>
        <v>55387.695450505293</v>
      </c>
      <c r="F105" s="68">
        <f t="shared" si="104"/>
        <v>56226.862129198016</v>
      </c>
      <c r="G105" s="68">
        <f t="shared" si="104"/>
        <v>57940.898390873859</v>
      </c>
      <c r="H105" s="68">
        <f t="shared" si="104"/>
        <v>58796.092746931332</v>
      </c>
      <c r="I105" s="68">
        <f t="shared" si="104"/>
        <v>59585.668710522594</v>
      </c>
      <c r="J105" s="68">
        <f t="shared" si="104"/>
        <v>60746.738818892896</v>
      </c>
      <c r="K105" s="68">
        <f t="shared" si="104"/>
        <v>62137.001068064761</v>
      </c>
      <c r="L105" s="68">
        <f t="shared" si="104"/>
        <v>63204.183290780231</v>
      </c>
      <c r="M105" s="68">
        <f t="shared" si="104"/>
        <v>62771.027364532027</v>
      </c>
      <c r="N105" s="68">
        <f t="shared" si="104"/>
        <v>63751.062828835296</v>
      </c>
      <c r="O105" s="68">
        <f t="shared" si="104"/>
        <v>64259.700463183442</v>
      </c>
      <c r="P105" s="68">
        <f t="shared" si="104"/>
        <v>64762.867695626795</v>
      </c>
      <c r="Q105" s="68">
        <f t="shared" si="104"/>
        <v>65627.622045437369</v>
      </c>
      <c r="R105" s="68">
        <f t="shared" si="104"/>
        <v>65657.680671967144</v>
      </c>
      <c r="S105" s="68">
        <f t="shared" si="104"/>
        <v>66668.147479931809</v>
      </c>
      <c r="T105" s="68">
        <f t="shared" si="104"/>
        <v>65701.503663902273</v>
      </c>
      <c r="U105" s="68">
        <f t="shared" si="104"/>
        <v>64902.118972924625</v>
      </c>
      <c r="V105" s="68">
        <f t="shared" si="104"/>
        <v>62300.560896238414</v>
      </c>
      <c r="W105" s="68">
        <f t="shared" si="104"/>
        <v>62459.226308787103</v>
      </c>
      <c r="X105" s="68">
        <f t="shared" ref="X105:Y105" si="105">X53*11630*1000/X$8</f>
        <v>62238.419787197221</v>
      </c>
      <c r="Y105" s="68">
        <f t="shared" si="105"/>
        <v>63143.769999693475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233891.93950059079</v>
      </c>
      <c r="C107" s="85">
        <f t="shared" ref="C107:W107" si="107">SUM(C108:C111)</f>
        <v>238948.22261524995</v>
      </c>
      <c r="D107" s="85">
        <f t="shared" si="107"/>
        <v>243853.95968214393</v>
      </c>
      <c r="E107" s="85">
        <f t="shared" si="107"/>
        <v>246865.28973978461</v>
      </c>
      <c r="F107" s="85">
        <f t="shared" si="107"/>
        <v>244992.81979931492</v>
      </c>
      <c r="G107" s="85">
        <f t="shared" si="107"/>
        <v>235884.66577493341</v>
      </c>
      <c r="H107" s="85">
        <f t="shared" si="107"/>
        <v>238778.96157858256</v>
      </c>
      <c r="I107" s="85">
        <f t="shared" si="107"/>
        <v>242701.06002624286</v>
      </c>
      <c r="J107" s="85">
        <f t="shared" si="107"/>
        <v>209794.19109139615</v>
      </c>
      <c r="K107" s="85">
        <f t="shared" si="107"/>
        <v>193182.87624688182</v>
      </c>
      <c r="L107" s="85">
        <f t="shared" si="107"/>
        <v>205766.83121362646</v>
      </c>
      <c r="M107" s="85">
        <f t="shared" si="107"/>
        <v>187301.98227211437</v>
      </c>
      <c r="N107" s="85">
        <f t="shared" si="107"/>
        <v>217634.79760623304</v>
      </c>
      <c r="O107" s="85">
        <f t="shared" si="107"/>
        <v>207380.46440081688</v>
      </c>
      <c r="P107" s="85">
        <f t="shared" si="107"/>
        <v>208695.44400648313</v>
      </c>
      <c r="Q107" s="85">
        <f t="shared" si="107"/>
        <v>195420.03990672005</v>
      </c>
      <c r="R107" s="85">
        <f t="shared" si="107"/>
        <v>201191.22630135965</v>
      </c>
      <c r="S107" s="85">
        <f t="shared" si="107"/>
        <v>206841.7726894817</v>
      </c>
      <c r="T107" s="85">
        <f t="shared" si="107"/>
        <v>203428.3261681294</v>
      </c>
      <c r="U107" s="85">
        <f t="shared" si="107"/>
        <v>197072.50904287264</v>
      </c>
      <c r="V107" s="85">
        <f t="shared" si="107"/>
        <v>191762.2151176653</v>
      </c>
      <c r="W107" s="85">
        <f t="shared" si="107"/>
        <v>215517.11847863506</v>
      </c>
      <c r="X107" s="85">
        <f t="shared" ref="X107:Y107" si="108">SUM(X108:X111)</f>
        <v>201833.85657424331</v>
      </c>
      <c r="Y107" s="85">
        <f t="shared" si="108"/>
        <v>189267.42679671524</v>
      </c>
      <c r="DA107" s="117"/>
    </row>
    <row r="108" spans="1:105" ht="12" customHeight="1" x14ac:dyDescent="0.25">
      <c r="A108" s="61" t="s">
        <v>32</v>
      </c>
      <c r="B108" s="65">
        <v>179175.26358874483</v>
      </c>
      <c r="C108" s="65">
        <v>183931.64207698722</v>
      </c>
      <c r="D108" s="65">
        <v>190945.22516652939</v>
      </c>
      <c r="E108" s="65">
        <v>194646.87369071026</v>
      </c>
      <c r="F108" s="65">
        <v>192160.26141178896</v>
      </c>
      <c r="G108" s="65">
        <v>182553.03469116945</v>
      </c>
      <c r="H108" s="65">
        <v>185056.01851700133</v>
      </c>
      <c r="I108" s="65">
        <v>190153.21966897775</v>
      </c>
      <c r="J108" s="65">
        <v>156882.68564804981</v>
      </c>
      <c r="K108" s="65">
        <v>138059.07124107331</v>
      </c>
      <c r="L108" s="65">
        <v>150669.43603071632</v>
      </c>
      <c r="M108" s="65">
        <v>131895.58141193268</v>
      </c>
      <c r="N108" s="65">
        <v>162565.03414322095</v>
      </c>
      <c r="O108" s="65">
        <v>150933.23068789029</v>
      </c>
      <c r="P108" s="65">
        <v>152774.66757425899</v>
      </c>
      <c r="Q108" s="65">
        <v>139315.79311039779</v>
      </c>
      <c r="R108" s="65">
        <v>145412.99263276096</v>
      </c>
      <c r="S108" s="65">
        <v>150335.13964423022</v>
      </c>
      <c r="T108" s="65">
        <v>147061.32653833806</v>
      </c>
      <c r="U108" s="65">
        <v>140825.16094719936</v>
      </c>
      <c r="V108" s="65">
        <v>139609.59950656505</v>
      </c>
      <c r="W108" s="65">
        <v>160101.05146721314</v>
      </c>
      <c r="X108" s="65">
        <v>145416.82187018031</v>
      </c>
      <c r="Y108" s="65">
        <v>132808.44795193282</v>
      </c>
      <c r="DA108" s="109"/>
    </row>
    <row r="109" spans="1:105" ht="12" customHeight="1" x14ac:dyDescent="0.25">
      <c r="A109" s="61" t="s">
        <v>31</v>
      </c>
      <c r="B109" s="65">
        <v>1012.8242857721035</v>
      </c>
      <c r="C109" s="65">
        <v>1098.3176930075088</v>
      </c>
      <c r="D109" s="65">
        <v>1213.9081003776596</v>
      </c>
      <c r="E109" s="65">
        <v>1261.1423558692104</v>
      </c>
      <c r="F109" s="65">
        <v>1278.9281843996155</v>
      </c>
      <c r="G109" s="65">
        <v>1393.9117578919008</v>
      </c>
      <c r="H109" s="65">
        <v>1573.3783617997672</v>
      </c>
      <c r="I109" s="65">
        <v>1601.5367069264144</v>
      </c>
      <c r="J109" s="65">
        <v>1720.5289447234252</v>
      </c>
      <c r="K109" s="65">
        <v>1874.9280804388957</v>
      </c>
      <c r="L109" s="65">
        <v>2417.0356483798728</v>
      </c>
      <c r="M109" s="65">
        <v>2109.0399467519564</v>
      </c>
      <c r="N109" s="65">
        <v>2211.0999598092717</v>
      </c>
      <c r="O109" s="65">
        <v>2244.8316692653466</v>
      </c>
      <c r="P109" s="65">
        <v>2449.6460318951367</v>
      </c>
      <c r="Q109" s="65">
        <v>2396.1162183364063</v>
      </c>
      <c r="R109" s="65">
        <v>2494.1067468801016</v>
      </c>
      <c r="S109" s="65">
        <v>2575.3690674595523</v>
      </c>
      <c r="T109" s="65">
        <v>2828.4901492260351</v>
      </c>
      <c r="U109" s="65">
        <v>2757.4956499205523</v>
      </c>
      <c r="V109" s="65">
        <v>2831.8435624106446</v>
      </c>
      <c r="W109" s="65">
        <v>3357.8258235204762</v>
      </c>
      <c r="X109" s="65">
        <v>2938.1837291475654</v>
      </c>
      <c r="Y109" s="65">
        <v>3024.7926243868283</v>
      </c>
      <c r="DA109" s="109"/>
    </row>
    <row r="110" spans="1:105" ht="12" customHeight="1" x14ac:dyDescent="0.25">
      <c r="A110" s="61" t="s">
        <v>35</v>
      </c>
      <c r="B110" s="65">
        <v>23241.302067268345</v>
      </c>
      <c r="C110" s="65">
        <v>23723.748787202974</v>
      </c>
      <c r="D110" s="65">
        <v>23044.76363905265</v>
      </c>
      <c r="E110" s="65">
        <v>23000.806320528693</v>
      </c>
      <c r="F110" s="65">
        <v>23325.834861910094</v>
      </c>
      <c r="G110" s="65">
        <v>23115.970251107337</v>
      </c>
      <c r="H110" s="65">
        <v>23384.47397832213</v>
      </c>
      <c r="I110" s="65">
        <v>23395.17660101927</v>
      </c>
      <c r="J110" s="65">
        <v>23141.953678827394</v>
      </c>
      <c r="K110" s="65">
        <v>24191.263342677874</v>
      </c>
      <c r="L110" s="65">
        <v>23973.209117714876</v>
      </c>
      <c r="M110" s="65">
        <v>24527.447526404365</v>
      </c>
      <c r="N110" s="65">
        <v>24068.891988887804</v>
      </c>
      <c r="O110" s="65">
        <v>24782.024774291276</v>
      </c>
      <c r="P110" s="65">
        <v>24446.370708689501</v>
      </c>
      <c r="Q110" s="65">
        <v>24756.618383391797</v>
      </c>
      <c r="R110" s="65">
        <v>25105.900627283154</v>
      </c>
      <c r="S110" s="65">
        <v>25749.868846230616</v>
      </c>
      <c r="T110" s="65">
        <v>25487.867022975359</v>
      </c>
      <c r="U110" s="65">
        <v>25202.068211383048</v>
      </c>
      <c r="V110" s="65">
        <v>23153.261438827238</v>
      </c>
      <c r="W110" s="65">
        <v>24812.873569644111</v>
      </c>
      <c r="X110" s="65">
        <v>25544.304613301087</v>
      </c>
      <c r="Y110" s="65">
        <v>25633.348403317956</v>
      </c>
      <c r="DA110" s="109"/>
    </row>
    <row r="111" spans="1:105" ht="12" customHeight="1" x14ac:dyDescent="0.25">
      <c r="A111" s="74" t="s">
        <v>34</v>
      </c>
      <c r="B111" s="68">
        <v>30462.54955880552</v>
      </c>
      <c r="C111" s="68">
        <v>30194.514058052249</v>
      </c>
      <c r="D111" s="68">
        <v>28650.062776184248</v>
      </c>
      <c r="E111" s="68">
        <v>27956.467372676434</v>
      </c>
      <c r="F111" s="68">
        <v>28227.795341216264</v>
      </c>
      <c r="G111" s="68">
        <v>28821.749074764735</v>
      </c>
      <c r="H111" s="68">
        <v>28765.090721459321</v>
      </c>
      <c r="I111" s="68">
        <v>27551.127049319424</v>
      </c>
      <c r="J111" s="68">
        <v>28049.022819795518</v>
      </c>
      <c r="K111" s="68">
        <v>29057.613582691738</v>
      </c>
      <c r="L111" s="68">
        <v>28707.150416815392</v>
      </c>
      <c r="M111" s="68">
        <v>28769.913387025372</v>
      </c>
      <c r="N111" s="68">
        <v>28789.771514315009</v>
      </c>
      <c r="O111" s="68">
        <v>29420.377269369961</v>
      </c>
      <c r="P111" s="68">
        <v>29024.759691639527</v>
      </c>
      <c r="Q111" s="68">
        <v>28951.51219459407</v>
      </c>
      <c r="R111" s="68">
        <v>28178.226294435452</v>
      </c>
      <c r="S111" s="68">
        <v>28181.395131561316</v>
      </c>
      <c r="T111" s="68">
        <v>28050.642457589947</v>
      </c>
      <c r="U111" s="68">
        <v>28287.784234369694</v>
      </c>
      <c r="V111" s="68">
        <v>26167.510609862366</v>
      </c>
      <c r="W111" s="68">
        <v>27245.367618257333</v>
      </c>
      <c r="X111" s="68">
        <v>27934.54636161435</v>
      </c>
      <c r="Y111" s="68">
        <v>27800.837817077645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28611.816413701788</v>
      </c>
      <c r="C113" s="82">
        <f t="shared" ref="C113:W113" si="110">C81*1000000/C$8</f>
        <v>29529.581381390064</v>
      </c>
      <c r="D113" s="82">
        <f t="shared" si="110"/>
        <v>31062.940104434732</v>
      </c>
      <c r="E113" s="82">
        <f t="shared" si="110"/>
        <v>31523.978577889142</v>
      </c>
      <c r="F113" s="82">
        <f t="shared" si="110"/>
        <v>32067.120289387389</v>
      </c>
      <c r="G113" s="82">
        <f t="shared" si="110"/>
        <v>28073.214470704272</v>
      </c>
      <c r="H113" s="82">
        <f t="shared" si="110"/>
        <v>30017.145043854696</v>
      </c>
      <c r="I113" s="82">
        <f t="shared" si="110"/>
        <v>27994.120763697712</v>
      </c>
      <c r="J113" s="82">
        <f t="shared" si="110"/>
        <v>25436.701372472682</v>
      </c>
      <c r="K113" s="82">
        <f t="shared" si="110"/>
        <v>23548.950880904718</v>
      </c>
      <c r="L113" s="82">
        <f t="shared" si="110"/>
        <v>25438.200372879764</v>
      </c>
      <c r="M113" s="82">
        <f t="shared" si="110"/>
        <v>22288.228231372545</v>
      </c>
      <c r="N113" s="82">
        <f t="shared" si="110"/>
        <v>21781.706760279023</v>
      </c>
      <c r="O113" s="82">
        <f t="shared" si="110"/>
        <v>20319.316889099089</v>
      </c>
      <c r="P113" s="82">
        <f t="shared" si="110"/>
        <v>21056.986908804723</v>
      </c>
      <c r="Q113" s="82">
        <f t="shared" si="110"/>
        <v>20057.400337460582</v>
      </c>
      <c r="R113" s="82">
        <f t="shared" si="110"/>
        <v>18443.11952759439</v>
      </c>
      <c r="S113" s="82">
        <f t="shared" si="110"/>
        <v>19240.333808567226</v>
      </c>
      <c r="T113" s="82">
        <f t="shared" si="110"/>
        <v>19961.75569574512</v>
      </c>
      <c r="U113" s="82">
        <f t="shared" si="110"/>
        <v>18864.771741950492</v>
      </c>
      <c r="V113" s="82">
        <f t="shared" si="110"/>
        <v>19478.638738009966</v>
      </c>
      <c r="W113" s="82">
        <f t="shared" si="110"/>
        <v>22797.868288706657</v>
      </c>
      <c r="X113" s="82">
        <f t="shared" ref="X113:Y113" si="111">X81*1000000/X$8</f>
        <v>21766.454762770471</v>
      </c>
      <c r="Y113" s="82">
        <f t="shared" si="111"/>
        <v>22027.65063185187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28611.816413701788</v>
      </c>
      <c r="C114" s="64">
        <f t="shared" ref="C114:W114" si="113">C82*1000000/C$8</f>
        <v>29529.581381390064</v>
      </c>
      <c r="D114" s="64">
        <f t="shared" si="113"/>
        <v>31062.940104434732</v>
      </c>
      <c r="E114" s="64">
        <f t="shared" si="113"/>
        <v>31523.978577889142</v>
      </c>
      <c r="F114" s="64">
        <f t="shared" si="113"/>
        <v>32067.120289387389</v>
      </c>
      <c r="G114" s="64">
        <f t="shared" si="113"/>
        <v>28073.214470704272</v>
      </c>
      <c r="H114" s="64">
        <f t="shared" si="113"/>
        <v>30017.145043854696</v>
      </c>
      <c r="I114" s="64">
        <f t="shared" si="113"/>
        <v>27994.120763697712</v>
      </c>
      <c r="J114" s="64">
        <f t="shared" si="113"/>
        <v>25436.701372472682</v>
      </c>
      <c r="K114" s="64">
        <f t="shared" si="113"/>
        <v>23548.950880904718</v>
      </c>
      <c r="L114" s="64">
        <f t="shared" si="113"/>
        <v>25438.200372879764</v>
      </c>
      <c r="M114" s="64">
        <f t="shared" si="113"/>
        <v>22288.228231372545</v>
      </c>
      <c r="N114" s="64">
        <f t="shared" si="113"/>
        <v>21781.706760279023</v>
      </c>
      <c r="O114" s="64">
        <f t="shared" si="113"/>
        <v>20319.316889099089</v>
      </c>
      <c r="P114" s="64">
        <f t="shared" si="113"/>
        <v>21056.986908804723</v>
      </c>
      <c r="Q114" s="64">
        <f t="shared" si="113"/>
        <v>20057.400337460582</v>
      </c>
      <c r="R114" s="64">
        <f t="shared" si="113"/>
        <v>18443.11952759439</v>
      </c>
      <c r="S114" s="64">
        <f t="shared" si="113"/>
        <v>19240.333808567226</v>
      </c>
      <c r="T114" s="64">
        <f t="shared" si="113"/>
        <v>19961.75569574512</v>
      </c>
      <c r="U114" s="64">
        <f t="shared" si="113"/>
        <v>18864.771741950492</v>
      </c>
      <c r="V114" s="64">
        <f t="shared" si="113"/>
        <v>19478.638738009966</v>
      </c>
      <c r="W114" s="64">
        <f t="shared" si="113"/>
        <v>22797.868288706657</v>
      </c>
      <c r="X114" s="64">
        <f t="shared" ref="X114:Y114" si="114">X82*1000000/X$8</f>
        <v>21766.454762770471</v>
      </c>
      <c r="Y114" s="64">
        <f t="shared" si="114"/>
        <v>22027.65063185187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25831.025722394417</v>
      </c>
      <c r="C115" s="65">
        <f t="shared" ref="C115:W115" si="116">C83*1000000/C$8</f>
        <v>25644.134780382043</v>
      </c>
      <c r="D115" s="65">
        <f t="shared" si="116"/>
        <v>27009.214776526918</v>
      </c>
      <c r="E115" s="65">
        <f t="shared" si="116"/>
        <v>27076.49967590037</v>
      </c>
      <c r="F115" s="65">
        <f t="shared" si="116"/>
        <v>27812.245623302322</v>
      </c>
      <c r="G115" s="65">
        <f t="shared" si="116"/>
        <v>23811.793976256333</v>
      </c>
      <c r="H115" s="65">
        <f t="shared" si="116"/>
        <v>25893.326176175306</v>
      </c>
      <c r="I115" s="65">
        <f t="shared" si="116"/>
        <v>23950.382153799586</v>
      </c>
      <c r="J115" s="65">
        <f t="shared" si="116"/>
        <v>21331.165719530447</v>
      </c>
      <c r="K115" s="65">
        <f t="shared" si="116"/>
        <v>19288.394593190627</v>
      </c>
      <c r="L115" s="65">
        <f t="shared" si="116"/>
        <v>21228.30890557434</v>
      </c>
      <c r="M115" s="65">
        <f t="shared" si="116"/>
        <v>18354.747262680106</v>
      </c>
      <c r="N115" s="65">
        <f t="shared" si="116"/>
        <v>18035.352873779502</v>
      </c>
      <c r="O115" s="65">
        <f t="shared" si="116"/>
        <v>16770.357391053964</v>
      </c>
      <c r="P115" s="65">
        <f t="shared" si="116"/>
        <v>17360.27278375555</v>
      </c>
      <c r="Q115" s="65">
        <f t="shared" si="116"/>
        <v>16433.04779915094</v>
      </c>
      <c r="R115" s="65">
        <f t="shared" si="116"/>
        <v>14309.023804208009</v>
      </c>
      <c r="S115" s="65">
        <f t="shared" si="116"/>
        <v>14664.748281706003</v>
      </c>
      <c r="T115" s="65">
        <f t="shared" si="116"/>
        <v>15506.81399356805</v>
      </c>
      <c r="U115" s="65">
        <f t="shared" si="116"/>
        <v>14551.533205317357</v>
      </c>
      <c r="V115" s="65">
        <f t="shared" si="116"/>
        <v>15171.619550684847</v>
      </c>
      <c r="W115" s="65">
        <f t="shared" si="116"/>
        <v>18444.796654865633</v>
      </c>
      <c r="X115" s="65">
        <f t="shared" ref="X115:Y115" si="117">X83*1000000/X$8</f>
        <v>17115.579754921597</v>
      </c>
      <c r="Y115" s="65">
        <f t="shared" si="117"/>
        <v>17697.880998936631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</v>
      </c>
      <c r="C116" s="65">
        <f t="shared" ref="C116:W116" si="119">C84*1000000/C$8</f>
        <v>0</v>
      </c>
      <c r="D116" s="65">
        <f t="shared" si="119"/>
        <v>0</v>
      </c>
      <c r="E116" s="65">
        <f t="shared" si="119"/>
        <v>0</v>
      </c>
      <c r="F116" s="65">
        <f t="shared" si="119"/>
        <v>0</v>
      </c>
      <c r="G116" s="65">
        <f t="shared" si="119"/>
        <v>0</v>
      </c>
      <c r="H116" s="65">
        <f t="shared" si="119"/>
        <v>0</v>
      </c>
      <c r="I116" s="65">
        <f t="shared" si="119"/>
        <v>0</v>
      </c>
      <c r="J116" s="65">
        <f t="shared" si="119"/>
        <v>0</v>
      </c>
      <c r="K116" s="65">
        <f t="shared" si="119"/>
        <v>0</v>
      </c>
      <c r="L116" s="65">
        <f t="shared" si="119"/>
        <v>0</v>
      </c>
      <c r="M116" s="65">
        <f t="shared" si="119"/>
        <v>0</v>
      </c>
      <c r="N116" s="65">
        <f t="shared" si="119"/>
        <v>0</v>
      </c>
      <c r="O116" s="65">
        <f t="shared" si="119"/>
        <v>0</v>
      </c>
      <c r="P116" s="65">
        <f t="shared" si="119"/>
        <v>0</v>
      </c>
      <c r="Q116" s="65">
        <f t="shared" si="119"/>
        <v>0</v>
      </c>
      <c r="R116" s="65">
        <f t="shared" si="119"/>
        <v>0</v>
      </c>
      <c r="S116" s="65">
        <f t="shared" si="119"/>
        <v>0</v>
      </c>
      <c r="T116" s="65">
        <f t="shared" si="119"/>
        <v>0</v>
      </c>
      <c r="U116" s="65">
        <f t="shared" si="119"/>
        <v>0</v>
      </c>
      <c r="V116" s="65">
        <f t="shared" si="119"/>
        <v>0</v>
      </c>
      <c r="W116" s="65">
        <f t="shared" si="119"/>
        <v>0</v>
      </c>
      <c r="X116" s="65">
        <f t="shared" ref="X116:Y116" si="120">X84*1000000/X$8</f>
        <v>0</v>
      </c>
      <c r="Y116" s="65">
        <f t="shared" si="120"/>
        <v>0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1730.8314214162347</v>
      </c>
      <c r="C117" s="65">
        <f t="shared" ref="C117:W117" si="122">C85*1000000/C$8</f>
        <v>1722.3548607536065</v>
      </c>
      <c r="D117" s="65">
        <f t="shared" si="122"/>
        <v>1783.1091692881751</v>
      </c>
      <c r="E117" s="65">
        <f t="shared" si="122"/>
        <v>1758.6123541519901</v>
      </c>
      <c r="F117" s="65">
        <f t="shared" si="122"/>
        <v>1722.0013068451683</v>
      </c>
      <c r="G117" s="65">
        <f t="shared" si="122"/>
        <v>1762.7793453858299</v>
      </c>
      <c r="H117" s="65">
        <f t="shared" si="122"/>
        <v>1734.1163376166901</v>
      </c>
      <c r="I117" s="65">
        <f t="shared" si="122"/>
        <v>1669.0744623266839</v>
      </c>
      <c r="J117" s="65">
        <f t="shared" si="122"/>
        <v>1784.2941983575242</v>
      </c>
      <c r="K117" s="65">
        <f t="shared" si="122"/>
        <v>1831.681013879939</v>
      </c>
      <c r="L117" s="65">
        <f t="shared" si="122"/>
        <v>1848.8014334912334</v>
      </c>
      <c r="M117" s="65">
        <f t="shared" si="122"/>
        <v>1865.3324721738961</v>
      </c>
      <c r="N117" s="65">
        <f t="shared" si="122"/>
        <v>1909.0247228910146</v>
      </c>
      <c r="O117" s="65">
        <f t="shared" si="122"/>
        <v>1912.9795655462669</v>
      </c>
      <c r="P117" s="65">
        <f t="shared" si="122"/>
        <v>1896.8125844017461</v>
      </c>
      <c r="Q117" s="65">
        <f t="shared" si="122"/>
        <v>1886.5007490612454</v>
      </c>
      <c r="R117" s="65">
        <f t="shared" si="122"/>
        <v>1864.801730171112</v>
      </c>
      <c r="S117" s="65">
        <f t="shared" si="122"/>
        <v>1823.5305953601141</v>
      </c>
      <c r="T117" s="65">
        <f t="shared" si="122"/>
        <v>1728.7264619716152</v>
      </c>
      <c r="U117" s="65">
        <f t="shared" si="122"/>
        <v>1651.2480610126286</v>
      </c>
      <c r="V117" s="65">
        <f t="shared" si="122"/>
        <v>1559.7975194102933</v>
      </c>
      <c r="W117" s="65">
        <f t="shared" si="122"/>
        <v>1568.1289871114711</v>
      </c>
      <c r="X117" s="65">
        <f t="shared" ref="X117:Y117" si="123">X85*1000000/X$8</f>
        <v>1517.5191410481264</v>
      </c>
      <c r="Y117" s="65">
        <f t="shared" si="123"/>
        <v>1431.5886997524808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1049.9592698911365</v>
      </c>
      <c r="C118" s="67">
        <f t="shared" ref="C118:W118" si="125">C86*1000000/C$8</f>
        <v>2163.0917402544196</v>
      </c>
      <c r="D118" s="67">
        <f t="shared" si="125"/>
        <v>2270.6161586196386</v>
      </c>
      <c r="E118" s="67">
        <f t="shared" si="125"/>
        <v>2688.8665478367807</v>
      </c>
      <c r="F118" s="67">
        <f t="shared" si="125"/>
        <v>2532.8733592398994</v>
      </c>
      <c r="G118" s="67">
        <f t="shared" si="125"/>
        <v>2498.6411490621094</v>
      </c>
      <c r="H118" s="67">
        <f t="shared" si="125"/>
        <v>2389.7025300626974</v>
      </c>
      <c r="I118" s="67">
        <f t="shared" si="125"/>
        <v>2374.6641475714405</v>
      </c>
      <c r="J118" s="67">
        <f t="shared" si="125"/>
        <v>2321.24145458471</v>
      </c>
      <c r="K118" s="67">
        <f t="shared" si="125"/>
        <v>2428.8752738341541</v>
      </c>
      <c r="L118" s="67">
        <f t="shared" si="125"/>
        <v>2361.0900338141892</v>
      </c>
      <c r="M118" s="67">
        <f t="shared" si="125"/>
        <v>2068.1484965185423</v>
      </c>
      <c r="N118" s="67">
        <f t="shared" si="125"/>
        <v>1837.3291636085098</v>
      </c>
      <c r="O118" s="67">
        <f t="shared" si="125"/>
        <v>1635.9799324988571</v>
      </c>
      <c r="P118" s="67">
        <f t="shared" si="125"/>
        <v>1799.9015406474282</v>
      </c>
      <c r="Q118" s="67">
        <f t="shared" si="125"/>
        <v>1737.8517892483974</v>
      </c>
      <c r="R118" s="67">
        <f t="shared" si="125"/>
        <v>2269.2939932152731</v>
      </c>
      <c r="S118" s="67">
        <f t="shared" si="125"/>
        <v>2752.0549315011049</v>
      </c>
      <c r="T118" s="67">
        <f t="shared" si="125"/>
        <v>2726.2152402054576</v>
      </c>
      <c r="U118" s="67">
        <f t="shared" si="125"/>
        <v>2661.9904756205092</v>
      </c>
      <c r="V118" s="67">
        <f t="shared" si="125"/>
        <v>2747.2216679148282</v>
      </c>
      <c r="W118" s="67">
        <f t="shared" si="125"/>
        <v>2784.9426467295534</v>
      </c>
      <c r="X118" s="67">
        <f t="shared" ref="X118:Y118" si="126">X86*1000000/X$8</f>
        <v>3133.3558668007454</v>
      </c>
      <c r="Y118" s="67">
        <f t="shared" si="126"/>
        <v>2898.180933162761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0.61178363958170079</v>
      </c>
      <c r="C121" s="86">
        <f t="shared" ref="C121:W121" si="131">IF(C107=0,"",C107/C100)</f>
        <v>0.61329195546595494</v>
      </c>
      <c r="D121" s="86">
        <f t="shared" si="131"/>
        <v>0.61455368209252237</v>
      </c>
      <c r="E121" s="86">
        <f t="shared" si="131"/>
        <v>0.6186284143217774</v>
      </c>
      <c r="F121" s="86">
        <f t="shared" si="131"/>
        <v>0.61493278695261133</v>
      </c>
      <c r="G121" s="86">
        <f t="shared" si="131"/>
        <v>0.62511198246769784</v>
      </c>
      <c r="H121" s="86">
        <f t="shared" si="131"/>
        <v>0.62576033935377517</v>
      </c>
      <c r="I121" s="86">
        <f t="shared" si="131"/>
        <v>0.62956231292731879</v>
      </c>
      <c r="J121" s="86">
        <f t="shared" si="131"/>
        <v>0.64658531461428537</v>
      </c>
      <c r="K121" s="86">
        <f t="shared" si="131"/>
        <v>0.64926210669106121</v>
      </c>
      <c r="L121" s="86">
        <f t="shared" si="131"/>
        <v>0.65466954249609666</v>
      </c>
      <c r="M121" s="86">
        <f t="shared" si="131"/>
        <v>0.66266776132970362</v>
      </c>
      <c r="N121" s="86">
        <f t="shared" si="131"/>
        <v>0.66904733825213081</v>
      </c>
      <c r="O121" s="86">
        <f t="shared" si="131"/>
        <v>0.67591426333450921</v>
      </c>
      <c r="P121" s="86">
        <f t="shared" si="131"/>
        <v>0.67997255362147435</v>
      </c>
      <c r="Q121" s="86">
        <f t="shared" si="131"/>
        <v>0.68519614515008687</v>
      </c>
      <c r="R121" s="86">
        <f t="shared" si="131"/>
        <v>0.6990499375737973</v>
      </c>
      <c r="S121" s="86">
        <f t="shared" si="131"/>
        <v>0.70470294103372122</v>
      </c>
      <c r="T121" s="86">
        <f t="shared" si="131"/>
        <v>0.7171346835441863</v>
      </c>
      <c r="U121" s="86">
        <f t="shared" si="131"/>
        <v>0.73300188493643637</v>
      </c>
      <c r="V121" s="86">
        <f t="shared" si="131"/>
        <v>0.74614108232089638</v>
      </c>
      <c r="W121" s="86">
        <f t="shared" si="131"/>
        <v>0.75578663041803662</v>
      </c>
      <c r="X121" s="86">
        <f t="shared" ref="X121:Y121" si="132">IF(X107=0,"",X107/X100)</f>
        <v>0.75761605045761016</v>
      </c>
      <c r="Y121" s="86">
        <f t="shared" si="132"/>
        <v>0.77064209652676074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0.59419995785083868</v>
      </c>
      <c r="C122" s="75">
        <f t="shared" ref="C122:W122" si="134">IF(C108=0,"",C108/C101)</f>
        <v>0.5974828217945386</v>
      </c>
      <c r="D122" s="75">
        <f t="shared" si="134"/>
        <v>0.60002806186922875</v>
      </c>
      <c r="E122" s="75">
        <f t="shared" si="134"/>
        <v>0.60554024518400662</v>
      </c>
      <c r="F122" s="75">
        <f t="shared" si="134"/>
        <v>0.59987072757522153</v>
      </c>
      <c r="G122" s="75">
        <f t="shared" si="134"/>
        <v>0.61027116681104099</v>
      </c>
      <c r="H122" s="75">
        <f t="shared" si="134"/>
        <v>0.60971877885030346</v>
      </c>
      <c r="I122" s="75">
        <f t="shared" si="134"/>
        <v>0.61440085302540293</v>
      </c>
      <c r="J122" s="75">
        <f t="shared" si="134"/>
        <v>0.63147352647171662</v>
      </c>
      <c r="K122" s="75">
        <f t="shared" si="134"/>
        <v>0.63100691586317514</v>
      </c>
      <c r="L122" s="75">
        <f t="shared" si="134"/>
        <v>0.63667903629890976</v>
      </c>
      <c r="M122" s="75">
        <f t="shared" si="134"/>
        <v>0.64357217282089507</v>
      </c>
      <c r="N122" s="75">
        <f t="shared" si="134"/>
        <v>0.65279922155570269</v>
      </c>
      <c r="O122" s="75">
        <f t="shared" si="134"/>
        <v>0.65765130783565517</v>
      </c>
      <c r="P122" s="75">
        <f t="shared" si="134"/>
        <v>0.6619219131805314</v>
      </c>
      <c r="Q122" s="75">
        <f t="shared" si="134"/>
        <v>0.66505789630424361</v>
      </c>
      <c r="R122" s="75">
        <f t="shared" si="134"/>
        <v>0.68365537130909138</v>
      </c>
      <c r="S122" s="75">
        <f t="shared" si="134"/>
        <v>0.68997173000425793</v>
      </c>
      <c r="T122" s="75">
        <f t="shared" si="134"/>
        <v>0.70151963655301319</v>
      </c>
      <c r="U122" s="75">
        <f t="shared" si="134"/>
        <v>0.71788354823552869</v>
      </c>
      <c r="V122" s="75">
        <f t="shared" si="134"/>
        <v>0.73278817658607631</v>
      </c>
      <c r="W122" s="75">
        <f t="shared" si="134"/>
        <v>0.74099305420100225</v>
      </c>
      <c r="X122" s="75">
        <f t="shared" ref="X122:Y122" si="135">IF(X108=0,"",X108/X101)</f>
        <v>0.74121894015471446</v>
      </c>
      <c r="Y122" s="75">
        <f t="shared" si="135"/>
        <v>0.75192057520731126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2.0295683729194387</v>
      </c>
      <c r="C123" s="76">
        <f t="shared" ref="C123:W123" si="137">IF(C109=0,"",C109/C102)</f>
        <v>2.1319414938975587</v>
      </c>
      <c r="D123" s="76">
        <f t="shared" si="137"/>
        <v>2.2566774796230349</v>
      </c>
      <c r="E123" s="76">
        <f t="shared" si="137"/>
        <v>2.3961475381232109</v>
      </c>
      <c r="F123" s="76">
        <f t="shared" si="137"/>
        <v>2.5306872567748941</v>
      </c>
      <c r="G123" s="76">
        <f t="shared" si="137"/>
        <v>2.6890956432940012</v>
      </c>
      <c r="H123" s="76">
        <f t="shared" si="137"/>
        <v>2.85277145550211</v>
      </c>
      <c r="I123" s="76">
        <f t="shared" si="137"/>
        <v>3.0348935311885326</v>
      </c>
      <c r="J123" s="76">
        <f t="shared" si="137"/>
        <v>3.2206296823370337</v>
      </c>
      <c r="K123" s="76">
        <f t="shared" si="137"/>
        <v>3.2993151380178078</v>
      </c>
      <c r="L123" s="76">
        <f t="shared" si="137"/>
        <v>3.3902415769073082</v>
      </c>
      <c r="M123" s="76">
        <f t="shared" si="137"/>
        <v>3.5166884068048878</v>
      </c>
      <c r="N123" s="76">
        <f t="shared" si="137"/>
        <v>3.6496564274764651</v>
      </c>
      <c r="O123" s="76">
        <f t="shared" si="137"/>
        <v>3.7974130554034593</v>
      </c>
      <c r="P123" s="76">
        <f t="shared" si="137"/>
        <v>3.9577426284435306</v>
      </c>
      <c r="Q123" s="76">
        <f t="shared" si="137"/>
        <v>4.1343184452366639</v>
      </c>
      <c r="R123" s="76">
        <f t="shared" si="137"/>
        <v>4.318677231808234</v>
      </c>
      <c r="S123" s="76">
        <f t="shared" si="137"/>
        <v>4.493800488448735</v>
      </c>
      <c r="T123" s="76">
        <f t="shared" si="137"/>
        <v>4.6481854602899393</v>
      </c>
      <c r="U123" s="76">
        <f t="shared" si="137"/>
        <v>4.7785229756564833</v>
      </c>
      <c r="V123" s="76">
        <f t="shared" si="137"/>
        <v>4.8921999398099629</v>
      </c>
      <c r="W123" s="76">
        <f t="shared" si="137"/>
        <v>4.99471630656189</v>
      </c>
      <c r="X123" s="76">
        <f t="shared" ref="X123:Y123" si="138">IF(X109=0,"",X109/X102)</f>
        <v>5.0746615523488048</v>
      </c>
      <c r="Y123" s="76">
        <f t="shared" si="138"/>
        <v>5.140109946143073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0.6104482244706716</v>
      </c>
      <c r="C124" s="76">
        <f t="shared" ref="C124:W124" si="140">IF(C110=0,"",C110/C103)</f>
        <v>0.61918482689491716</v>
      </c>
      <c r="D124" s="76">
        <f t="shared" si="140"/>
        <v>0.62185266183783461</v>
      </c>
      <c r="E124" s="76">
        <f t="shared" si="140"/>
        <v>0.62620448988829613</v>
      </c>
      <c r="F124" s="76">
        <f t="shared" si="140"/>
        <v>0.62966312584555484</v>
      </c>
      <c r="G124" s="76">
        <f t="shared" si="140"/>
        <v>0.63247599819368461</v>
      </c>
      <c r="H124" s="76">
        <f t="shared" si="140"/>
        <v>0.63760982354748674</v>
      </c>
      <c r="I124" s="76">
        <f t="shared" si="140"/>
        <v>0.64328445381265498</v>
      </c>
      <c r="J124" s="76">
        <f t="shared" si="140"/>
        <v>0.64574392125709867</v>
      </c>
      <c r="K124" s="76">
        <f t="shared" si="140"/>
        <v>0.65101758882179872</v>
      </c>
      <c r="L124" s="76">
        <f t="shared" si="140"/>
        <v>0.65624984830059629</v>
      </c>
      <c r="M124" s="76">
        <f t="shared" si="140"/>
        <v>0.66346021712304415</v>
      </c>
      <c r="N124" s="76">
        <f t="shared" si="140"/>
        <v>0.67108956280291532</v>
      </c>
      <c r="O124" s="76">
        <f t="shared" si="140"/>
        <v>0.67986504149208449</v>
      </c>
      <c r="P124" s="76">
        <f t="shared" si="140"/>
        <v>0.68476743669479467</v>
      </c>
      <c r="Q124" s="76">
        <f t="shared" si="140"/>
        <v>0.693839628224867</v>
      </c>
      <c r="R124" s="76">
        <f t="shared" si="140"/>
        <v>0.70410790594947148</v>
      </c>
      <c r="S124" s="76">
        <f t="shared" si="140"/>
        <v>0.71735405012405185</v>
      </c>
      <c r="T124" s="76">
        <f t="shared" si="140"/>
        <v>0.73369283165139743</v>
      </c>
      <c r="U124" s="76">
        <f t="shared" si="140"/>
        <v>0.75119544446294428</v>
      </c>
      <c r="V124" s="76">
        <f t="shared" si="140"/>
        <v>0.76657765633049335</v>
      </c>
      <c r="W124" s="76">
        <f t="shared" si="140"/>
        <v>0.78300616350309449</v>
      </c>
      <c r="X124" s="76">
        <f t="shared" ref="X124:Y124" si="141">IF(X110=0,"",X110/X103)</f>
        <v>0.79793788637598695</v>
      </c>
      <c r="Y124" s="76">
        <f t="shared" si="141"/>
        <v>0.81330370778856786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0.72186776564285393</v>
      </c>
      <c r="C125" s="56">
        <f t="shared" ref="C125:W125" si="143">IF(C111=0,"",C111/C104)</f>
        <v>0.70314832393357818</v>
      </c>
      <c r="D125" s="56">
        <f t="shared" si="143"/>
        <v>0.69920573986724699</v>
      </c>
      <c r="E125" s="56">
        <f t="shared" si="143"/>
        <v>0.69280693903830093</v>
      </c>
      <c r="F125" s="56">
        <f t="shared" si="143"/>
        <v>0.69664857447523176</v>
      </c>
      <c r="G125" s="56">
        <f t="shared" si="143"/>
        <v>0.70046101135138283</v>
      </c>
      <c r="H125" s="56">
        <f t="shared" si="143"/>
        <v>0.70425092666793965</v>
      </c>
      <c r="I125" s="56">
        <f t="shared" si="143"/>
        <v>0.70431118605752996</v>
      </c>
      <c r="J125" s="56">
        <f t="shared" si="143"/>
        <v>0.70734613478885977</v>
      </c>
      <c r="K125" s="56">
        <f t="shared" si="143"/>
        <v>0.70832362521813397</v>
      </c>
      <c r="L125" s="56">
        <f t="shared" si="143"/>
        <v>0.71032884990060274</v>
      </c>
      <c r="M125" s="56">
        <f t="shared" si="143"/>
        <v>0.71679739817739185</v>
      </c>
      <c r="N125" s="56">
        <f t="shared" si="143"/>
        <v>0.72351138595869913</v>
      </c>
      <c r="O125" s="56">
        <f t="shared" si="143"/>
        <v>0.73060012389769879</v>
      </c>
      <c r="P125" s="56">
        <f t="shared" si="143"/>
        <v>0.72938295291917099</v>
      </c>
      <c r="Q125" s="56">
        <f t="shared" si="143"/>
        <v>0.73362396201392499</v>
      </c>
      <c r="R125" s="56">
        <f t="shared" si="143"/>
        <v>0.72486878398653942</v>
      </c>
      <c r="S125" s="56">
        <f t="shared" si="143"/>
        <v>0.71961796167513725</v>
      </c>
      <c r="T125" s="56">
        <f t="shared" si="143"/>
        <v>0.72504675425297338</v>
      </c>
      <c r="U125" s="56">
        <f t="shared" si="143"/>
        <v>0.73354205091012648</v>
      </c>
      <c r="V125" s="56">
        <f t="shared" si="143"/>
        <v>0.732887320429222</v>
      </c>
      <c r="W125" s="56">
        <f t="shared" si="143"/>
        <v>0.74174008113988787</v>
      </c>
      <c r="X125" s="56">
        <f t="shared" ref="X125:Y125" si="144">IF(X111=0,"",X111/X104)</f>
        <v>0.74237589775205415</v>
      </c>
      <c r="Y125" s="56">
        <f t="shared" si="144"/>
        <v>0.75411756268367236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484.59339769541293</v>
      </c>
      <c r="C129" s="82">
        <f t="shared" ref="C129:W129" si="146">IF(C99=0,0,C99/C$26)</f>
        <v>493.22520138475687</v>
      </c>
      <c r="D129" s="82">
        <f t="shared" si="146"/>
        <v>501.56768639473574</v>
      </c>
      <c r="E129" s="82">
        <f t="shared" si="146"/>
        <v>504.93368418994015</v>
      </c>
      <c r="F129" s="82">
        <f t="shared" si="146"/>
        <v>505.14745813922474</v>
      </c>
      <c r="G129" s="82">
        <f t="shared" si="146"/>
        <v>483.65417053375302</v>
      </c>
      <c r="H129" s="82">
        <f t="shared" si="146"/>
        <v>489.30913357724427</v>
      </c>
      <c r="I129" s="82">
        <f t="shared" si="146"/>
        <v>494.54808290899138</v>
      </c>
      <c r="J129" s="82">
        <f t="shared" si="146"/>
        <v>428.01284892394642</v>
      </c>
      <c r="K129" s="82">
        <f t="shared" si="146"/>
        <v>399.64355784677662</v>
      </c>
      <c r="L129" s="82">
        <f t="shared" si="146"/>
        <v>419.45621065237145</v>
      </c>
      <c r="M129" s="82">
        <f t="shared" si="146"/>
        <v>383.79936340418396</v>
      </c>
      <c r="N129" s="82">
        <f t="shared" si="146"/>
        <v>432.26849352461136</v>
      </c>
      <c r="O129" s="82">
        <f t="shared" si="146"/>
        <v>412.30494277999537</v>
      </c>
      <c r="P129" s="82">
        <f t="shared" si="146"/>
        <v>412.97813367988573</v>
      </c>
      <c r="Q129" s="82">
        <f t="shared" si="146"/>
        <v>389.8118731712712</v>
      </c>
      <c r="R129" s="82">
        <f t="shared" si="146"/>
        <v>392.73815406905408</v>
      </c>
      <c r="S129" s="82">
        <f t="shared" si="146"/>
        <v>400.20489881804241</v>
      </c>
      <c r="T129" s="82">
        <f t="shared" si="146"/>
        <v>388.18859267409346</v>
      </c>
      <c r="U129" s="82">
        <f t="shared" si="146"/>
        <v>370.84319459167892</v>
      </c>
      <c r="V129" s="82">
        <f t="shared" si="146"/>
        <v>354.78429347869547</v>
      </c>
      <c r="W129" s="82">
        <f t="shared" si="146"/>
        <v>386.23917870658352</v>
      </c>
      <c r="X129" s="82">
        <f t="shared" ref="X129:Y129" si="147">IF(X99=0,0,X99/X$26)</f>
        <v>365.16104578558731</v>
      </c>
      <c r="Y129" s="82">
        <f t="shared" si="147"/>
        <v>343.04535740638062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424.79058929415595</v>
      </c>
      <c r="C130" s="64">
        <f t="shared" ref="C130:W130" si="149">IF(C100=0,0,C100/C$26)</f>
        <v>432.90642044430632</v>
      </c>
      <c r="D130" s="64">
        <f t="shared" si="149"/>
        <v>440.88718689098857</v>
      </c>
      <c r="E130" s="64">
        <f t="shared" si="149"/>
        <v>443.39180035604539</v>
      </c>
      <c r="F130" s="64">
        <f t="shared" si="149"/>
        <v>442.6731668845602</v>
      </c>
      <c r="G130" s="64">
        <f t="shared" si="149"/>
        <v>419.2753945438933</v>
      </c>
      <c r="H130" s="64">
        <f t="shared" si="149"/>
        <v>423.98014163620957</v>
      </c>
      <c r="I130" s="64">
        <f t="shared" si="149"/>
        <v>428.34178434174407</v>
      </c>
      <c r="J130" s="64">
        <f t="shared" si="149"/>
        <v>360.51647245850984</v>
      </c>
      <c r="K130" s="64">
        <f t="shared" si="149"/>
        <v>330.60244554892688</v>
      </c>
      <c r="L130" s="64">
        <f t="shared" si="149"/>
        <v>349.22934032928242</v>
      </c>
      <c r="M130" s="64">
        <f t="shared" si="149"/>
        <v>314.05377744359282</v>
      </c>
      <c r="N130" s="64">
        <f t="shared" si="149"/>
        <v>361.43397927034988</v>
      </c>
      <c r="O130" s="64">
        <f t="shared" si="149"/>
        <v>340.90527559868036</v>
      </c>
      <c r="P130" s="64">
        <f t="shared" si="149"/>
        <v>341.01939179585582</v>
      </c>
      <c r="Q130" s="64">
        <f t="shared" si="149"/>
        <v>316.89229312078521</v>
      </c>
      <c r="R130" s="64">
        <f t="shared" si="149"/>
        <v>319.78517554464622</v>
      </c>
      <c r="S130" s="64">
        <f t="shared" si="149"/>
        <v>326.12917939589585</v>
      </c>
      <c r="T130" s="64">
        <f t="shared" si="149"/>
        <v>315.18692193642426</v>
      </c>
      <c r="U130" s="64">
        <f t="shared" si="149"/>
        <v>298.72972906620708</v>
      </c>
      <c r="V130" s="64">
        <f t="shared" si="149"/>
        <v>285.56144803843051</v>
      </c>
      <c r="W130" s="64">
        <f t="shared" si="149"/>
        <v>316.84003836348683</v>
      </c>
      <c r="X130" s="64">
        <f t="shared" ref="X130:Y130" si="150">IF(X100=0,0,X100/X$26)</f>
        <v>296.00724602203479</v>
      </c>
      <c r="Y130" s="64">
        <f t="shared" si="150"/>
        <v>272.88561296227675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335.04483394745068</v>
      </c>
      <c r="C131" s="65">
        <f t="shared" ref="C131:W131" si="152">IF(C101=0,0,C101/C$26)</f>
        <v>342.04914976941438</v>
      </c>
      <c r="D131" s="65">
        <f t="shared" si="152"/>
        <v>353.58573169929952</v>
      </c>
      <c r="E131" s="65">
        <f t="shared" si="152"/>
        <v>357.15925707806508</v>
      </c>
      <c r="F131" s="65">
        <f t="shared" si="152"/>
        <v>355.92902229402563</v>
      </c>
      <c r="G131" s="65">
        <f t="shared" si="152"/>
        <v>332.37143788445616</v>
      </c>
      <c r="H131" s="65">
        <f t="shared" si="152"/>
        <v>337.23382891361859</v>
      </c>
      <c r="I131" s="65">
        <f t="shared" si="152"/>
        <v>343.88193660111568</v>
      </c>
      <c r="J131" s="65">
        <f t="shared" si="152"/>
        <v>276.04339351874194</v>
      </c>
      <c r="K131" s="65">
        <f t="shared" si="152"/>
        <v>243.10188080236412</v>
      </c>
      <c r="L131" s="65">
        <f t="shared" si="152"/>
        <v>262.94329628277154</v>
      </c>
      <c r="M131" s="65">
        <f t="shared" si="152"/>
        <v>227.71439195529558</v>
      </c>
      <c r="N131" s="65">
        <f t="shared" si="152"/>
        <v>276.69735157500827</v>
      </c>
      <c r="O131" s="65">
        <f t="shared" si="152"/>
        <v>255.00381076581084</v>
      </c>
      <c r="P131" s="65">
        <f t="shared" si="152"/>
        <v>256.44963138086706</v>
      </c>
      <c r="Q131" s="65">
        <f t="shared" si="152"/>
        <v>232.75466171956504</v>
      </c>
      <c r="R131" s="65">
        <f t="shared" si="152"/>
        <v>236.33251283435104</v>
      </c>
      <c r="S131" s="65">
        <f t="shared" si="152"/>
        <v>242.09548998205165</v>
      </c>
      <c r="T131" s="65">
        <f t="shared" si="152"/>
        <v>232.92501794301324</v>
      </c>
      <c r="U131" s="65">
        <f t="shared" si="152"/>
        <v>217.96348646940586</v>
      </c>
      <c r="V131" s="65">
        <f t="shared" si="152"/>
        <v>211.68706344608367</v>
      </c>
      <c r="W131" s="65">
        <f t="shared" si="152"/>
        <v>240.0698038628818</v>
      </c>
      <c r="X131" s="65">
        <f t="shared" ref="X131:Y131" si="153">IF(X101=0,0,X101/X$26)</f>
        <v>217.98450871843241</v>
      </c>
      <c r="Y131" s="65">
        <f t="shared" si="153"/>
        <v>196.25070390995654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0.55448258483934765</v>
      </c>
      <c r="C132" s="65">
        <f t="shared" ref="C132:W132" si="155">IF(C102=0,0,C102/C$26)</f>
        <v>0.57241392210981745</v>
      </c>
      <c r="D132" s="65">
        <f t="shared" si="155"/>
        <v>0.59768699354535448</v>
      </c>
      <c r="E132" s="65">
        <f t="shared" si="155"/>
        <v>0.58480091981175353</v>
      </c>
      <c r="F132" s="65">
        <f t="shared" si="155"/>
        <v>0.56151992396347461</v>
      </c>
      <c r="G132" s="65">
        <f t="shared" si="155"/>
        <v>0.57595230796808861</v>
      </c>
      <c r="H132" s="65">
        <f t="shared" si="155"/>
        <v>0.61280695178220035</v>
      </c>
      <c r="I132" s="65">
        <f t="shared" si="155"/>
        <v>0.58634189688405691</v>
      </c>
      <c r="J132" s="65">
        <f t="shared" si="155"/>
        <v>0.59357921152960924</v>
      </c>
      <c r="K132" s="65">
        <f t="shared" si="155"/>
        <v>0.63141995704038134</v>
      </c>
      <c r="L132" s="65">
        <f t="shared" si="155"/>
        <v>0.7921545128699693</v>
      </c>
      <c r="M132" s="65">
        <f t="shared" si="155"/>
        <v>0.66635921285456667</v>
      </c>
      <c r="N132" s="65">
        <f t="shared" si="155"/>
        <v>0.67315315343810012</v>
      </c>
      <c r="O132" s="65">
        <f t="shared" si="155"/>
        <v>0.65683068286334345</v>
      </c>
      <c r="P132" s="65">
        <f t="shared" si="155"/>
        <v>0.68772256810401777</v>
      </c>
      <c r="Q132" s="65">
        <f t="shared" si="155"/>
        <v>0.64396378483484618</v>
      </c>
      <c r="R132" s="65">
        <f t="shared" si="155"/>
        <v>0.64168484237368018</v>
      </c>
      <c r="S132" s="65">
        <f t="shared" si="155"/>
        <v>0.63677085652148513</v>
      </c>
      <c r="T132" s="65">
        <f t="shared" si="155"/>
        <v>0.67612767591191081</v>
      </c>
      <c r="U132" s="65">
        <f t="shared" si="155"/>
        <v>0.64117805252288396</v>
      </c>
      <c r="V132" s="65">
        <f t="shared" si="155"/>
        <v>0.6431652192950158</v>
      </c>
      <c r="W132" s="65">
        <f t="shared" si="155"/>
        <v>0.74697287146976976</v>
      </c>
      <c r="X132" s="65">
        <f t="shared" ref="X132:Y132" si="156">IF(X102=0,0,X102/X$26)</f>
        <v>0.64332341265807147</v>
      </c>
      <c r="Y132" s="65">
        <f t="shared" si="156"/>
        <v>0.65385385312331867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42.302799694476242</v>
      </c>
      <c r="C133" s="65">
        <f t="shared" ref="C133:W133" si="158">IF(C103=0,0,C103/C$26)</f>
        <v>42.571651839174535</v>
      </c>
      <c r="D133" s="65">
        <f t="shared" si="158"/>
        <v>41.175819456342566</v>
      </c>
      <c r="E133" s="65">
        <f t="shared" si="158"/>
        <v>40.811670756006436</v>
      </c>
      <c r="F133" s="65">
        <f t="shared" si="158"/>
        <v>41.161048229094391</v>
      </c>
      <c r="G133" s="65">
        <f t="shared" si="158"/>
        <v>40.609306066115508</v>
      </c>
      <c r="H133" s="65">
        <f t="shared" si="158"/>
        <v>40.750232987693721</v>
      </c>
      <c r="I133" s="65">
        <f t="shared" si="158"/>
        <v>40.409247439033649</v>
      </c>
      <c r="J133" s="65">
        <f t="shared" si="158"/>
        <v>39.819626664555464</v>
      </c>
      <c r="K133" s="65">
        <f t="shared" si="158"/>
        <v>41.287949747271526</v>
      </c>
      <c r="L133" s="65">
        <f t="shared" si="158"/>
        <v>40.589569793671203</v>
      </c>
      <c r="M133" s="65">
        <f t="shared" si="158"/>
        <v>41.076644492654466</v>
      </c>
      <c r="N133" s="65">
        <f t="shared" si="158"/>
        <v>39.850438456066954</v>
      </c>
      <c r="O133" s="65">
        <f t="shared" si="158"/>
        <v>40.501542809311303</v>
      </c>
      <c r="P133" s="65">
        <f t="shared" si="158"/>
        <v>39.666947733194682</v>
      </c>
      <c r="Q133" s="65">
        <f t="shared" si="158"/>
        <v>39.645117748174144</v>
      </c>
      <c r="R133" s="65">
        <f t="shared" si="158"/>
        <v>39.618139358639112</v>
      </c>
      <c r="S133" s="65">
        <f t="shared" si="158"/>
        <v>39.884022930870749</v>
      </c>
      <c r="T133" s="65">
        <f t="shared" si="158"/>
        <v>38.599058115380537</v>
      </c>
      <c r="U133" s="65">
        <f t="shared" si="158"/>
        <v>37.276980603453531</v>
      </c>
      <c r="V133" s="65">
        <f t="shared" si="158"/>
        <v>33.559347615592685</v>
      </c>
      <c r="W133" s="65">
        <f t="shared" si="158"/>
        <v>35.210271396181454</v>
      </c>
      <c r="X133" s="65">
        <f t="shared" ref="X133:Y133" si="159">IF(X103=0,0,X103/X$26)</f>
        <v>35.569887288284292</v>
      </c>
      <c r="Y133" s="65">
        <f t="shared" si="159"/>
        <v>35.019511104101703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46.888473067389626</v>
      </c>
      <c r="C134" s="67">
        <f t="shared" ref="C134:W134" si="161">IF(C104=0,0,C104/C$26)</f>
        <v>47.71320491360752</v>
      </c>
      <c r="D134" s="67">
        <f t="shared" si="161"/>
        <v>45.527948741801147</v>
      </c>
      <c r="E134" s="67">
        <f t="shared" si="161"/>
        <v>44.836071602162136</v>
      </c>
      <c r="F134" s="67">
        <f t="shared" si="161"/>
        <v>45.021576437476739</v>
      </c>
      <c r="G134" s="67">
        <f t="shared" si="161"/>
        <v>45.718698285353547</v>
      </c>
      <c r="H134" s="67">
        <f t="shared" si="161"/>
        <v>45.38327278311494</v>
      </c>
      <c r="I134" s="67">
        <f t="shared" si="161"/>
        <v>43.464258404710606</v>
      </c>
      <c r="J134" s="67">
        <f t="shared" si="161"/>
        <v>44.059873063682915</v>
      </c>
      <c r="K134" s="67">
        <f t="shared" si="161"/>
        <v>45.581195042250812</v>
      </c>
      <c r="L134" s="67">
        <f t="shared" si="161"/>
        <v>44.904319739969608</v>
      </c>
      <c r="M134" s="67">
        <f t="shared" si="161"/>
        <v>44.596381782788164</v>
      </c>
      <c r="N134" s="67">
        <f t="shared" si="161"/>
        <v>44.213036085836535</v>
      </c>
      <c r="O134" s="67">
        <f t="shared" si="161"/>
        <v>44.743091340694882</v>
      </c>
      <c r="P134" s="67">
        <f t="shared" si="161"/>
        <v>44.215090113690181</v>
      </c>
      <c r="Q134" s="67">
        <f t="shared" si="161"/>
        <v>43.848549868211251</v>
      </c>
      <c r="R134" s="67">
        <f t="shared" si="161"/>
        <v>43.192838509282396</v>
      </c>
      <c r="S134" s="67">
        <f t="shared" si="161"/>
        <v>43.51289562645195</v>
      </c>
      <c r="T134" s="67">
        <f t="shared" si="161"/>
        <v>42.986718202118567</v>
      </c>
      <c r="U134" s="67">
        <f t="shared" si="161"/>
        <v>42.848083940824807</v>
      </c>
      <c r="V134" s="67">
        <f t="shared" si="161"/>
        <v>39.671871757459137</v>
      </c>
      <c r="W134" s="67">
        <f t="shared" si="161"/>
        <v>40.81299023295378</v>
      </c>
      <c r="X134" s="67">
        <f t="shared" ref="X134:Y134" si="162">IF(X104=0,0,X104/X$26)</f>
        <v>41.809526602660078</v>
      </c>
      <c r="Y134" s="67">
        <f t="shared" si="162"/>
        <v>40.961544095095171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59.802808401257032</v>
      </c>
      <c r="C135" s="68">
        <f t="shared" ref="C135:W135" si="164">IF(C105=0,0,C105/C$26)</f>
        <v>60.31878094045063</v>
      </c>
      <c r="D135" s="68">
        <f t="shared" si="164"/>
        <v>60.68049950374715</v>
      </c>
      <c r="E135" s="68">
        <f t="shared" si="164"/>
        <v>61.541883833894772</v>
      </c>
      <c r="F135" s="68">
        <f t="shared" si="164"/>
        <v>62.474291254664465</v>
      </c>
      <c r="G135" s="68">
        <f t="shared" si="164"/>
        <v>64.378775989859832</v>
      </c>
      <c r="H135" s="68">
        <f t="shared" si="164"/>
        <v>65.328991941034815</v>
      </c>
      <c r="I135" s="68">
        <f t="shared" si="164"/>
        <v>66.206298567247316</v>
      </c>
      <c r="J135" s="68">
        <f t="shared" si="164"/>
        <v>67.496376465436555</v>
      </c>
      <c r="K135" s="68">
        <f t="shared" si="164"/>
        <v>69.041112297849736</v>
      </c>
      <c r="L135" s="68">
        <f t="shared" si="164"/>
        <v>70.226870323089145</v>
      </c>
      <c r="M135" s="68">
        <f t="shared" si="164"/>
        <v>69.745585960591143</v>
      </c>
      <c r="N135" s="68">
        <f t="shared" si="164"/>
        <v>70.83451425426145</v>
      </c>
      <c r="O135" s="68">
        <f t="shared" si="164"/>
        <v>71.399667181314939</v>
      </c>
      <c r="P135" s="68">
        <f t="shared" si="164"/>
        <v>71.958741884029777</v>
      </c>
      <c r="Q135" s="68">
        <f t="shared" si="164"/>
        <v>72.919580050485976</v>
      </c>
      <c r="R135" s="68">
        <f t="shared" si="164"/>
        <v>72.952978524407939</v>
      </c>
      <c r="S135" s="68">
        <f t="shared" si="164"/>
        <v>74.075719422146449</v>
      </c>
      <c r="T135" s="68">
        <f t="shared" si="164"/>
        <v>73.001670737669187</v>
      </c>
      <c r="U135" s="68">
        <f t="shared" si="164"/>
        <v>72.11346552547181</v>
      </c>
      <c r="V135" s="68">
        <f t="shared" si="164"/>
        <v>69.222845440264891</v>
      </c>
      <c r="W135" s="68">
        <f t="shared" si="164"/>
        <v>69.399140343096775</v>
      </c>
      <c r="X135" s="68">
        <f t="shared" ref="X135:Y135" si="165">IF(X105=0,0,X105/X$26)</f>
        <v>69.15379976355247</v>
      </c>
      <c r="Y135" s="68">
        <f t="shared" si="165"/>
        <v>70.159744444103865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259.87993277843418</v>
      </c>
      <c r="C137" s="85">
        <f t="shared" ref="C137:W137" si="167">IF(C107=0,0,C107/C$26)</f>
        <v>265.49802512805547</v>
      </c>
      <c r="D137" s="85">
        <f t="shared" si="167"/>
        <v>270.9488440912711</v>
      </c>
      <c r="E137" s="85">
        <f t="shared" si="167"/>
        <v>274.29476637753845</v>
      </c>
      <c r="F137" s="85">
        <f t="shared" si="167"/>
        <v>272.214244221461</v>
      </c>
      <c r="G137" s="85">
        <f t="shared" si="167"/>
        <v>262.09407308325933</v>
      </c>
      <c r="H137" s="85">
        <f t="shared" si="167"/>
        <v>265.30995730953617</v>
      </c>
      <c r="I137" s="85">
        <f t="shared" si="167"/>
        <v>269.66784447360317</v>
      </c>
      <c r="J137" s="85">
        <f t="shared" si="167"/>
        <v>233.10465676821795</v>
      </c>
      <c r="K137" s="85">
        <f t="shared" si="167"/>
        <v>214.64764027431312</v>
      </c>
      <c r="L137" s="85">
        <f t="shared" si="167"/>
        <v>228.62981245958494</v>
      </c>
      <c r="M137" s="85">
        <f t="shared" si="167"/>
        <v>208.11331363568263</v>
      </c>
      <c r="N137" s="85">
        <f t="shared" si="167"/>
        <v>241.81644178470341</v>
      </c>
      <c r="O137" s="85">
        <f t="shared" si="167"/>
        <v>230.42273822312987</v>
      </c>
      <c r="P137" s="85">
        <f t="shared" si="167"/>
        <v>231.88382667387017</v>
      </c>
      <c r="Q137" s="85">
        <f t="shared" si="167"/>
        <v>217.13337767413341</v>
      </c>
      <c r="R137" s="85">
        <f t="shared" si="167"/>
        <v>223.54580700151072</v>
      </c>
      <c r="S137" s="85">
        <f t="shared" si="167"/>
        <v>229.82419187720188</v>
      </c>
      <c r="T137" s="85">
        <f t="shared" si="167"/>
        <v>226.03147352014378</v>
      </c>
      <c r="U137" s="85">
        <f t="shared" si="167"/>
        <v>218.9694544920807</v>
      </c>
      <c r="V137" s="85">
        <f t="shared" si="167"/>
        <v>213.06912790851698</v>
      </c>
      <c r="W137" s="85">
        <f t="shared" si="167"/>
        <v>239.46346497626115</v>
      </c>
      <c r="X137" s="85">
        <f t="shared" ref="X137:Y137" si="168">IF(X107=0,0,X107/X$26)</f>
        <v>224.25984063804813</v>
      </c>
      <c r="Y137" s="85">
        <f t="shared" si="168"/>
        <v>210.29714088523914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199.08362620971644</v>
      </c>
      <c r="C138" s="65">
        <f t="shared" ref="C138:W138" si="170">IF(C108=0,0,C108/C$26)</f>
        <v>204.36849119665243</v>
      </c>
      <c r="D138" s="65">
        <f t="shared" si="170"/>
        <v>212.16136129614378</v>
      </c>
      <c r="E138" s="65">
        <f t="shared" si="170"/>
        <v>216.27430410078918</v>
      </c>
      <c r="F138" s="65">
        <f t="shared" si="170"/>
        <v>213.51140156865441</v>
      </c>
      <c r="G138" s="65">
        <f t="shared" si="170"/>
        <v>202.83670521241046</v>
      </c>
      <c r="H138" s="65">
        <f t="shared" si="170"/>
        <v>205.6177983522237</v>
      </c>
      <c r="I138" s="65">
        <f t="shared" si="170"/>
        <v>211.28135518775304</v>
      </c>
      <c r="J138" s="65">
        <f t="shared" si="170"/>
        <v>174.31409516449978</v>
      </c>
      <c r="K138" s="65">
        <f t="shared" si="170"/>
        <v>153.39896804563702</v>
      </c>
      <c r="L138" s="65">
        <f t="shared" si="170"/>
        <v>167.41048447857369</v>
      </c>
      <c r="M138" s="65">
        <f t="shared" si="170"/>
        <v>146.55064601325853</v>
      </c>
      <c r="N138" s="65">
        <f t="shared" si="170"/>
        <v>180.62781571468997</v>
      </c>
      <c r="O138" s="65">
        <f t="shared" si="170"/>
        <v>167.70358965321142</v>
      </c>
      <c r="P138" s="65">
        <f t="shared" si="170"/>
        <v>169.74963063806555</v>
      </c>
      <c r="Q138" s="65">
        <f t="shared" si="170"/>
        <v>154.7953256782198</v>
      </c>
      <c r="R138" s="65">
        <f t="shared" si="170"/>
        <v>161.56999181417885</v>
      </c>
      <c r="S138" s="65">
        <f t="shared" si="170"/>
        <v>167.03904404914468</v>
      </c>
      <c r="T138" s="65">
        <f t="shared" si="170"/>
        <v>163.40147393148675</v>
      </c>
      <c r="U138" s="65">
        <f t="shared" si="170"/>
        <v>156.47240105244373</v>
      </c>
      <c r="V138" s="65">
        <f t="shared" si="170"/>
        <v>155.12177722951671</v>
      </c>
      <c r="W138" s="65">
        <f t="shared" si="170"/>
        <v>177.89005718579236</v>
      </c>
      <c r="X138" s="65">
        <f t="shared" ref="X138:Y138" si="171">IF(X108=0,0,X108/X$26)</f>
        <v>161.57424652242256</v>
      </c>
      <c r="Y138" s="65">
        <f t="shared" si="171"/>
        <v>147.56494216881424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1.1253603175245592</v>
      </c>
      <c r="C139" s="65">
        <f t="shared" ref="C139:W139" si="173">IF(C109=0,0,C109/C$26)</f>
        <v>1.2203529922305651</v>
      </c>
      <c r="D139" s="65">
        <f t="shared" si="173"/>
        <v>1.3487867781973997</v>
      </c>
      <c r="E139" s="65">
        <f t="shared" si="173"/>
        <v>1.4012692842991226</v>
      </c>
      <c r="F139" s="65">
        <f t="shared" si="173"/>
        <v>1.4210313159995727</v>
      </c>
      <c r="G139" s="65">
        <f t="shared" si="173"/>
        <v>1.5487908421021119</v>
      </c>
      <c r="H139" s="65">
        <f t="shared" si="173"/>
        <v>1.748198179777519</v>
      </c>
      <c r="I139" s="65">
        <f t="shared" si="173"/>
        <v>1.779485229918238</v>
      </c>
      <c r="J139" s="65">
        <f t="shared" si="173"/>
        <v>1.9116988274704725</v>
      </c>
      <c r="K139" s="65">
        <f t="shared" si="173"/>
        <v>2.083253422709884</v>
      </c>
      <c r="L139" s="65">
        <f t="shared" si="173"/>
        <v>2.6855951648665255</v>
      </c>
      <c r="M139" s="65">
        <f t="shared" si="173"/>
        <v>2.3433777186132851</v>
      </c>
      <c r="N139" s="65">
        <f t="shared" si="173"/>
        <v>2.4567777331214131</v>
      </c>
      <c r="O139" s="65">
        <f t="shared" si="173"/>
        <v>2.4942574102948294</v>
      </c>
      <c r="P139" s="65">
        <f t="shared" si="173"/>
        <v>2.7218289243279301</v>
      </c>
      <c r="Q139" s="65">
        <f t="shared" si="173"/>
        <v>2.6623513537071184</v>
      </c>
      <c r="R139" s="65">
        <f t="shared" si="173"/>
        <v>2.7712297187556683</v>
      </c>
      <c r="S139" s="65">
        <f t="shared" si="173"/>
        <v>2.8615211860661693</v>
      </c>
      <c r="T139" s="65">
        <f t="shared" si="173"/>
        <v>3.1427668324733724</v>
      </c>
      <c r="U139" s="65">
        <f t="shared" si="173"/>
        <v>3.0638840554672804</v>
      </c>
      <c r="V139" s="65">
        <f t="shared" si="173"/>
        <v>3.1464928471229379</v>
      </c>
      <c r="W139" s="65">
        <f t="shared" si="173"/>
        <v>3.7309175816894173</v>
      </c>
      <c r="X139" s="65">
        <f t="shared" ref="X139:Y139" si="174">IF(X109=0,0,X109/X$26)</f>
        <v>3.2646485879417395</v>
      </c>
      <c r="Y139" s="65">
        <f t="shared" si="174"/>
        <v>3.3608806937631424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25.823668963631491</v>
      </c>
      <c r="C140" s="65">
        <f t="shared" ref="C140:W140" si="176">IF(C110=0,0,C110/C$26)</f>
        <v>26.359720874669968</v>
      </c>
      <c r="D140" s="65">
        <f t="shared" si="176"/>
        <v>25.605292932280726</v>
      </c>
      <c r="E140" s="65">
        <f t="shared" si="176"/>
        <v>25.556451467254103</v>
      </c>
      <c r="F140" s="65">
        <f t="shared" si="176"/>
        <v>25.917594291011216</v>
      </c>
      <c r="G140" s="65">
        <f t="shared" si="176"/>
        <v>25.684411390119262</v>
      </c>
      <c r="H140" s="65">
        <f t="shared" si="176"/>
        <v>25.982748864802367</v>
      </c>
      <c r="I140" s="65">
        <f t="shared" si="176"/>
        <v>25.994640667799185</v>
      </c>
      <c r="J140" s="65">
        <f t="shared" si="176"/>
        <v>25.713281865363772</v>
      </c>
      <c r="K140" s="65">
        <f t="shared" si="176"/>
        <v>26.879181491864305</v>
      </c>
      <c r="L140" s="65">
        <f t="shared" si="176"/>
        <v>26.636899019683195</v>
      </c>
      <c r="M140" s="65">
        <f t="shared" si="176"/>
        <v>27.252719473782626</v>
      </c>
      <c r="N140" s="65">
        <f t="shared" si="176"/>
        <v>26.743213320986452</v>
      </c>
      <c r="O140" s="65">
        <f t="shared" si="176"/>
        <v>27.535583082545863</v>
      </c>
      <c r="P140" s="65">
        <f t="shared" si="176"/>
        <v>27.162634120766114</v>
      </c>
      <c r="Q140" s="65">
        <f t="shared" si="176"/>
        <v>27.507353759324221</v>
      </c>
      <c r="R140" s="65">
        <f t="shared" si="176"/>
        <v>27.895445141425725</v>
      </c>
      <c r="S140" s="65">
        <f t="shared" si="176"/>
        <v>28.610965384700684</v>
      </c>
      <c r="T140" s="65">
        <f t="shared" si="176"/>
        <v>28.319852247750397</v>
      </c>
      <c r="U140" s="65">
        <f t="shared" si="176"/>
        <v>28.002298012647831</v>
      </c>
      <c r="V140" s="65">
        <f t="shared" si="176"/>
        <v>25.72584604314137</v>
      </c>
      <c r="W140" s="65">
        <f t="shared" si="176"/>
        <v>27.569859521826785</v>
      </c>
      <c r="X140" s="65">
        <f t="shared" ref="X140:Y140" si="177">IF(X110=0,0,X110/X$26)</f>
        <v>28.382560681445653</v>
      </c>
      <c r="Y140" s="65">
        <f t="shared" si="177"/>
        <v>28.48149822590884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33.847277287561681</v>
      </c>
      <c r="C141" s="68">
        <f t="shared" ref="C141:W141" si="179">IF(C111=0,0,C111/C$26)</f>
        <v>33.549460064502497</v>
      </c>
      <c r="D141" s="68">
        <f t="shared" si="179"/>
        <v>31.83340308464917</v>
      </c>
      <c r="E141" s="68">
        <f t="shared" si="179"/>
        <v>31.062741525196039</v>
      </c>
      <c r="F141" s="68">
        <f t="shared" si="179"/>
        <v>31.364217045795851</v>
      </c>
      <c r="G141" s="68">
        <f t="shared" si="179"/>
        <v>32.02416563862748</v>
      </c>
      <c r="H141" s="68">
        <f t="shared" si="179"/>
        <v>31.96121191273258</v>
      </c>
      <c r="I141" s="68">
        <f t="shared" si="179"/>
        <v>30.612363388132689</v>
      </c>
      <c r="J141" s="68">
        <f t="shared" si="179"/>
        <v>31.165580910883911</v>
      </c>
      <c r="K141" s="68">
        <f t="shared" si="179"/>
        <v>32.286237314101932</v>
      </c>
      <c r="L141" s="68">
        <f t="shared" si="179"/>
        <v>31.896833796461546</v>
      </c>
      <c r="M141" s="68">
        <f t="shared" si="179"/>
        <v>31.966570430028192</v>
      </c>
      <c r="N141" s="68">
        <f t="shared" si="179"/>
        <v>31.988635015905569</v>
      </c>
      <c r="O141" s="68">
        <f t="shared" si="179"/>
        <v>32.689308077077733</v>
      </c>
      <c r="P141" s="68">
        <f t="shared" si="179"/>
        <v>32.249732990710591</v>
      </c>
      <c r="Q141" s="68">
        <f t="shared" si="179"/>
        <v>32.168346882882304</v>
      </c>
      <c r="R141" s="68">
        <f t="shared" si="179"/>
        <v>31.309140327150502</v>
      </c>
      <c r="S141" s="68">
        <f t="shared" si="179"/>
        <v>31.312661257290351</v>
      </c>
      <c r="T141" s="68">
        <f t="shared" si="179"/>
        <v>31.167380508433276</v>
      </c>
      <c r="U141" s="68">
        <f t="shared" si="179"/>
        <v>31.430871371521881</v>
      </c>
      <c r="V141" s="68">
        <f t="shared" si="179"/>
        <v>29.075011788735956</v>
      </c>
      <c r="W141" s="68">
        <f t="shared" si="179"/>
        <v>30.272630686952589</v>
      </c>
      <c r="X141" s="68">
        <f t="shared" ref="X141:Y141" si="180">IF(X111=0,0,X111/X$26)</f>
        <v>31.038384846238166</v>
      </c>
      <c r="Y141" s="68">
        <f t="shared" si="180"/>
        <v>30.889819796752938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31.790907126335316</v>
      </c>
      <c r="C143" s="82">
        <f t="shared" ref="C143:W143" si="182">IF(C113=0,0,C113/C$26)</f>
        <v>32.810645979322288</v>
      </c>
      <c r="D143" s="82">
        <f t="shared" si="182"/>
        <v>34.514377893816373</v>
      </c>
      <c r="E143" s="82">
        <f t="shared" si="182"/>
        <v>35.026642864321268</v>
      </c>
      <c r="F143" s="82">
        <f t="shared" si="182"/>
        <v>35.630133654874875</v>
      </c>
      <c r="G143" s="82">
        <f t="shared" si="182"/>
        <v>31.192460523004744</v>
      </c>
      <c r="H143" s="82">
        <f t="shared" si="182"/>
        <v>33.352383382060772</v>
      </c>
      <c r="I143" s="82">
        <f t="shared" si="182"/>
        <v>31.104578626330788</v>
      </c>
      <c r="J143" s="82">
        <f t="shared" si="182"/>
        <v>28.263001524969646</v>
      </c>
      <c r="K143" s="82">
        <f t="shared" si="182"/>
        <v>26.165500978783019</v>
      </c>
      <c r="L143" s="82">
        <f t="shared" si="182"/>
        <v>28.264667080977517</v>
      </c>
      <c r="M143" s="82">
        <f t="shared" si="182"/>
        <v>24.764698034858384</v>
      </c>
      <c r="N143" s="82">
        <f t="shared" si="182"/>
        <v>24.20189640031003</v>
      </c>
      <c r="O143" s="82">
        <f t="shared" si="182"/>
        <v>22.577018765665656</v>
      </c>
      <c r="P143" s="82">
        <f t="shared" si="182"/>
        <v>23.396652120894139</v>
      </c>
      <c r="Q143" s="82">
        <f t="shared" si="182"/>
        <v>22.286000374956206</v>
      </c>
      <c r="R143" s="82">
        <f t="shared" si="182"/>
        <v>20.492355030660434</v>
      </c>
      <c r="S143" s="82">
        <f t="shared" si="182"/>
        <v>21.378148676185805</v>
      </c>
      <c r="T143" s="82">
        <f t="shared" si="182"/>
        <v>22.17972855082791</v>
      </c>
      <c r="U143" s="82">
        <f t="shared" si="182"/>
        <v>20.960857491056103</v>
      </c>
      <c r="V143" s="82">
        <f t="shared" si="182"/>
        <v>21.642931931122181</v>
      </c>
      <c r="W143" s="82">
        <f t="shared" si="182"/>
        <v>25.330964765229616</v>
      </c>
      <c r="X143" s="82">
        <f t="shared" ref="X143:Y143" si="183">IF(X113=0,0,X113/X$26)</f>
        <v>24.184949736411635</v>
      </c>
      <c r="Y143" s="82">
        <f t="shared" si="183"/>
        <v>24.4751673687243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31.790907126335316</v>
      </c>
      <c r="C144" s="64">
        <f t="shared" ref="C144:W144" si="185">IF(C114=0,0,C114/C$26)</f>
        <v>32.810645979322288</v>
      </c>
      <c r="D144" s="64">
        <f t="shared" si="185"/>
        <v>34.514377893816373</v>
      </c>
      <c r="E144" s="64">
        <f t="shared" si="185"/>
        <v>35.026642864321268</v>
      </c>
      <c r="F144" s="64">
        <f t="shared" si="185"/>
        <v>35.630133654874875</v>
      </c>
      <c r="G144" s="64">
        <f t="shared" si="185"/>
        <v>31.192460523004744</v>
      </c>
      <c r="H144" s="64">
        <f t="shared" si="185"/>
        <v>33.352383382060772</v>
      </c>
      <c r="I144" s="64">
        <f t="shared" si="185"/>
        <v>31.104578626330788</v>
      </c>
      <c r="J144" s="64">
        <f t="shared" si="185"/>
        <v>28.263001524969646</v>
      </c>
      <c r="K144" s="64">
        <f t="shared" si="185"/>
        <v>26.165500978783019</v>
      </c>
      <c r="L144" s="64">
        <f t="shared" si="185"/>
        <v>28.264667080977517</v>
      </c>
      <c r="M144" s="64">
        <f t="shared" si="185"/>
        <v>24.764698034858384</v>
      </c>
      <c r="N144" s="64">
        <f t="shared" si="185"/>
        <v>24.20189640031003</v>
      </c>
      <c r="O144" s="64">
        <f t="shared" si="185"/>
        <v>22.577018765665656</v>
      </c>
      <c r="P144" s="64">
        <f t="shared" si="185"/>
        <v>23.396652120894139</v>
      </c>
      <c r="Q144" s="64">
        <f t="shared" si="185"/>
        <v>22.286000374956206</v>
      </c>
      <c r="R144" s="64">
        <f t="shared" si="185"/>
        <v>20.492355030660434</v>
      </c>
      <c r="S144" s="64">
        <f t="shared" si="185"/>
        <v>21.378148676185805</v>
      </c>
      <c r="T144" s="64">
        <f t="shared" si="185"/>
        <v>22.17972855082791</v>
      </c>
      <c r="U144" s="64">
        <f t="shared" si="185"/>
        <v>20.960857491056103</v>
      </c>
      <c r="V144" s="64">
        <f t="shared" si="185"/>
        <v>21.642931931122181</v>
      </c>
      <c r="W144" s="64">
        <f t="shared" si="185"/>
        <v>25.330964765229616</v>
      </c>
      <c r="X144" s="64">
        <f t="shared" ref="X144:Y144" si="186">IF(X114=0,0,X114/X$26)</f>
        <v>24.184949736411635</v>
      </c>
      <c r="Y144" s="64">
        <f t="shared" si="186"/>
        <v>24.4751673687243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28.701139691549351</v>
      </c>
      <c r="C145" s="65">
        <f t="shared" ref="C145:W145" si="188">IF(C115=0,0,C115/C$26)</f>
        <v>28.493483089313376</v>
      </c>
      <c r="D145" s="65">
        <f t="shared" si="188"/>
        <v>30.01023864058547</v>
      </c>
      <c r="E145" s="65">
        <f t="shared" si="188"/>
        <v>30.0849996398893</v>
      </c>
      <c r="F145" s="65">
        <f t="shared" si="188"/>
        <v>30.902495137002582</v>
      </c>
      <c r="G145" s="65">
        <f t="shared" si="188"/>
        <v>26.457548862507032</v>
      </c>
      <c r="H145" s="65">
        <f t="shared" si="188"/>
        <v>28.77036241797256</v>
      </c>
      <c r="I145" s="65">
        <f t="shared" si="188"/>
        <v>26.611535726443982</v>
      </c>
      <c r="J145" s="65">
        <f t="shared" si="188"/>
        <v>23.701295243922718</v>
      </c>
      <c r="K145" s="65">
        <f t="shared" si="188"/>
        <v>21.431549547989587</v>
      </c>
      <c r="L145" s="65">
        <f t="shared" si="188"/>
        <v>23.587009895082602</v>
      </c>
      <c r="M145" s="65">
        <f t="shared" si="188"/>
        <v>20.394163625200118</v>
      </c>
      <c r="N145" s="65">
        <f t="shared" si="188"/>
        <v>20.039280970866116</v>
      </c>
      <c r="O145" s="65">
        <f t="shared" si="188"/>
        <v>18.633730434504404</v>
      </c>
      <c r="P145" s="65">
        <f t="shared" si="188"/>
        <v>19.289191981950616</v>
      </c>
      <c r="Q145" s="65">
        <f t="shared" si="188"/>
        <v>18.258941999056603</v>
      </c>
      <c r="R145" s="65">
        <f t="shared" si="188"/>
        <v>15.8989153380089</v>
      </c>
      <c r="S145" s="65">
        <f t="shared" si="188"/>
        <v>16.294164757451114</v>
      </c>
      <c r="T145" s="65">
        <f t="shared" si="188"/>
        <v>17.229793326186723</v>
      </c>
      <c r="U145" s="65">
        <f t="shared" si="188"/>
        <v>16.168370228130396</v>
      </c>
      <c r="V145" s="65">
        <f t="shared" si="188"/>
        <v>16.857355056316496</v>
      </c>
      <c r="W145" s="65">
        <f t="shared" si="188"/>
        <v>20.494218505406256</v>
      </c>
      <c r="X145" s="65">
        <f t="shared" ref="X145:Y145" si="189">IF(X115=0,0,X115/X$26)</f>
        <v>19.017310838801773</v>
      </c>
      <c r="Y145" s="65">
        <f t="shared" si="189"/>
        <v>19.664312221040699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0</v>
      </c>
      <c r="C146" s="65">
        <f t="shared" ref="C146:W146" si="191">IF(C116=0,0,C116/C$26)</f>
        <v>0</v>
      </c>
      <c r="D146" s="65">
        <f t="shared" si="191"/>
        <v>0</v>
      </c>
      <c r="E146" s="65">
        <f t="shared" si="191"/>
        <v>0</v>
      </c>
      <c r="F146" s="65">
        <f t="shared" si="191"/>
        <v>0</v>
      </c>
      <c r="G146" s="65">
        <f t="shared" si="191"/>
        <v>0</v>
      </c>
      <c r="H146" s="65">
        <f t="shared" si="191"/>
        <v>0</v>
      </c>
      <c r="I146" s="65">
        <f t="shared" si="191"/>
        <v>0</v>
      </c>
      <c r="J146" s="65">
        <f t="shared" si="191"/>
        <v>0</v>
      </c>
      <c r="K146" s="65">
        <f t="shared" si="191"/>
        <v>0</v>
      </c>
      <c r="L146" s="65">
        <f t="shared" si="191"/>
        <v>0</v>
      </c>
      <c r="M146" s="65">
        <f t="shared" si="191"/>
        <v>0</v>
      </c>
      <c r="N146" s="65">
        <f t="shared" si="191"/>
        <v>0</v>
      </c>
      <c r="O146" s="65">
        <f t="shared" si="191"/>
        <v>0</v>
      </c>
      <c r="P146" s="65">
        <f t="shared" si="191"/>
        <v>0</v>
      </c>
      <c r="Q146" s="65">
        <f t="shared" si="191"/>
        <v>0</v>
      </c>
      <c r="R146" s="65">
        <f t="shared" si="191"/>
        <v>0</v>
      </c>
      <c r="S146" s="65">
        <f t="shared" si="191"/>
        <v>0</v>
      </c>
      <c r="T146" s="65">
        <f t="shared" si="191"/>
        <v>0</v>
      </c>
      <c r="U146" s="65">
        <f t="shared" si="191"/>
        <v>0</v>
      </c>
      <c r="V146" s="65">
        <f t="shared" si="191"/>
        <v>0</v>
      </c>
      <c r="W146" s="65">
        <f t="shared" si="191"/>
        <v>0</v>
      </c>
      <c r="X146" s="65">
        <f t="shared" ref="X146:Y146" si="192">IF(X116=0,0,X116/X$26)</f>
        <v>0</v>
      </c>
      <c r="Y146" s="65">
        <f t="shared" si="192"/>
        <v>0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1.923146023795816</v>
      </c>
      <c r="C147" s="65">
        <f t="shared" ref="C147:W147" si="194">IF(C117=0,0,C117/C$26)</f>
        <v>1.9137276230595626</v>
      </c>
      <c r="D147" s="65">
        <f t="shared" si="194"/>
        <v>1.9812324103201948</v>
      </c>
      <c r="E147" s="65">
        <f t="shared" si="194"/>
        <v>1.9540137268355444</v>
      </c>
      <c r="F147" s="65">
        <f t="shared" si="194"/>
        <v>1.9133347853835203</v>
      </c>
      <c r="G147" s="65">
        <f t="shared" si="194"/>
        <v>1.9586437170953663</v>
      </c>
      <c r="H147" s="65">
        <f t="shared" si="194"/>
        <v>1.9267959306852112</v>
      </c>
      <c r="I147" s="65">
        <f t="shared" si="194"/>
        <v>1.8545271803629819</v>
      </c>
      <c r="J147" s="65">
        <f t="shared" si="194"/>
        <v>1.982549109286138</v>
      </c>
      <c r="K147" s="65">
        <f t="shared" si="194"/>
        <v>2.0352011265332655</v>
      </c>
      <c r="L147" s="65">
        <f t="shared" si="194"/>
        <v>2.0542238149902592</v>
      </c>
      <c r="M147" s="65">
        <f t="shared" si="194"/>
        <v>2.0725916357487733</v>
      </c>
      <c r="N147" s="65">
        <f t="shared" si="194"/>
        <v>2.1211385809900163</v>
      </c>
      <c r="O147" s="65">
        <f t="shared" si="194"/>
        <v>2.1255328506069633</v>
      </c>
      <c r="P147" s="65">
        <f t="shared" si="194"/>
        <v>2.1075695382241628</v>
      </c>
      <c r="Q147" s="65">
        <f t="shared" si="194"/>
        <v>2.0961119434013842</v>
      </c>
      <c r="R147" s="65">
        <f t="shared" si="194"/>
        <v>2.0720019224123467</v>
      </c>
      <c r="S147" s="65">
        <f t="shared" si="194"/>
        <v>2.0261451059556825</v>
      </c>
      <c r="T147" s="65">
        <f t="shared" si="194"/>
        <v>1.9208071799684614</v>
      </c>
      <c r="U147" s="65">
        <f t="shared" si="194"/>
        <v>1.8347200677918096</v>
      </c>
      <c r="V147" s="65">
        <f t="shared" si="194"/>
        <v>1.7331083549003257</v>
      </c>
      <c r="W147" s="65">
        <f t="shared" si="194"/>
        <v>1.7423655412349677</v>
      </c>
      <c r="X147" s="65">
        <f t="shared" ref="X147:Y147" si="195">IF(X117=0,0,X117/X$26)</f>
        <v>1.6861323789423626</v>
      </c>
      <c r="Y147" s="65">
        <f t="shared" si="195"/>
        <v>1.5906541108360899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1.1666214109901516</v>
      </c>
      <c r="C148" s="67">
        <f t="shared" ref="C148:W148" si="197">IF(C118=0,0,C118/C$26)</f>
        <v>2.4034352669493546</v>
      </c>
      <c r="D148" s="67">
        <f t="shared" si="197"/>
        <v>2.52290684291071</v>
      </c>
      <c r="E148" s="67">
        <f t="shared" si="197"/>
        <v>2.9876294975964228</v>
      </c>
      <c r="F148" s="67">
        <f t="shared" si="197"/>
        <v>2.814303732488777</v>
      </c>
      <c r="G148" s="67">
        <f t="shared" si="197"/>
        <v>2.7762679434023436</v>
      </c>
      <c r="H148" s="67">
        <f t="shared" si="197"/>
        <v>2.655225033402997</v>
      </c>
      <c r="I148" s="67">
        <f t="shared" si="197"/>
        <v>2.6385157195238222</v>
      </c>
      <c r="J148" s="67">
        <f t="shared" si="197"/>
        <v>2.5791571717607891</v>
      </c>
      <c r="K148" s="67">
        <f t="shared" si="197"/>
        <v>2.6987503042601713</v>
      </c>
      <c r="L148" s="67">
        <f t="shared" si="197"/>
        <v>2.6234333709046544</v>
      </c>
      <c r="M148" s="67">
        <f t="shared" si="197"/>
        <v>2.2979427739094915</v>
      </c>
      <c r="N148" s="67">
        <f t="shared" si="197"/>
        <v>2.0414768484538999</v>
      </c>
      <c r="O148" s="67">
        <f t="shared" si="197"/>
        <v>1.8177554805542857</v>
      </c>
      <c r="P148" s="67">
        <f t="shared" si="197"/>
        <v>1.9998906007193649</v>
      </c>
      <c r="Q148" s="67">
        <f t="shared" si="197"/>
        <v>1.9309464324982195</v>
      </c>
      <c r="R148" s="67">
        <f t="shared" si="197"/>
        <v>2.5214377702391921</v>
      </c>
      <c r="S148" s="67">
        <f t="shared" si="197"/>
        <v>3.0578388127790053</v>
      </c>
      <c r="T148" s="67">
        <f t="shared" si="197"/>
        <v>3.0291280446727304</v>
      </c>
      <c r="U148" s="67">
        <f t="shared" si="197"/>
        <v>2.9577671951338993</v>
      </c>
      <c r="V148" s="67">
        <f t="shared" si="197"/>
        <v>3.0524685199053643</v>
      </c>
      <c r="W148" s="67">
        <f t="shared" si="197"/>
        <v>3.0943807185883925</v>
      </c>
      <c r="X148" s="67">
        <f t="shared" ref="X148:Y148" si="198">IF(X118=0,0,X118/X$26)</f>
        <v>3.4815065186674947</v>
      </c>
      <c r="Y148" s="67">
        <f t="shared" si="198"/>
        <v>3.220201036847512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9699.488455853143</v>
      </c>
      <c r="C153" s="82">
        <f t="shared" ref="C153:W153" si="203">IF(C99=0,0,C99/C$23)</f>
        <v>10450.716679097439</v>
      </c>
      <c r="D153" s="82">
        <f t="shared" si="203"/>
        <v>10814.231915035083</v>
      </c>
      <c r="E153" s="82">
        <f t="shared" si="203"/>
        <v>11167.867941290537</v>
      </c>
      <c r="F153" s="82">
        <f t="shared" si="203"/>
        <v>11306.067184520347</v>
      </c>
      <c r="G153" s="82">
        <f t="shared" si="203"/>
        <v>10930.437450701935</v>
      </c>
      <c r="H153" s="82">
        <f t="shared" si="203"/>
        <v>11475.695469882263</v>
      </c>
      <c r="I153" s="82">
        <f t="shared" si="203"/>
        <v>11363.495684211983</v>
      </c>
      <c r="J153" s="82">
        <f t="shared" si="203"/>
        <v>10148.591149654778</v>
      </c>
      <c r="K153" s="82">
        <f t="shared" si="203"/>
        <v>10655.746315917026</v>
      </c>
      <c r="L153" s="82">
        <f t="shared" si="203"/>
        <v>11756.409118518464</v>
      </c>
      <c r="M153" s="82">
        <f t="shared" si="203"/>
        <v>10867.285471882613</v>
      </c>
      <c r="N153" s="82">
        <f t="shared" si="203"/>
        <v>12005.18059086955</v>
      </c>
      <c r="O153" s="82">
        <f t="shared" si="203"/>
        <v>11268.898763090308</v>
      </c>
      <c r="P153" s="82">
        <f t="shared" si="203"/>
        <v>11526.208269839039</v>
      </c>
      <c r="Q153" s="82">
        <f t="shared" si="203"/>
        <v>10843.468105199641</v>
      </c>
      <c r="R153" s="82">
        <f t="shared" si="203"/>
        <v>10897.489610624189</v>
      </c>
      <c r="S153" s="82">
        <f t="shared" si="203"/>
        <v>11244.487355763844</v>
      </c>
      <c r="T153" s="82">
        <f t="shared" si="203"/>
        <v>10816.359476244601</v>
      </c>
      <c r="U153" s="82">
        <f t="shared" si="203"/>
        <v>9941.3686263668351</v>
      </c>
      <c r="V153" s="82">
        <f t="shared" si="203"/>
        <v>9742.3543320189547</v>
      </c>
      <c r="W153" s="82">
        <f t="shared" si="203"/>
        <v>10870.298232249486</v>
      </c>
      <c r="X153" s="82">
        <f t="shared" ref="X153:Y153" si="204">IF(X99=0,0,X99/X$23)</f>
        <v>10312.44416449251</v>
      </c>
      <c r="Y153" s="82">
        <f t="shared" si="204"/>
        <v>9703.3276945771904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8502.4918552511299</v>
      </c>
      <c r="C154" s="64">
        <f t="shared" ref="C154:W154" si="206">IF(C100=0,0,C100/C$23)</f>
        <v>9172.6504159231736</v>
      </c>
      <c r="D154" s="64">
        <f t="shared" si="206"/>
        <v>9505.9080095009231</v>
      </c>
      <c r="E154" s="64">
        <f t="shared" si="206"/>
        <v>9806.7156691504933</v>
      </c>
      <c r="F154" s="64">
        <f t="shared" si="206"/>
        <v>9907.7853108820691</v>
      </c>
      <c r="G154" s="64">
        <f t="shared" si="206"/>
        <v>9475.4966541957583</v>
      </c>
      <c r="H154" s="64">
        <f t="shared" si="206"/>
        <v>9943.5441867275276</v>
      </c>
      <c r="I154" s="64">
        <f t="shared" si="206"/>
        <v>9842.2381684387128</v>
      </c>
      <c r="J154" s="64">
        <f t="shared" si="206"/>
        <v>8548.1879595332284</v>
      </c>
      <c r="K154" s="64">
        <f t="shared" si="206"/>
        <v>8814.8944778981895</v>
      </c>
      <c r="L154" s="64">
        <f t="shared" si="206"/>
        <v>9788.1087389691565</v>
      </c>
      <c r="M154" s="64">
        <f t="shared" si="206"/>
        <v>8892.4380247302033</v>
      </c>
      <c r="N154" s="64">
        <f t="shared" si="206"/>
        <v>10037.928412124962</v>
      </c>
      <c r="O154" s="64">
        <f t="shared" si="206"/>
        <v>9317.4411459209932</v>
      </c>
      <c r="P154" s="64">
        <f t="shared" si="206"/>
        <v>9517.8417774042973</v>
      </c>
      <c r="Q154" s="64">
        <f t="shared" si="206"/>
        <v>8815.0508225516405</v>
      </c>
      <c r="R154" s="64">
        <f t="shared" si="206"/>
        <v>8873.2291274065574</v>
      </c>
      <c r="S154" s="64">
        <f t="shared" si="206"/>
        <v>9163.1947657145047</v>
      </c>
      <c r="T154" s="64">
        <f t="shared" si="206"/>
        <v>8782.2648944700122</v>
      </c>
      <c r="U154" s="64">
        <f t="shared" si="206"/>
        <v>8008.1889046710648</v>
      </c>
      <c r="V154" s="64">
        <f t="shared" si="206"/>
        <v>7841.4993602919139</v>
      </c>
      <c r="W154" s="64">
        <f t="shared" si="206"/>
        <v>8917.1319192994233</v>
      </c>
      <c r="X154" s="64">
        <f t="shared" ref="X154:Y154" si="207">IF(X100=0,0,X100/X$23)</f>
        <v>8359.4847591706457</v>
      </c>
      <c r="Y154" s="64">
        <f t="shared" si="207"/>
        <v>7718.8000611002644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6706.1654461688368</v>
      </c>
      <c r="C155" s="65">
        <f t="shared" ref="C155:W155" si="209">IF(C101=0,0,C101/C$23)</f>
        <v>7247.5184652573826</v>
      </c>
      <c r="D155" s="65">
        <f t="shared" si="209"/>
        <v>7623.6133390664327</v>
      </c>
      <c r="E155" s="65">
        <f t="shared" si="209"/>
        <v>7899.4678745909177</v>
      </c>
      <c r="F155" s="65">
        <f t="shared" si="209"/>
        <v>7966.3024610682851</v>
      </c>
      <c r="G155" s="65">
        <f t="shared" si="209"/>
        <v>7511.4936116163926</v>
      </c>
      <c r="H155" s="65">
        <f t="shared" si="209"/>
        <v>7909.0956149996546</v>
      </c>
      <c r="I155" s="65">
        <f t="shared" si="209"/>
        <v>7901.5590950422247</v>
      </c>
      <c r="J155" s="65">
        <f t="shared" si="209"/>
        <v>6545.2510302623305</v>
      </c>
      <c r="K155" s="65">
        <f t="shared" si="209"/>
        <v>6481.8559436042842</v>
      </c>
      <c r="L155" s="65">
        <f t="shared" si="209"/>
        <v>7369.7060326375704</v>
      </c>
      <c r="M155" s="65">
        <f t="shared" si="209"/>
        <v>6447.7368630450137</v>
      </c>
      <c r="N155" s="65">
        <f t="shared" si="209"/>
        <v>7684.5796638754318</v>
      </c>
      <c r="O155" s="65">
        <f t="shared" si="209"/>
        <v>6969.6281309329624</v>
      </c>
      <c r="P155" s="65">
        <f t="shared" si="209"/>
        <v>7157.5021071467718</v>
      </c>
      <c r="Q155" s="65">
        <f t="shared" si="209"/>
        <v>6474.5789556382406</v>
      </c>
      <c r="R155" s="65">
        <f t="shared" si="209"/>
        <v>6557.6289865950157</v>
      </c>
      <c r="S155" s="65">
        <f t="shared" si="209"/>
        <v>6802.114826756103</v>
      </c>
      <c r="T155" s="65">
        <f t="shared" si="209"/>
        <v>6490.1462140530657</v>
      </c>
      <c r="U155" s="65">
        <f t="shared" si="209"/>
        <v>5843.0501022577055</v>
      </c>
      <c r="V155" s="65">
        <f t="shared" si="209"/>
        <v>5812.9134166988315</v>
      </c>
      <c r="W155" s="65">
        <f t="shared" si="209"/>
        <v>6756.5138608831749</v>
      </c>
      <c r="X155" s="65">
        <f t="shared" ref="X155:Y155" si="210">IF(X101=0,0,X101/X$23)</f>
        <v>6156.0593629231253</v>
      </c>
      <c r="Y155" s="65">
        <f t="shared" si="210"/>
        <v>5551.1169272985762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11.098371245250197</v>
      </c>
      <c r="C156" s="65">
        <f t="shared" ref="C156:W156" si="212">IF(C102=0,0,C102/C$23)</f>
        <v>12.128609216125772</v>
      </c>
      <c r="D156" s="65">
        <f t="shared" si="212"/>
        <v>12.886647079000062</v>
      </c>
      <c r="E156" s="65">
        <f t="shared" si="212"/>
        <v>12.934331079299023</v>
      </c>
      <c r="F156" s="65">
        <f t="shared" si="212"/>
        <v>12.567779731414694</v>
      </c>
      <c r="G156" s="65">
        <f t="shared" si="212"/>
        <v>13.016347341500426</v>
      </c>
      <c r="H156" s="65">
        <f t="shared" si="212"/>
        <v>14.372071718888513</v>
      </c>
      <c r="I156" s="65">
        <f t="shared" si="212"/>
        <v>13.472691220482963</v>
      </c>
      <c r="J156" s="65">
        <f t="shared" si="212"/>
        <v>14.0743268523204</v>
      </c>
      <c r="K156" s="65">
        <f t="shared" si="212"/>
        <v>16.835629522668654</v>
      </c>
      <c r="L156" s="65">
        <f t="shared" si="212"/>
        <v>22.202299791665769</v>
      </c>
      <c r="M156" s="65">
        <f t="shared" si="212"/>
        <v>18.867972392344573</v>
      </c>
      <c r="N156" s="65">
        <f t="shared" si="212"/>
        <v>18.695151956240363</v>
      </c>
      <c r="O156" s="65">
        <f t="shared" si="212"/>
        <v>17.952145855374937</v>
      </c>
      <c r="P156" s="65">
        <f t="shared" si="212"/>
        <v>19.19431782308321</v>
      </c>
      <c r="Q156" s="65">
        <f t="shared" si="212"/>
        <v>17.913258272387903</v>
      </c>
      <c r="R156" s="65">
        <f t="shared" si="212"/>
        <v>17.805130035399319</v>
      </c>
      <c r="S156" s="65">
        <f t="shared" si="212"/>
        <v>17.89123987692664</v>
      </c>
      <c r="T156" s="65">
        <f t="shared" si="212"/>
        <v>18.839399540627198</v>
      </c>
      <c r="U156" s="65">
        <f t="shared" si="212"/>
        <v>17.188362812709443</v>
      </c>
      <c r="V156" s="65">
        <f t="shared" si="212"/>
        <v>17.66127637434148</v>
      </c>
      <c r="W156" s="65">
        <f t="shared" si="212"/>
        <v>21.022771204794292</v>
      </c>
      <c r="X156" s="65">
        <f t="shared" ref="X156:Y156" si="213">IF(X102=0,0,X102/X$23)</f>
        <v>18.167975060085077</v>
      </c>
      <c r="Y156" s="65">
        <f t="shared" si="213"/>
        <v>18.494808526738268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846.72122905137178</v>
      </c>
      <c r="C157" s="65">
        <f t="shared" ref="C157:W157" si="215">IF(C103=0,0,C103/C$23)</f>
        <v>902.03069649177962</v>
      </c>
      <c r="D157" s="65">
        <f t="shared" si="215"/>
        <v>887.78618114975882</v>
      </c>
      <c r="E157" s="65">
        <f t="shared" si="215"/>
        <v>902.65190011577624</v>
      </c>
      <c r="F157" s="65">
        <f t="shared" si="215"/>
        <v>921.25491114549368</v>
      </c>
      <c r="G157" s="65">
        <f t="shared" si="215"/>
        <v>917.75799096745129</v>
      </c>
      <c r="H157" s="65">
        <f t="shared" si="215"/>
        <v>955.70924800589376</v>
      </c>
      <c r="I157" s="65">
        <f t="shared" si="215"/>
        <v>928.50488101116525</v>
      </c>
      <c r="J157" s="65">
        <f t="shared" si="215"/>
        <v>944.16116657813666</v>
      </c>
      <c r="K157" s="65">
        <f t="shared" si="215"/>
        <v>1100.8657834538003</v>
      </c>
      <c r="L157" s="65">
        <f t="shared" si="215"/>
        <v>1137.6338609861036</v>
      </c>
      <c r="M157" s="65">
        <f t="shared" si="215"/>
        <v>1163.0858841696675</v>
      </c>
      <c r="N157" s="65">
        <f t="shared" si="215"/>
        <v>1106.7466573600232</v>
      </c>
      <c r="O157" s="65">
        <f t="shared" si="215"/>
        <v>1106.9665636063817</v>
      </c>
      <c r="P157" s="65">
        <f t="shared" si="215"/>
        <v>1107.1034122983883</v>
      </c>
      <c r="Q157" s="65">
        <f t="shared" si="215"/>
        <v>1102.8154846384834</v>
      </c>
      <c r="R157" s="65">
        <f t="shared" si="215"/>
        <v>1099.3030791123992</v>
      </c>
      <c r="S157" s="65">
        <f t="shared" si="215"/>
        <v>1120.6144474185351</v>
      </c>
      <c r="T157" s="65">
        <f t="shared" si="215"/>
        <v>1075.5114805007386</v>
      </c>
      <c r="U157" s="65">
        <f t="shared" si="215"/>
        <v>999.30162090447402</v>
      </c>
      <c r="V157" s="65">
        <f t="shared" si="215"/>
        <v>921.53756981953961</v>
      </c>
      <c r="W157" s="65">
        <f t="shared" si="215"/>
        <v>990.95630898101831</v>
      </c>
      <c r="X157" s="65">
        <f t="shared" ref="X157:Y157" si="216">IF(X103=0,0,X103/X$23)</f>
        <v>1004.522472567093</v>
      </c>
      <c r="Y157" s="65">
        <f t="shared" si="216"/>
        <v>990.55645153197804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938.50680878566936</v>
      </c>
      <c r="C158" s="67">
        <f t="shared" ref="C158:W158" si="218">IF(C104=0,0,C104/C$23)</f>
        <v>1010.9726449578827</v>
      </c>
      <c r="D158" s="67">
        <f t="shared" si="218"/>
        <v>981.62184220573181</v>
      </c>
      <c r="E158" s="67">
        <f t="shared" si="218"/>
        <v>991.66156336450149</v>
      </c>
      <c r="F158" s="67">
        <f t="shared" si="218"/>
        <v>1007.6601589368762</v>
      </c>
      <c r="G158" s="67">
        <f t="shared" si="218"/>
        <v>1033.2287042704124</v>
      </c>
      <c r="H158" s="67">
        <f t="shared" si="218"/>
        <v>1064.3672520030873</v>
      </c>
      <c r="I158" s="67">
        <f t="shared" si="218"/>
        <v>998.7015011648399</v>
      </c>
      <c r="J158" s="67">
        <f t="shared" si="218"/>
        <v>1044.7014358404429</v>
      </c>
      <c r="K158" s="67">
        <f t="shared" si="218"/>
        <v>1215.3371213174355</v>
      </c>
      <c r="L158" s="67">
        <f t="shared" si="218"/>
        <v>1258.5665455538124</v>
      </c>
      <c r="M158" s="67">
        <f t="shared" si="218"/>
        <v>1262.7473051231771</v>
      </c>
      <c r="N158" s="67">
        <f t="shared" si="218"/>
        <v>1227.9069389332658</v>
      </c>
      <c r="O158" s="67">
        <f t="shared" si="218"/>
        <v>1222.8943055262757</v>
      </c>
      <c r="P158" s="67">
        <f t="shared" si="218"/>
        <v>1234.0419401360571</v>
      </c>
      <c r="Q158" s="67">
        <f t="shared" si="218"/>
        <v>1219.7431240025305</v>
      </c>
      <c r="R158" s="67">
        <f t="shared" si="218"/>
        <v>1198.4919316637429</v>
      </c>
      <c r="S158" s="67">
        <f t="shared" si="218"/>
        <v>1222.57425166294</v>
      </c>
      <c r="T158" s="67">
        <f t="shared" si="218"/>
        <v>1197.7678003755814</v>
      </c>
      <c r="U158" s="67">
        <f t="shared" si="218"/>
        <v>1148.6488186961767</v>
      </c>
      <c r="V158" s="67">
        <f t="shared" si="218"/>
        <v>1089.3870973992014</v>
      </c>
      <c r="W158" s="67">
        <f t="shared" si="218"/>
        <v>1148.6389782304364</v>
      </c>
      <c r="X158" s="67">
        <f t="shared" ref="X158:Y158" si="219">IF(X104=0,0,X104/X$23)</f>
        <v>1180.7349486203432</v>
      </c>
      <c r="Y158" s="67">
        <f t="shared" si="219"/>
        <v>1158.6318737429704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1196.9966006020159</v>
      </c>
      <c r="C159" s="68">
        <f t="shared" ref="C159:W159" si="221">IF(C105=0,0,C105/C$23)</f>
        <v>1278.0662631742682</v>
      </c>
      <c r="D159" s="68">
        <f t="shared" si="221"/>
        <v>1308.3239055341589</v>
      </c>
      <c r="E159" s="68">
        <f t="shared" si="221"/>
        <v>1361.1522721400424</v>
      </c>
      <c r="F159" s="68">
        <f t="shared" si="221"/>
        <v>1398.2818736382774</v>
      </c>
      <c r="G159" s="68">
        <f t="shared" si="221"/>
        <v>1454.94079650618</v>
      </c>
      <c r="H159" s="68">
        <f t="shared" si="221"/>
        <v>1532.1512831547382</v>
      </c>
      <c r="I159" s="68">
        <f t="shared" si="221"/>
        <v>1521.257515773269</v>
      </c>
      <c r="J159" s="68">
        <f t="shared" si="221"/>
        <v>1600.403190121549</v>
      </c>
      <c r="K159" s="68">
        <f t="shared" si="221"/>
        <v>1840.8518380188368</v>
      </c>
      <c r="L159" s="68">
        <f t="shared" si="221"/>
        <v>1968.3003795493123</v>
      </c>
      <c r="M159" s="68">
        <f t="shared" si="221"/>
        <v>1974.847447152408</v>
      </c>
      <c r="N159" s="68">
        <f t="shared" si="221"/>
        <v>1967.2521787445869</v>
      </c>
      <c r="O159" s="68">
        <f t="shared" si="221"/>
        <v>1951.4576171693127</v>
      </c>
      <c r="P159" s="68">
        <f t="shared" si="221"/>
        <v>2008.3664924347393</v>
      </c>
      <c r="Q159" s="68">
        <f t="shared" si="221"/>
        <v>2028.4172826479999</v>
      </c>
      <c r="R159" s="68">
        <f t="shared" si="221"/>
        <v>2024.2604832176341</v>
      </c>
      <c r="S159" s="68">
        <f t="shared" si="221"/>
        <v>2081.292590049336</v>
      </c>
      <c r="T159" s="68">
        <f t="shared" si="221"/>
        <v>2034.094581774589</v>
      </c>
      <c r="U159" s="68">
        <f t="shared" si="221"/>
        <v>1933.1797216957691</v>
      </c>
      <c r="V159" s="68">
        <f t="shared" si="221"/>
        <v>1900.8549717270391</v>
      </c>
      <c r="W159" s="68">
        <f t="shared" si="221"/>
        <v>1953.1663129500646</v>
      </c>
      <c r="X159" s="68">
        <f t="shared" ref="X159:Y159" si="222">IF(X105=0,0,X105/X$23)</f>
        <v>1952.959405321863</v>
      </c>
      <c r="Y159" s="68">
        <f t="shared" si="222"/>
        <v>1984.5276334769273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5201.6854127193028</v>
      </c>
      <c r="C161" s="85">
        <f t="shared" ref="C161:W161" si="224">IF(C107=0,0,C107/C$23)</f>
        <v>5625.5127103871273</v>
      </c>
      <c r="D161" s="85">
        <f t="shared" si="224"/>
        <v>5841.8907688715917</v>
      </c>
      <c r="E161" s="85">
        <f t="shared" si="224"/>
        <v>6066.7129641110978</v>
      </c>
      <c r="F161" s="85">
        <f t="shared" si="224"/>
        <v>6092.6220337488548</v>
      </c>
      <c r="G161" s="85">
        <f t="shared" si="224"/>
        <v>5923.2464983703476</v>
      </c>
      <c r="H161" s="85">
        <f t="shared" si="224"/>
        <v>6222.2755846658756</v>
      </c>
      <c r="I161" s="85">
        <f t="shared" si="224"/>
        <v>6196.3022257038137</v>
      </c>
      <c r="J161" s="85">
        <f t="shared" si="224"/>
        <v>5527.132801196839</v>
      </c>
      <c r="K161" s="85">
        <f t="shared" si="224"/>
        <v>5723.1769589795813</v>
      </c>
      <c r="L161" s="85">
        <f t="shared" si="224"/>
        <v>6407.9766700429827</v>
      </c>
      <c r="M161" s="85">
        <f t="shared" si="224"/>
        <v>5892.7319986110961</v>
      </c>
      <c r="N161" s="85">
        <f t="shared" si="224"/>
        <v>6715.8492856976436</v>
      </c>
      <c r="O161" s="85">
        <f t="shared" si="224"/>
        <v>6297.7913683078341</v>
      </c>
      <c r="P161" s="85">
        <f t="shared" si="224"/>
        <v>6471.8711783467534</v>
      </c>
      <c r="Q161" s="85">
        <f t="shared" si="224"/>
        <v>6040.0388429144868</v>
      </c>
      <c r="R161" s="85">
        <f t="shared" si="224"/>
        <v>6202.8302675915529</v>
      </c>
      <c r="S161" s="85">
        <f t="shared" si="224"/>
        <v>6457.3303006638116</v>
      </c>
      <c r="T161" s="85">
        <f t="shared" si="224"/>
        <v>6298.066755896969</v>
      </c>
      <c r="U161" s="85">
        <f t="shared" si="224"/>
        <v>5870.0175620509463</v>
      </c>
      <c r="V161" s="85">
        <f t="shared" si="224"/>
        <v>5850.864819706826</v>
      </c>
      <c r="W161" s="85">
        <f t="shared" si="224"/>
        <v>6739.4490862804314</v>
      </c>
      <c r="X161" s="85">
        <f t="shared" ref="X161:Y161" si="225">IF(X107=0,0,X107/X$23)</f>
        <v>6333.2798271034508</v>
      </c>
      <c r="Y161" s="85">
        <f t="shared" si="225"/>
        <v>5948.4322617571961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3984.8032254542736</v>
      </c>
      <c r="C162" s="65">
        <f t="shared" ref="C162:W162" si="227">IF(C108=0,0,C108/C$23)</f>
        <v>4330.2677836300045</v>
      </c>
      <c r="D162" s="65">
        <f t="shared" si="227"/>
        <v>4574.3819362804306</v>
      </c>
      <c r="E162" s="65">
        <f t="shared" si="227"/>
        <v>4783.4457136029678</v>
      </c>
      <c r="F162" s="65">
        <f t="shared" si="227"/>
        <v>4778.7516534053102</v>
      </c>
      <c r="G162" s="65">
        <f t="shared" si="227"/>
        <v>4584.0479708548164</v>
      </c>
      <c r="H162" s="65">
        <f t="shared" si="227"/>
        <v>4822.3241201878791</v>
      </c>
      <c r="I162" s="65">
        <f t="shared" si="227"/>
        <v>4854.7246482245737</v>
      </c>
      <c r="J162" s="65">
        <f t="shared" si="227"/>
        <v>4133.1527497223906</v>
      </c>
      <c r="K162" s="65">
        <f t="shared" si="227"/>
        <v>4090.0959280431302</v>
      </c>
      <c r="L162" s="65">
        <f t="shared" si="227"/>
        <v>4692.1373346659502</v>
      </c>
      <c r="M162" s="65">
        <f t="shared" si="227"/>
        <v>4149.584022727262</v>
      </c>
      <c r="N162" s="65">
        <f t="shared" si="227"/>
        <v>5016.4876225606649</v>
      </c>
      <c r="O162" s="65">
        <f t="shared" si="227"/>
        <v>4583.585055436236</v>
      </c>
      <c r="P162" s="65">
        <f t="shared" si="227"/>
        <v>4737.7074883562755</v>
      </c>
      <c r="Q162" s="65">
        <f t="shared" si="227"/>
        <v>4305.9698596924945</v>
      </c>
      <c r="R162" s="65">
        <f t="shared" si="227"/>
        <v>4483.1582797378751</v>
      </c>
      <c r="S162" s="65">
        <f t="shared" si="227"/>
        <v>4693.2669347045221</v>
      </c>
      <c r="T162" s="65">
        <f t="shared" si="227"/>
        <v>4552.9650132584211</v>
      </c>
      <c r="U162" s="65">
        <f t="shared" si="227"/>
        <v>4194.6295399267301</v>
      </c>
      <c r="V162" s="65">
        <f t="shared" si="227"/>
        <v>4259.6342232754751</v>
      </c>
      <c r="W162" s="65">
        <f t="shared" si="227"/>
        <v>5006.5298415272291</v>
      </c>
      <c r="X162" s="65">
        <f t="shared" ref="X162:Y162" si="228">IF(X108=0,0,X108/X$23)</f>
        <v>4562.9877965153855</v>
      </c>
      <c r="Y162" s="65">
        <f t="shared" si="228"/>
        <v>4173.9990330173878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22.524903270278326</v>
      </c>
      <c r="C163" s="65">
        <f t="shared" ref="C163:W163" si="230">IF(C109=0,0,C109/C$23)</f>
        <v>25.857485251126878</v>
      </c>
      <c r="D163" s="65">
        <f t="shared" si="230"/>
        <v>29.081006251029404</v>
      </c>
      <c r="E163" s="65">
        <f t="shared" si="230"/>
        <v>30.992565572932889</v>
      </c>
      <c r="F163" s="65">
        <f t="shared" si="230"/>
        <v>31.805120012244966</v>
      </c>
      <c r="G163" s="65">
        <f t="shared" si="230"/>
        <v>35.00220292763025</v>
      </c>
      <c r="H163" s="65">
        <f t="shared" si="230"/>
        <v>41.000235956074299</v>
      </c>
      <c r="I163" s="65">
        <f t="shared" si="230"/>
        <v>40.888183432744277</v>
      </c>
      <c r="J163" s="65">
        <f t="shared" si="230"/>
        <v>45.32819481949624</v>
      </c>
      <c r="K163" s="65">
        <f t="shared" si="230"/>
        <v>55.546047342200211</v>
      </c>
      <c r="L163" s="65">
        <f t="shared" si="230"/>
        <v>75.271159856665761</v>
      </c>
      <c r="M163" s="65">
        <f t="shared" si="230"/>
        <v>66.352779772072836</v>
      </c>
      <c r="N163" s="65">
        <f t="shared" si="230"/>
        <v>68.230881499741841</v>
      </c>
      <c r="O163" s="65">
        <f t="shared" si="230"/>
        <v>68.171713043707882</v>
      </c>
      <c r="P163" s="65">
        <f t="shared" si="230"/>
        <v>75.966169872309848</v>
      </c>
      <c r="Q163" s="65">
        <f t="shared" si="230"/>
        <v>74.059114089821563</v>
      </c>
      <c r="R163" s="65">
        <f t="shared" si="230"/>
        <v>76.894609693263988</v>
      </c>
      <c r="S163" s="65">
        <f t="shared" si="230"/>
        <v>80.399662497886425</v>
      </c>
      <c r="T163" s="65">
        <f t="shared" si="230"/>
        <v>87.569023025336321</v>
      </c>
      <c r="U163" s="65">
        <f t="shared" si="230"/>
        <v>82.134986614451563</v>
      </c>
      <c r="V163" s="65">
        <f t="shared" si="230"/>
        <v>86.402495215520517</v>
      </c>
      <c r="W163" s="65">
        <f t="shared" si="230"/>
        <v>105.0027781457058</v>
      </c>
      <c r="X163" s="65">
        <f t="shared" ref="X163:Y163" si="231">IF(X109=0,0,X109/X$23)</f>
        <v>92.196324521445703</v>
      </c>
      <c r="Y163" s="65">
        <f t="shared" si="231"/>
        <v>95.065349260299101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516.87947089603472</v>
      </c>
      <c r="C164" s="65">
        <f t="shared" ref="C164:W164" si="233">IF(C110=0,0,C110/C$23)</f>
        <v>558.52372066116413</v>
      </c>
      <c r="D164" s="65">
        <f t="shared" si="233"/>
        <v>552.07219989082353</v>
      </c>
      <c r="E164" s="65">
        <f t="shared" si="233"/>
        <v>565.24467265870089</v>
      </c>
      <c r="F164" s="65">
        <f t="shared" si="233"/>
        <v>580.08024705244043</v>
      </c>
      <c r="G164" s="65">
        <f t="shared" si="233"/>
        <v>580.45990143736935</v>
      </c>
      <c r="H164" s="65">
        <f t="shared" si="233"/>
        <v>609.36960498373924</v>
      </c>
      <c r="I164" s="65">
        <f t="shared" si="233"/>
        <v>597.29275524365164</v>
      </c>
      <c r="J164" s="65">
        <f t="shared" si="233"/>
        <v>609.68633400484271</v>
      </c>
      <c r="K164" s="65">
        <f t="shared" si="233"/>
        <v>716.68298796051351</v>
      </c>
      <c r="L164" s="65">
        <f t="shared" si="233"/>
        <v>746.57204869375232</v>
      </c>
      <c r="M164" s="65">
        <f t="shared" si="233"/>
        <v>771.66121324395533</v>
      </c>
      <c r="N164" s="65">
        <f t="shared" si="233"/>
        <v>742.72613042132593</v>
      </c>
      <c r="O164" s="65">
        <f t="shared" si="233"/>
        <v>752.58786869660287</v>
      </c>
      <c r="P164" s="65">
        <f t="shared" si="233"/>
        <v>758.10836579562783</v>
      </c>
      <c r="Q164" s="65">
        <f t="shared" si="233"/>
        <v>765.17708586219192</v>
      </c>
      <c r="R164" s="65">
        <f t="shared" si="233"/>
        <v>774.02798903763767</v>
      </c>
      <c r="S164" s="65">
        <f t="shared" si="233"/>
        <v>803.87731248321245</v>
      </c>
      <c r="T164" s="65">
        <f t="shared" si="233"/>
        <v>789.09506360217347</v>
      </c>
      <c r="U164" s="65">
        <f t="shared" si="233"/>
        <v>750.67082526787704</v>
      </c>
      <c r="V164" s="65">
        <f t="shared" si="233"/>
        <v>706.43011049276117</v>
      </c>
      <c r="W164" s="65">
        <f t="shared" si="233"/>
        <v>775.9248976944142</v>
      </c>
      <c r="X164" s="65">
        <f t="shared" ref="X164:Y164" si="234">IF(X110=0,0,X110/X$23)</f>
        <v>801.5465385773665</v>
      </c>
      <c r="Y164" s="65">
        <f t="shared" si="234"/>
        <v>805.62323480484451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677.4778130987163</v>
      </c>
      <c r="C165" s="68">
        <f t="shared" ref="C165:W165" si="236">IF(C111=0,0,C111/C$23)</f>
        <v>710.86372084483162</v>
      </c>
      <c r="D165" s="68">
        <f t="shared" si="236"/>
        <v>686.35562644930872</v>
      </c>
      <c r="E165" s="68">
        <f t="shared" si="236"/>
        <v>687.03001227649634</v>
      </c>
      <c r="F165" s="68">
        <f t="shared" si="236"/>
        <v>701.98501327886027</v>
      </c>
      <c r="G165" s="68">
        <f t="shared" si="236"/>
        <v>723.736423150532</v>
      </c>
      <c r="H165" s="68">
        <f t="shared" si="236"/>
        <v>749.58162353818261</v>
      </c>
      <c r="I165" s="68">
        <f t="shared" si="236"/>
        <v>703.396638802844</v>
      </c>
      <c r="J165" s="68">
        <f t="shared" si="236"/>
        <v>738.96552265010928</v>
      </c>
      <c r="K165" s="68">
        <f t="shared" si="236"/>
        <v>860.85199563373703</v>
      </c>
      <c r="L165" s="68">
        <f t="shared" si="236"/>
        <v>893.99612682661416</v>
      </c>
      <c r="M165" s="68">
        <f t="shared" si="236"/>
        <v>905.13398286780648</v>
      </c>
      <c r="N165" s="68">
        <f t="shared" si="236"/>
        <v>888.40465121591092</v>
      </c>
      <c r="O165" s="68">
        <f t="shared" si="236"/>
        <v>893.44673113128738</v>
      </c>
      <c r="P165" s="68">
        <f t="shared" si="236"/>
        <v>900.08915432254025</v>
      </c>
      <c r="Q165" s="68">
        <f t="shared" si="236"/>
        <v>894.83278326997868</v>
      </c>
      <c r="R165" s="68">
        <f t="shared" si="236"/>
        <v>868.74938912277594</v>
      </c>
      <c r="S165" s="68">
        <f t="shared" si="236"/>
        <v>879.78639097819132</v>
      </c>
      <c r="T165" s="68">
        <f t="shared" si="236"/>
        <v>868.43765601103848</v>
      </c>
      <c r="U165" s="68">
        <f t="shared" si="236"/>
        <v>842.58221024188742</v>
      </c>
      <c r="V165" s="68">
        <f t="shared" si="236"/>
        <v>798.39799072306857</v>
      </c>
      <c r="W165" s="68">
        <f t="shared" si="236"/>
        <v>851.99156891308178</v>
      </c>
      <c r="X165" s="68">
        <f t="shared" ref="X165:Y165" si="237">IF(X111=0,0,X111/X$23)</f>
        <v>876.54916748925291</v>
      </c>
      <c r="Y165" s="68">
        <f t="shared" si="237"/>
        <v>873.74464467466521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636.3180723044087</v>
      </c>
      <c r="C167" s="82">
        <f t="shared" ref="C167:W167" si="239">IF(C113=0,0,C113/C$23)</f>
        <v>695.20933688175069</v>
      </c>
      <c r="D167" s="82">
        <f t="shared" si="239"/>
        <v>744.15975564491191</v>
      </c>
      <c r="E167" s="82">
        <f t="shared" si="239"/>
        <v>774.70157801621224</v>
      </c>
      <c r="F167" s="82">
        <f t="shared" si="239"/>
        <v>797.46354931559051</v>
      </c>
      <c r="G167" s="82">
        <f t="shared" si="239"/>
        <v>704.94013998458604</v>
      </c>
      <c r="H167" s="82">
        <f t="shared" si="239"/>
        <v>782.20856432648247</v>
      </c>
      <c r="I167" s="82">
        <f t="shared" si="239"/>
        <v>714.70653146700533</v>
      </c>
      <c r="J167" s="82">
        <f t="shared" si="239"/>
        <v>670.14260870928479</v>
      </c>
      <c r="K167" s="82">
        <f t="shared" si="239"/>
        <v>697.65403491299969</v>
      </c>
      <c r="L167" s="82">
        <f t="shared" si="239"/>
        <v>792.19470677496349</v>
      </c>
      <c r="M167" s="82">
        <f t="shared" si="239"/>
        <v>701.21284408269696</v>
      </c>
      <c r="N167" s="82">
        <f t="shared" si="239"/>
        <v>672.14738358139243</v>
      </c>
      <c r="O167" s="82">
        <f t="shared" si="239"/>
        <v>617.06303380028385</v>
      </c>
      <c r="P167" s="82">
        <f t="shared" si="239"/>
        <v>652.99991251215192</v>
      </c>
      <c r="Q167" s="82">
        <f t="shared" si="239"/>
        <v>619.93374468644788</v>
      </c>
      <c r="R167" s="82">
        <f t="shared" si="239"/>
        <v>568.61097840924185</v>
      </c>
      <c r="S167" s="82">
        <f t="shared" si="239"/>
        <v>600.65812085000277</v>
      </c>
      <c r="T167" s="82">
        <f t="shared" si="239"/>
        <v>618.00867315205596</v>
      </c>
      <c r="U167" s="82">
        <f t="shared" si="239"/>
        <v>561.9076042982806</v>
      </c>
      <c r="V167" s="82">
        <f t="shared" si="239"/>
        <v>594.3135463786283</v>
      </c>
      <c r="W167" s="82">
        <f t="shared" si="239"/>
        <v>712.91354344410024</v>
      </c>
      <c r="X167" s="82">
        <f t="shared" ref="X167:Y167" si="240">IF(X113=0,0,X113/X$23)</f>
        <v>683.00260023969599</v>
      </c>
      <c r="Y167" s="82">
        <f t="shared" si="240"/>
        <v>692.30078247937581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636.3180723044087</v>
      </c>
      <c r="C168" s="64">
        <f t="shared" ref="C168:W168" si="242">IF(C114=0,0,C114/C$23)</f>
        <v>695.20933688175069</v>
      </c>
      <c r="D168" s="64">
        <f t="shared" si="242"/>
        <v>744.15975564491191</v>
      </c>
      <c r="E168" s="64">
        <f t="shared" si="242"/>
        <v>774.70157801621224</v>
      </c>
      <c r="F168" s="64">
        <f t="shared" si="242"/>
        <v>797.46354931559051</v>
      </c>
      <c r="G168" s="64">
        <f t="shared" si="242"/>
        <v>704.94013998458604</v>
      </c>
      <c r="H168" s="64">
        <f t="shared" si="242"/>
        <v>782.20856432648247</v>
      </c>
      <c r="I168" s="64">
        <f t="shared" si="242"/>
        <v>714.70653146700533</v>
      </c>
      <c r="J168" s="64">
        <f t="shared" si="242"/>
        <v>670.14260870928479</v>
      </c>
      <c r="K168" s="64">
        <f t="shared" si="242"/>
        <v>697.65403491299969</v>
      </c>
      <c r="L168" s="64">
        <f t="shared" si="242"/>
        <v>792.19470677496349</v>
      </c>
      <c r="M168" s="64">
        <f t="shared" si="242"/>
        <v>701.21284408269696</v>
      </c>
      <c r="N168" s="64">
        <f t="shared" si="242"/>
        <v>672.14738358139243</v>
      </c>
      <c r="O168" s="64">
        <f t="shared" si="242"/>
        <v>617.06303380028385</v>
      </c>
      <c r="P168" s="64">
        <f t="shared" si="242"/>
        <v>652.99991251215192</v>
      </c>
      <c r="Q168" s="64">
        <f t="shared" si="242"/>
        <v>619.93374468644788</v>
      </c>
      <c r="R168" s="64">
        <f t="shared" si="242"/>
        <v>568.61097840924185</v>
      </c>
      <c r="S168" s="64">
        <f t="shared" si="242"/>
        <v>600.65812085000277</v>
      </c>
      <c r="T168" s="64">
        <f t="shared" si="242"/>
        <v>618.00867315205596</v>
      </c>
      <c r="U168" s="64">
        <f t="shared" si="242"/>
        <v>561.9076042982806</v>
      </c>
      <c r="V168" s="64">
        <f t="shared" si="242"/>
        <v>594.3135463786283</v>
      </c>
      <c r="W168" s="64">
        <f t="shared" si="242"/>
        <v>712.91354344410024</v>
      </c>
      <c r="X168" s="64">
        <f t="shared" ref="X168:Y168" si="243">IF(X114=0,0,X114/X$23)</f>
        <v>683.00260023969599</v>
      </c>
      <c r="Y168" s="64">
        <f t="shared" si="243"/>
        <v>692.30078247937581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574.47413528937261</v>
      </c>
      <c r="C169" s="65">
        <f t="shared" ref="C169:W169" si="245">IF(C115=0,0,C115/C$23)</f>
        <v>603.73500407327515</v>
      </c>
      <c r="D169" s="65">
        <f t="shared" si="245"/>
        <v>647.04662857691756</v>
      </c>
      <c r="E169" s="65">
        <f t="shared" si="245"/>
        <v>665.40481158644582</v>
      </c>
      <c r="F169" s="65">
        <f t="shared" si="245"/>
        <v>691.65088442743297</v>
      </c>
      <c r="G169" s="65">
        <f t="shared" si="245"/>
        <v>597.93257364321892</v>
      </c>
      <c r="H169" s="65">
        <f t="shared" si="245"/>
        <v>674.74709751085868</v>
      </c>
      <c r="I169" s="65">
        <f t="shared" si="245"/>
        <v>611.46748279549593</v>
      </c>
      <c r="J169" s="65">
        <f t="shared" si="245"/>
        <v>561.98022034280007</v>
      </c>
      <c r="K169" s="65">
        <f t="shared" si="245"/>
        <v>571.43209406603273</v>
      </c>
      <c r="L169" s="65">
        <f t="shared" si="245"/>
        <v>661.09055288001991</v>
      </c>
      <c r="M169" s="65">
        <f t="shared" si="245"/>
        <v>577.46108828725062</v>
      </c>
      <c r="N169" s="65">
        <f t="shared" si="245"/>
        <v>556.54110944989839</v>
      </c>
      <c r="O169" s="65">
        <f t="shared" si="245"/>
        <v>509.28718057399198</v>
      </c>
      <c r="P169" s="65">
        <f t="shared" si="245"/>
        <v>538.36081382751627</v>
      </c>
      <c r="Q169" s="65">
        <f t="shared" si="245"/>
        <v>507.91232599133707</v>
      </c>
      <c r="R169" s="65">
        <f t="shared" si="245"/>
        <v>441.15465462436839</v>
      </c>
      <c r="S169" s="65">
        <f t="shared" si="245"/>
        <v>457.81430994225457</v>
      </c>
      <c r="T169" s="65">
        <f t="shared" si="245"/>
        <v>480.0853034697459</v>
      </c>
      <c r="U169" s="65">
        <f t="shared" si="245"/>
        <v>433.43313527001351</v>
      </c>
      <c r="V169" s="65">
        <f t="shared" si="245"/>
        <v>462.90190709682173</v>
      </c>
      <c r="W169" s="65">
        <f t="shared" si="245"/>
        <v>576.78837226373548</v>
      </c>
      <c r="X169" s="65">
        <f t="shared" ref="X169:Y169" si="246">IF(X115=0,0,X115/X$23)</f>
        <v>537.06428560042764</v>
      </c>
      <c r="Y169" s="65">
        <f t="shared" si="246"/>
        <v>556.22168103910303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0</v>
      </c>
      <c r="C170" s="65">
        <f t="shared" ref="C170:W170" si="248">IF(C116=0,0,C116/C$23)</f>
        <v>0</v>
      </c>
      <c r="D170" s="65">
        <f t="shared" si="248"/>
        <v>0</v>
      </c>
      <c r="E170" s="65">
        <f t="shared" si="248"/>
        <v>0</v>
      </c>
      <c r="F170" s="65">
        <f t="shared" si="248"/>
        <v>0</v>
      </c>
      <c r="G170" s="65">
        <f t="shared" si="248"/>
        <v>0</v>
      </c>
      <c r="H170" s="65">
        <f t="shared" si="248"/>
        <v>0</v>
      </c>
      <c r="I170" s="65">
        <f t="shared" si="248"/>
        <v>0</v>
      </c>
      <c r="J170" s="65">
        <f t="shared" si="248"/>
        <v>0</v>
      </c>
      <c r="K170" s="65">
        <f t="shared" si="248"/>
        <v>0</v>
      </c>
      <c r="L170" s="65">
        <f t="shared" si="248"/>
        <v>0</v>
      </c>
      <c r="M170" s="65">
        <f t="shared" si="248"/>
        <v>0</v>
      </c>
      <c r="N170" s="65">
        <f t="shared" si="248"/>
        <v>0</v>
      </c>
      <c r="O170" s="65">
        <f t="shared" si="248"/>
        <v>0</v>
      </c>
      <c r="P170" s="65">
        <f t="shared" si="248"/>
        <v>0</v>
      </c>
      <c r="Q170" s="65">
        <f t="shared" si="248"/>
        <v>0</v>
      </c>
      <c r="R170" s="65">
        <f t="shared" si="248"/>
        <v>0</v>
      </c>
      <c r="S170" s="65">
        <f t="shared" si="248"/>
        <v>0</v>
      </c>
      <c r="T170" s="65">
        <f t="shared" si="248"/>
        <v>0</v>
      </c>
      <c r="U170" s="65">
        <f t="shared" si="248"/>
        <v>0</v>
      </c>
      <c r="V170" s="65">
        <f t="shared" si="248"/>
        <v>0</v>
      </c>
      <c r="W170" s="65">
        <f t="shared" si="248"/>
        <v>0</v>
      </c>
      <c r="X170" s="65">
        <f t="shared" ref="X170:Y170" si="249">IF(X116=0,0,X116/X$23)</f>
        <v>0</v>
      </c>
      <c r="Y170" s="65">
        <f t="shared" si="249"/>
        <v>0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38.493163021696624</v>
      </c>
      <c r="C171" s="65">
        <f t="shared" ref="C171:W171" si="251">IF(C117=0,0,C117/C$23)</f>
        <v>40.549073999883746</v>
      </c>
      <c r="D171" s="65">
        <f t="shared" si="251"/>
        <v>42.717079556685341</v>
      </c>
      <c r="E171" s="65">
        <f t="shared" si="251"/>
        <v>43.217887695049292</v>
      </c>
      <c r="F171" s="65">
        <f t="shared" si="251"/>
        <v>42.823716682077773</v>
      </c>
      <c r="G171" s="65">
        <f t="shared" si="251"/>
        <v>44.264753499995237</v>
      </c>
      <c r="H171" s="65">
        <f t="shared" si="251"/>
        <v>45.188862859559265</v>
      </c>
      <c r="I171" s="65">
        <f t="shared" si="251"/>
        <v>42.6124624452071</v>
      </c>
      <c r="J171" s="65">
        <f t="shared" si="251"/>
        <v>47.008122290815621</v>
      </c>
      <c r="K171" s="65">
        <f t="shared" si="251"/>
        <v>54.264822941351319</v>
      </c>
      <c r="L171" s="65">
        <f t="shared" si="251"/>
        <v>57.575248564012973</v>
      </c>
      <c r="M171" s="65">
        <f t="shared" si="251"/>
        <v>58.685467251800361</v>
      </c>
      <c r="N171" s="65">
        <f t="shared" si="251"/>
        <v>58.909340154341102</v>
      </c>
      <c r="O171" s="65">
        <f t="shared" si="251"/>
        <v>58.093930064509465</v>
      </c>
      <c r="P171" s="65">
        <f t="shared" si="251"/>
        <v>58.822207423626011</v>
      </c>
      <c r="Q171" s="65">
        <f t="shared" si="251"/>
        <v>58.307928946059768</v>
      </c>
      <c r="R171" s="65">
        <f t="shared" si="251"/>
        <v>57.492808347598896</v>
      </c>
      <c r="S171" s="65">
        <f t="shared" si="251"/>
        <v>56.928246236236085</v>
      </c>
      <c r="T171" s="65">
        <f t="shared" si="251"/>
        <v>53.520740524524626</v>
      </c>
      <c r="U171" s="65">
        <f t="shared" si="251"/>
        <v>49.184207196235803</v>
      </c>
      <c r="V171" s="65">
        <f t="shared" si="251"/>
        <v>47.591046164041465</v>
      </c>
      <c r="W171" s="65">
        <f t="shared" si="251"/>
        <v>49.037058141652608</v>
      </c>
      <c r="X171" s="65">
        <f t="shared" ref="X171:Y171" si="252">IF(X117=0,0,X117/X$23)</f>
        <v>47.617746231332376</v>
      </c>
      <c r="Y171" s="65">
        <f t="shared" si="252"/>
        <v>44.992995103806656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23.350773993339516</v>
      </c>
      <c r="C172" s="67">
        <f t="shared" ref="C172:W172" si="254">IF(C118=0,0,C118/C$23)</f>
        <v>50.925258808591948</v>
      </c>
      <c r="D172" s="67">
        <f t="shared" si="254"/>
        <v>54.396047511309042</v>
      </c>
      <c r="E172" s="67">
        <f t="shared" si="254"/>
        <v>66.078878734717193</v>
      </c>
      <c r="F172" s="67">
        <f t="shared" si="254"/>
        <v>62.988948206079804</v>
      </c>
      <c r="G172" s="67">
        <f t="shared" si="254"/>
        <v>62.742812841371858</v>
      </c>
      <c r="H172" s="67">
        <f t="shared" si="254"/>
        <v>62.272603956064415</v>
      </c>
      <c r="I172" s="67">
        <f t="shared" si="254"/>
        <v>60.62658622630223</v>
      </c>
      <c r="J172" s="67">
        <f t="shared" si="254"/>
        <v>61.154266075669128</v>
      </c>
      <c r="K172" s="67">
        <f t="shared" si="254"/>
        <v>71.957117905615746</v>
      </c>
      <c r="L172" s="67">
        <f t="shared" si="254"/>
        <v>73.528905330930627</v>
      </c>
      <c r="M172" s="67">
        <f t="shared" si="254"/>
        <v>65.066288543645911</v>
      </c>
      <c r="N172" s="67">
        <f t="shared" si="254"/>
        <v>56.696933977153044</v>
      </c>
      <c r="O172" s="67">
        <f t="shared" si="254"/>
        <v>49.6819231617824</v>
      </c>
      <c r="P172" s="67">
        <f t="shared" si="254"/>
        <v>55.816891261009701</v>
      </c>
      <c r="Q172" s="67">
        <f t="shared" si="254"/>
        <v>53.713489749051078</v>
      </c>
      <c r="R172" s="67">
        <f t="shared" si="254"/>
        <v>69.963515437274665</v>
      </c>
      <c r="S172" s="67">
        <f t="shared" si="254"/>
        <v>85.91556467151203</v>
      </c>
      <c r="T172" s="67">
        <f t="shared" si="254"/>
        <v>84.402629157785526</v>
      </c>
      <c r="U172" s="67">
        <f t="shared" si="254"/>
        <v>79.290261832031362</v>
      </c>
      <c r="V172" s="67">
        <f t="shared" si="254"/>
        <v>83.820593117765156</v>
      </c>
      <c r="W172" s="67">
        <f t="shared" si="254"/>
        <v>87.088113038712166</v>
      </c>
      <c r="X172" s="67">
        <f t="shared" ref="X172:Y172" si="255">IF(X118=0,0,X118/X$23)</f>
        <v>98.320568407935866</v>
      </c>
      <c r="Y172" s="67">
        <f t="shared" si="255"/>
        <v>91.086106336466244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12774.925639396286</v>
      </c>
      <c r="C3" s="124">
        <f t="shared" si="0"/>
        <v>13313.459304722574</v>
      </c>
      <c r="D3" s="124">
        <f t="shared" si="0"/>
        <v>13941.253685068088</v>
      </c>
      <c r="E3" s="124">
        <f t="shared" si="0"/>
        <v>14612.782811719755</v>
      </c>
      <c r="F3" s="124">
        <f t="shared" si="0"/>
        <v>15415.531562818487</v>
      </c>
      <c r="G3" s="124">
        <f t="shared" si="0"/>
        <v>16049.300002318019</v>
      </c>
      <c r="H3" s="124">
        <f t="shared" si="0"/>
        <v>17008.270010500972</v>
      </c>
      <c r="I3" s="124">
        <f t="shared" si="0"/>
        <v>18023.322830821689</v>
      </c>
      <c r="J3" s="124">
        <f t="shared" si="0"/>
        <v>18579.373307633447</v>
      </c>
      <c r="K3" s="124">
        <f t="shared" si="0"/>
        <v>18613.824129688681</v>
      </c>
      <c r="L3" s="124">
        <f t="shared" si="0"/>
        <v>18523.221166702599</v>
      </c>
      <c r="M3" s="124">
        <f t="shared" si="0"/>
        <v>18824.137865271805</v>
      </c>
      <c r="N3" s="124">
        <f t="shared" si="0"/>
        <v>18740.271850200526</v>
      </c>
      <c r="O3" s="124">
        <f t="shared" si="0"/>
        <v>18930.684800060611</v>
      </c>
      <c r="P3" s="124">
        <f t="shared" si="0"/>
        <v>19141.279222169571</v>
      </c>
      <c r="Q3" s="124">
        <f t="shared" si="0"/>
        <v>19404.648510811061</v>
      </c>
      <c r="R3" s="124">
        <f t="shared" si="0"/>
        <v>19489.205356709062</v>
      </c>
      <c r="S3" s="124">
        <f t="shared" si="0"/>
        <v>19704.303985000763</v>
      </c>
      <c r="T3" s="124">
        <f t="shared" si="0"/>
        <v>19851.318053630072</v>
      </c>
      <c r="U3" s="124">
        <f t="shared" si="0"/>
        <v>19997.182811536601</v>
      </c>
      <c r="V3" s="124">
        <f t="shared" si="0"/>
        <v>20133.01555555555</v>
      </c>
      <c r="W3" s="124">
        <f t="shared" si="0"/>
        <v>20265.836886542886</v>
      </c>
      <c r="X3" s="124">
        <f t="shared" si="0"/>
        <v>20395.513874088167</v>
      </c>
      <c r="Y3" s="124">
        <f t="shared" si="0"/>
        <v>20515.963831675395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12774.925639396286</v>
      </c>
      <c r="C4" s="139">
        <f t="shared" si="1"/>
        <v>13313.459304722574</v>
      </c>
      <c r="D4" s="139">
        <f t="shared" si="1"/>
        <v>13941.253685068088</v>
      </c>
      <c r="E4" s="139">
        <f t="shared" si="1"/>
        <v>14612.782811719755</v>
      </c>
      <c r="F4" s="139">
        <f t="shared" si="1"/>
        <v>15415.531562818487</v>
      </c>
      <c r="G4" s="139">
        <f t="shared" si="1"/>
        <v>16049.300002318019</v>
      </c>
      <c r="H4" s="139">
        <f t="shared" si="1"/>
        <v>17008.270010500972</v>
      </c>
      <c r="I4" s="139">
        <f t="shared" si="1"/>
        <v>18023.322830821689</v>
      </c>
      <c r="J4" s="139">
        <f t="shared" si="1"/>
        <v>18579.373307633447</v>
      </c>
      <c r="K4" s="139">
        <f t="shared" si="1"/>
        <v>18613.824129688681</v>
      </c>
      <c r="L4" s="139">
        <f t="shared" si="1"/>
        <v>18523.221166702599</v>
      </c>
      <c r="M4" s="139">
        <f t="shared" si="1"/>
        <v>18824.137865271805</v>
      </c>
      <c r="N4" s="139">
        <f t="shared" si="1"/>
        <v>18740.271850200526</v>
      </c>
      <c r="O4" s="139">
        <f t="shared" si="1"/>
        <v>18930.684800060611</v>
      </c>
      <c r="P4" s="139">
        <f t="shared" si="1"/>
        <v>19141.279222169571</v>
      </c>
      <c r="Q4" s="139">
        <f t="shared" si="1"/>
        <v>19404.648510811061</v>
      </c>
      <c r="R4" s="139">
        <f t="shared" ref="R4:W4" si="2">SUM(R5:R14)</f>
        <v>19489.205356709062</v>
      </c>
      <c r="S4" s="139">
        <f t="shared" si="2"/>
        <v>19704.303985000763</v>
      </c>
      <c r="T4" s="139">
        <f t="shared" si="2"/>
        <v>19851.318053630072</v>
      </c>
      <c r="U4" s="139">
        <f t="shared" si="2"/>
        <v>19997.182811536601</v>
      </c>
      <c r="V4" s="139">
        <f t="shared" si="2"/>
        <v>20133.01555555555</v>
      </c>
      <c r="W4" s="139">
        <f t="shared" si="2"/>
        <v>20265.836886542886</v>
      </c>
      <c r="X4" s="139">
        <f t="shared" ref="X4:Y4" si="3">SUM(X5:X14)</f>
        <v>20395.513874088167</v>
      </c>
      <c r="Y4" s="139">
        <f t="shared" si="3"/>
        <v>20515.963831675395</v>
      </c>
      <c r="DA4" s="169" t="s">
        <v>246</v>
      </c>
    </row>
    <row r="5" spans="1:105" ht="12" customHeight="1" x14ac:dyDescent="0.25">
      <c r="A5" s="131" t="s">
        <v>29</v>
      </c>
      <c r="B5" s="140">
        <v>1183.5162603300735</v>
      </c>
      <c r="C5" s="140">
        <v>1138.2302636670838</v>
      </c>
      <c r="D5" s="140">
        <v>1047.228920088475</v>
      </c>
      <c r="E5" s="140">
        <v>962.02314945819501</v>
      </c>
      <c r="F5" s="140">
        <v>896.28212640937204</v>
      </c>
      <c r="G5" s="140">
        <v>830.01181769468292</v>
      </c>
      <c r="H5" s="140">
        <v>811.9592035292103</v>
      </c>
      <c r="I5" s="140">
        <v>797.1995236456421</v>
      </c>
      <c r="J5" s="140">
        <v>823.41606089624429</v>
      </c>
      <c r="K5" s="140">
        <v>843.05922463208742</v>
      </c>
      <c r="L5" s="140">
        <v>873.14100021046886</v>
      </c>
      <c r="M5" s="140">
        <v>818.96166028403184</v>
      </c>
      <c r="N5" s="140">
        <v>629.00465076027172</v>
      </c>
      <c r="O5" s="140">
        <v>521.29735181736851</v>
      </c>
      <c r="P5" s="140">
        <v>411.55903021812099</v>
      </c>
      <c r="Q5" s="140">
        <v>347.4029723651467</v>
      </c>
      <c r="R5" s="140">
        <v>282.82029149190294</v>
      </c>
      <c r="S5" s="140">
        <v>221.18673512731741</v>
      </c>
      <c r="T5" s="140">
        <v>179.48065593255555</v>
      </c>
      <c r="U5" s="140">
        <v>139.54491865249051</v>
      </c>
      <c r="V5" s="140">
        <v>114.9125625040418</v>
      </c>
      <c r="W5" s="140">
        <v>109.16851564116649</v>
      </c>
      <c r="X5" s="140">
        <v>108.62413431131561</v>
      </c>
      <c r="Y5" s="140">
        <v>114.52504309206782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1090.700428814574</v>
      </c>
      <c r="C7" s="140">
        <v>1136.5100696779887</v>
      </c>
      <c r="D7" s="140">
        <v>1187.9819507638911</v>
      </c>
      <c r="E7" s="140">
        <v>1238.6719360019711</v>
      </c>
      <c r="F7" s="140">
        <v>1288.5710097935371</v>
      </c>
      <c r="G7" s="140">
        <v>1268.6374403779062</v>
      </c>
      <c r="H7" s="140">
        <v>1316.9225354851485</v>
      </c>
      <c r="I7" s="140">
        <v>1248.4430845424461</v>
      </c>
      <c r="J7" s="140">
        <v>1243.8024113368083</v>
      </c>
      <c r="K7" s="140">
        <v>1244.2370169650399</v>
      </c>
      <c r="L7" s="140">
        <v>1262.0184860004363</v>
      </c>
      <c r="M7" s="140">
        <v>1334.5277025537571</v>
      </c>
      <c r="N7" s="140">
        <v>1487.4960640867007</v>
      </c>
      <c r="O7" s="140">
        <v>1698.4364605853873</v>
      </c>
      <c r="P7" s="140">
        <v>1803.9563392498444</v>
      </c>
      <c r="Q7" s="140">
        <v>1810.2065774581056</v>
      </c>
      <c r="R7" s="140">
        <v>1569.3016818191609</v>
      </c>
      <c r="S7" s="140">
        <v>1468.906916596422</v>
      </c>
      <c r="T7" s="140">
        <v>1481.8515167207654</v>
      </c>
      <c r="U7" s="140">
        <v>1582.4637048818201</v>
      </c>
      <c r="V7" s="140">
        <v>1852.9576775189876</v>
      </c>
      <c r="W7" s="140">
        <v>2261.079528400142</v>
      </c>
      <c r="X7" s="140">
        <v>2760.2103048127151</v>
      </c>
      <c r="Y7" s="140">
        <v>3007.8605909133703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1084.9722512281801</v>
      </c>
      <c r="C9" s="140">
        <v>1211.9765809536473</v>
      </c>
      <c r="D9" s="140">
        <v>1575.9608323141333</v>
      </c>
      <c r="E9" s="140">
        <v>1888.9887673830951</v>
      </c>
      <c r="F9" s="140">
        <v>2257.7607778807751</v>
      </c>
      <c r="G9" s="140">
        <v>2546.4360097451831</v>
      </c>
      <c r="H9" s="140">
        <v>2867.6544762866379</v>
      </c>
      <c r="I9" s="140">
        <v>3226.4473261094868</v>
      </c>
      <c r="J9" s="140">
        <v>3622.153640524044</v>
      </c>
      <c r="K9" s="140">
        <v>3893.7895195869282</v>
      </c>
      <c r="L9" s="140">
        <v>3901.4763677323017</v>
      </c>
      <c r="M9" s="140">
        <v>3730.1647294945406</v>
      </c>
      <c r="N9" s="140">
        <v>3350.7083010831129</v>
      </c>
      <c r="O9" s="140">
        <v>3132.1064135403913</v>
      </c>
      <c r="P9" s="140">
        <v>3153.7989939056852</v>
      </c>
      <c r="Q9" s="140">
        <v>3321.5387220509283</v>
      </c>
      <c r="R9" s="140">
        <v>3587.7429198720324</v>
      </c>
      <c r="S9" s="140">
        <v>3911.0500249392576</v>
      </c>
      <c r="T9" s="140">
        <v>4293.4512338018876</v>
      </c>
      <c r="U9" s="140">
        <v>4645.7225191885136</v>
      </c>
      <c r="V9" s="140">
        <v>4869.571327701362</v>
      </c>
      <c r="W9" s="140">
        <v>5163.9959924025761</v>
      </c>
      <c r="X9" s="140">
        <v>5192.8424907963517</v>
      </c>
      <c r="Y9" s="140">
        <v>5229.9058956137142</v>
      </c>
      <c r="DA9" s="170" t="s">
        <v>251</v>
      </c>
    </row>
    <row r="10" spans="1:105" ht="12" customHeight="1" x14ac:dyDescent="0.25">
      <c r="A10" s="131" t="s">
        <v>128</v>
      </c>
      <c r="B10" s="140">
        <v>2126.9678325115042</v>
      </c>
      <c r="C10" s="140">
        <v>2245.1977576326963</v>
      </c>
      <c r="D10" s="140">
        <v>2322.6024607477843</v>
      </c>
      <c r="E10" s="140">
        <v>2471.7618175395173</v>
      </c>
      <c r="F10" s="140">
        <v>2713.9770316947461</v>
      </c>
      <c r="G10" s="140">
        <v>2961.6503399907633</v>
      </c>
      <c r="H10" s="140">
        <v>3097.8642571509977</v>
      </c>
      <c r="I10" s="140">
        <v>3159.4088559541706</v>
      </c>
      <c r="J10" s="140">
        <v>2886.5149420042917</v>
      </c>
      <c r="K10" s="140">
        <v>2822.6292694809945</v>
      </c>
      <c r="L10" s="140">
        <v>2775.6652591316856</v>
      </c>
      <c r="M10" s="140">
        <v>2884.0780958597193</v>
      </c>
      <c r="N10" s="140">
        <v>3067.4538890995477</v>
      </c>
      <c r="O10" s="140">
        <v>3209.6686805343579</v>
      </c>
      <c r="P10" s="140">
        <v>3158.5723732976376</v>
      </c>
      <c r="Q10" s="140">
        <v>3126.6051655720166</v>
      </c>
      <c r="R10" s="140">
        <v>2989.2193369966139</v>
      </c>
      <c r="S10" s="140">
        <v>2857.7554882294316</v>
      </c>
      <c r="T10" s="140">
        <v>2538.8524985896643</v>
      </c>
      <c r="U10" s="140">
        <v>2205.3425351982851</v>
      </c>
      <c r="V10" s="140">
        <v>1924.4066671576745</v>
      </c>
      <c r="W10" s="140">
        <v>1777.3934356140055</v>
      </c>
      <c r="X10" s="140">
        <v>1694.5294954106605</v>
      </c>
      <c r="Y10" s="140">
        <v>1700.0194149204096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253</v>
      </c>
    </row>
    <row r="12" spans="1:105" ht="12" customHeight="1" x14ac:dyDescent="0.25">
      <c r="A12" s="131" t="s">
        <v>162</v>
      </c>
      <c r="B12" s="140">
        <v>6448.2131468886046</v>
      </c>
      <c r="C12" s="140">
        <v>6594.3766815012032</v>
      </c>
      <c r="D12" s="140">
        <v>6389.0203942287562</v>
      </c>
      <c r="E12" s="140">
        <v>6324.8996929837713</v>
      </c>
      <c r="F12" s="140">
        <v>6268.2897606624811</v>
      </c>
      <c r="G12" s="140">
        <v>6144.8433382367466</v>
      </c>
      <c r="H12" s="140">
        <v>6284.6981926291965</v>
      </c>
      <c r="I12" s="140">
        <v>6675.4256649002291</v>
      </c>
      <c r="J12" s="140">
        <v>7175.1563113212915</v>
      </c>
      <c r="K12" s="140">
        <v>7397.621938594627</v>
      </c>
      <c r="L12" s="140">
        <v>7323.1622982136505</v>
      </c>
      <c r="M12" s="140">
        <v>7448.0528725844315</v>
      </c>
      <c r="N12" s="140">
        <v>7120.6900960632865</v>
      </c>
      <c r="O12" s="140">
        <v>7159.1550429471545</v>
      </c>
      <c r="P12" s="140">
        <v>7225.9105378526565</v>
      </c>
      <c r="Q12" s="140">
        <v>7578.5816274967165</v>
      </c>
      <c r="R12" s="140">
        <v>7779.9632889378636</v>
      </c>
      <c r="S12" s="140">
        <v>7840.1882284495368</v>
      </c>
      <c r="T12" s="140">
        <v>7680.1606452328524</v>
      </c>
      <c r="U12" s="140">
        <v>7653.7082166424734</v>
      </c>
      <c r="V12" s="140">
        <v>7719.7750607076468</v>
      </c>
      <c r="W12" s="140">
        <v>7507.7477054327073</v>
      </c>
      <c r="X12" s="140">
        <v>7349.6107771636025</v>
      </c>
      <c r="Y12" s="140">
        <v>7341.3809828795365</v>
      </c>
      <c r="DA12" s="170" t="s">
        <v>254</v>
      </c>
    </row>
    <row r="13" spans="1:105" ht="12" customHeight="1" x14ac:dyDescent="0.25">
      <c r="A13" s="131" t="s">
        <v>77</v>
      </c>
      <c r="B13" s="140">
        <v>9.5911245642043219E-4</v>
      </c>
      <c r="C13" s="140">
        <v>4.0988974701877765E-3</v>
      </c>
      <c r="D13" s="140">
        <v>1.6251833818010666E-2</v>
      </c>
      <c r="E13" s="140">
        <v>3.6420737108239926E-2</v>
      </c>
      <c r="F13" s="140">
        <v>7.8418186663362172E-2</v>
      </c>
      <c r="G13" s="140">
        <v>0.16503436869360702</v>
      </c>
      <c r="H13" s="140">
        <v>0.36362163825730198</v>
      </c>
      <c r="I13" s="140">
        <v>0.83525003235919315</v>
      </c>
      <c r="J13" s="140">
        <v>1.844335721065222</v>
      </c>
      <c r="K13" s="140">
        <v>4.1264797275028213</v>
      </c>
      <c r="L13" s="140">
        <v>7.8666329713243615</v>
      </c>
      <c r="M13" s="140">
        <v>14.963505643180259</v>
      </c>
      <c r="N13" s="140">
        <v>24.688405613651295</v>
      </c>
      <c r="O13" s="140">
        <v>40.436625342241413</v>
      </c>
      <c r="P13" s="140">
        <v>57.837006665820134</v>
      </c>
      <c r="Q13" s="140">
        <v>76.537141227911221</v>
      </c>
      <c r="R13" s="140">
        <v>89.792038155006864</v>
      </c>
      <c r="S13" s="140">
        <v>99.576898711942647</v>
      </c>
      <c r="T13" s="140">
        <v>104.43055314570995</v>
      </c>
      <c r="U13" s="140">
        <v>103.70076307527827</v>
      </c>
      <c r="V13" s="140">
        <v>97.576806045500604</v>
      </c>
      <c r="W13" s="140">
        <v>93.923780678889145</v>
      </c>
      <c r="X13" s="140">
        <v>85.866467489260103</v>
      </c>
      <c r="Y13" s="140">
        <v>80.456087892423554</v>
      </c>
      <c r="DA13" s="170" t="s">
        <v>255</v>
      </c>
    </row>
    <row r="14" spans="1:105" ht="12" customHeight="1" x14ac:dyDescent="0.25">
      <c r="A14" s="60" t="s">
        <v>76</v>
      </c>
      <c r="B14" s="141">
        <v>840.55476051089363</v>
      </c>
      <c r="C14" s="141">
        <v>987.1638523924853</v>
      </c>
      <c r="D14" s="141">
        <v>1418.44287509123</v>
      </c>
      <c r="E14" s="141">
        <v>1726.4010276160991</v>
      </c>
      <c r="F14" s="141">
        <v>1990.572438190911</v>
      </c>
      <c r="G14" s="141">
        <v>2297.5560219040422</v>
      </c>
      <c r="H14" s="141">
        <v>2628.8077237815241</v>
      </c>
      <c r="I14" s="141">
        <v>2915.5631256373531</v>
      </c>
      <c r="J14" s="141">
        <v>2826.4856058297032</v>
      </c>
      <c r="K14" s="141">
        <v>2408.3606807014989</v>
      </c>
      <c r="L14" s="141">
        <v>2379.8911224427297</v>
      </c>
      <c r="M14" s="141">
        <v>2593.3892988521457</v>
      </c>
      <c r="N14" s="141">
        <v>3060.2304434939547</v>
      </c>
      <c r="O14" s="141">
        <v>3169.5842252937105</v>
      </c>
      <c r="P14" s="141">
        <v>3329.6449409798061</v>
      </c>
      <c r="Q14" s="141">
        <v>3143.776304640237</v>
      </c>
      <c r="R14" s="141">
        <v>3190.365799436483</v>
      </c>
      <c r="S14" s="141">
        <v>3305.6396929468569</v>
      </c>
      <c r="T14" s="141">
        <v>3573.0909502066379</v>
      </c>
      <c r="U14" s="141">
        <v>3666.7001538977388</v>
      </c>
      <c r="V14" s="141">
        <v>3553.8154539203342</v>
      </c>
      <c r="W14" s="141">
        <v>3352.527928373403</v>
      </c>
      <c r="X14" s="141">
        <v>3203.8302041042598</v>
      </c>
      <c r="Y14" s="141">
        <v>3041.8158163638732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11934.369919772937</v>
      </c>
      <c r="C15" s="143">
        <f t="shared" si="4"/>
        <v>12326.291353432618</v>
      </c>
      <c r="D15" s="143">
        <f t="shared" si="4"/>
        <v>12522.794558143039</v>
      </c>
      <c r="E15" s="143">
        <f t="shared" si="4"/>
        <v>12886.345363366549</v>
      </c>
      <c r="F15" s="143">
        <f t="shared" si="4"/>
        <v>13424.880706440912</v>
      </c>
      <c r="G15" s="143">
        <f t="shared" si="4"/>
        <v>13751.578946045283</v>
      </c>
      <c r="H15" s="143">
        <f t="shared" si="4"/>
        <v>14379.09866508119</v>
      </c>
      <c r="I15" s="143">
        <f t="shared" si="4"/>
        <v>15106.924455151975</v>
      </c>
      <c r="J15" s="143">
        <f t="shared" si="4"/>
        <v>15751.043366082678</v>
      </c>
      <c r="K15" s="143">
        <f t="shared" si="4"/>
        <v>16201.336969259679</v>
      </c>
      <c r="L15" s="143">
        <f t="shared" si="4"/>
        <v>16135.463411288543</v>
      </c>
      <c r="M15" s="143">
        <f t="shared" si="4"/>
        <v>16215.785060776481</v>
      </c>
      <c r="N15" s="143">
        <f t="shared" si="4"/>
        <v>15655.353001092919</v>
      </c>
      <c r="O15" s="143">
        <f t="shared" si="4"/>
        <v>15720.663949424659</v>
      </c>
      <c r="P15" s="143">
        <f t="shared" si="4"/>
        <v>15753.797274523944</v>
      </c>
      <c r="Q15" s="143">
        <f t="shared" si="4"/>
        <v>16184.335064942914</v>
      </c>
      <c r="R15" s="143">
        <f t="shared" ref="R15:W15" si="5">SUM(R5:R12)</f>
        <v>16209.047519117572</v>
      </c>
      <c r="S15" s="143">
        <f t="shared" si="5"/>
        <v>16299.087393341964</v>
      </c>
      <c r="T15" s="143">
        <f t="shared" si="5"/>
        <v>16173.796550277724</v>
      </c>
      <c r="U15" s="143">
        <f t="shared" si="5"/>
        <v>16226.781894563583</v>
      </c>
      <c r="V15" s="143">
        <f t="shared" si="5"/>
        <v>16481.623295589714</v>
      </c>
      <c r="W15" s="143">
        <f t="shared" si="5"/>
        <v>16819.385177490596</v>
      </c>
      <c r="X15" s="143">
        <f t="shared" ref="X15:Y15" si="6">SUM(X5:X12)</f>
        <v>17105.817202494647</v>
      </c>
      <c r="Y15" s="143">
        <f t="shared" si="6"/>
        <v>17393.691927419099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680.33804737716218</v>
      </c>
      <c r="C16" s="139">
        <f t="shared" si="7"/>
        <v>739.60488859167856</v>
      </c>
      <c r="D16" s="139">
        <f t="shared" si="7"/>
        <v>825.13851798836163</v>
      </c>
      <c r="E16" s="139">
        <f t="shared" si="7"/>
        <v>932.79961438367093</v>
      </c>
      <c r="F16" s="139">
        <f t="shared" si="7"/>
        <v>1025.040729874406</v>
      </c>
      <c r="G16" s="139">
        <f t="shared" si="7"/>
        <v>1161.6047759028922</v>
      </c>
      <c r="H16" s="139">
        <f t="shared" si="7"/>
        <v>1304.6555016519142</v>
      </c>
      <c r="I16" s="139">
        <f t="shared" si="7"/>
        <v>1489.4372051856312</v>
      </c>
      <c r="J16" s="139">
        <f t="shared" si="7"/>
        <v>1651.1244791573911</v>
      </c>
      <c r="K16" s="139">
        <f t="shared" si="7"/>
        <v>1801.2016730258315</v>
      </c>
      <c r="L16" s="139">
        <f t="shared" si="7"/>
        <v>1900.2829761198916</v>
      </c>
      <c r="M16" s="139">
        <f t="shared" si="7"/>
        <v>2004.9504790806386</v>
      </c>
      <c r="N16" s="139">
        <f t="shared" si="7"/>
        <v>2075.6962628301258</v>
      </c>
      <c r="O16" s="139">
        <f t="shared" si="7"/>
        <v>2164.3173162451249</v>
      </c>
      <c r="P16" s="139">
        <f t="shared" si="7"/>
        <v>2258.5673291418034</v>
      </c>
      <c r="Q16" s="139">
        <f t="shared" si="7"/>
        <v>2365.1305011401832</v>
      </c>
      <c r="R16" s="139">
        <f t="shared" ref="R16:W16" si="8">SUM(R17:R18)</f>
        <v>2453.3786865964375</v>
      </c>
      <c r="S16" s="139">
        <f t="shared" si="8"/>
        <v>2551.7605553895555</v>
      </c>
      <c r="T16" s="139">
        <f t="shared" si="8"/>
        <v>2640.9987252537721</v>
      </c>
      <c r="U16" s="139">
        <f t="shared" si="8"/>
        <v>2747.983754268379</v>
      </c>
      <c r="V16" s="139">
        <f t="shared" si="8"/>
        <v>2838.4758116514881</v>
      </c>
      <c r="W16" s="139">
        <f t="shared" si="8"/>
        <v>2939.278272124976</v>
      </c>
      <c r="X16" s="139">
        <f t="shared" ref="X16:Y16" si="9">SUM(X17:X18)</f>
        <v>3016.8729755145691</v>
      </c>
      <c r="Y16" s="139">
        <f t="shared" si="9"/>
        <v>3106.28658772582</v>
      </c>
      <c r="DA16" s="169" t="s">
        <v>257</v>
      </c>
    </row>
    <row r="17" spans="1:105" ht="12.95" customHeight="1" x14ac:dyDescent="0.25">
      <c r="A17" s="131" t="s">
        <v>73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258</v>
      </c>
    </row>
    <row r="18" spans="1:105" ht="12" customHeight="1" x14ac:dyDescent="0.25">
      <c r="A18" s="131" t="s">
        <v>72</v>
      </c>
      <c r="B18" s="140">
        <v>680.33804737716218</v>
      </c>
      <c r="C18" s="140">
        <v>739.60488859167856</v>
      </c>
      <c r="D18" s="140">
        <v>825.13851798836163</v>
      </c>
      <c r="E18" s="140">
        <v>932.79961438367093</v>
      </c>
      <c r="F18" s="140">
        <v>1025.040729874406</v>
      </c>
      <c r="G18" s="140">
        <v>1161.6047759028922</v>
      </c>
      <c r="H18" s="140">
        <v>1304.6555016519142</v>
      </c>
      <c r="I18" s="140">
        <v>1489.4372051856312</v>
      </c>
      <c r="J18" s="140">
        <v>1651.1244791573911</v>
      </c>
      <c r="K18" s="140">
        <v>1801.2016730258315</v>
      </c>
      <c r="L18" s="140">
        <v>1900.2829761198916</v>
      </c>
      <c r="M18" s="140">
        <v>2004.9504790806386</v>
      </c>
      <c r="N18" s="140">
        <v>2075.6962628301258</v>
      </c>
      <c r="O18" s="140">
        <v>2164.3173162451249</v>
      </c>
      <c r="P18" s="140">
        <v>2258.5673291418034</v>
      </c>
      <c r="Q18" s="140">
        <v>2365.1305011401832</v>
      </c>
      <c r="R18" s="140">
        <v>2453.3786865964375</v>
      </c>
      <c r="S18" s="140">
        <v>2551.7605553895555</v>
      </c>
      <c r="T18" s="140">
        <v>2640.9987252537721</v>
      </c>
      <c r="U18" s="140">
        <v>2747.983754268379</v>
      </c>
      <c r="V18" s="140">
        <v>2838.4758116514881</v>
      </c>
      <c r="W18" s="140">
        <v>2939.278272124976</v>
      </c>
      <c r="X18" s="140">
        <v>3016.8729755145691</v>
      </c>
      <c r="Y18" s="140">
        <v>3106.28658772582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12774.925639396288</v>
      </c>
      <c r="C19" s="139">
        <f t="shared" si="10"/>
        <v>13313.459304722575</v>
      </c>
      <c r="D19" s="139">
        <f t="shared" si="10"/>
        <v>13941.25368506809</v>
      </c>
      <c r="E19" s="139">
        <f t="shared" si="10"/>
        <v>14612.782811719755</v>
      </c>
      <c r="F19" s="139">
        <f t="shared" si="10"/>
        <v>15415.531562818484</v>
      </c>
      <c r="G19" s="139">
        <f t="shared" si="10"/>
        <v>16049.300002318021</v>
      </c>
      <c r="H19" s="139">
        <f t="shared" si="10"/>
        <v>17008.270010500972</v>
      </c>
      <c r="I19" s="139">
        <f t="shared" si="10"/>
        <v>18023.322830821686</v>
      </c>
      <c r="J19" s="139">
        <f t="shared" si="10"/>
        <v>18579.373307633439</v>
      </c>
      <c r="K19" s="139">
        <f t="shared" si="10"/>
        <v>18613.824129688681</v>
      </c>
      <c r="L19" s="139">
        <f t="shared" si="10"/>
        <v>18523.221166702599</v>
      </c>
      <c r="M19" s="139">
        <f t="shared" si="10"/>
        <v>18824.137865271801</v>
      </c>
      <c r="N19" s="139">
        <f t="shared" si="10"/>
        <v>18740.271850200537</v>
      </c>
      <c r="O19" s="139">
        <f t="shared" si="10"/>
        <v>18930.684800060608</v>
      </c>
      <c r="P19" s="139">
        <f t="shared" si="10"/>
        <v>19141.279222169574</v>
      </c>
      <c r="Q19" s="139">
        <f t="shared" si="10"/>
        <v>19404.64851081105</v>
      </c>
      <c r="R19" s="139">
        <f t="shared" ref="R19:W19" si="11">SUM(R20:R26)</f>
        <v>19489.20535670907</v>
      </c>
      <c r="S19" s="139">
        <f t="shared" si="11"/>
        <v>19704.30398500077</v>
      </c>
      <c r="T19" s="139">
        <f t="shared" si="11"/>
        <v>19851.318053630082</v>
      </c>
      <c r="U19" s="139">
        <f t="shared" si="11"/>
        <v>19997.182811536593</v>
      </c>
      <c r="V19" s="139">
        <f t="shared" si="11"/>
        <v>20133.015555555558</v>
      </c>
      <c r="W19" s="139">
        <f t="shared" si="11"/>
        <v>20265.836886542889</v>
      </c>
      <c r="X19" s="139">
        <f t="shared" ref="X19:Y19" si="12">SUM(X20:X26)</f>
        <v>20395.513874088167</v>
      </c>
      <c r="Y19" s="139">
        <f t="shared" si="12"/>
        <v>20515.963831675399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262</v>
      </c>
    </row>
    <row r="22" spans="1:105" ht="12" customHeight="1" x14ac:dyDescent="0.25">
      <c r="A22" s="131" t="s">
        <v>161</v>
      </c>
      <c r="B22" s="140">
        <v>1057.0853292157151</v>
      </c>
      <c r="C22" s="140">
        <v>1076.6013552408515</v>
      </c>
      <c r="D22" s="140">
        <v>1111.7716499522367</v>
      </c>
      <c r="E22" s="140">
        <v>1136.085127958298</v>
      </c>
      <c r="F22" s="140">
        <v>1152.7416385591766</v>
      </c>
      <c r="G22" s="140">
        <v>1169.2974627697395</v>
      </c>
      <c r="H22" s="140">
        <v>1189.3394529950067</v>
      </c>
      <c r="I22" s="140">
        <v>1192.6350315694583</v>
      </c>
      <c r="J22" s="140">
        <v>1199.4690618812724</v>
      </c>
      <c r="K22" s="140">
        <v>1182.6773808806311</v>
      </c>
      <c r="L22" s="140">
        <v>1191.0187503042455</v>
      </c>
      <c r="M22" s="140">
        <v>1207.5480946558871</v>
      </c>
      <c r="N22" s="140">
        <v>1246.1416120884348</v>
      </c>
      <c r="O22" s="140">
        <v>1270.4953310017072</v>
      </c>
      <c r="P22" s="140">
        <v>1286.4474996827842</v>
      </c>
      <c r="Q22" s="140">
        <v>1275.0613523050656</v>
      </c>
      <c r="R22" s="140">
        <v>1240.3771045769647</v>
      </c>
      <c r="S22" s="140">
        <v>1184.4129960749201</v>
      </c>
      <c r="T22" s="140">
        <v>1122.7040823173197</v>
      </c>
      <c r="U22" s="140">
        <v>1055.8237304871241</v>
      </c>
      <c r="V22" s="140">
        <v>997.74281519140425</v>
      </c>
      <c r="W22" s="140">
        <v>957.15333059893305</v>
      </c>
      <c r="X22" s="140">
        <v>923.97411722194602</v>
      </c>
      <c r="Y22" s="140">
        <v>927.51049268673216</v>
      </c>
      <c r="DA22" s="170" t="s">
        <v>263</v>
      </c>
    </row>
    <row r="23" spans="1:105" ht="12" customHeight="1" x14ac:dyDescent="0.25">
      <c r="A23" s="131" t="s">
        <v>149</v>
      </c>
      <c r="B23" s="140">
        <v>974.67174027167903</v>
      </c>
      <c r="C23" s="140">
        <v>1052.6121841758006</v>
      </c>
      <c r="D23" s="140">
        <v>1217.6884212980419</v>
      </c>
      <c r="E23" s="140">
        <v>1363.9562458375083</v>
      </c>
      <c r="F23" s="140">
        <v>1507.3045903903742</v>
      </c>
      <c r="G23" s="140">
        <v>1654.1407554621956</v>
      </c>
      <c r="H23" s="140">
        <v>1807.4073743008653</v>
      </c>
      <c r="I23" s="140">
        <v>1989.0083733876149</v>
      </c>
      <c r="J23" s="140">
        <v>2206.5034999032746</v>
      </c>
      <c r="K23" s="140">
        <v>2356.7415463153384</v>
      </c>
      <c r="L23" s="140">
        <v>2469.9656224113319</v>
      </c>
      <c r="M23" s="140">
        <v>2543.7382639070552</v>
      </c>
      <c r="N23" s="140">
        <v>2625.7313809277953</v>
      </c>
      <c r="O23" s="140">
        <v>2682.0946575834182</v>
      </c>
      <c r="P23" s="140">
        <v>2741.7993729686168</v>
      </c>
      <c r="Q23" s="140">
        <v>2789.0425190260962</v>
      </c>
      <c r="R23" s="140">
        <v>2828.5638431767434</v>
      </c>
      <c r="S23" s="140">
        <v>2868.7510411301373</v>
      </c>
      <c r="T23" s="140">
        <v>2949.4889752354329</v>
      </c>
      <c r="U23" s="140">
        <v>3068.0065049371938</v>
      </c>
      <c r="V23" s="140">
        <v>3215.227763492403</v>
      </c>
      <c r="W23" s="140">
        <v>3221.1641564225488</v>
      </c>
      <c r="X23" s="140">
        <v>3160.0686294383195</v>
      </c>
      <c r="Y23" s="140">
        <v>3053.6744900871572</v>
      </c>
      <c r="DA23" s="170" t="s">
        <v>264</v>
      </c>
    </row>
    <row r="24" spans="1:105" ht="12" customHeight="1" x14ac:dyDescent="0.25">
      <c r="A24" s="131" t="s">
        <v>128</v>
      </c>
      <c r="B24" s="140">
        <v>1544.3194518439539</v>
      </c>
      <c r="C24" s="140">
        <v>1595.616083834514</v>
      </c>
      <c r="D24" s="140">
        <v>1651.818156914017</v>
      </c>
      <c r="E24" s="140">
        <v>1735.583544059629</v>
      </c>
      <c r="F24" s="140">
        <v>1879.4923825142639</v>
      </c>
      <c r="G24" s="140">
        <v>2023.1128758855807</v>
      </c>
      <c r="H24" s="140">
        <v>2128.8706994533395</v>
      </c>
      <c r="I24" s="140">
        <v>2197.800953365062</v>
      </c>
      <c r="J24" s="140">
        <v>2239.7474572895767</v>
      </c>
      <c r="K24" s="140">
        <v>2277.3603106643095</v>
      </c>
      <c r="L24" s="140">
        <v>2354.9332601488404</v>
      </c>
      <c r="M24" s="140">
        <v>2442.4808695787724</v>
      </c>
      <c r="N24" s="140">
        <v>2536.0691658744054</v>
      </c>
      <c r="O24" s="140">
        <v>2601.7247364667205</v>
      </c>
      <c r="P24" s="140">
        <v>2637.8447740006322</v>
      </c>
      <c r="Q24" s="140">
        <v>2643.7363593585551</v>
      </c>
      <c r="R24" s="140">
        <v>2558.8998816244866</v>
      </c>
      <c r="S24" s="140">
        <v>2431.8689574163409</v>
      </c>
      <c r="T24" s="140">
        <v>2167.7843872115573</v>
      </c>
      <c r="U24" s="140">
        <v>1937.6343615800617</v>
      </c>
      <c r="V24" s="140">
        <v>1827.3211617682475</v>
      </c>
      <c r="W24" s="140">
        <v>1835.0168321361987</v>
      </c>
      <c r="X24" s="140">
        <v>1951.9039563501162</v>
      </c>
      <c r="Y24" s="140">
        <v>1975.3742762329628</v>
      </c>
      <c r="DA24" s="170" t="s">
        <v>265</v>
      </c>
    </row>
    <row r="25" spans="1:105" ht="12" customHeight="1" x14ac:dyDescent="0.25">
      <c r="A25" s="131" t="s">
        <v>162</v>
      </c>
      <c r="B25" s="140">
        <v>4892.8990482080999</v>
      </c>
      <c r="C25" s="140">
        <v>5107.200530243118</v>
      </c>
      <c r="D25" s="140">
        <v>5198.8416343722929</v>
      </c>
      <c r="E25" s="140">
        <v>5260.5287831928681</v>
      </c>
      <c r="F25" s="140">
        <v>5326.8358596923335</v>
      </c>
      <c r="G25" s="140">
        <v>5339.9684428313467</v>
      </c>
      <c r="H25" s="140">
        <v>5334.4944663128899</v>
      </c>
      <c r="I25" s="140">
        <v>5318.8595693685438</v>
      </c>
      <c r="J25" s="140">
        <v>5261.8410920132992</v>
      </c>
      <c r="K25" s="140">
        <v>5231.7315255442891</v>
      </c>
      <c r="L25" s="140">
        <v>5281.989816598677</v>
      </c>
      <c r="M25" s="140">
        <v>5375.2973312194899</v>
      </c>
      <c r="N25" s="140">
        <v>5493.0626606832893</v>
      </c>
      <c r="O25" s="140">
        <v>5582.9215457991259</v>
      </c>
      <c r="P25" s="140">
        <v>5698.8203882592152</v>
      </c>
      <c r="Q25" s="140">
        <v>5848.7219410166635</v>
      </c>
      <c r="R25" s="140">
        <v>5929.3896357497852</v>
      </c>
      <c r="S25" s="140">
        <v>5973.8957076070228</v>
      </c>
      <c r="T25" s="140">
        <v>6023.2351535004655</v>
      </c>
      <c r="U25" s="140">
        <v>6177.5042926480937</v>
      </c>
      <c r="V25" s="140">
        <v>6384.8065943995534</v>
      </c>
      <c r="W25" s="140">
        <v>6546.402095950084</v>
      </c>
      <c r="X25" s="140">
        <v>6562.2313737908507</v>
      </c>
      <c r="Y25" s="140">
        <v>6532.8014063562987</v>
      </c>
      <c r="DA25" s="170" t="s">
        <v>266</v>
      </c>
    </row>
    <row r="26" spans="1:105" ht="12" customHeight="1" x14ac:dyDescent="0.25">
      <c r="A26" s="131" t="s">
        <v>24</v>
      </c>
      <c r="B26" s="141">
        <v>4305.950069856839</v>
      </c>
      <c r="C26" s="141">
        <v>4481.4291512282898</v>
      </c>
      <c r="D26" s="141">
        <v>4761.1338225315012</v>
      </c>
      <c r="E26" s="141">
        <v>5116.6291106714507</v>
      </c>
      <c r="F26" s="141">
        <v>5549.1570916623341</v>
      </c>
      <c r="G26" s="141">
        <v>5862.7804653691574</v>
      </c>
      <c r="H26" s="141">
        <v>6548.1580174388691</v>
      </c>
      <c r="I26" s="141">
        <v>7325.0189031310074</v>
      </c>
      <c r="J26" s="141">
        <v>7671.8121965460177</v>
      </c>
      <c r="K26" s="141">
        <v>7565.3133662841128</v>
      </c>
      <c r="L26" s="141">
        <v>7225.3137172395036</v>
      </c>
      <c r="M26" s="141">
        <v>7255.0733059105969</v>
      </c>
      <c r="N26" s="141">
        <v>6839.26703062661</v>
      </c>
      <c r="O26" s="141">
        <v>6793.4485292096351</v>
      </c>
      <c r="P26" s="141">
        <v>6776.3671872583263</v>
      </c>
      <c r="Q26" s="141">
        <v>6848.0863391046678</v>
      </c>
      <c r="R26" s="141">
        <v>6931.9748915810869</v>
      </c>
      <c r="S26" s="141">
        <v>7245.3752827723483</v>
      </c>
      <c r="T26" s="141">
        <v>7588.1054553653066</v>
      </c>
      <c r="U26" s="141">
        <v>7758.2139218841221</v>
      </c>
      <c r="V26" s="141">
        <v>7707.9172207039474</v>
      </c>
      <c r="W26" s="141">
        <v>7706.1004714351257</v>
      </c>
      <c r="X26" s="141">
        <v>7797.3357972869335</v>
      </c>
      <c r="Y26" s="141">
        <v>8026.6031663122476</v>
      </c>
      <c r="DA26" s="171" t="s">
        <v>267</v>
      </c>
    </row>
    <row r="27" spans="1:105" ht="12" customHeight="1" x14ac:dyDescent="0.25">
      <c r="A27" s="144" t="s">
        <v>26</v>
      </c>
      <c r="B27" s="150">
        <v>0</v>
      </c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12774.925639396288</v>
      </c>
      <c r="C29" s="139">
        <f t="shared" si="13"/>
        <v>13313.459304722575</v>
      </c>
      <c r="D29" s="139">
        <f t="shared" si="13"/>
        <v>13941.253685068088</v>
      </c>
      <c r="E29" s="139">
        <f t="shared" si="13"/>
        <v>14612.782811719753</v>
      </c>
      <c r="F29" s="139">
        <f t="shared" si="13"/>
        <v>15415.53156281848</v>
      </c>
      <c r="G29" s="139">
        <f t="shared" si="13"/>
        <v>16049.300002318018</v>
      </c>
      <c r="H29" s="139">
        <f t="shared" si="13"/>
        <v>17008.270010500975</v>
      </c>
      <c r="I29" s="139">
        <f t="shared" si="13"/>
        <v>18023.322830821686</v>
      </c>
      <c r="J29" s="139">
        <f t="shared" si="13"/>
        <v>18579.373307633447</v>
      </c>
      <c r="K29" s="139">
        <f t="shared" si="13"/>
        <v>18613.824129688674</v>
      </c>
      <c r="L29" s="139">
        <f t="shared" si="13"/>
        <v>18523.221166702595</v>
      </c>
      <c r="M29" s="139">
        <f t="shared" si="13"/>
        <v>18824.137865271809</v>
      </c>
      <c r="N29" s="139">
        <f t="shared" si="13"/>
        <v>18740.271850200523</v>
      </c>
      <c r="O29" s="139">
        <f t="shared" si="13"/>
        <v>18930.684800060604</v>
      </c>
      <c r="P29" s="139">
        <f t="shared" si="13"/>
        <v>19141.279222169578</v>
      </c>
      <c r="Q29" s="139">
        <f t="shared" si="13"/>
        <v>19404.648510811054</v>
      </c>
      <c r="R29" s="139">
        <f t="shared" ref="R29:W29" si="14">SUM(R30:R33)</f>
        <v>19489.205356709066</v>
      </c>
      <c r="S29" s="139">
        <f t="shared" si="14"/>
        <v>19704.303985000777</v>
      </c>
      <c r="T29" s="139">
        <f t="shared" si="14"/>
        <v>19851.318053630079</v>
      </c>
      <c r="U29" s="139">
        <f t="shared" si="14"/>
        <v>19997.182811536582</v>
      </c>
      <c r="V29" s="139">
        <f t="shared" si="14"/>
        <v>20133.015555555554</v>
      </c>
      <c r="W29" s="139">
        <f t="shared" si="14"/>
        <v>20265.8368865429</v>
      </c>
      <c r="X29" s="139">
        <f t="shared" ref="X29:Y29" si="15">SUM(X30:X33)</f>
        <v>20395.513874088156</v>
      </c>
      <c r="Y29" s="139">
        <f t="shared" si="15"/>
        <v>20515.963831675406</v>
      </c>
      <c r="DA29" s="169" t="s">
        <v>269</v>
      </c>
    </row>
    <row r="30" spans="1:105" ht="12" customHeight="1" x14ac:dyDescent="0.25">
      <c r="A30" s="131" t="s">
        <v>52</v>
      </c>
      <c r="B30" s="140">
        <v>0</v>
      </c>
      <c r="C30" s="140">
        <v>315.23074970367628</v>
      </c>
      <c r="D30" s="140">
        <v>500.75645274637446</v>
      </c>
      <c r="E30" s="140">
        <v>772.48776963658315</v>
      </c>
      <c r="F30" s="140">
        <v>797.89338624729135</v>
      </c>
      <c r="G30" s="140">
        <v>821.15496458019868</v>
      </c>
      <c r="H30" s="140">
        <v>769.34998049470437</v>
      </c>
      <c r="I30" s="140">
        <v>723.34671017718995</v>
      </c>
      <c r="J30" s="140">
        <v>614.01590379807317</v>
      </c>
      <c r="K30" s="140">
        <v>528.31389669198904</v>
      </c>
      <c r="L30" s="140">
        <v>472.40339591611649</v>
      </c>
      <c r="M30" s="140">
        <v>417.99614146611134</v>
      </c>
      <c r="N30" s="140">
        <v>495.72543959200488</v>
      </c>
      <c r="O30" s="140">
        <v>571.68084384184806</v>
      </c>
      <c r="P30" s="140">
        <v>759.84974626536473</v>
      </c>
      <c r="Q30" s="140">
        <v>987.08661569204753</v>
      </c>
      <c r="R30" s="140">
        <v>1331.4274440956003</v>
      </c>
      <c r="S30" s="140">
        <v>1590.4432059757869</v>
      </c>
      <c r="T30" s="140">
        <v>1581.5178958204913</v>
      </c>
      <c r="U30" s="140">
        <v>1450.7432864049713</v>
      </c>
      <c r="V30" s="140">
        <v>1487.9384529135748</v>
      </c>
      <c r="W30" s="140">
        <v>1541.0024232934011</v>
      </c>
      <c r="X30" s="140">
        <v>1876.4068912766718</v>
      </c>
      <c r="Y30" s="140">
        <v>1938.9717178104722</v>
      </c>
      <c r="DA30" s="170" t="s">
        <v>270</v>
      </c>
    </row>
    <row r="31" spans="1:105" ht="12" customHeight="1" x14ac:dyDescent="0.25">
      <c r="A31" s="131" t="s">
        <v>149</v>
      </c>
      <c r="B31" s="140">
        <v>1546.1053223834544</v>
      </c>
      <c r="C31" s="140">
        <v>2100.951389228273</v>
      </c>
      <c r="D31" s="140">
        <v>2590.3988664710123</v>
      </c>
      <c r="E31" s="140">
        <v>2893.8403743376748</v>
      </c>
      <c r="F31" s="140">
        <v>3088.7586152861045</v>
      </c>
      <c r="G31" s="140">
        <v>3198.6176119841148</v>
      </c>
      <c r="H31" s="140">
        <v>3353.6496801031162</v>
      </c>
      <c r="I31" s="140">
        <v>3577.1372026923032</v>
      </c>
      <c r="J31" s="140">
        <v>3775.7126521380819</v>
      </c>
      <c r="K31" s="140">
        <v>3868.4587693416192</v>
      </c>
      <c r="L31" s="140">
        <v>3767.9834460875204</v>
      </c>
      <c r="M31" s="140">
        <v>3494.9190495296975</v>
      </c>
      <c r="N31" s="140">
        <v>3083.4239582443597</v>
      </c>
      <c r="O31" s="140">
        <v>2772.2427645110452</v>
      </c>
      <c r="P31" s="140">
        <v>2703.6346749695044</v>
      </c>
      <c r="Q31" s="140">
        <v>2811.0663954010897</v>
      </c>
      <c r="R31" s="140">
        <v>3152.5199332811762</v>
      </c>
      <c r="S31" s="140">
        <v>3525.7995347519618</v>
      </c>
      <c r="T31" s="140">
        <v>3945.7799876045924</v>
      </c>
      <c r="U31" s="140">
        <v>4304.0472340617571</v>
      </c>
      <c r="V31" s="140">
        <v>4584.7725138237793</v>
      </c>
      <c r="W31" s="140">
        <v>4629.1768897455577</v>
      </c>
      <c r="X31" s="140">
        <v>4492.5989069410298</v>
      </c>
      <c r="Y31" s="140">
        <v>4525.5767846710833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11228.820317012833</v>
      </c>
      <c r="C33" s="152">
        <v>10897.277165790625</v>
      </c>
      <c r="D33" s="152">
        <v>10850.098365850701</v>
      </c>
      <c r="E33" s="152">
        <v>10946.454667745496</v>
      </c>
      <c r="F33" s="152">
        <v>11528.879561285084</v>
      </c>
      <c r="G33" s="152">
        <v>12029.527425753704</v>
      </c>
      <c r="H33" s="152">
        <v>12885.270349903154</v>
      </c>
      <c r="I33" s="152">
        <v>13722.838917952193</v>
      </c>
      <c r="J33" s="152">
        <v>14189.644751697289</v>
      </c>
      <c r="K33" s="152">
        <v>14217.051463655065</v>
      </c>
      <c r="L33" s="152">
        <v>14282.834324698959</v>
      </c>
      <c r="M33" s="152">
        <v>14911.222674275999</v>
      </c>
      <c r="N33" s="152">
        <v>15161.122452364159</v>
      </c>
      <c r="O33" s="152">
        <v>15586.76119170771</v>
      </c>
      <c r="P33" s="152">
        <v>15677.794800934711</v>
      </c>
      <c r="Q33" s="152">
        <v>15606.495499717917</v>
      </c>
      <c r="R33" s="152">
        <v>15005.257979332289</v>
      </c>
      <c r="S33" s="152">
        <v>14588.061244273027</v>
      </c>
      <c r="T33" s="152">
        <v>14324.020170204994</v>
      </c>
      <c r="U33" s="152">
        <v>14242.392291069855</v>
      </c>
      <c r="V33" s="152">
        <v>14060.304588818201</v>
      </c>
      <c r="W33" s="152">
        <v>14095.657573503942</v>
      </c>
      <c r="X33" s="152">
        <v>14026.508075870455</v>
      </c>
      <c r="Y33" s="152">
        <v>14051.415329193849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419.94852721352999</v>
      </c>
      <c r="C3" s="125">
        <f t="shared" si="0"/>
        <v>446.0132252970381</v>
      </c>
      <c r="D3" s="125">
        <f t="shared" si="0"/>
        <v>475.65503929913734</v>
      </c>
      <c r="E3" s="125">
        <f t="shared" si="0"/>
        <v>501.39890551936946</v>
      </c>
      <c r="F3" s="125">
        <f t="shared" si="0"/>
        <v>528.08580898620608</v>
      </c>
      <c r="G3" s="125">
        <f t="shared" si="0"/>
        <v>520.73679549120175</v>
      </c>
      <c r="H3" s="125">
        <f t="shared" si="0"/>
        <v>558.04401162813303</v>
      </c>
      <c r="I3" s="125">
        <f t="shared" si="0"/>
        <v>597.43147334559831</v>
      </c>
      <c r="J3" s="125">
        <f t="shared" si="0"/>
        <v>518.34506559088766</v>
      </c>
      <c r="K3" s="125">
        <f t="shared" si="0"/>
        <v>476.21652626512753</v>
      </c>
      <c r="L3" s="125">
        <f t="shared" si="0"/>
        <v>500.59906087178433</v>
      </c>
      <c r="M3" s="125">
        <f t="shared" si="0"/>
        <v>457.49032186903031</v>
      </c>
      <c r="N3" s="125">
        <f t="shared" si="0"/>
        <v>524.16456790055804</v>
      </c>
      <c r="O3" s="125">
        <f t="shared" si="0"/>
        <v>499.41644773282633</v>
      </c>
      <c r="P3" s="125">
        <f t="shared" si="0"/>
        <v>505.14124322313251</v>
      </c>
      <c r="Q3" s="125">
        <f t="shared" si="0"/>
        <v>475.86115283012657</v>
      </c>
      <c r="R3" s="125">
        <f t="shared" ref="R3:W3" si="1">SUM(R4,R16,R19,R29)</f>
        <v>482.29776961296477</v>
      </c>
      <c r="S3" s="125">
        <f t="shared" si="1"/>
        <v>497.29438007532451</v>
      </c>
      <c r="T3" s="125">
        <f t="shared" si="1"/>
        <v>484.19503442254268</v>
      </c>
      <c r="U3" s="125">
        <f t="shared" si="1"/>
        <v>462.28527111263679</v>
      </c>
      <c r="V3" s="125">
        <f t="shared" si="1"/>
        <v>444.90900841635619</v>
      </c>
      <c r="W3" s="125">
        <f t="shared" si="1"/>
        <v>496.89816706280112</v>
      </c>
      <c r="X3" s="125">
        <f t="shared" ref="X3:Y3" si="2">SUM(X4,X16,X19,X29)</f>
        <v>467.19672431347692</v>
      </c>
      <c r="Y3" s="125">
        <f t="shared" si="2"/>
        <v>433.24679528347167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331.22575714430815</v>
      </c>
      <c r="C4" s="130">
        <f t="shared" si="3"/>
        <v>352.40513259699486</v>
      </c>
      <c r="D4" s="130">
        <f t="shared" si="3"/>
        <v>381.46909256546166</v>
      </c>
      <c r="E4" s="130">
        <f t="shared" si="3"/>
        <v>403.88491724757108</v>
      </c>
      <c r="F4" s="130">
        <f t="shared" si="3"/>
        <v>424.60460615365503</v>
      </c>
      <c r="G4" s="130">
        <f t="shared" si="3"/>
        <v>412.8027538201635</v>
      </c>
      <c r="H4" s="130">
        <f t="shared" si="3"/>
        <v>443.86823877507516</v>
      </c>
      <c r="I4" s="130">
        <f t="shared" si="3"/>
        <v>479.63075177515543</v>
      </c>
      <c r="J4" s="130">
        <f t="shared" si="3"/>
        <v>396.89096574046437</v>
      </c>
      <c r="K4" s="130">
        <f t="shared" si="3"/>
        <v>350.17627595585316</v>
      </c>
      <c r="L4" s="130">
        <f t="shared" si="3"/>
        <v>376.91325436051818</v>
      </c>
      <c r="M4" s="130">
        <f t="shared" si="3"/>
        <v>331.71748901682918</v>
      </c>
      <c r="N4" s="130">
        <f t="shared" si="3"/>
        <v>401.27646000615226</v>
      </c>
      <c r="O4" s="130">
        <f t="shared" si="3"/>
        <v>373.57326637830437</v>
      </c>
      <c r="P4" s="130">
        <f t="shared" si="3"/>
        <v>379.87073092134773</v>
      </c>
      <c r="Q4" s="130">
        <f t="shared" si="3"/>
        <v>349.51592088811697</v>
      </c>
      <c r="R4" s="130">
        <f t="shared" ref="R4:W4" si="4">SUM(R5:R15)</f>
        <v>356.43504622409051</v>
      </c>
      <c r="S4" s="130">
        <f t="shared" si="4"/>
        <v>369.15656192636709</v>
      </c>
      <c r="T4" s="130">
        <f t="shared" si="4"/>
        <v>357.82302256670897</v>
      </c>
      <c r="U4" s="130">
        <f t="shared" si="4"/>
        <v>337.29923616953846</v>
      </c>
      <c r="V4" s="130">
        <f t="shared" si="4"/>
        <v>329.81161196413507</v>
      </c>
      <c r="W4" s="130">
        <f t="shared" si="4"/>
        <v>376.4999086691796</v>
      </c>
      <c r="X4" s="130">
        <f t="shared" ref="X4:Y4" si="5">SUM(X5:X15)</f>
        <v>344.05120074916363</v>
      </c>
      <c r="Y4" s="130">
        <f t="shared" si="5"/>
        <v>311.57739544469086</v>
      </c>
      <c r="DA4" s="155" t="s">
        <v>214</v>
      </c>
    </row>
    <row r="5" spans="1:105" ht="12" customHeight="1" x14ac:dyDescent="0.25">
      <c r="A5" s="131" t="s">
        <v>29</v>
      </c>
      <c r="B5" s="132">
        <v>35.407480653482374</v>
      </c>
      <c r="C5" s="132">
        <v>35.037489251934659</v>
      </c>
      <c r="D5" s="132">
        <v>32.628288907996563</v>
      </c>
      <c r="E5" s="132">
        <v>30.060189165950128</v>
      </c>
      <c r="F5" s="132">
        <v>28.807652622527943</v>
      </c>
      <c r="G5" s="132">
        <v>23.171367153912289</v>
      </c>
      <c r="H5" s="132">
        <v>23.797678417884782</v>
      </c>
      <c r="I5" s="132">
        <v>23.411435941530534</v>
      </c>
      <c r="J5" s="132">
        <v>20.280223559759243</v>
      </c>
      <c r="K5" s="132">
        <v>15.270163370593282</v>
      </c>
      <c r="L5" s="132">
        <v>21.292605331040409</v>
      </c>
      <c r="M5" s="132">
        <v>18.787618228718824</v>
      </c>
      <c r="N5" s="132">
        <v>10.113929492691318</v>
      </c>
      <c r="O5" s="132">
        <v>10.918572656921745</v>
      </c>
      <c r="P5" s="132">
        <v>8.3194325021496063</v>
      </c>
      <c r="Q5" s="132">
        <v>6.2818572656921789</v>
      </c>
      <c r="R5" s="132">
        <v>5.7540842648323336</v>
      </c>
      <c r="S5" s="132">
        <v>3.8762682717110923</v>
      </c>
      <c r="T5" s="132">
        <v>3.6726569217540836</v>
      </c>
      <c r="U5" s="132">
        <v>2.6890799656061923</v>
      </c>
      <c r="V5" s="132">
        <v>1.5437661220980228</v>
      </c>
      <c r="W5" s="132">
        <v>1.9831470335339632</v>
      </c>
      <c r="X5" s="132">
        <v>1.1374032674118657</v>
      </c>
      <c r="Y5" s="132">
        <v>2.3927773000859838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35.803173608794339</v>
      </c>
      <c r="C7" s="132">
        <v>40.731976990449802</v>
      </c>
      <c r="D7" s="132">
        <v>40.758919565287805</v>
      </c>
      <c r="E7" s="132">
        <v>45.343256519667349</v>
      </c>
      <c r="F7" s="132">
        <v>47.379352833036592</v>
      </c>
      <c r="G7" s="132">
        <v>37.188294873217444</v>
      </c>
      <c r="H7" s="132">
        <v>49.541826270466089</v>
      </c>
      <c r="I7" s="132">
        <v>38.935222637421937</v>
      </c>
      <c r="J7" s="132">
        <v>32.661219988356486</v>
      </c>
      <c r="K7" s="132">
        <v>30.885645628801054</v>
      </c>
      <c r="L7" s="132">
        <v>30.977932472468641</v>
      </c>
      <c r="M7" s="132">
        <v>26.808229902048474</v>
      </c>
      <c r="N7" s="132">
        <v>37.834702457001868</v>
      </c>
      <c r="O7" s="132">
        <v>39.825336891958194</v>
      </c>
      <c r="P7" s="132">
        <v>42.831807424998097</v>
      </c>
      <c r="Q7" s="132">
        <v>44.868022237542021</v>
      </c>
      <c r="R7" s="132">
        <v>27.795973884688543</v>
      </c>
      <c r="S7" s="132">
        <v>29.486636870478335</v>
      </c>
      <c r="T7" s="132">
        <v>33.588884603210666</v>
      </c>
      <c r="U7" s="132">
        <v>26.659752069703302</v>
      </c>
      <c r="V7" s="132">
        <v>32.637662838121834</v>
      </c>
      <c r="W7" s="132">
        <v>49.421088769778798</v>
      </c>
      <c r="X7" s="132">
        <v>45.969903316096349</v>
      </c>
      <c r="Y7" s="132">
        <v>53.915582151385031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34.731809387048678</v>
      </c>
      <c r="C9" s="132">
        <v>33.727874165379632</v>
      </c>
      <c r="D9" s="132">
        <v>52.895084167477599</v>
      </c>
      <c r="E9" s="132">
        <v>59.388422545368819</v>
      </c>
      <c r="F9" s="132">
        <v>73.930724911306697</v>
      </c>
      <c r="G9" s="132">
        <v>75.783416270326128</v>
      </c>
      <c r="H9" s="132">
        <v>83.530072346859171</v>
      </c>
      <c r="I9" s="132">
        <v>94.746020523453495</v>
      </c>
      <c r="J9" s="132">
        <v>93.033201598331118</v>
      </c>
      <c r="K9" s="132">
        <v>88.228158744404823</v>
      </c>
      <c r="L9" s="132">
        <v>93.138006153143479</v>
      </c>
      <c r="M9" s="132">
        <v>82.411918475499334</v>
      </c>
      <c r="N9" s="132">
        <v>79.40954100974848</v>
      </c>
      <c r="O9" s="132">
        <v>66.401274989515215</v>
      </c>
      <c r="P9" s="132">
        <v>73.281412013738901</v>
      </c>
      <c r="Q9" s="132">
        <v>68.201931938888862</v>
      </c>
      <c r="R9" s="132">
        <v>74.359130158663902</v>
      </c>
      <c r="S9" s="132">
        <v>79.694399630908634</v>
      </c>
      <c r="T9" s="132">
        <v>82.859333574394029</v>
      </c>
      <c r="U9" s="132">
        <v>86.429535174794253</v>
      </c>
      <c r="V9" s="132">
        <v>86.59461880674921</v>
      </c>
      <c r="W9" s="132">
        <v>92.916138045395016</v>
      </c>
      <c r="X9" s="132">
        <v>88.443706089232421</v>
      </c>
      <c r="Y9" s="132">
        <v>81.405384485031917</v>
      </c>
      <c r="DA9" s="156" t="s">
        <v>279</v>
      </c>
    </row>
    <row r="10" spans="1:105" ht="12" customHeight="1" x14ac:dyDescent="0.25">
      <c r="A10" s="131" t="s">
        <v>128</v>
      </c>
      <c r="B10" s="132">
        <v>70.571762682717107</v>
      </c>
      <c r="C10" s="132">
        <v>82.468013626748927</v>
      </c>
      <c r="D10" s="132">
        <v>81.217669057213286</v>
      </c>
      <c r="E10" s="132">
        <v>82.893159934060293</v>
      </c>
      <c r="F10" s="132">
        <v>96.555548930737331</v>
      </c>
      <c r="G10" s="132">
        <v>94.839043837559728</v>
      </c>
      <c r="H10" s="132">
        <v>100.25042318908118</v>
      </c>
      <c r="I10" s="132">
        <v>118.40675222619673</v>
      </c>
      <c r="J10" s="132">
        <v>66.816938194804877</v>
      </c>
      <c r="K10" s="132">
        <v>66.109396337636355</v>
      </c>
      <c r="L10" s="132">
        <v>69.35694614631791</v>
      </c>
      <c r="M10" s="132">
        <v>57.965349367627255</v>
      </c>
      <c r="N10" s="132">
        <v>82.760271335973741</v>
      </c>
      <c r="O10" s="132">
        <v>83.712752186376932</v>
      </c>
      <c r="P10" s="132">
        <v>74.550837676225271</v>
      </c>
      <c r="Q10" s="132">
        <v>71.126053778609659</v>
      </c>
      <c r="R10" s="132">
        <v>68.836516266714952</v>
      </c>
      <c r="S10" s="132">
        <v>73.347195969928833</v>
      </c>
      <c r="T10" s="132">
        <v>59.972005543747073</v>
      </c>
      <c r="U10" s="132">
        <v>49.275637729079776</v>
      </c>
      <c r="V10" s="132">
        <v>39.463363408636638</v>
      </c>
      <c r="W10" s="132">
        <v>41.584781378916311</v>
      </c>
      <c r="X10" s="132">
        <v>46.50522632373616</v>
      </c>
      <c r="Y10" s="132">
        <v>32.776622263939736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281</v>
      </c>
    </row>
    <row r="12" spans="1:105" ht="12" customHeight="1" x14ac:dyDescent="0.25">
      <c r="A12" s="131" t="s">
        <v>162</v>
      </c>
      <c r="B12" s="132">
        <v>128.33998605206278</v>
      </c>
      <c r="C12" s="132">
        <v>143.03186205708406</v>
      </c>
      <c r="D12" s="132">
        <v>135.669982692357</v>
      </c>
      <c r="E12" s="132">
        <v>139.66407420927004</v>
      </c>
      <c r="F12" s="132">
        <v>130.30443048730461</v>
      </c>
      <c r="G12" s="132">
        <v>129.8770845507272</v>
      </c>
      <c r="H12" s="132">
        <v>129.80002387437597</v>
      </c>
      <c r="I12" s="132">
        <v>124.44189133256104</v>
      </c>
      <c r="J12" s="132">
        <v>119.53379441873432</v>
      </c>
      <c r="K12" s="132">
        <v>117.19545004963123</v>
      </c>
      <c r="L12" s="132">
        <v>122.76266057161115</v>
      </c>
      <c r="M12" s="132">
        <v>104.46556011284737</v>
      </c>
      <c r="N12" s="132">
        <v>122.86248301593841</v>
      </c>
      <c r="O12" s="132">
        <v>118.25199637825641</v>
      </c>
      <c r="P12" s="132">
        <v>111.73918010744717</v>
      </c>
      <c r="Q12" s="132">
        <v>109.32640980016031</v>
      </c>
      <c r="R12" s="132">
        <v>125.78043027548578</v>
      </c>
      <c r="S12" s="132">
        <v>126.30453784664078</v>
      </c>
      <c r="T12" s="132">
        <v>113.43378019788034</v>
      </c>
      <c r="U12" s="132">
        <v>108.51551531725632</v>
      </c>
      <c r="V12" s="132">
        <v>113.2061314429274</v>
      </c>
      <c r="W12" s="132">
        <v>131.42439074955814</v>
      </c>
      <c r="X12" s="132">
        <v>106.9956700478641</v>
      </c>
      <c r="Y12" s="132">
        <v>97.386488112757021</v>
      </c>
      <c r="DA12" s="156" t="s">
        <v>282</v>
      </c>
    </row>
    <row r="13" spans="1:105" ht="12" customHeight="1" x14ac:dyDescent="0.25">
      <c r="A13" s="131" t="s">
        <v>77</v>
      </c>
      <c r="B13" s="132">
        <v>7.5510852334686224E-6</v>
      </c>
      <c r="C13" s="132">
        <v>1.5142031400311288E-5</v>
      </c>
      <c r="D13" s="132">
        <v>1.3536552702989084E-4</v>
      </c>
      <c r="E13" s="132">
        <v>2.6978384972892958E-4</v>
      </c>
      <c r="F13" s="132">
        <v>5.4583951696054382E-4</v>
      </c>
      <c r="G13" s="132">
        <v>1.084688406170921E-3</v>
      </c>
      <c r="H13" s="132">
        <v>2.177468798203022E-3</v>
      </c>
      <c r="I13" s="132">
        <v>4.3732831783421765E-3</v>
      </c>
      <c r="J13" s="132">
        <v>8.5266646024122726E-3</v>
      </c>
      <c r="K13" s="132">
        <v>1.7143311476573275E-2</v>
      </c>
      <c r="L13" s="132">
        <v>3.4292847695331183E-2</v>
      </c>
      <c r="M13" s="132">
        <v>6.9453587272562858E-2</v>
      </c>
      <c r="N13" s="132">
        <v>0.11286885141572522</v>
      </c>
      <c r="O13" s="132">
        <v>0.20065604352355157</v>
      </c>
      <c r="P13" s="132">
        <v>0.27897100875441294</v>
      </c>
      <c r="Q13" s="132">
        <v>0.3559499494191421</v>
      </c>
      <c r="R13" s="132">
        <v>0.40759227749415389</v>
      </c>
      <c r="S13" s="132">
        <v>0.46361356726835495</v>
      </c>
      <c r="T13" s="132">
        <v>0.45569838835457527</v>
      </c>
      <c r="U13" s="132">
        <v>0.4525843691808018</v>
      </c>
      <c r="V13" s="132">
        <v>0.45029170872766855</v>
      </c>
      <c r="W13" s="132">
        <v>0.32444055683442025</v>
      </c>
      <c r="X13" s="132">
        <v>0.32202043764907734</v>
      </c>
      <c r="Y13" s="132">
        <v>0.31961043321396626</v>
      </c>
      <c r="DA13" s="156" t="s">
        <v>283</v>
      </c>
    </row>
    <row r="14" spans="1:105" ht="12" customHeight="1" x14ac:dyDescent="0.25">
      <c r="A14" s="60" t="s">
        <v>76</v>
      </c>
      <c r="B14" s="65">
        <v>24.746836537840505</v>
      </c>
      <c r="C14" s="65">
        <v>15.660171102019616</v>
      </c>
      <c r="D14" s="65">
        <v>36.426601150436952</v>
      </c>
      <c r="E14" s="65">
        <v>44.565869183988113</v>
      </c>
      <c r="F14" s="65">
        <v>45.491526899233875</v>
      </c>
      <c r="G14" s="65">
        <v>49.927505292608373</v>
      </c>
      <c r="H14" s="65">
        <v>54.736911697479115</v>
      </c>
      <c r="I14" s="65">
        <v>77.413360924308407</v>
      </c>
      <c r="J14" s="65">
        <v>62.61984813896423</v>
      </c>
      <c r="K14" s="65">
        <v>30.634256735097736</v>
      </c>
      <c r="L14" s="65">
        <v>37.411040160961463</v>
      </c>
      <c r="M14" s="65">
        <v>39.529446587506385</v>
      </c>
      <c r="N14" s="65">
        <v>66.30587418132464</v>
      </c>
      <c r="O14" s="65">
        <v>52.485708660116828</v>
      </c>
      <c r="P14" s="65">
        <v>67.078826061753006</v>
      </c>
      <c r="Q14" s="65">
        <v>47.614905385148688</v>
      </c>
      <c r="R14" s="65">
        <v>51.801294868887979</v>
      </c>
      <c r="S14" s="65">
        <v>54.17845448126468</v>
      </c>
      <c r="T14" s="65">
        <v>62.030071883264959</v>
      </c>
      <c r="U14" s="65">
        <v>61.525315916380137</v>
      </c>
      <c r="V14" s="65">
        <v>54.098253821018588</v>
      </c>
      <c r="W14" s="65">
        <v>56.67623623641191</v>
      </c>
      <c r="X14" s="65">
        <v>52.62205507583424</v>
      </c>
      <c r="Y14" s="65">
        <v>41.374814982696002</v>
      </c>
      <c r="DA14" s="109" t="s">
        <v>284</v>
      </c>
    </row>
    <row r="15" spans="1:105" ht="12" customHeight="1" x14ac:dyDescent="0.25">
      <c r="A15" s="133" t="s">
        <v>80</v>
      </c>
      <c r="B15" s="134">
        <v>1.6247006712771195</v>
      </c>
      <c r="C15" s="134">
        <v>1.7477302613468229</v>
      </c>
      <c r="D15" s="134">
        <v>1.8724116591654067</v>
      </c>
      <c r="E15" s="134">
        <v>1.9696759054165844</v>
      </c>
      <c r="F15" s="134">
        <v>2.1348236299910552</v>
      </c>
      <c r="G15" s="134">
        <v>2.0149571534061126</v>
      </c>
      <c r="H15" s="134">
        <v>2.2091255101306024</v>
      </c>
      <c r="I15" s="134">
        <v>2.2716949065050005</v>
      </c>
      <c r="J15" s="134">
        <v>1.9372131769116749</v>
      </c>
      <c r="K15" s="134">
        <v>1.8360617782121125</v>
      </c>
      <c r="L15" s="134">
        <v>1.9397706772798045</v>
      </c>
      <c r="M15" s="134">
        <v>1.6799127553090072</v>
      </c>
      <c r="N15" s="134">
        <v>1.8767896620579829</v>
      </c>
      <c r="O15" s="134">
        <v>1.7769685716355286</v>
      </c>
      <c r="P15" s="134">
        <v>1.7902641262812431</v>
      </c>
      <c r="Q15" s="134">
        <v>1.7407905326560882</v>
      </c>
      <c r="R15" s="134">
        <v>1.7000242273228994</v>
      </c>
      <c r="S15" s="134">
        <v>1.8054552881663963</v>
      </c>
      <c r="T15" s="134">
        <v>1.8105914541032282</v>
      </c>
      <c r="U15" s="134">
        <v>1.751815627537729</v>
      </c>
      <c r="V15" s="134">
        <v>1.8175238158556846</v>
      </c>
      <c r="W15" s="134">
        <v>2.1696858987510201</v>
      </c>
      <c r="X15" s="134">
        <v>2.0552161913394151</v>
      </c>
      <c r="Y15" s="134">
        <v>2.0061157155811777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0.54816220212352695</v>
      </c>
      <c r="C16" s="130">
        <f t="shared" si="6"/>
        <v>0.58974449799820494</v>
      </c>
      <c r="D16" s="130">
        <f t="shared" si="6"/>
        <v>0.64481989691773833</v>
      </c>
      <c r="E16" s="130">
        <f t="shared" si="6"/>
        <v>0.66130799194950851</v>
      </c>
      <c r="F16" s="130">
        <f t="shared" si="6"/>
        <v>0.6698637403189458</v>
      </c>
      <c r="G16" s="130">
        <f t="shared" si="6"/>
        <v>0.7153283095310905</v>
      </c>
      <c r="H16" s="130">
        <f t="shared" si="6"/>
        <v>0.80657846003450906</v>
      </c>
      <c r="I16" s="130">
        <f t="shared" si="6"/>
        <v>0.81780278306964294</v>
      </c>
      <c r="J16" s="130">
        <f t="shared" si="6"/>
        <v>0.8534391042814613</v>
      </c>
      <c r="K16" s="130">
        <f t="shared" si="6"/>
        <v>0.90952932322379332</v>
      </c>
      <c r="L16" s="130">
        <f t="shared" si="6"/>
        <v>1.1355054098093551</v>
      </c>
      <c r="M16" s="130">
        <f t="shared" si="6"/>
        <v>0.97070283074045804</v>
      </c>
      <c r="N16" s="130">
        <f t="shared" si="6"/>
        <v>0.97623093577169151</v>
      </c>
      <c r="O16" s="130">
        <f t="shared" si="6"/>
        <v>0.96223810506148533</v>
      </c>
      <c r="P16" s="130">
        <f t="shared" si="6"/>
        <v>1.0187016967428961</v>
      </c>
      <c r="Q16" s="130">
        <f t="shared" si="6"/>
        <v>0.96700789411612842</v>
      </c>
      <c r="R16" s="130">
        <f t="shared" ref="R16:W16" si="7">SUM(R17:R18)</f>
        <v>0.96778460022161028</v>
      </c>
      <c r="S16" s="130">
        <f t="shared" si="7"/>
        <v>0.97097281798106505</v>
      </c>
      <c r="T16" s="130">
        <f t="shared" si="7"/>
        <v>1.0386778147420601</v>
      </c>
      <c r="U16" s="130">
        <f t="shared" si="7"/>
        <v>0.99222521564407673</v>
      </c>
      <c r="V16" s="130">
        <f t="shared" si="7"/>
        <v>1.0020610342539098</v>
      </c>
      <c r="W16" s="130">
        <f t="shared" si="7"/>
        <v>1.1714726857000031</v>
      </c>
      <c r="X16" s="130">
        <f t="shared" ref="X16:Y16" si="8">SUM(X17:X18)</f>
        <v>1.0153757892995787</v>
      </c>
      <c r="Y16" s="130">
        <f t="shared" si="8"/>
        <v>1.0380909545736579</v>
      </c>
      <c r="DA16" s="155" t="s">
        <v>215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286</v>
      </c>
    </row>
    <row r="18" spans="1:105" ht="12" customHeight="1" x14ac:dyDescent="0.25">
      <c r="A18" s="131" t="s">
        <v>72</v>
      </c>
      <c r="B18" s="132">
        <v>0.54816220212352695</v>
      </c>
      <c r="C18" s="132">
        <v>0.58974449799820494</v>
      </c>
      <c r="D18" s="132">
        <v>0.64481989691773833</v>
      </c>
      <c r="E18" s="132">
        <v>0.66130799194950851</v>
      </c>
      <c r="F18" s="132">
        <v>0.6698637403189458</v>
      </c>
      <c r="G18" s="132">
        <v>0.7153283095310905</v>
      </c>
      <c r="H18" s="132">
        <v>0.80657846003450906</v>
      </c>
      <c r="I18" s="132">
        <v>0.81780278306964294</v>
      </c>
      <c r="J18" s="132">
        <v>0.8534391042814613</v>
      </c>
      <c r="K18" s="132">
        <v>0.90952932322379332</v>
      </c>
      <c r="L18" s="132">
        <v>1.1355054098093551</v>
      </c>
      <c r="M18" s="132">
        <v>0.97070283074045804</v>
      </c>
      <c r="N18" s="132">
        <v>0.97623093577169151</v>
      </c>
      <c r="O18" s="132">
        <v>0.96223810506148533</v>
      </c>
      <c r="P18" s="132">
        <v>1.0187016967428961</v>
      </c>
      <c r="Q18" s="132">
        <v>0.96700789411612842</v>
      </c>
      <c r="R18" s="132">
        <v>0.96778460022161028</v>
      </c>
      <c r="S18" s="132">
        <v>0.97097281798106505</v>
      </c>
      <c r="T18" s="132">
        <v>1.0386778147420601</v>
      </c>
      <c r="U18" s="132">
        <v>0.99222521564407673</v>
      </c>
      <c r="V18" s="132">
        <v>1.0020610342539098</v>
      </c>
      <c r="W18" s="132">
        <v>1.1714726857000031</v>
      </c>
      <c r="X18" s="132">
        <v>1.0153757892995787</v>
      </c>
      <c r="Y18" s="132">
        <v>1.0380909545736579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41.820602613214874</v>
      </c>
      <c r="C19" s="130">
        <f t="shared" si="9"/>
        <v>43.860563960971739</v>
      </c>
      <c r="D19" s="130">
        <f t="shared" si="9"/>
        <v>44.422896840781654</v>
      </c>
      <c r="E19" s="130">
        <f t="shared" si="9"/>
        <v>46.150891904285714</v>
      </c>
      <c r="F19" s="130">
        <f t="shared" si="9"/>
        <v>49.102965977718711</v>
      </c>
      <c r="G19" s="130">
        <f t="shared" si="9"/>
        <v>50.436443881937819</v>
      </c>
      <c r="H19" s="130">
        <f t="shared" si="9"/>
        <v>53.635586335422758</v>
      </c>
      <c r="I19" s="130">
        <f t="shared" si="9"/>
        <v>56.36096481081961</v>
      </c>
      <c r="J19" s="130">
        <f t="shared" si="9"/>
        <v>57.252049689959875</v>
      </c>
      <c r="K19" s="130">
        <f t="shared" si="9"/>
        <v>59.473256383836862</v>
      </c>
      <c r="L19" s="130">
        <f t="shared" si="9"/>
        <v>58.182684481043374</v>
      </c>
      <c r="M19" s="130">
        <f t="shared" si="9"/>
        <v>59.83741849314162</v>
      </c>
      <c r="N19" s="130">
        <f t="shared" si="9"/>
        <v>57.792540413993308</v>
      </c>
      <c r="O19" s="130">
        <f t="shared" si="9"/>
        <v>59.333598173285502</v>
      </c>
      <c r="P19" s="130">
        <f t="shared" si="9"/>
        <v>58.757395546608535</v>
      </c>
      <c r="Q19" s="130">
        <f t="shared" si="9"/>
        <v>59.533071157844589</v>
      </c>
      <c r="R19" s="130">
        <f t="shared" ref="R19:W19" si="10">SUM(R20:R27)</f>
        <v>59.751801240766298</v>
      </c>
      <c r="S19" s="130">
        <f t="shared" si="10"/>
        <v>60.816699980838933</v>
      </c>
      <c r="T19" s="130">
        <f t="shared" si="10"/>
        <v>59.296471306713102</v>
      </c>
      <c r="U19" s="130">
        <f t="shared" si="10"/>
        <v>57.686254188342872</v>
      </c>
      <c r="V19" s="130">
        <f t="shared" si="10"/>
        <v>52.285965676794618</v>
      </c>
      <c r="W19" s="130">
        <f t="shared" si="10"/>
        <v>55.220039136829612</v>
      </c>
      <c r="X19" s="130">
        <f t="shared" ref="X19:Y19" si="11">SUM(X20:X27)</f>
        <v>56.140973062696396</v>
      </c>
      <c r="Y19" s="130">
        <f t="shared" si="11"/>
        <v>55.59872062710533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289</v>
      </c>
    </row>
    <row r="22" spans="1:105" ht="12" customHeight="1" x14ac:dyDescent="0.25">
      <c r="A22" s="131" t="s">
        <v>161</v>
      </c>
      <c r="B22" s="132">
        <v>4.2308762622288789</v>
      </c>
      <c r="C22" s="132">
        <v>4.350654135947452</v>
      </c>
      <c r="D22" s="132">
        <v>4.4384149145058229</v>
      </c>
      <c r="E22" s="132">
        <v>4.5145250796447831</v>
      </c>
      <c r="F22" s="132">
        <v>4.521850950282384</v>
      </c>
      <c r="G22" s="132">
        <v>4.5610602428616538</v>
      </c>
      <c r="H22" s="132">
        <v>4.7408908404539432</v>
      </c>
      <c r="I22" s="132">
        <v>4.6198934416838409</v>
      </c>
      <c r="J22" s="132">
        <v>4.7411875782815232</v>
      </c>
      <c r="K22" s="132">
        <v>4.6245865294104886</v>
      </c>
      <c r="L22" s="132">
        <v>4.6282584131719577</v>
      </c>
      <c r="M22" s="132">
        <v>4.7230684642455918</v>
      </c>
      <c r="N22" s="132">
        <v>4.8418237682775676</v>
      </c>
      <c r="O22" s="132">
        <v>4.9162796170701792</v>
      </c>
      <c r="P22" s="132">
        <v>4.9190094279683878</v>
      </c>
      <c r="Q22" s="132">
        <v>4.8953483557511381</v>
      </c>
      <c r="R22" s="132">
        <v>4.7320570697396418</v>
      </c>
      <c r="S22" s="132">
        <v>4.5118154081115325</v>
      </c>
      <c r="T22" s="132">
        <v>4.2023449754651674</v>
      </c>
      <c r="U22" s="132">
        <v>3.7749856775021882</v>
      </c>
      <c r="V22" s="132">
        <v>3.2053294232711167</v>
      </c>
      <c r="W22" s="132">
        <v>3.2305019438926879</v>
      </c>
      <c r="X22" s="132">
        <v>3.0625128489939231</v>
      </c>
      <c r="Y22" s="132">
        <v>3.0952518984859569</v>
      </c>
      <c r="DA22" s="156" t="s">
        <v>290</v>
      </c>
    </row>
    <row r="23" spans="1:105" ht="12" customHeight="1" x14ac:dyDescent="0.25">
      <c r="A23" s="131" t="s">
        <v>149</v>
      </c>
      <c r="B23" s="132">
        <v>3.7750786572989634</v>
      </c>
      <c r="C23" s="132">
        <v>3.9645688457089774</v>
      </c>
      <c r="D23" s="132">
        <v>4.6920443936333376</v>
      </c>
      <c r="E23" s="132">
        <v>5.0838495780051725</v>
      </c>
      <c r="F23" s="132">
        <v>5.4986057407951403</v>
      </c>
      <c r="G23" s="132">
        <v>6.0924219480676696</v>
      </c>
      <c r="H23" s="132">
        <v>6.3970398458908857</v>
      </c>
      <c r="I23" s="132">
        <v>6.8336920279003781</v>
      </c>
      <c r="J23" s="132">
        <v>7.9838914295977981</v>
      </c>
      <c r="K23" s="132">
        <v>8.5880195537413915</v>
      </c>
      <c r="L23" s="132">
        <v>8.6963749427901487</v>
      </c>
      <c r="M23" s="132">
        <v>8.9657945961477967</v>
      </c>
      <c r="N23" s="132">
        <v>9.1378835176197839</v>
      </c>
      <c r="O23" s="132">
        <v>9.2910413590915866</v>
      </c>
      <c r="P23" s="132">
        <v>9.3074955882101253</v>
      </c>
      <c r="Q23" s="132">
        <v>9.4670226378042539</v>
      </c>
      <c r="R23" s="132">
        <v>9.5185026563049178</v>
      </c>
      <c r="S23" s="132">
        <v>9.6249420548831246</v>
      </c>
      <c r="T23" s="132">
        <v>9.3538896596752519</v>
      </c>
      <c r="U23" s="132">
        <v>9.3396177055250078</v>
      </c>
      <c r="V23" s="132">
        <v>9.3923291763572703</v>
      </c>
      <c r="W23" s="132">
        <v>9.5174172441967784</v>
      </c>
      <c r="X23" s="132">
        <v>9.3938769103655577</v>
      </c>
      <c r="Y23" s="132">
        <v>8.6508308529928843</v>
      </c>
      <c r="DA23" s="156" t="s">
        <v>291</v>
      </c>
    </row>
    <row r="24" spans="1:105" ht="12" customHeight="1" x14ac:dyDescent="0.25">
      <c r="A24" s="131" t="s">
        <v>128</v>
      </c>
      <c r="B24" s="132">
        <v>7.8413069647463427</v>
      </c>
      <c r="C24" s="132">
        <v>7.0036974652544846</v>
      </c>
      <c r="D24" s="132">
        <v>7.0836207106285141</v>
      </c>
      <c r="E24" s="132">
        <v>7.1278202894994349</v>
      </c>
      <c r="F24" s="132">
        <v>7.7723100546452537</v>
      </c>
      <c r="G24" s="132">
        <v>8.2229510033688538</v>
      </c>
      <c r="H24" s="132">
        <v>8.3766619355964593</v>
      </c>
      <c r="I24" s="132">
        <v>8.4682262776725352</v>
      </c>
      <c r="J24" s="132">
        <v>8.2761830433722565</v>
      </c>
      <c r="K24" s="132">
        <v>8.3388409796465019</v>
      </c>
      <c r="L24" s="132">
        <v>8.4590469749202821</v>
      </c>
      <c r="M24" s="132">
        <v>8.7204631861130721</v>
      </c>
      <c r="N24" s="132">
        <v>8.6938129288586019</v>
      </c>
      <c r="O24" s="132">
        <v>8.8400423106135602</v>
      </c>
      <c r="P24" s="132">
        <v>8.8541494260962867</v>
      </c>
      <c r="Q24" s="132">
        <v>9.0067063245718124</v>
      </c>
      <c r="R24" s="132">
        <v>8.5017468459248065</v>
      </c>
      <c r="S24" s="132">
        <v>8.8635520954193332</v>
      </c>
      <c r="T24" s="132">
        <v>7.1191380504060078</v>
      </c>
      <c r="U24" s="132">
        <v>5.9407853147723015</v>
      </c>
      <c r="V24" s="132">
        <v>5.1322513807012529</v>
      </c>
      <c r="W24" s="132">
        <v>5.4328454482548194</v>
      </c>
      <c r="X24" s="132">
        <v>6.4074134011133799</v>
      </c>
      <c r="Y24" s="132">
        <v>5.9131455778487352</v>
      </c>
      <c r="DA24" s="156" t="s">
        <v>292</v>
      </c>
    </row>
    <row r="25" spans="1:105" ht="12" customHeight="1" x14ac:dyDescent="0.25">
      <c r="A25" s="131" t="s">
        <v>162</v>
      </c>
      <c r="B25" s="132">
        <v>13.343418935039535</v>
      </c>
      <c r="C25" s="132">
        <v>13.603305612735339</v>
      </c>
      <c r="D25" s="132">
        <v>13.704221950807217</v>
      </c>
      <c r="E25" s="132">
        <v>13.770491568889865</v>
      </c>
      <c r="F25" s="132">
        <v>13.862981378559487</v>
      </c>
      <c r="G25" s="132">
        <v>13.740972199057815</v>
      </c>
      <c r="H25" s="132">
        <v>13.81803287540904</v>
      </c>
      <c r="I25" s="132">
        <v>13.921565245254953</v>
      </c>
      <c r="J25" s="132">
        <v>13.336196982813439</v>
      </c>
      <c r="K25" s="132">
        <v>13.620457087084256</v>
      </c>
      <c r="L25" s="132">
        <v>13.689961956333823</v>
      </c>
      <c r="M25" s="132">
        <v>14.193081331692611</v>
      </c>
      <c r="N25" s="132">
        <v>14.354455935050447</v>
      </c>
      <c r="O25" s="132">
        <v>14.594091325956741</v>
      </c>
      <c r="P25" s="132">
        <v>14.538635885674097</v>
      </c>
      <c r="Q25" s="132">
        <v>15.494484438876722</v>
      </c>
      <c r="R25" s="132">
        <v>15.735734814797901</v>
      </c>
      <c r="S25" s="132">
        <v>15.954189582421927</v>
      </c>
      <c r="T25" s="132">
        <v>15.523141556203806</v>
      </c>
      <c r="U25" s="132">
        <v>15.831088294093579</v>
      </c>
      <c r="V25" s="132">
        <v>15.007196158104424</v>
      </c>
      <c r="W25" s="132">
        <v>16.52539428913478</v>
      </c>
      <c r="X25" s="132">
        <v>17.375267183434431</v>
      </c>
      <c r="Y25" s="132">
        <v>16.237501569100402</v>
      </c>
      <c r="DA25" s="156" t="s">
        <v>293</v>
      </c>
    </row>
    <row r="26" spans="1:105" ht="12" customHeight="1" x14ac:dyDescent="0.25">
      <c r="A26" s="131" t="s">
        <v>24</v>
      </c>
      <c r="B26" s="65">
        <v>12.629921793901156</v>
      </c>
      <c r="C26" s="65">
        <v>14.938337901325488</v>
      </c>
      <c r="D26" s="65">
        <v>14.504594871206764</v>
      </c>
      <c r="E26" s="65">
        <v>15.654205388246464</v>
      </c>
      <c r="F26" s="65">
        <v>17.447217853436445</v>
      </c>
      <c r="G26" s="65">
        <v>17.819038488581821</v>
      </c>
      <c r="H26" s="65">
        <v>20.302960838072426</v>
      </c>
      <c r="I26" s="65">
        <v>22.517587818307902</v>
      </c>
      <c r="J26" s="65">
        <v>22.914590655894855</v>
      </c>
      <c r="K26" s="65">
        <v>24.301352233954226</v>
      </c>
      <c r="L26" s="65">
        <v>22.709042193827159</v>
      </c>
      <c r="M26" s="65">
        <v>23.235010914942549</v>
      </c>
      <c r="N26" s="65">
        <v>20.764564264186905</v>
      </c>
      <c r="O26" s="65">
        <v>21.692143560553433</v>
      </c>
      <c r="P26" s="65">
        <v>21.138105218659643</v>
      </c>
      <c r="Q26" s="65">
        <v>20.669509400840671</v>
      </c>
      <c r="R26" s="65">
        <v>21.263759853999034</v>
      </c>
      <c r="S26" s="65">
        <v>21.862200840003023</v>
      </c>
      <c r="T26" s="65">
        <v>23.097957064962866</v>
      </c>
      <c r="U26" s="65">
        <v>22.799777196449792</v>
      </c>
      <c r="V26" s="65">
        <v>19.548859538360553</v>
      </c>
      <c r="W26" s="65">
        <v>20.513880211350543</v>
      </c>
      <c r="X26" s="65">
        <v>19.901902718789103</v>
      </c>
      <c r="Y26" s="65">
        <v>21.701990728677352</v>
      </c>
      <c r="DA26" s="109" t="s">
        <v>294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46.354005253883422</v>
      </c>
      <c r="C29" s="130">
        <f t="shared" si="12"/>
        <v>49.157784241073308</v>
      </c>
      <c r="D29" s="130">
        <f t="shared" si="12"/>
        <v>49.118229995976236</v>
      </c>
      <c r="E29" s="130">
        <f t="shared" si="12"/>
        <v>50.701788375563197</v>
      </c>
      <c r="F29" s="130">
        <f t="shared" si="12"/>
        <v>53.708373114513392</v>
      </c>
      <c r="G29" s="130">
        <f t="shared" si="12"/>
        <v>56.782269479569337</v>
      </c>
      <c r="H29" s="130">
        <f t="shared" si="12"/>
        <v>59.733608057600591</v>
      </c>
      <c r="I29" s="130">
        <f t="shared" si="12"/>
        <v>60.621953976553613</v>
      </c>
      <c r="J29" s="130">
        <f t="shared" si="12"/>
        <v>63.348611056182037</v>
      </c>
      <c r="K29" s="130">
        <f t="shared" si="12"/>
        <v>65.657464602213665</v>
      </c>
      <c r="L29" s="130">
        <f t="shared" si="12"/>
        <v>64.367616620413386</v>
      </c>
      <c r="M29" s="130">
        <f t="shared" si="12"/>
        <v>64.964711528319057</v>
      </c>
      <c r="N29" s="130">
        <f t="shared" si="12"/>
        <v>64.119336544640788</v>
      </c>
      <c r="O29" s="130">
        <f t="shared" si="12"/>
        <v>65.547345076174949</v>
      </c>
      <c r="P29" s="130">
        <f t="shared" si="12"/>
        <v>65.494415058433361</v>
      </c>
      <c r="Q29" s="130">
        <f t="shared" si="12"/>
        <v>65.845152890048894</v>
      </c>
      <c r="R29" s="130">
        <f t="shared" ref="R29:W29" si="13">SUM(R30:R33)</f>
        <v>65.143137547886369</v>
      </c>
      <c r="S29" s="130">
        <f t="shared" si="13"/>
        <v>66.350145350137382</v>
      </c>
      <c r="T29" s="130">
        <f t="shared" si="13"/>
        <v>66.036862734378559</v>
      </c>
      <c r="U29" s="130">
        <f t="shared" si="13"/>
        <v>66.307555539111348</v>
      </c>
      <c r="V29" s="130">
        <f t="shared" si="13"/>
        <v>61.809369741172567</v>
      </c>
      <c r="W29" s="130">
        <f t="shared" si="13"/>
        <v>64.006746571091895</v>
      </c>
      <c r="X29" s="130">
        <f t="shared" ref="X29:Y29" si="14">SUM(X30:X33)</f>
        <v>65.98917471231735</v>
      </c>
      <c r="Y29" s="130">
        <f t="shared" si="14"/>
        <v>65.032588257101835</v>
      </c>
      <c r="DA29" s="155" t="s">
        <v>217</v>
      </c>
    </row>
    <row r="30" spans="1:105" ht="12" customHeight="1" x14ac:dyDescent="0.25">
      <c r="A30" s="131" t="s">
        <v>52</v>
      </c>
      <c r="B30" s="132">
        <v>0</v>
      </c>
      <c r="C30" s="132">
        <v>2.1754084264832332</v>
      </c>
      <c r="D30" s="132">
        <v>1.0877042132416159</v>
      </c>
      <c r="E30" s="132">
        <v>4.3508168529664646</v>
      </c>
      <c r="F30" s="132">
        <v>3.2631126397248496</v>
      </c>
      <c r="G30" s="132">
        <v>3.2631126397248504</v>
      </c>
      <c r="H30" s="132">
        <v>3.26311263972485</v>
      </c>
      <c r="I30" s="132">
        <v>3.26311263972485</v>
      </c>
      <c r="J30" s="132">
        <v>2.1754084264832336</v>
      </c>
      <c r="K30" s="132">
        <v>2.1754084264832323</v>
      </c>
      <c r="L30" s="132">
        <v>2.1754084264832341</v>
      </c>
      <c r="M30" s="132">
        <v>1.0877042132416155</v>
      </c>
      <c r="N30" s="132">
        <v>2.1754084264832327</v>
      </c>
      <c r="O30" s="132">
        <v>2.1754084264832336</v>
      </c>
      <c r="P30" s="132">
        <v>3.2631126397248504</v>
      </c>
      <c r="Q30" s="132">
        <v>3.2631126397248504</v>
      </c>
      <c r="R30" s="132">
        <v>5.4385210662080841</v>
      </c>
      <c r="S30" s="132">
        <v>7.9021496130696498</v>
      </c>
      <c r="T30" s="132">
        <v>6.6567497850386959</v>
      </c>
      <c r="U30" s="132">
        <v>5.1557179707652621</v>
      </c>
      <c r="V30" s="132">
        <v>5.1252794496990557</v>
      </c>
      <c r="W30" s="132">
        <v>5.4308684436801347</v>
      </c>
      <c r="X30" s="132">
        <v>9.5141874462596743</v>
      </c>
      <c r="Y30" s="132">
        <v>6.7208942390369657</v>
      </c>
      <c r="DA30" s="156" t="s">
        <v>296</v>
      </c>
    </row>
    <row r="31" spans="1:105" ht="12" customHeight="1" x14ac:dyDescent="0.25">
      <c r="A31" s="131" t="s">
        <v>149</v>
      </c>
      <c r="B31" s="132">
        <v>5.7106527983006785</v>
      </c>
      <c r="C31" s="132">
        <v>9.8140058281203384</v>
      </c>
      <c r="D31" s="132">
        <v>12.253800071735167</v>
      </c>
      <c r="E31" s="132">
        <v>12.137530112223589</v>
      </c>
      <c r="F31" s="132">
        <v>13.398098410666847</v>
      </c>
      <c r="G31" s="132">
        <v>13.662510878768705</v>
      </c>
      <c r="H31" s="132">
        <v>13.915880068642865</v>
      </c>
      <c r="I31" s="132">
        <v>14.809883321389092</v>
      </c>
      <c r="J31" s="132">
        <v>16.174996395974766</v>
      </c>
      <c r="K31" s="132">
        <v>17.153899087924344</v>
      </c>
      <c r="L31" s="132">
        <v>16.57112191352461</v>
      </c>
      <c r="M31" s="132">
        <v>15.751865604191204</v>
      </c>
      <c r="N31" s="132">
        <v>12.608551396965384</v>
      </c>
      <c r="O31" s="132">
        <v>11.149644098512759</v>
      </c>
      <c r="P31" s="132">
        <v>11.406535218343333</v>
      </c>
      <c r="Q31" s="132">
        <v>11.083753935774718</v>
      </c>
      <c r="R31" s="132">
        <v>13.09296047823841</v>
      </c>
      <c r="S31" s="132">
        <v>14.602240429427443</v>
      </c>
      <c r="T31" s="132">
        <v>16.029769027323688</v>
      </c>
      <c r="U31" s="132">
        <v>17.33179294943147</v>
      </c>
      <c r="V31" s="132">
        <v>18.265330606747352</v>
      </c>
      <c r="W31" s="132">
        <v>18.397485123133919</v>
      </c>
      <c r="X31" s="132">
        <v>16.951840904099274</v>
      </c>
      <c r="Y31" s="132">
        <v>18.229769184760958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40.643352455582743</v>
      </c>
      <c r="C33" s="68">
        <v>37.168369986469735</v>
      </c>
      <c r="D33" s="68">
        <v>35.776725710999457</v>
      </c>
      <c r="E33" s="68">
        <v>34.213441410373143</v>
      </c>
      <c r="F33" s="68">
        <v>37.0471620641217</v>
      </c>
      <c r="G33" s="68">
        <v>39.856645961075778</v>
      </c>
      <c r="H33" s="68">
        <v>42.554615349232876</v>
      </c>
      <c r="I33" s="68">
        <v>42.548958015439673</v>
      </c>
      <c r="J33" s="68">
        <v>44.998206233724041</v>
      </c>
      <c r="K33" s="68">
        <v>46.328157087806083</v>
      </c>
      <c r="L33" s="68">
        <v>45.621086280405542</v>
      </c>
      <c r="M33" s="68">
        <v>48.125141710886233</v>
      </c>
      <c r="N33" s="68">
        <v>49.335376721192176</v>
      </c>
      <c r="O33" s="68">
        <v>52.22229255117896</v>
      </c>
      <c r="P33" s="68">
        <v>50.824767200365173</v>
      </c>
      <c r="Q33" s="68">
        <v>51.498286314549325</v>
      </c>
      <c r="R33" s="68">
        <v>46.611656003439883</v>
      </c>
      <c r="S33" s="68">
        <v>43.845755307640289</v>
      </c>
      <c r="T33" s="68">
        <v>43.350343922016179</v>
      </c>
      <c r="U33" s="68">
        <v>43.820044618914608</v>
      </c>
      <c r="V33" s="68">
        <v>38.418759684726162</v>
      </c>
      <c r="W33" s="68">
        <v>40.178393004277837</v>
      </c>
      <c r="X33" s="68">
        <v>39.523146361958396</v>
      </c>
      <c r="Y33" s="68">
        <v>40.081924833303908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256.91763841566831</v>
      </c>
      <c r="C3" s="125">
        <f t="shared" si="0"/>
        <v>273.53632310609805</v>
      </c>
      <c r="D3" s="125">
        <f t="shared" si="0"/>
        <v>292.31555580714826</v>
      </c>
      <c r="E3" s="125">
        <f t="shared" si="0"/>
        <v>310.17960986412226</v>
      </c>
      <c r="F3" s="125">
        <f t="shared" si="0"/>
        <v>324.7372782700121</v>
      </c>
      <c r="G3" s="125">
        <f t="shared" si="0"/>
        <v>325.51881057338119</v>
      </c>
      <c r="H3" s="125">
        <f t="shared" si="0"/>
        <v>349.20181009076265</v>
      </c>
      <c r="I3" s="125">
        <f t="shared" si="0"/>
        <v>376.12034017503072</v>
      </c>
      <c r="J3" s="125">
        <f t="shared" si="0"/>
        <v>335.15430731384663</v>
      </c>
      <c r="K3" s="125">
        <f t="shared" si="0"/>
        <v>309.18934508399576</v>
      </c>
      <c r="L3" s="125">
        <f t="shared" si="0"/>
        <v>327.72695815490675</v>
      </c>
      <c r="M3" s="125">
        <f t="shared" si="0"/>
        <v>303.1640874229559</v>
      </c>
      <c r="N3" s="125">
        <f t="shared" si="0"/>
        <v>350.69090895994651</v>
      </c>
      <c r="O3" s="125">
        <f t="shared" si="0"/>
        <v>337.56270036647066</v>
      </c>
      <c r="P3" s="125">
        <f t="shared" si="0"/>
        <v>343.48218109395953</v>
      </c>
      <c r="Q3" s="125">
        <f t="shared" si="0"/>
        <v>326.05822754587905</v>
      </c>
      <c r="R3" s="125">
        <f t="shared" ref="R3:W3" si="1">SUM(R4,R16,R19,R29)</f>
        <v>337.15022573992479</v>
      </c>
      <c r="S3" s="125">
        <f t="shared" si="1"/>
        <v>350.44481219862234</v>
      </c>
      <c r="T3" s="125">
        <f t="shared" si="1"/>
        <v>347.23305278427654</v>
      </c>
      <c r="U3" s="125">
        <f t="shared" si="1"/>
        <v>338.85597510391432</v>
      </c>
      <c r="V3" s="125">
        <f t="shared" si="1"/>
        <v>331.96488907409679</v>
      </c>
      <c r="W3" s="125">
        <f t="shared" si="1"/>
        <v>375.54899134529296</v>
      </c>
      <c r="X3" s="125">
        <f t="shared" ref="X3:Y3" si="2">SUM(X4,X16,X19,X29)</f>
        <v>353.95573706110923</v>
      </c>
      <c r="Y3" s="125">
        <f t="shared" si="2"/>
        <v>333.87821863075504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196.81433093426003</v>
      </c>
      <c r="C4" s="130">
        <f t="shared" si="3"/>
        <v>210.55601303893098</v>
      </c>
      <c r="D4" s="130">
        <f t="shared" si="3"/>
        <v>228.8921602750674</v>
      </c>
      <c r="E4" s="130">
        <f t="shared" si="3"/>
        <v>244.56857181621649</v>
      </c>
      <c r="F4" s="130">
        <f t="shared" si="3"/>
        <v>254.70787402518349</v>
      </c>
      <c r="G4" s="130">
        <f t="shared" si="3"/>
        <v>251.92161823664202</v>
      </c>
      <c r="H4" s="130">
        <f t="shared" si="3"/>
        <v>270.63480051637373</v>
      </c>
      <c r="I4" s="130">
        <f t="shared" si="3"/>
        <v>294.68554302787084</v>
      </c>
      <c r="J4" s="130">
        <f t="shared" si="3"/>
        <v>250.62613776089648</v>
      </c>
      <c r="K4" s="130">
        <f t="shared" si="3"/>
        <v>220.963651899355</v>
      </c>
      <c r="L4" s="130">
        <f t="shared" si="3"/>
        <v>239.97276755454055</v>
      </c>
      <c r="M4" s="130">
        <f t="shared" si="3"/>
        <v>213.48414516925214</v>
      </c>
      <c r="N4" s="130">
        <f t="shared" si="3"/>
        <v>261.95296072064411</v>
      </c>
      <c r="O4" s="130">
        <f t="shared" si="3"/>
        <v>245.6809472061295</v>
      </c>
      <c r="P4" s="130">
        <f t="shared" si="3"/>
        <v>251.44476097274523</v>
      </c>
      <c r="Q4" s="130">
        <f t="shared" si="3"/>
        <v>232.44832307069152</v>
      </c>
      <c r="R4" s="130">
        <f t="shared" ref="R4:W4" si="4">SUM(R5:R15)</f>
        <v>243.67873387390378</v>
      </c>
      <c r="S4" s="130">
        <f t="shared" si="4"/>
        <v>254.70759167475941</v>
      </c>
      <c r="T4" s="130">
        <f t="shared" si="4"/>
        <v>251.01987674129825</v>
      </c>
      <c r="U4" s="130">
        <f t="shared" si="4"/>
        <v>242.14157247852197</v>
      </c>
      <c r="V4" s="130">
        <f t="shared" si="4"/>
        <v>241.68204974811306</v>
      </c>
      <c r="W4" s="130">
        <f t="shared" si="4"/>
        <v>278.9838172311737</v>
      </c>
      <c r="X4" s="130">
        <f t="shared" ref="X4:Y4" si="5">SUM(X5:X15)</f>
        <v>255.01726637825195</v>
      </c>
      <c r="Y4" s="130">
        <f t="shared" si="5"/>
        <v>234.28145440436788</v>
      </c>
      <c r="DA4" s="155" t="s">
        <v>302</v>
      </c>
    </row>
    <row r="5" spans="1:105" ht="12" customHeight="1" x14ac:dyDescent="0.25">
      <c r="A5" s="131" t="s">
        <v>29</v>
      </c>
      <c r="B5" s="132">
        <v>18.243169140763115</v>
      </c>
      <c r="C5" s="132">
        <v>18.145765658938362</v>
      </c>
      <c r="D5" s="132">
        <v>16.908806240583317</v>
      </c>
      <c r="E5" s="132">
        <v>15.602864404785072</v>
      </c>
      <c r="F5" s="132">
        <v>15.029149607531675</v>
      </c>
      <c r="G5" s="132">
        <v>12.163244902438029</v>
      </c>
      <c r="H5" s="132">
        <v>12.696326896969593</v>
      </c>
      <c r="I5" s="132">
        <v>12.725937806837957</v>
      </c>
      <c r="J5" s="132">
        <v>11.328479301253953</v>
      </c>
      <c r="K5" s="132">
        <v>8.7682374756855932</v>
      </c>
      <c r="L5" s="132">
        <v>12.594250948595727</v>
      </c>
      <c r="M5" s="132">
        <v>11.365560403286697</v>
      </c>
      <c r="N5" s="132">
        <v>6.2622781516568411</v>
      </c>
      <c r="O5" s="132">
        <v>6.9272437004718928</v>
      </c>
      <c r="P5" s="132">
        <v>5.281025482642427</v>
      </c>
      <c r="Q5" s="132">
        <v>3.9890345791579001</v>
      </c>
      <c r="R5" s="132">
        <v>3.6582121916493842</v>
      </c>
      <c r="S5" s="132">
        <v>2.4697013645786416</v>
      </c>
      <c r="T5" s="132">
        <v>2.3405411266272864</v>
      </c>
      <c r="U5" s="132">
        <v>1.7153424596704538</v>
      </c>
      <c r="V5" s="132">
        <v>0.98633804105659573</v>
      </c>
      <c r="W5" s="132">
        <v>1.2690933458095417</v>
      </c>
      <c r="X5" s="132">
        <v>0.74260022750826027</v>
      </c>
      <c r="Y5" s="132">
        <v>1.6074069862042837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15.834749120911841</v>
      </c>
      <c r="C7" s="132">
        <v>18.231728036535568</v>
      </c>
      <c r="D7" s="132">
        <v>18.476114969027353</v>
      </c>
      <c r="E7" s="132">
        <v>20.81856894519623</v>
      </c>
      <c r="F7" s="132">
        <v>22.03574474399721</v>
      </c>
      <c r="G7" s="132">
        <v>17.444197138510638</v>
      </c>
      <c r="H7" s="132">
        <v>23.569380515323036</v>
      </c>
      <c r="I7" s="132">
        <v>18.64975716269543</v>
      </c>
      <c r="J7" s="132">
        <v>15.848780744935395</v>
      </c>
      <c r="K7" s="132">
        <v>15.215455498103967</v>
      </c>
      <c r="L7" s="132">
        <v>15.541818155962048</v>
      </c>
      <c r="M7" s="132">
        <v>13.786579301844334</v>
      </c>
      <c r="N7" s="132">
        <v>20.148101992812002</v>
      </c>
      <c r="O7" s="132">
        <v>22.046803567879888</v>
      </c>
      <c r="P7" s="132">
        <v>24.145039572497797</v>
      </c>
      <c r="Q7" s="132">
        <v>25.633651891423849</v>
      </c>
      <c r="R7" s="132">
        <v>15.989062784473786</v>
      </c>
      <c r="S7" s="132">
        <v>17.075598044522302</v>
      </c>
      <c r="T7" s="132">
        <v>19.838548874166136</v>
      </c>
      <c r="U7" s="132">
        <v>16.200494643524209</v>
      </c>
      <c r="V7" s="132">
        <v>20.568219089899021</v>
      </c>
      <c r="W7" s="132">
        <v>32.2040702062043</v>
      </c>
      <c r="X7" s="132">
        <v>30.791442716175585</v>
      </c>
      <c r="Y7" s="132">
        <v>36.655547651024762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16.603526511553511</v>
      </c>
      <c r="C9" s="132">
        <v>16.386156199671799</v>
      </c>
      <c r="D9" s="132">
        <v>26.352334612647557</v>
      </c>
      <c r="E9" s="132">
        <v>30.078844445937452</v>
      </c>
      <c r="F9" s="132">
        <v>37.994077938547711</v>
      </c>
      <c r="G9" s="132">
        <v>39.366618406707836</v>
      </c>
      <c r="H9" s="132">
        <v>43.839310676648978</v>
      </c>
      <c r="I9" s="132">
        <v>50.227971096725312</v>
      </c>
      <c r="J9" s="132">
        <v>49.818549212402786</v>
      </c>
      <c r="K9" s="132">
        <v>47.647729969874597</v>
      </c>
      <c r="L9" s="132">
        <v>50.574630659950252</v>
      </c>
      <c r="M9" s="132">
        <v>44.90868615135561</v>
      </c>
      <c r="N9" s="132">
        <v>43.442635021520573</v>
      </c>
      <c r="O9" s="132">
        <v>36.450276075521238</v>
      </c>
      <c r="P9" s="132">
        <v>40.54365201476331</v>
      </c>
      <c r="Q9" s="132">
        <v>38.697226057072847</v>
      </c>
      <c r="R9" s="132">
        <v>43.75744493405211</v>
      </c>
      <c r="S9" s="132">
        <v>48.901099915008324</v>
      </c>
      <c r="T9" s="132">
        <v>53.063849247894915</v>
      </c>
      <c r="U9" s="132">
        <v>57.378466111029226</v>
      </c>
      <c r="V9" s="132">
        <v>59.192727549914288</v>
      </c>
      <c r="W9" s="132">
        <v>65.207551111841013</v>
      </c>
      <c r="X9" s="132">
        <v>63.301228787827299</v>
      </c>
      <c r="Y9" s="132">
        <v>59.276638270197886</v>
      </c>
      <c r="DA9" s="156" t="s">
        <v>307</v>
      </c>
    </row>
    <row r="10" spans="1:105" ht="12" customHeight="1" x14ac:dyDescent="0.25">
      <c r="A10" s="131" t="s">
        <v>128</v>
      </c>
      <c r="B10" s="132">
        <v>30.759143294237212</v>
      </c>
      <c r="C10" s="132">
        <v>36.772790915885622</v>
      </c>
      <c r="D10" s="132">
        <v>36.890423364843457</v>
      </c>
      <c r="E10" s="132">
        <v>38.462772923769769</v>
      </c>
      <c r="F10" s="132">
        <v>45.844683152309109</v>
      </c>
      <c r="G10" s="132">
        <v>45.936650676134391</v>
      </c>
      <c r="H10" s="132">
        <v>49.273616888957925</v>
      </c>
      <c r="I10" s="132">
        <v>58.913077393044659</v>
      </c>
      <c r="J10" s="132">
        <v>33.496927197123398</v>
      </c>
      <c r="K10" s="132">
        <v>33.460494457086604</v>
      </c>
      <c r="L10" s="132">
        <v>35.53331237643124</v>
      </c>
      <c r="M10" s="132">
        <v>30.121120801845258</v>
      </c>
      <c r="N10" s="132">
        <v>43.606845949059831</v>
      </c>
      <c r="O10" s="132">
        <v>44.560684210564169</v>
      </c>
      <c r="P10" s="132">
        <v>39.691303898893686</v>
      </c>
      <c r="Q10" s="132">
        <v>37.878464992366133</v>
      </c>
      <c r="R10" s="132">
        <v>36.669687939100456</v>
      </c>
      <c r="S10" s="132">
        <v>39.089389725684711</v>
      </c>
      <c r="T10" s="132">
        <v>31.969873114168657</v>
      </c>
      <c r="U10" s="132">
        <v>26.275450686611439</v>
      </c>
      <c r="V10" s="132">
        <v>21.049292515857537</v>
      </c>
      <c r="W10" s="132">
        <v>22.188219144492624</v>
      </c>
      <c r="X10" s="132">
        <v>24.83910723312049</v>
      </c>
      <c r="Y10" s="132">
        <v>17.547648308917424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309</v>
      </c>
    </row>
    <row r="12" spans="1:105" ht="12" customHeight="1" x14ac:dyDescent="0.25">
      <c r="A12" s="131" t="s">
        <v>162</v>
      </c>
      <c r="B12" s="132">
        <v>97.182406855561808</v>
      </c>
      <c r="C12" s="132">
        <v>108.6592258011602</v>
      </c>
      <c r="D12" s="132">
        <v>103.25092664017987</v>
      </c>
      <c r="E12" s="132">
        <v>106.5863662108096</v>
      </c>
      <c r="F12" s="132">
        <v>99.752254890203545</v>
      </c>
      <c r="G12" s="132">
        <v>99.731068109708403</v>
      </c>
      <c r="H12" s="132">
        <v>100.1458505993878</v>
      </c>
      <c r="I12" s="132">
        <v>96.592127935124793</v>
      </c>
      <c r="J12" s="132">
        <v>93.376192389764213</v>
      </c>
      <c r="K12" s="132">
        <v>92.044288942563682</v>
      </c>
      <c r="L12" s="132">
        <v>96.867305259833842</v>
      </c>
      <c r="M12" s="132">
        <v>82.919250672104425</v>
      </c>
      <c r="N12" s="132">
        <v>98.030332216503396</v>
      </c>
      <c r="O12" s="132">
        <v>94.991861199027184</v>
      </c>
      <c r="P12" s="132">
        <v>89.985677013290058</v>
      </c>
      <c r="Q12" s="132">
        <v>88.50146293474171</v>
      </c>
      <c r="R12" s="132">
        <v>102.38442109879689</v>
      </c>
      <c r="S12" s="132">
        <v>103.42227775815459</v>
      </c>
      <c r="T12" s="132">
        <v>93.310157208837637</v>
      </c>
      <c r="U12" s="132">
        <v>89.840021537293083</v>
      </c>
      <c r="V12" s="132">
        <v>94.446243383488991</v>
      </c>
      <c r="W12" s="132">
        <v>110.36360617589095</v>
      </c>
      <c r="X12" s="132">
        <v>90.570514385670378</v>
      </c>
      <c r="Y12" s="132">
        <v>83.209893772301882</v>
      </c>
      <c r="DA12" s="156" t="s">
        <v>310</v>
      </c>
    </row>
    <row r="13" spans="1:105" ht="12" customHeight="1" x14ac:dyDescent="0.25">
      <c r="A13" s="131" t="s">
        <v>77</v>
      </c>
      <c r="B13" s="132">
        <v>1.1178477827951736E-5</v>
      </c>
      <c r="C13" s="132">
        <v>2.2555438460149559E-5</v>
      </c>
      <c r="D13" s="132">
        <v>2.1044447659855083E-4</v>
      </c>
      <c r="E13" s="132">
        <v>4.3532469816728143E-4</v>
      </c>
      <c r="F13" s="132">
        <v>9.1948071548868075E-4</v>
      </c>
      <c r="G13" s="132">
        <v>1.9119613250894161E-3</v>
      </c>
      <c r="H13" s="132">
        <v>4.0278614799495443E-3</v>
      </c>
      <c r="I13" s="132">
        <v>8.494620789768724E-3</v>
      </c>
      <c r="J13" s="132">
        <v>1.7338503252796213E-2</v>
      </c>
      <c r="K13" s="132">
        <v>3.6510161238064151E-2</v>
      </c>
      <c r="L13" s="132">
        <v>7.5899816307784029E-2</v>
      </c>
      <c r="M13" s="132">
        <v>0.16053137597275827</v>
      </c>
      <c r="N13" s="132">
        <v>0.27236795794286561</v>
      </c>
      <c r="O13" s="132">
        <v>0.50940365514524366</v>
      </c>
      <c r="P13" s="132">
        <v>0.73918904792014828</v>
      </c>
      <c r="Q13" s="132">
        <v>0.97859528100864257</v>
      </c>
      <c r="R13" s="132">
        <v>1.1492123737848206</v>
      </c>
      <c r="S13" s="132">
        <v>1.3311974021780717</v>
      </c>
      <c r="T13" s="132">
        <v>1.3232822232642907</v>
      </c>
      <c r="U13" s="132">
        <v>1.3201682040905178</v>
      </c>
      <c r="V13" s="132">
        <v>1.3178755436373857</v>
      </c>
      <c r="W13" s="132">
        <v>0.95255749578540916</v>
      </c>
      <c r="X13" s="132">
        <v>0.95013737660006636</v>
      </c>
      <c r="Y13" s="132">
        <v>0.94772737216495451</v>
      </c>
      <c r="DA13" s="156" t="s">
        <v>311</v>
      </c>
    </row>
    <row r="14" spans="1:105" ht="12" customHeight="1" x14ac:dyDescent="0.25">
      <c r="A14" s="60" t="s">
        <v>76</v>
      </c>
      <c r="B14" s="65">
        <v>16.566624161477634</v>
      </c>
      <c r="C14" s="65">
        <v>10.612593609954168</v>
      </c>
      <c r="D14" s="65">
        <v>25.140932344143842</v>
      </c>
      <c r="E14" s="65">
        <v>31.049043655603626</v>
      </c>
      <c r="F14" s="65">
        <v>31.916220581887707</v>
      </c>
      <c r="G14" s="65">
        <v>35.262969888411533</v>
      </c>
      <c r="H14" s="65">
        <v>38.89716156747582</v>
      </c>
      <c r="I14" s="65">
        <v>55.296482106147941</v>
      </c>
      <c r="J14" s="65">
        <v>44.802657235252262</v>
      </c>
      <c r="K14" s="65">
        <v>21.954873616590412</v>
      </c>
      <c r="L14" s="65">
        <v>26.845779660179865</v>
      </c>
      <c r="M14" s="65">
        <v>28.542503707534063</v>
      </c>
      <c r="N14" s="65">
        <v>48.313609769090597</v>
      </c>
      <c r="O14" s="65">
        <v>38.417706225884373</v>
      </c>
      <c r="P14" s="65">
        <v>49.268609816456532</v>
      </c>
      <c r="Q14" s="65">
        <v>35.029096802264341</v>
      </c>
      <c r="R14" s="65">
        <v>38.370668324723454</v>
      </c>
      <c r="S14" s="65">
        <v>40.612872176466375</v>
      </c>
      <c r="T14" s="65">
        <v>47.363033492236084</v>
      </c>
      <c r="U14" s="65">
        <v>47.659813208765321</v>
      </c>
      <c r="V14" s="65">
        <v>42.303829808403535</v>
      </c>
      <c r="W14" s="65">
        <v>44.629033852398813</v>
      </c>
      <c r="X14" s="65">
        <v>41.767019460010481</v>
      </c>
      <c r="Y14" s="65">
        <v>33.030476327975478</v>
      </c>
      <c r="DA14" s="109" t="s">
        <v>312</v>
      </c>
    </row>
    <row r="15" spans="1:105" ht="12" customHeight="1" x14ac:dyDescent="0.25">
      <c r="A15" s="133" t="s">
        <v>80</v>
      </c>
      <c r="B15" s="134">
        <v>1.6247006712771195</v>
      </c>
      <c r="C15" s="134">
        <v>1.7477302613468229</v>
      </c>
      <c r="D15" s="134">
        <v>1.8724116591654067</v>
      </c>
      <c r="E15" s="134">
        <v>1.9696759054165844</v>
      </c>
      <c r="F15" s="134">
        <v>2.1348236299910552</v>
      </c>
      <c r="G15" s="134">
        <v>2.0149571534061126</v>
      </c>
      <c r="H15" s="134">
        <v>2.2091255101306024</v>
      </c>
      <c r="I15" s="134">
        <v>2.2716949065050005</v>
      </c>
      <c r="J15" s="134">
        <v>1.9372131769116749</v>
      </c>
      <c r="K15" s="134">
        <v>1.8360617782121125</v>
      </c>
      <c r="L15" s="134">
        <v>1.9397706772798045</v>
      </c>
      <c r="M15" s="134">
        <v>1.6799127553090072</v>
      </c>
      <c r="N15" s="134">
        <v>1.8767896620579829</v>
      </c>
      <c r="O15" s="134">
        <v>1.7769685716355286</v>
      </c>
      <c r="P15" s="134">
        <v>1.7902641262812431</v>
      </c>
      <c r="Q15" s="134">
        <v>1.7407905326560882</v>
      </c>
      <c r="R15" s="134">
        <v>1.7000242273228994</v>
      </c>
      <c r="S15" s="134">
        <v>1.8054552881663963</v>
      </c>
      <c r="T15" s="134">
        <v>1.8105914541032282</v>
      </c>
      <c r="U15" s="134">
        <v>1.751815627537729</v>
      </c>
      <c r="V15" s="134">
        <v>1.8175238158556846</v>
      </c>
      <c r="W15" s="134">
        <v>2.1696858987510201</v>
      </c>
      <c r="X15" s="134">
        <v>2.0552161913394151</v>
      </c>
      <c r="Y15" s="134">
        <v>2.0061157155811777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1.112532668659783</v>
      </c>
      <c r="C16" s="130">
        <f t="shared" si="6"/>
        <v>1.2573007660801592</v>
      </c>
      <c r="D16" s="130">
        <f t="shared" si="6"/>
        <v>1.4551505397871067</v>
      </c>
      <c r="E16" s="130">
        <f t="shared" si="6"/>
        <v>1.5845915168510201</v>
      </c>
      <c r="F16" s="130">
        <f t="shared" si="6"/>
        <v>1.6952156314007232</v>
      </c>
      <c r="G16" s="130">
        <f t="shared" si="6"/>
        <v>1.9235862406849178</v>
      </c>
      <c r="H16" s="130">
        <f t="shared" si="6"/>
        <v>2.3009840074092973</v>
      </c>
      <c r="I16" s="130">
        <f t="shared" si="6"/>
        <v>2.4819443761260382</v>
      </c>
      <c r="J16" s="130">
        <f t="shared" si="6"/>
        <v>2.7486113113160062</v>
      </c>
      <c r="K16" s="130">
        <f t="shared" si="6"/>
        <v>3.0008238645833534</v>
      </c>
      <c r="L16" s="130">
        <f t="shared" si="6"/>
        <v>3.8496376511388473</v>
      </c>
      <c r="M16" s="130">
        <f t="shared" si="6"/>
        <v>3.4136593913176565</v>
      </c>
      <c r="N16" s="130">
        <f t="shared" si="6"/>
        <v>3.5629075094405174</v>
      </c>
      <c r="O16" s="130">
        <f t="shared" si="6"/>
        <v>3.6540155425671701</v>
      </c>
      <c r="P16" s="130">
        <f t="shared" si="6"/>
        <v>4.0317591308671119</v>
      </c>
      <c r="Q16" s="130">
        <f t="shared" si="6"/>
        <v>3.9979185733337728</v>
      </c>
      <c r="R16" s="130">
        <f t="shared" ref="R16:W16" si="7">SUM(R17:R18)</f>
        <v>4.1795493182717021</v>
      </c>
      <c r="S16" s="130">
        <f t="shared" si="7"/>
        <v>4.3633581237137546</v>
      </c>
      <c r="T16" s="130">
        <f t="shared" si="7"/>
        <v>4.8279671164097691</v>
      </c>
      <c r="U16" s="130">
        <f t="shared" si="7"/>
        <v>4.74137098998093</v>
      </c>
      <c r="V16" s="130">
        <f t="shared" si="7"/>
        <v>4.9022829314628842</v>
      </c>
      <c r="W16" s="130">
        <f t="shared" si="7"/>
        <v>5.8511737259576551</v>
      </c>
      <c r="X16" s="130">
        <f t="shared" ref="X16:Y16" si="8">SUM(X17:X18)</f>
        <v>5.1526884791443921</v>
      </c>
      <c r="Y16" s="130">
        <f t="shared" si="8"/>
        <v>5.3359016406052167</v>
      </c>
      <c r="DA16" s="155" t="s">
        <v>314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315</v>
      </c>
    </row>
    <row r="18" spans="1:105" ht="12" customHeight="1" x14ac:dyDescent="0.25">
      <c r="A18" s="131" t="s">
        <v>72</v>
      </c>
      <c r="B18" s="132">
        <v>1.112532668659783</v>
      </c>
      <c r="C18" s="132">
        <v>1.2573007660801592</v>
      </c>
      <c r="D18" s="132">
        <v>1.4551505397871067</v>
      </c>
      <c r="E18" s="132">
        <v>1.5845915168510201</v>
      </c>
      <c r="F18" s="132">
        <v>1.6952156314007232</v>
      </c>
      <c r="G18" s="132">
        <v>1.9235862406849178</v>
      </c>
      <c r="H18" s="132">
        <v>2.3009840074092973</v>
      </c>
      <c r="I18" s="132">
        <v>2.4819443761260382</v>
      </c>
      <c r="J18" s="132">
        <v>2.7486113113160062</v>
      </c>
      <c r="K18" s="132">
        <v>3.0008238645833534</v>
      </c>
      <c r="L18" s="132">
        <v>3.8496376511388473</v>
      </c>
      <c r="M18" s="132">
        <v>3.4136593913176565</v>
      </c>
      <c r="N18" s="132">
        <v>3.5629075094405174</v>
      </c>
      <c r="O18" s="132">
        <v>3.6540155425671701</v>
      </c>
      <c r="P18" s="132">
        <v>4.0317591308671119</v>
      </c>
      <c r="Q18" s="132">
        <v>3.9979185733337728</v>
      </c>
      <c r="R18" s="132">
        <v>4.1795493182717021</v>
      </c>
      <c r="S18" s="132">
        <v>4.3633581237137546</v>
      </c>
      <c r="T18" s="132">
        <v>4.8279671164097691</v>
      </c>
      <c r="U18" s="132">
        <v>4.74137098998093</v>
      </c>
      <c r="V18" s="132">
        <v>4.9022829314628842</v>
      </c>
      <c r="W18" s="132">
        <v>5.8511737259576551</v>
      </c>
      <c r="X18" s="132">
        <v>5.1526884791443921</v>
      </c>
      <c r="Y18" s="132">
        <v>5.3359016406052167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25.52931261153055</v>
      </c>
      <c r="C19" s="130">
        <f t="shared" si="9"/>
        <v>27.157795703687732</v>
      </c>
      <c r="D19" s="130">
        <f t="shared" si="9"/>
        <v>27.624496646987609</v>
      </c>
      <c r="E19" s="130">
        <f t="shared" si="9"/>
        <v>28.899895722813135</v>
      </c>
      <c r="F19" s="130">
        <f t="shared" si="9"/>
        <v>30.918327045818295</v>
      </c>
      <c r="G19" s="130">
        <f t="shared" si="9"/>
        <v>31.89984018956838</v>
      </c>
      <c r="H19" s="130">
        <f t="shared" si="9"/>
        <v>34.198576739194898</v>
      </c>
      <c r="I19" s="130">
        <f t="shared" si="9"/>
        <v>36.256132464682366</v>
      </c>
      <c r="J19" s="130">
        <f t="shared" si="9"/>
        <v>36.970163066800957</v>
      </c>
      <c r="K19" s="130">
        <f t="shared" si="9"/>
        <v>38.718135970386129</v>
      </c>
      <c r="L19" s="130">
        <f t="shared" si="9"/>
        <v>38.182377864406178</v>
      </c>
      <c r="M19" s="130">
        <f t="shared" si="9"/>
        <v>39.699746665542186</v>
      </c>
      <c r="N19" s="130">
        <f t="shared" si="9"/>
        <v>38.783970679696587</v>
      </c>
      <c r="O19" s="130">
        <f t="shared" si="9"/>
        <v>40.3388391839554</v>
      </c>
      <c r="P19" s="130">
        <f t="shared" si="9"/>
        <v>40.235151135313266</v>
      </c>
      <c r="Q19" s="130">
        <f t="shared" si="9"/>
        <v>41.306403959243433</v>
      </c>
      <c r="R19" s="130">
        <f t="shared" ref="R19:W19" si="10">SUM(R20:R27)</f>
        <v>42.071715648344998</v>
      </c>
      <c r="S19" s="130">
        <f t="shared" si="10"/>
        <v>43.627106046434143</v>
      </c>
      <c r="T19" s="130">
        <f t="shared" si="10"/>
        <v>43.50539593995817</v>
      </c>
      <c r="U19" s="130">
        <f t="shared" si="10"/>
        <v>43.333651354414613</v>
      </c>
      <c r="V19" s="130">
        <f t="shared" si="10"/>
        <v>40.081253027493844</v>
      </c>
      <c r="W19" s="130">
        <f t="shared" si="10"/>
        <v>43.237630993019664</v>
      </c>
      <c r="X19" s="130">
        <f t="shared" ref="X19:Y19" si="11">SUM(X20:X27)</f>
        <v>44.797009384739184</v>
      </c>
      <c r="Y19" s="130">
        <f t="shared" si="11"/>
        <v>45.218645634325497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319</v>
      </c>
    </row>
    <row r="22" spans="1:105" ht="12" customHeight="1" x14ac:dyDescent="0.25">
      <c r="A22" s="131" t="s">
        <v>161</v>
      </c>
      <c r="B22" s="132">
        <v>2.1046709527570355</v>
      </c>
      <c r="C22" s="132">
        <v>2.1722467555069467</v>
      </c>
      <c r="D22" s="132">
        <v>2.2260889172658849</v>
      </c>
      <c r="E22" s="132">
        <v>2.2743756396404526</v>
      </c>
      <c r="F22" s="132">
        <v>2.2884358590769533</v>
      </c>
      <c r="G22" s="132">
        <v>2.3197397923568355</v>
      </c>
      <c r="H22" s="132">
        <v>2.4245638554182345</v>
      </c>
      <c r="I22" s="132">
        <v>2.3756351560307563</v>
      </c>
      <c r="J22" s="132">
        <v>2.4534647449768543</v>
      </c>
      <c r="K22" s="132">
        <v>2.4083049978223841</v>
      </c>
      <c r="L22" s="132">
        <v>2.43111541444117</v>
      </c>
      <c r="M22" s="132">
        <v>2.5093795123174498</v>
      </c>
      <c r="N22" s="132">
        <v>2.6165516975192671</v>
      </c>
      <c r="O22" s="132">
        <v>2.7080224091067722</v>
      </c>
      <c r="P22" s="132">
        <v>2.7396844735727792</v>
      </c>
      <c r="Q22" s="132">
        <v>2.7594704379733277</v>
      </c>
      <c r="R22" s="132">
        <v>2.703403194925952</v>
      </c>
      <c r="S22" s="132">
        <v>2.6193392051496547</v>
      </c>
      <c r="T22" s="132">
        <v>2.4815607712867576</v>
      </c>
      <c r="U22" s="132">
        <v>2.267254301839853</v>
      </c>
      <c r="V22" s="132">
        <v>1.9643213296863888</v>
      </c>
      <c r="W22" s="132">
        <v>2.0310857597780805</v>
      </c>
      <c r="X22" s="132">
        <v>1.9806590749571702</v>
      </c>
      <c r="Y22" s="132">
        <v>2.072699207428446</v>
      </c>
      <c r="DA22" s="156" t="s">
        <v>320</v>
      </c>
    </row>
    <row r="23" spans="1:105" ht="12" customHeight="1" x14ac:dyDescent="0.25">
      <c r="A23" s="131" t="s">
        <v>149</v>
      </c>
      <c r="B23" s="132">
        <v>1.9201242955312594</v>
      </c>
      <c r="C23" s="132">
        <v>2.0446615105157333</v>
      </c>
      <c r="D23" s="132">
        <v>2.4668052761045791</v>
      </c>
      <c r="E23" s="132">
        <v>2.7154414376076677</v>
      </c>
      <c r="F23" s="132">
        <v>2.9796720862733443</v>
      </c>
      <c r="G23" s="132">
        <v>3.3472118693177846</v>
      </c>
      <c r="H23" s="132">
        <v>3.5619568627425502</v>
      </c>
      <c r="I23" s="132">
        <v>3.8582928938152983</v>
      </c>
      <c r="J23" s="132">
        <v>4.5734418046176408</v>
      </c>
      <c r="K23" s="132">
        <v>4.9802834096150184</v>
      </c>
      <c r="L23" s="132">
        <v>5.1026552214837286</v>
      </c>
      <c r="M23" s="132">
        <v>5.3244507322868362</v>
      </c>
      <c r="N23" s="132">
        <v>5.5084835569951975</v>
      </c>
      <c r="O23" s="132">
        <v>5.6899571348790916</v>
      </c>
      <c r="P23" s="132">
        <v>5.7707272879444762</v>
      </c>
      <c r="Q23" s="132">
        <v>5.9629328651087032</v>
      </c>
      <c r="R23" s="132">
        <v>6.1134199591408516</v>
      </c>
      <c r="S23" s="132">
        <v>6.3336353915915193</v>
      </c>
      <c r="T23" s="132">
        <v>6.3307963459057399</v>
      </c>
      <c r="U23" s="132">
        <v>6.5062963131366418</v>
      </c>
      <c r="V23" s="132">
        <v>6.7328020472592334</v>
      </c>
      <c r="W23" s="132">
        <v>6.9731405001568598</v>
      </c>
      <c r="X23" s="132">
        <v>7.0159576426811681</v>
      </c>
      <c r="Y23" s="132">
        <v>6.5755964875229704</v>
      </c>
      <c r="DA23" s="156" t="s">
        <v>321</v>
      </c>
    </row>
    <row r="24" spans="1:105" ht="12" customHeight="1" x14ac:dyDescent="0.25">
      <c r="A24" s="131" t="s">
        <v>128</v>
      </c>
      <c r="B24" s="132">
        <v>3.4046919566136431</v>
      </c>
      <c r="C24" s="132">
        <v>3.1118812976022254</v>
      </c>
      <c r="D24" s="132">
        <v>3.2252543318214464</v>
      </c>
      <c r="E24" s="132">
        <v>3.3378651329343305</v>
      </c>
      <c r="F24" s="132">
        <v>3.7648931287914769</v>
      </c>
      <c r="G24" s="132">
        <v>4.1136580206011377</v>
      </c>
      <c r="H24" s="132">
        <v>4.3106803706505801</v>
      </c>
      <c r="I24" s="132">
        <v>4.4713481147805938</v>
      </c>
      <c r="J24" s="132">
        <v>4.4796978664105174</v>
      </c>
      <c r="K24" s="132">
        <v>4.6324532893246584</v>
      </c>
      <c r="L24" s="132">
        <v>4.8418789401768265</v>
      </c>
      <c r="M24" s="132">
        <v>5.1507526130251557</v>
      </c>
      <c r="N24" s="132">
        <v>5.3058745587881777</v>
      </c>
      <c r="O24" s="132">
        <v>5.5472542322710678</v>
      </c>
      <c r="P24" s="132">
        <v>5.6031150451235687</v>
      </c>
      <c r="Q24" s="132">
        <v>5.7541355468355562</v>
      </c>
      <c r="R24" s="132">
        <v>5.4819979212220167</v>
      </c>
      <c r="S24" s="132">
        <v>5.781858650507397</v>
      </c>
      <c r="T24" s="132">
        <v>4.6821225543580205</v>
      </c>
      <c r="U24" s="132">
        <v>3.9398440811911151</v>
      </c>
      <c r="V24" s="132">
        <v>3.4511799071843381</v>
      </c>
      <c r="W24" s="132">
        <v>3.7388394616423484</v>
      </c>
      <c r="X24" s="132">
        <v>4.5276980001447136</v>
      </c>
      <c r="Y24" s="132">
        <v>4.2590449812573716</v>
      </c>
      <c r="DA24" s="156" t="s">
        <v>322</v>
      </c>
    </row>
    <row r="25" spans="1:105" ht="12" customHeight="1" x14ac:dyDescent="0.25">
      <c r="A25" s="131" t="s">
        <v>162</v>
      </c>
      <c r="B25" s="132">
        <v>10.127715399679859</v>
      </c>
      <c r="C25" s="132">
        <v>10.365357369637499</v>
      </c>
      <c r="D25" s="132">
        <v>10.476942807986191</v>
      </c>
      <c r="E25" s="132">
        <v>10.563161109147881</v>
      </c>
      <c r="F25" s="132">
        <v>10.672916986441914</v>
      </c>
      <c r="G25" s="132">
        <v>10.617036762399113</v>
      </c>
      <c r="H25" s="132">
        <v>10.717072508723238</v>
      </c>
      <c r="I25" s="132">
        <v>10.841459349987518</v>
      </c>
      <c r="J25" s="132">
        <v>10.429796887245894</v>
      </c>
      <c r="K25" s="132">
        <v>10.704768973604722</v>
      </c>
      <c r="L25" s="132">
        <v>10.823790367244111</v>
      </c>
      <c r="M25" s="132">
        <v>11.299382969577913</v>
      </c>
      <c r="N25" s="132">
        <v>11.520449860427597</v>
      </c>
      <c r="O25" s="132">
        <v>11.806222884389344</v>
      </c>
      <c r="P25" s="132">
        <v>11.80601456274993</v>
      </c>
      <c r="Q25" s="132">
        <v>12.65045411337467</v>
      </c>
      <c r="R25" s="132">
        <v>12.927675519752265</v>
      </c>
      <c r="S25" s="132">
        <v>13.207098133654977</v>
      </c>
      <c r="T25" s="132">
        <v>12.946180987065365</v>
      </c>
      <c r="U25" s="132">
        <v>13.314619363888125</v>
      </c>
      <c r="V25" s="132">
        <v>12.733314206006833</v>
      </c>
      <c r="W25" s="132">
        <v>14.137280376213971</v>
      </c>
      <c r="X25" s="132">
        <v>14.969965126301627</v>
      </c>
      <c r="Y25" s="132">
        <v>14.087055030641107</v>
      </c>
      <c r="DA25" s="156" t="s">
        <v>323</v>
      </c>
    </row>
    <row r="26" spans="1:105" ht="12" customHeight="1" x14ac:dyDescent="0.25">
      <c r="A26" s="131" t="s">
        <v>24</v>
      </c>
      <c r="B26" s="65">
        <v>7.9721100069487552</v>
      </c>
      <c r="C26" s="65">
        <v>9.463648770425328</v>
      </c>
      <c r="D26" s="65">
        <v>9.2294053138095062</v>
      </c>
      <c r="E26" s="65">
        <v>10.009052403482807</v>
      </c>
      <c r="F26" s="65">
        <v>11.212408985234605</v>
      </c>
      <c r="G26" s="65">
        <v>11.502193744893511</v>
      </c>
      <c r="H26" s="65">
        <v>13.184303141660296</v>
      </c>
      <c r="I26" s="65">
        <v>14.709396950068198</v>
      </c>
      <c r="J26" s="65">
        <v>15.033761763550052</v>
      </c>
      <c r="K26" s="65">
        <v>15.992325300019345</v>
      </c>
      <c r="L26" s="65">
        <v>14.982937921060339</v>
      </c>
      <c r="M26" s="65">
        <v>15.415780838334832</v>
      </c>
      <c r="N26" s="65">
        <v>13.832611005966351</v>
      </c>
      <c r="O26" s="65">
        <v>14.587382523309126</v>
      </c>
      <c r="P26" s="65">
        <v>14.315609765922515</v>
      </c>
      <c r="Q26" s="65">
        <v>14.179410995951175</v>
      </c>
      <c r="R26" s="65">
        <v>14.845219053303916</v>
      </c>
      <c r="S26" s="65">
        <v>15.685174665530598</v>
      </c>
      <c r="T26" s="65">
        <v>17.064735281342287</v>
      </c>
      <c r="U26" s="65">
        <v>17.305637294358878</v>
      </c>
      <c r="V26" s="65">
        <v>15.199635537357048</v>
      </c>
      <c r="W26" s="65">
        <v>16.3572848952284</v>
      </c>
      <c r="X26" s="65">
        <v>16.3027295406545</v>
      </c>
      <c r="Y26" s="65">
        <v>18.224249927475608</v>
      </c>
      <c r="DA26" s="109" t="s">
        <v>324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33.461462201217941</v>
      </c>
      <c r="C29" s="130">
        <f t="shared" si="12"/>
        <v>34.565213597399165</v>
      </c>
      <c r="D29" s="130">
        <f t="shared" si="12"/>
        <v>34.343748345306167</v>
      </c>
      <c r="E29" s="130">
        <f t="shared" si="12"/>
        <v>35.126550808241646</v>
      </c>
      <c r="F29" s="130">
        <f t="shared" si="12"/>
        <v>37.41586156760961</v>
      </c>
      <c r="G29" s="130">
        <f t="shared" si="12"/>
        <v>39.773765906485892</v>
      </c>
      <c r="H29" s="130">
        <f t="shared" si="12"/>
        <v>42.06744882778473</v>
      </c>
      <c r="I29" s="130">
        <f t="shared" si="12"/>
        <v>42.696720306351473</v>
      </c>
      <c r="J29" s="130">
        <f t="shared" si="12"/>
        <v>44.809395174833206</v>
      </c>
      <c r="K29" s="130">
        <f t="shared" si="12"/>
        <v>46.506733349671265</v>
      </c>
      <c r="L29" s="130">
        <f t="shared" si="12"/>
        <v>45.72217508482116</v>
      </c>
      <c r="M29" s="130">
        <f t="shared" si="12"/>
        <v>46.566536196843906</v>
      </c>
      <c r="N29" s="130">
        <f t="shared" si="12"/>
        <v>46.391070050165304</v>
      </c>
      <c r="O29" s="130">
        <f t="shared" si="12"/>
        <v>47.888898433818611</v>
      </c>
      <c r="P29" s="130">
        <f t="shared" si="12"/>
        <v>47.77050985503395</v>
      </c>
      <c r="Q29" s="130">
        <f t="shared" si="12"/>
        <v>48.30558194261031</v>
      </c>
      <c r="R29" s="130">
        <f t="shared" ref="R29:W29" si="13">SUM(R30:R33)</f>
        <v>47.220226899404267</v>
      </c>
      <c r="S29" s="130">
        <f t="shared" si="13"/>
        <v>47.746756353714979</v>
      </c>
      <c r="T29" s="130">
        <f t="shared" si="13"/>
        <v>47.87981298661029</v>
      </c>
      <c r="U29" s="130">
        <f t="shared" si="13"/>
        <v>48.639380280996832</v>
      </c>
      <c r="V29" s="130">
        <f t="shared" si="13"/>
        <v>45.299303367026994</v>
      </c>
      <c r="W29" s="130">
        <f t="shared" si="13"/>
        <v>47.476369395141958</v>
      </c>
      <c r="X29" s="130">
        <f t="shared" ref="X29:Y29" si="14">SUM(X30:X33)</f>
        <v>48.988772818973715</v>
      </c>
      <c r="Y29" s="130">
        <f t="shared" si="14"/>
        <v>49.042216951456467</v>
      </c>
      <c r="DA29" s="155" t="s">
        <v>326</v>
      </c>
    </row>
    <row r="30" spans="1:105" ht="12" customHeight="1" x14ac:dyDescent="0.25">
      <c r="A30" s="131" t="s">
        <v>52</v>
      </c>
      <c r="B30" s="132">
        <v>0</v>
      </c>
      <c r="C30" s="132">
        <v>1.2954565042424762</v>
      </c>
      <c r="D30" s="132">
        <v>0.64784821554599203</v>
      </c>
      <c r="E30" s="132">
        <v>2.5921387591845471</v>
      </c>
      <c r="F30" s="132">
        <v>1.9441821345972572</v>
      </c>
      <c r="G30" s="132">
        <v>1.9443055263882072</v>
      </c>
      <c r="H30" s="132">
        <v>1.9443184083424621</v>
      </c>
      <c r="I30" s="132">
        <v>1.9443249010048875</v>
      </c>
      <c r="J30" s="132">
        <v>1.2962252774909739</v>
      </c>
      <c r="K30" s="132">
        <v>1.2962252774909733</v>
      </c>
      <c r="L30" s="132">
        <v>1.2962317349701686</v>
      </c>
      <c r="M30" s="132">
        <v>0.64814371315042452</v>
      </c>
      <c r="N30" s="132">
        <v>1.2981834588783026</v>
      </c>
      <c r="O30" s="132">
        <v>1.3003274481970573</v>
      </c>
      <c r="P30" s="132">
        <v>1.9525764517634616</v>
      </c>
      <c r="Q30" s="132">
        <v>1.9544160245093829</v>
      </c>
      <c r="R30" s="132">
        <v>3.2619331617287863</v>
      </c>
      <c r="S30" s="132">
        <v>4.7471646614067531</v>
      </c>
      <c r="T30" s="132">
        <v>3.999797237696411</v>
      </c>
      <c r="U30" s="132">
        <v>3.0981263142731814</v>
      </c>
      <c r="V30" s="132">
        <v>3.0822141028242038</v>
      </c>
      <c r="W30" s="132">
        <v>3.2726572934633102</v>
      </c>
      <c r="X30" s="132">
        <v>5.764970762092525</v>
      </c>
      <c r="Y30" s="132">
        <v>4.0838103077129482</v>
      </c>
      <c r="DA30" s="156" t="s">
        <v>327</v>
      </c>
    </row>
    <row r="31" spans="1:105" ht="12" customHeight="1" x14ac:dyDescent="0.25">
      <c r="A31" s="131" t="s">
        <v>149</v>
      </c>
      <c r="B31" s="132">
        <v>3.2479644502408895</v>
      </c>
      <c r="C31" s="132">
        <v>5.6035061276659599</v>
      </c>
      <c r="D31" s="132">
        <v>7.0139682718211809</v>
      </c>
      <c r="E31" s="132">
        <v>6.9586694386027501</v>
      </c>
      <c r="F31" s="132">
        <v>7.691446555496892</v>
      </c>
      <c r="G31" s="132">
        <v>7.8523477147427725</v>
      </c>
      <c r="H31" s="132">
        <v>8.0086601777832307</v>
      </c>
      <c r="I31" s="132">
        <v>8.5363552766589343</v>
      </c>
      <c r="J31" s="132">
        <v>9.337909424592354</v>
      </c>
      <c r="K31" s="132">
        <v>9.9182908455056147</v>
      </c>
      <c r="L31" s="132">
        <v>9.591615434035468</v>
      </c>
      <c r="M31" s="132">
        <v>9.1213491033259846</v>
      </c>
      <c r="N31" s="132">
        <v>7.3050557917569225</v>
      </c>
      <c r="O31" s="132">
        <v>6.4684857730015839</v>
      </c>
      <c r="P31" s="132">
        <v>6.6286379608150119</v>
      </c>
      <c r="Q31" s="132">
        <v>6.4551799200876614</v>
      </c>
      <c r="R31" s="132">
        <v>7.6587250591083045</v>
      </c>
      <c r="S31" s="132">
        <v>8.5955475263893266</v>
      </c>
      <c r="T31" s="132">
        <v>9.5139615581302248</v>
      </c>
      <c r="U31" s="132">
        <v>10.373461271018186</v>
      </c>
      <c r="V31" s="132">
        <v>11.012375952416301</v>
      </c>
      <c r="W31" s="132">
        <v>11.141585724801329</v>
      </c>
      <c r="X31" s="132">
        <v>10.290092769401012</v>
      </c>
      <c r="Y31" s="132">
        <v>11.106773982790862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30.213497750977048</v>
      </c>
      <c r="C33" s="68">
        <v>27.666250965490729</v>
      </c>
      <c r="D33" s="68">
        <v>26.681931857938991</v>
      </c>
      <c r="E33" s="68">
        <v>25.575742610454345</v>
      </c>
      <c r="F33" s="68">
        <v>27.780232877515463</v>
      </c>
      <c r="G33" s="68">
        <v>29.977112665354912</v>
      </c>
      <c r="H33" s="68">
        <v>32.114470241659035</v>
      </c>
      <c r="I33" s="68">
        <v>32.216040128687652</v>
      </c>
      <c r="J33" s="68">
        <v>34.175260472749876</v>
      </c>
      <c r="K33" s="68">
        <v>35.29221722667468</v>
      </c>
      <c r="L33" s="68">
        <v>34.834327915815521</v>
      </c>
      <c r="M33" s="68">
        <v>36.797043380367498</v>
      </c>
      <c r="N33" s="68">
        <v>37.787830799530077</v>
      </c>
      <c r="O33" s="68">
        <v>40.120085212619969</v>
      </c>
      <c r="P33" s="68">
        <v>39.189295442455474</v>
      </c>
      <c r="Q33" s="68">
        <v>39.895985998013266</v>
      </c>
      <c r="R33" s="68">
        <v>36.299568678567177</v>
      </c>
      <c r="S33" s="68">
        <v>34.404044165918897</v>
      </c>
      <c r="T33" s="68">
        <v>34.36605419078365</v>
      </c>
      <c r="U33" s="68">
        <v>35.167792695705465</v>
      </c>
      <c r="V33" s="68">
        <v>31.204713311786485</v>
      </c>
      <c r="W33" s="68">
        <v>33.062126376877323</v>
      </c>
      <c r="X33" s="68">
        <v>32.933709287480177</v>
      </c>
      <c r="Y33" s="68">
        <v>33.851632660952653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0.61178363958170079</v>
      </c>
      <c r="C3" s="126">
        <f>IF(SER_hh_tes!C3=0,"",SER_hh_tes!C3/SER_hh_fec!C3)</f>
        <v>0.61329195546595505</v>
      </c>
      <c r="D3" s="126">
        <f>IF(SER_hh_tes!D3=0,"",SER_hh_tes!D3/SER_hh_fec!D3)</f>
        <v>0.61455368209252226</v>
      </c>
      <c r="E3" s="126">
        <f>IF(SER_hh_tes!E3=0,"",SER_hh_tes!E3/SER_hh_fec!E3)</f>
        <v>0.61862841432177751</v>
      </c>
      <c r="F3" s="126">
        <f>IF(SER_hh_tes!F3=0,"",SER_hh_tes!F3/SER_hh_fec!F3)</f>
        <v>0.61493278695261144</v>
      </c>
      <c r="G3" s="126">
        <f>IF(SER_hh_tes!G3=0,"",SER_hh_tes!G3/SER_hh_fec!G3)</f>
        <v>0.62511198246769772</v>
      </c>
      <c r="H3" s="126">
        <f>IF(SER_hh_tes!H3=0,"",SER_hh_tes!H3/SER_hh_fec!H3)</f>
        <v>0.62576033935377529</v>
      </c>
      <c r="I3" s="126">
        <f>IF(SER_hh_tes!I3=0,"",SER_hh_tes!I3/SER_hh_fec!I3)</f>
        <v>0.6295623129273189</v>
      </c>
      <c r="J3" s="126">
        <f>IF(SER_hh_tes!J3=0,"",SER_hh_tes!J3/SER_hh_fec!J3)</f>
        <v>0.6465853146142857</v>
      </c>
      <c r="K3" s="126">
        <f>IF(SER_hh_tes!K3=0,"",SER_hh_tes!K3/SER_hh_fec!K3)</f>
        <v>0.64926210669106121</v>
      </c>
      <c r="L3" s="126">
        <f>IF(SER_hh_tes!L3=0,"",SER_hh_tes!L3/SER_hh_fec!L3)</f>
        <v>0.65466954249609677</v>
      </c>
      <c r="M3" s="126">
        <f>IF(SER_hh_tes!M3=0,"",SER_hh_tes!M3/SER_hh_fec!M3)</f>
        <v>0.66266776132970373</v>
      </c>
      <c r="N3" s="126">
        <f>IF(SER_hh_tes!N3=0,"",SER_hh_tes!N3/SER_hh_fec!N3)</f>
        <v>0.66904733825213059</v>
      </c>
      <c r="O3" s="126">
        <f>IF(SER_hh_tes!O3=0,"",SER_hh_tes!O3/SER_hh_fec!O3)</f>
        <v>0.6759142633345091</v>
      </c>
      <c r="P3" s="126">
        <f>IF(SER_hh_tes!P3=0,"",SER_hh_tes!P3/SER_hh_fec!P3)</f>
        <v>0.67997255362147402</v>
      </c>
      <c r="Q3" s="126">
        <f>IF(SER_hh_tes!Q3=0,"",SER_hh_tes!Q3/SER_hh_fec!Q3)</f>
        <v>0.68519614515008687</v>
      </c>
      <c r="R3" s="126">
        <f>IF(SER_hh_tes!R3=0,"",SER_hh_tes!R3/SER_hh_fec!R3)</f>
        <v>0.69904993757379752</v>
      </c>
      <c r="S3" s="126">
        <f>IF(SER_hh_tes!S3=0,"",SER_hh_tes!S3/SER_hh_fec!S3)</f>
        <v>0.70470294103372122</v>
      </c>
      <c r="T3" s="126">
        <f>IF(SER_hh_tes!T3=0,"",SER_hh_tes!T3/SER_hh_fec!T3)</f>
        <v>0.7171346835441863</v>
      </c>
      <c r="U3" s="126">
        <f>IF(SER_hh_tes!U3=0,"",SER_hh_tes!U3/SER_hh_fec!U3)</f>
        <v>0.73300188493643648</v>
      </c>
      <c r="V3" s="126">
        <f>IF(SER_hh_tes!V3=0,"",SER_hh_tes!V3/SER_hh_fec!V3)</f>
        <v>0.74614108232089638</v>
      </c>
      <c r="W3" s="126">
        <f>IF(SER_hh_tes!W3=0,"",SER_hh_tes!W3/SER_hh_fec!W3)</f>
        <v>0.7557866304180364</v>
      </c>
      <c r="X3" s="126">
        <f>IF(SER_hh_tes!X3=0,"",SER_hh_tes!X3/SER_hh_fec!X3)</f>
        <v>0.75761605045760994</v>
      </c>
      <c r="Y3" s="126">
        <f>IF(SER_hh_tes!Y3=0,"",SER_hh_tes!Y3/SER_hh_fec!Y3)</f>
        <v>0.77064209652676097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0.59419995785083868</v>
      </c>
      <c r="C4" s="135">
        <f>IF(SER_hh_tes!C4=0,"",SER_hh_tes!C4/SER_hh_fec!C4)</f>
        <v>0.59748282179453849</v>
      </c>
      <c r="D4" s="135">
        <f>IF(SER_hh_tes!D4=0,"",SER_hh_tes!D4/SER_hh_fec!D4)</f>
        <v>0.60002806186922875</v>
      </c>
      <c r="E4" s="135">
        <f>IF(SER_hh_tes!E4=0,"",SER_hh_tes!E4/SER_hh_fec!E4)</f>
        <v>0.60554024518400684</v>
      </c>
      <c r="F4" s="135">
        <f>IF(SER_hh_tes!F4=0,"",SER_hh_tes!F4/SER_hh_fec!F4)</f>
        <v>0.59987072757522164</v>
      </c>
      <c r="G4" s="135">
        <f>IF(SER_hh_tes!G4=0,"",SER_hh_tes!G4/SER_hh_fec!G4)</f>
        <v>0.61027116681104077</v>
      </c>
      <c r="H4" s="135">
        <f>IF(SER_hh_tes!H4=0,"",SER_hh_tes!H4/SER_hh_fec!H4)</f>
        <v>0.60971877885030346</v>
      </c>
      <c r="I4" s="135">
        <f>IF(SER_hh_tes!I4=0,"",SER_hh_tes!I4/SER_hh_fec!I4)</f>
        <v>0.61440085302540304</v>
      </c>
      <c r="J4" s="135">
        <f>IF(SER_hh_tes!J4=0,"",SER_hh_tes!J4/SER_hh_fec!J4)</f>
        <v>0.63147352647171706</v>
      </c>
      <c r="K4" s="135">
        <f>IF(SER_hh_tes!K4=0,"",SER_hh_tes!K4/SER_hh_fec!K4)</f>
        <v>0.63100691586317503</v>
      </c>
      <c r="L4" s="135">
        <f>IF(SER_hh_tes!L4=0,"",SER_hh_tes!L4/SER_hh_fec!L4)</f>
        <v>0.63667903629890976</v>
      </c>
      <c r="M4" s="135">
        <f>IF(SER_hh_tes!M4=0,"",SER_hh_tes!M4/SER_hh_fec!M4)</f>
        <v>0.64357217282089507</v>
      </c>
      <c r="N4" s="135">
        <f>IF(SER_hh_tes!N4=0,"",SER_hh_tes!N4/SER_hh_fec!N4)</f>
        <v>0.65279922155570236</v>
      </c>
      <c r="O4" s="135">
        <f>IF(SER_hh_tes!O4=0,"",SER_hh_tes!O4/SER_hh_fec!O4)</f>
        <v>0.65765130783565529</v>
      </c>
      <c r="P4" s="135">
        <f>IF(SER_hh_tes!P4=0,"",SER_hh_tes!P4/SER_hh_fec!P4)</f>
        <v>0.66192191318053106</v>
      </c>
      <c r="Q4" s="135">
        <f>IF(SER_hh_tes!Q4=0,"",SER_hh_tes!Q4/SER_hh_fec!Q4)</f>
        <v>0.66505789630424361</v>
      </c>
      <c r="R4" s="135">
        <f>IF(SER_hh_tes!R4=0,"",SER_hh_tes!R4/SER_hh_fec!R4)</f>
        <v>0.68365537130909149</v>
      </c>
      <c r="S4" s="135">
        <f>IF(SER_hh_tes!S4=0,"",SER_hh_tes!S4/SER_hh_fec!S4)</f>
        <v>0.68997173000425771</v>
      </c>
      <c r="T4" s="135">
        <f>IF(SER_hh_tes!T4=0,"",SER_hh_tes!T4/SER_hh_fec!T4)</f>
        <v>0.70151963655301297</v>
      </c>
      <c r="U4" s="135">
        <f>IF(SER_hh_tes!U4=0,"",SER_hh_tes!U4/SER_hh_fec!U4)</f>
        <v>0.71788354823552902</v>
      </c>
      <c r="V4" s="135">
        <f>IF(SER_hh_tes!V4=0,"",SER_hh_tes!V4/SER_hh_fec!V4)</f>
        <v>0.7327881765860762</v>
      </c>
      <c r="W4" s="135">
        <f>IF(SER_hh_tes!W4=0,"",SER_hh_tes!W4/SER_hh_fec!W4)</f>
        <v>0.74099305420100203</v>
      </c>
      <c r="X4" s="135">
        <f>IF(SER_hh_tes!X4=0,"",SER_hh_tes!X4/SER_hh_fec!X4)</f>
        <v>0.74121894015471446</v>
      </c>
      <c r="Y4" s="135">
        <f>IF(SER_hh_tes!Y4=0,"",SER_hh_tes!Y4/SER_hh_fec!Y4)</f>
        <v>0.75192057520731137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0.51523488268767503</v>
      </c>
      <c r="C5" s="136">
        <f>IF(SER_hh_tes!C5=0,"",SER_hh_tes!C5/SER_hh_fec!C5)</f>
        <v>0.51789571816811653</v>
      </c>
      <c r="D5" s="136">
        <f>IF(SER_hh_tes!D5=0,"",SER_hh_tes!D5/SER_hh_fec!D5)</f>
        <v>0.51822534391128605</v>
      </c>
      <c r="E5" s="136">
        <f>IF(SER_hh_tes!E5=0,"",SER_hh_tes!E5/SER_hh_fec!E5)</f>
        <v>0.51905409904934319</v>
      </c>
      <c r="F5" s="136">
        <f>IF(SER_hh_tes!F5=0,"",SER_hh_tes!F5/SER_hh_fec!F5)</f>
        <v>0.52170684659598721</v>
      </c>
      <c r="G5" s="136">
        <f>IF(SER_hh_tes!G5=0,"",SER_hh_tes!G5/SER_hh_fec!G5)</f>
        <v>0.52492564731487446</v>
      </c>
      <c r="H5" s="136">
        <f>IF(SER_hh_tes!H5=0,"",SER_hh_tes!H5/SER_hh_fec!H5)</f>
        <v>0.53351115491281964</v>
      </c>
      <c r="I5" s="136">
        <f>IF(SER_hh_tes!I5=0,"",SER_hh_tes!I5/SER_hh_fec!I5)</f>
        <v>0.54357784112946606</v>
      </c>
      <c r="J5" s="136">
        <f>IF(SER_hh_tes!J5=0,"",SER_hh_tes!J5/SER_hh_fec!J5)</f>
        <v>0.55859735805537836</v>
      </c>
      <c r="K5" s="136">
        <f>IF(SER_hh_tes!K5=0,"",SER_hh_tes!K5/SER_hh_fec!K5)</f>
        <v>0.57420718186755892</v>
      </c>
      <c r="L5" s="136">
        <f>IF(SER_hh_tes!L5=0,"",SER_hh_tes!L5/SER_hh_fec!L5)</f>
        <v>0.59148473156715109</v>
      </c>
      <c r="M5" s="136">
        <f>IF(SER_hh_tes!M5=0,"",SER_hh_tes!M5/SER_hh_fec!M5)</f>
        <v>0.60494950796441338</v>
      </c>
      <c r="N5" s="136">
        <f>IF(SER_hh_tes!N5=0,"",SER_hh_tes!N5/SER_hh_fec!N5)</f>
        <v>0.61917360173236169</v>
      </c>
      <c r="O5" s="136">
        <f>IF(SER_hh_tes!O5=0,"",SER_hh_tes!O5/SER_hh_fec!O5)</f>
        <v>0.63444590406974311</v>
      </c>
      <c r="P5" s="136">
        <f>IF(SER_hh_tes!P5=0,"",SER_hh_tes!P5/SER_hh_fec!P5)</f>
        <v>0.6347819375032967</v>
      </c>
      <c r="Q5" s="136">
        <f>IF(SER_hh_tes!Q5=0,"",SER_hh_tes!Q5/SER_hh_fec!Q5)</f>
        <v>0.63500878966856955</v>
      </c>
      <c r="R5" s="136">
        <f>IF(SER_hh_tes!R5=0,"",SER_hh_tes!R5/SER_hh_fec!R5)</f>
        <v>0.63575923175257487</v>
      </c>
      <c r="S5" s="136">
        <f>IF(SER_hh_tes!S5=0,"",SER_hh_tes!S5/SER_hh_fec!S5)</f>
        <v>0.63713375635078195</v>
      </c>
      <c r="T5" s="136">
        <f>IF(SER_hh_tes!T5=0,"",SER_hh_tes!T5/SER_hh_fec!T5)</f>
        <v>0.63728825656533949</v>
      </c>
      <c r="U5" s="136">
        <f>IF(SER_hh_tes!U5=0,"",SER_hh_tes!U5/SER_hh_fec!U5)</f>
        <v>0.63789194877429711</v>
      </c>
      <c r="V5" s="136">
        <f>IF(SER_hh_tes!V5=0,"",SER_hh_tes!V5/SER_hh_fec!V5)</f>
        <v>0.63891675490075783</v>
      </c>
      <c r="W5" s="136">
        <f>IF(SER_hh_tes!W5=0,"",SER_hh_tes!W5/SER_hh_fec!W5)</f>
        <v>0.63993910907756568</v>
      </c>
      <c r="X5" s="136">
        <f>IF(SER_hh_tes!X5=0,"",SER_hh_tes!X5/SER_hh_fec!X5)</f>
        <v>0.65289088644701154</v>
      </c>
      <c r="Y5" s="136">
        <f>IF(SER_hh_tes!Y5=0,"",SER_hh_tes!Y5/SER_hh_fec!Y5)</f>
        <v>0.67177458852795113</v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0.44227222128214772</v>
      </c>
      <c r="C7" s="136">
        <f>IF(SER_hh_tes!C7=0,"",SER_hh_tes!C7/SER_hh_fec!C7)</f>
        <v>0.44760233564921875</v>
      </c>
      <c r="D7" s="136">
        <f>IF(SER_hh_tes!D7=0,"",SER_hh_tes!D7/SER_hh_fec!D7)</f>
        <v>0.45330237322488975</v>
      </c>
      <c r="E7" s="136">
        <f>IF(SER_hh_tes!E7=0,"",SER_hh_tes!E7/SER_hh_fec!E7)</f>
        <v>0.45913263720188047</v>
      </c>
      <c r="F7" s="136">
        <f>IF(SER_hh_tes!F7=0,"",SER_hh_tes!F7/SER_hh_fec!F7)</f>
        <v>0.46509172089476419</v>
      </c>
      <c r="G7" s="136">
        <f>IF(SER_hh_tes!G7=0,"",SER_hh_tes!G7/SER_hh_fec!G7)</f>
        <v>0.46907762773156175</v>
      </c>
      <c r="H7" s="136">
        <f>IF(SER_hh_tes!H7=0,"",SER_hh_tes!H7/SER_hh_fec!H7)</f>
        <v>0.47574710683149984</v>
      </c>
      <c r="I7" s="136">
        <f>IF(SER_hh_tes!I7=0,"",SER_hh_tes!I7/SER_hh_fec!I7)</f>
        <v>0.47899449134703365</v>
      </c>
      <c r="J7" s="136">
        <f>IF(SER_hh_tes!J7=0,"",SER_hh_tes!J7/SER_hh_fec!J7)</f>
        <v>0.48524766529190838</v>
      </c>
      <c r="K7" s="136">
        <f>IF(SER_hh_tes!K7=0,"",SER_hh_tes!K7/SER_hh_fec!K7)</f>
        <v>0.4926384146529047</v>
      </c>
      <c r="L7" s="136">
        <f>IF(SER_hh_tes!L7=0,"",SER_hh_tes!L7/SER_hh_fec!L7)</f>
        <v>0.50170611514421437</v>
      </c>
      <c r="M7" s="136">
        <f>IF(SER_hh_tes!M7=0,"",SER_hh_tes!M7/SER_hh_fec!M7)</f>
        <v>0.51426667677118332</v>
      </c>
      <c r="N7" s="136">
        <f>IF(SER_hh_tes!N7=0,"",SER_hh_tes!N7/SER_hh_fec!N7)</f>
        <v>0.5325296800129401</v>
      </c>
      <c r="O7" s="136">
        <f>IF(SER_hh_tes!O7=0,"",SER_hh_tes!O7/SER_hh_fec!O7)</f>
        <v>0.55358737146883319</v>
      </c>
      <c r="P7" s="136">
        <f>IF(SER_hh_tes!P7=0,"",SER_hh_tes!P7/SER_hh_fec!P7)</f>
        <v>0.56371750397826859</v>
      </c>
      <c r="Q7" s="136">
        <f>IF(SER_hh_tes!Q7=0,"",SER_hh_tes!Q7/SER_hh_fec!Q7)</f>
        <v>0.57131227571639276</v>
      </c>
      <c r="R7" s="136">
        <f>IF(SER_hh_tes!R7=0,"",SER_hh_tes!R7/SER_hh_fec!R7)</f>
        <v>0.57522945052417773</v>
      </c>
      <c r="S7" s="136">
        <f>IF(SER_hh_tes!S7=0,"",SER_hh_tes!S7/SER_hh_fec!S7)</f>
        <v>0.57909615530342773</v>
      </c>
      <c r="T7" s="136">
        <f>IF(SER_hh_tes!T7=0,"",SER_hh_tes!T7/SER_hh_fec!T7)</f>
        <v>0.59062839116336197</v>
      </c>
      <c r="U7" s="136">
        <f>IF(SER_hh_tes!U7=0,"",SER_hh_tes!U7/SER_hh_fec!U7)</f>
        <v>0.6076761179611565</v>
      </c>
      <c r="V7" s="136">
        <f>IF(SER_hh_tes!V7=0,"",SER_hh_tes!V7/SER_hh_fec!V7)</f>
        <v>0.63019889603966017</v>
      </c>
      <c r="W7" s="136">
        <f>IF(SER_hh_tes!W7=0,"",SER_hh_tes!W7/SER_hh_fec!W7)</f>
        <v>0.6516260772040543</v>
      </c>
      <c r="X7" s="136">
        <f>IF(SER_hh_tes!X7=0,"",SER_hh_tes!X7/SER_hh_fec!X7)</f>
        <v>0.66981743477789668</v>
      </c>
      <c r="Y7" s="136">
        <f>IF(SER_hh_tes!Y7=0,"",SER_hh_tes!Y7/SER_hh_fec!Y7)</f>
        <v>0.67986927319272428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0.47804956910033269</v>
      </c>
      <c r="C9" s="136">
        <f>IF(SER_hh_tes!C9=0,"",SER_hh_tes!C9/SER_hh_fec!C9)</f>
        <v>0.48583424260078506</v>
      </c>
      <c r="D9" s="136">
        <f>IF(SER_hh_tes!D9=0,"",SER_hh_tes!D9/SER_hh_fec!D9)</f>
        <v>0.49820006957943774</v>
      </c>
      <c r="E9" s="136">
        <f>IF(SER_hh_tes!E9=0,"",SER_hh_tes!E9/SER_hh_fec!E9)</f>
        <v>0.5064765682732052</v>
      </c>
      <c r="F9" s="136">
        <f>IF(SER_hh_tes!F9=0,"",SER_hh_tes!F9/SER_hh_fec!F9)</f>
        <v>0.51391458671788348</v>
      </c>
      <c r="G9" s="136">
        <f>IF(SER_hh_tes!G9=0,"",SER_hh_tes!G9/SER_hh_fec!G9)</f>
        <v>0.51946217713758958</v>
      </c>
      <c r="H9" s="136">
        <f>IF(SER_hh_tes!H9=0,"",SER_hh_tes!H9/SER_hh_fec!H9)</f>
        <v>0.52483266738481871</v>
      </c>
      <c r="I9" s="136">
        <f>IF(SER_hh_tes!I9=0,"",SER_hh_tes!I9/SER_hh_fec!I9)</f>
        <v>0.53013277833966488</v>
      </c>
      <c r="J9" s="136">
        <f>IF(SER_hh_tes!J9=0,"",SER_hh_tes!J9/SER_hh_fec!J9)</f>
        <v>0.53549215072155976</v>
      </c>
      <c r="K9" s="136">
        <f>IF(SER_hh_tes!K9=0,"",SER_hh_tes!K9/SER_hh_fec!K9)</f>
        <v>0.54005127895629212</v>
      </c>
      <c r="L9" s="136">
        <f>IF(SER_hh_tes!L9=0,"",SER_hh_tes!L9/SER_hh_fec!L9)</f>
        <v>0.54300744399436895</v>
      </c>
      <c r="M9" s="136">
        <f>IF(SER_hh_tes!M9=0,"",SER_hh_tes!M9/SER_hh_fec!M9)</f>
        <v>0.54492950755304581</v>
      </c>
      <c r="N9" s="136">
        <f>IF(SER_hh_tes!N9=0,"",SER_hh_tes!N9/SER_hh_fec!N9)</f>
        <v>0.54707072310350546</v>
      </c>
      <c r="O9" s="136">
        <f>IF(SER_hh_tes!O9=0,"",SER_hh_tes!O9/SER_hh_fec!O9)</f>
        <v>0.54893940035453759</v>
      </c>
      <c r="P9" s="136">
        <f>IF(SER_hh_tes!P9=0,"",SER_hh_tes!P9/SER_hh_fec!P9)</f>
        <v>0.55325969984260304</v>
      </c>
      <c r="Q9" s="136">
        <f>IF(SER_hh_tes!Q9=0,"",SER_hh_tes!Q9/SER_hh_fec!Q9)</f>
        <v>0.5673919338787472</v>
      </c>
      <c r="R9" s="136">
        <f>IF(SER_hh_tes!R9=0,"",SER_hh_tes!R9/SER_hh_fec!R9)</f>
        <v>0.58846095752713345</v>
      </c>
      <c r="S9" s="136">
        <f>IF(SER_hh_tes!S9=0,"",SER_hh_tes!S9/SER_hh_fec!S9)</f>
        <v>0.613607733309814</v>
      </c>
      <c r="T9" s="136">
        <f>IF(SER_hh_tes!T9=0,"",SER_hh_tes!T9/SER_hh_fec!T9)</f>
        <v>0.64040883457326292</v>
      </c>
      <c r="U9" s="136">
        <f>IF(SER_hh_tes!U9=0,"",SER_hh_tes!U9/SER_hh_fec!U9)</f>
        <v>0.66387567623715171</v>
      </c>
      <c r="V9" s="136">
        <f>IF(SER_hh_tes!V9=0,"",SER_hh_tes!V9/SER_hh_fec!V9)</f>
        <v>0.68356126934414996</v>
      </c>
      <c r="W9" s="136">
        <f>IF(SER_hh_tes!W9=0,"",SER_hh_tes!W9/SER_hh_fec!W9)</f>
        <v>0.70178929606376106</v>
      </c>
      <c r="X9" s="136">
        <f>IF(SER_hh_tes!X9=0,"",SER_hh_tes!X9/SER_hh_fec!X9)</f>
        <v>0.71572338594632801</v>
      </c>
      <c r="Y9" s="136">
        <f>IF(SER_hh_tes!Y9=0,"",SER_hh_tes!Y9/SER_hh_fec!Y9)</f>
        <v>0.72816606229649505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0.43585624228385711</v>
      </c>
      <c r="C10" s="136">
        <f>IF(SER_hh_tes!C10=0,"",SER_hh_tes!C10/SER_hh_fec!C10)</f>
        <v>0.44590368190895985</v>
      </c>
      <c r="D10" s="136">
        <f>IF(SER_hh_tes!D10=0,"",SER_hh_tes!D10/SER_hh_fec!D10)</f>
        <v>0.45421672147296205</v>
      </c>
      <c r="E10" s="136">
        <f>IF(SER_hh_tes!E10=0,"",SER_hh_tes!E10/SER_hh_fec!E10)</f>
        <v>0.46400418266556698</v>
      </c>
      <c r="F10" s="136">
        <f>IF(SER_hh_tes!F10=0,"",SER_hh_tes!F10/SER_hh_fec!F10)</f>
        <v>0.47480112391256873</v>
      </c>
      <c r="G10" s="136">
        <f>IF(SER_hh_tes!G10=0,"",SER_hh_tes!G10/SER_hh_fec!G10)</f>
        <v>0.4843643379072301</v>
      </c>
      <c r="H10" s="136">
        <f>IF(SER_hh_tes!H10=0,"",SER_hh_tes!H10/SER_hh_fec!H10)</f>
        <v>0.49150532557876109</v>
      </c>
      <c r="I10" s="136">
        <f>IF(SER_hh_tes!I10=0,"",SER_hh_tes!I10/SER_hh_fec!I10)</f>
        <v>0.49754829252052168</v>
      </c>
      <c r="J10" s="136">
        <f>IF(SER_hh_tes!J10=0,"",SER_hh_tes!J10/SER_hh_fec!J10)</f>
        <v>0.50132388735717071</v>
      </c>
      <c r="K10" s="136">
        <f>IF(SER_hh_tes!K10=0,"",SER_hh_tes!K10/SER_hh_fec!K10)</f>
        <v>0.5061382543291717</v>
      </c>
      <c r="L10" s="136">
        <f>IF(SER_hh_tes!L10=0,"",SER_hh_tes!L10/SER_hh_fec!L10)</f>
        <v>0.5123252154365171</v>
      </c>
      <c r="M10" s="136">
        <f>IF(SER_hh_tes!M10=0,"",SER_hh_tes!M10/SER_hh_fec!M10)</f>
        <v>0.51964011483500927</v>
      </c>
      <c r="N10" s="136">
        <f>IF(SER_hh_tes!N10=0,"",SER_hh_tes!N10/SER_hh_fec!N10)</f>
        <v>0.52690554592351935</v>
      </c>
      <c r="O10" s="136">
        <f>IF(SER_hh_tes!O10=0,"",SER_hh_tes!O10/SER_hh_fec!O10)</f>
        <v>0.53230461365497661</v>
      </c>
      <c r="P10" s="136">
        <f>IF(SER_hh_tes!P10=0,"",SER_hh_tes!P10/SER_hh_fec!P10)</f>
        <v>0.53240587411335671</v>
      </c>
      <c r="Q10" s="136">
        <f>IF(SER_hh_tes!Q10=0,"",SER_hh_tes!Q10/SER_hh_fec!Q10)</f>
        <v>0.53255400770958627</v>
      </c>
      <c r="R10" s="136">
        <f>IF(SER_hh_tes!R10=0,"",SER_hh_tes!R10/SER_hh_fec!R10)</f>
        <v>0.53270691092238831</v>
      </c>
      <c r="S10" s="136">
        <f>IF(SER_hh_tes!S10=0,"",SER_hh_tes!S10/SER_hh_fec!S10)</f>
        <v>0.53293638848458136</v>
      </c>
      <c r="T10" s="136">
        <f>IF(SER_hh_tes!T10=0,"",SER_hh_tes!T10/SER_hh_fec!T10)</f>
        <v>0.53307993995378344</v>
      </c>
      <c r="U10" s="136">
        <f>IF(SER_hh_tes!U10=0,"",SER_hh_tes!U10/SER_hh_fec!U10)</f>
        <v>0.53323410710735686</v>
      </c>
      <c r="V10" s="136">
        <f>IF(SER_hh_tes!V10=0,"",SER_hh_tes!V10/SER_hh_fec!V10)</f>
        <v>0.53338820358253747</v>
      </c>
      <c r="W10" s="136">
        <f>IF(SER_hh_tes!W10=0,"",SER_hh_tes!W10/SER_hh_fec!W10)</f>
        <v>0.53356584809995322</v>
      </c>
      <c r="X10" s="136">
        <f>IF(SER_hh_tes!X10=0,"",SER_hh_tes!X10/SER_hh_fec!X10)</f>
        <v>0.53411431782329954</v>
      </c>
      <c r="Y10" s="136">
        <f>IF(SER_hh_tes!Y10=0,"",SER_hh_tes!Y10/SER_hh_fec!Y10)</f>
        <v>0.53537085571575316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 t="str">
        <f>IF(SER_hh_tes!I11=0,"",SER_hh_tes!I11/SER_hh_fec!I11)</f>
        <v/>
      </c>
      <c r="J11" s="136" t="str">
        <f>IF(SER_hh_tes!J11=0,"",SER_hh_tes!J11/SER_hh_fec!J11)</f>
        <v/>
      </c>
      <c r="K11" s="136" t="str">
        <f>IF(SER_hh_tes!K11=0,"",SER_hh_tes!K11/SER_hh_fec!K11)</f>
        <v/>
      </c>
      <c r="L11" s="136" t="str">
        <f>IF(SER_hh_tes!L11=0,"",SER_hh_tes!L11/SER_hh_fec!L11)</f>
        <v/>
      </c>
      <c r="M11" s="136" t="str">
        <f>IF(SER_hh_tes!M11=0,"",SER_hh_tes!M11/SER_hh_fec!M11)</f>
        <v/>
      </c>
      <c r="N11" s="136" t="str">
        <f>IF(SER_hh_tes!N11=0,"",SER_hh_tes!N11/SER_hh_fec!N11)</f>
        <v/>
      </c>
      <c r="O11" s="136" t="str">
        <f>IF(SER_hh_tes!O11=0,"",SER_hh_tes!O11/SER_hh_fec!O11)</f>
        <v/>
      </c>
      <c r="P11" s="136" t="str">
        <f>IF(SER_hh_tes!P11=0,"",SER_hh_tes!P11/SER_hh_fec!P11)</f>
        <v/>
      </c>
      <c r="Q11" s="136" t="str">
        <f>IF(SER_hh_tes!Q11=0,"",SER_hh_tes!Q11/SER_hh_fec!Q11)</f>
        <v/>
      </c>
      <c r="R11" s="136" t="str">
        <f>IF(SER_hh_tes!R11=0,"",SER_hh_tes!R11/SER_hh_fec!R11)</f>
        <v/>
      </c>
      <c r="S11" s="136" t="str">
        <f>IF(SER_hh_tes!S11=0,"",SER_hh_tes!S11/SER_hh_fec!S11)</f>
        <v/>
      </c>
      <c r="T11" s="136" t="str">
        <f>IF(SER_hh_tes!T11=0,"",SER_hh_tes!T11/SER_hh_fec!T11)</f>
        <v/>
      </c>
      <c r="U11" s="136" t="str">
        <f>IF(SER_hh_tes!U11=0,"",SER_hh_tes!U11/SER_hh_fec!U11)</f>
        <v/>
      </c>
      <c r="V11" s="136" t="str">
        <f>IF(SER_hh_tes!V11=0,"",SER_hh_tes!V11/SER_hh_fec!V11)</f>
        <v/>
      </c>
      <c r="W11" s="136" t="str">
        <f>IF(SER_hh_tes!W11=0,"",SER_hh_tes!W11/SER_hh_fec!W11)</f>
        <v/>
      </c>
      <c r="X11" s="136" t="str">
        <f>IF(SER_hh_tes!X11=0,"",SER_hh_tes!X11/SER_hh_fec!X11)</f>
        <v/>
      </c>
      <c r="Y11" s="136" t="str">
        <f>IF(SER_hh_tes!Y11=0,"",SER_hh_tes!Y11/SER_hh_fec!Y11)</f>
        <v/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0.75722625383595177</v>
      </c>
      <c r="C12" s="136">
        <f>IF(SER_hh_tes!C12=0,"",SER_hh_tes!C12/SER_hh_fec!C12)</f>
        <v>0.75968545915870322</v>
      </c>
      <c r="D12" s="136">
        <f>IF(SER_hh_tes!D12=0,"",SER_hh_tes!D12/SER_hh_fec!D12)</f>
        <v>0.76104473953026119</v>
      </c>
      <c r="E12" s="136">
        <f>IF(SER_hh_tes!E12=0,"",SER_hh_tes!E12/SER_hh_fec!E12)</f>
        <v>0.76316237238720808</v>
      </c>
      <c r="F12" s="136">
        <f>IF(SER_hh_tes!F12=0,"",SER_hh_tes!F12/SER_hh_fec!F12)</f>
        <v>0.76553233468084014</v>
      </c>
      <c r="G12" s="136">
        <f>IF(SER_hh_tes!G12=0,"",SER_hh_tes!G12/SER_hh_fec!G12)</f>
        <v>0.76788810323776235</v>
      </c>
      <c r="H12" s="136">
        <f>IF(SER_hh_tes!H12=0,"",SER_hh_tes!H12/SER_hh_fec!H12)</f>
        <v>0.77153953913222473</v>
      </c>
      <c r="I12" s="136">
        <f>IF(SER_hh_tes!I12=0,"",SER_hh_tes!I12/SER_hh_fec!I12)</f>
        <v>0.77620266696999984</v>
      </c>
      <c r="J12" s="136">
        <f>IF(SER_hh_tes!J12=0,"",SER_hh_tes!J12/SER_hh_fec!J12)</f>
        <v>0.78116981765559623</v>
      </c>
      <c r="K12" s="136">
        <f>IF(SER_hh_tes!K12=0,"",SER_hh_tes!K12/SER_hh_fec!K12)</f>
        <v>0.78539131769692205</v>
      </c>
      <c r="L12" s="136">
        <f>IF(SER_hh_tes!L12=0,"",SER_hh_tes!L12/SER_hh_fec!L12)</f>
        <v>0.7890616316785366</v>
      </c>
      <c r="M12" s="136">
        <f>IF(SER_hh_tes!M12=0,"",SER_hh_tes!M12/SER_hh_fec!M12)</f>
        <v>0.79374724629372717</v>
      </c>
      <c r="N12" s="136">
        <f>IF(SER_hh_tes!N12=0,"",SER_hh_tes!N12/SER_hh_fec!N12)</f>
        <v>0.7978866274726546</v>
      </c>
      <c r="O12" s="136">
        <f>IF(SER_hh_tes!O12=0,"",SER_hh_tes!O12/SER_hh_fec!O12)</f>
        <v>0.80330027490761091</v>
      </c>
      <c r="P12" s="136">
        <f>IF(SER_hh_tes!P12=0,"",SER_hh_tes!P12/SER_hh_fec!P12)</f>
        <v>0.80531893044821712</v>
      </c>
      <c r="Q12" s="136">
        <f>IF(SER_hh_tes!Q12=0,"",SER_hh_tes!Q12/SER_hh_fec!Q12)</f>
        <v>0.8095158626036939</v>
      </c>
      <c r="R12" s="136">
        <f>IF(SER_hh_tes!R12=0,"",SER_hh_tes!R12/SER_hh_fec!R12)</f>
        <v>0.81399324898597758</v>
      </c>
      <c r="S12" s="136">
        <f>IF(SER_hh_tes!S12=0,"",SER_hh_tes!S12/SER_hh_fec!S12)</f>
        <v>0.81883263674762119</v>
      </c>
      <c r="T12" s="136">
        <f>IF(SER_hh_tes!T12=0,"",SER_hh_tes!T12/SER_hh_fec!T12)</f>
        <v>0.8225958532463794</v>
      </c>
      <c r="U12" s="136">
        <f>IF(SER_hh_tes!U12=0,"",SER_hh_tes!U12/SER_hh_fec!U12)</f>
        <v>0.82790024333973355</v>
      </c>
      <c r="V12" s="136">
        <f>IF(SER_hh_tes!V12=0,"",SER_hh_tes!V12/SER_hh_fec!V12)</f>
        <v>0.83428558311882461</v>
      </c>
      <c r="W12" s="136">
        <f>IF(SER_hh_tes!W12=0,"",SER_hh_tes!W12/SER_hh_fec!W12)</f>
        <v>0.83974980250202913</v>
      </c>
      <c r="X12" s="136">
        <f>IF(SER_hh_tes!X12=0,"",SER_hh_tes!X12/SER_hh_fec!X12)</f>
        <v>0.84648766015628496</v>
      </c>
      <c r="Y12" s="136">
        <f>IF(SER_hh_tes!Y12=0,"",SER_hh_tes!Y12/SER_hh_fec!Y12)</f>
        <v>0.85442955573014345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1.4803803006229419</v>
      </c>
      <c r="C13" s="136">
        <f>IF(SER_hh_tes!C13=0,"",SER_hh_tes!C13/SER_hh_fec!C13)</f>
        <v>1.4895913146558306</v>
      </c>
      <c r="D13" s="136">
        <f>IF(SER_hh_tes!D13=0,"",SER_hh_tes!D13/SER_hh_fec!D13)</f>
        <v>1.5546386234072829</v>
      </c>
      <c r="E13" s="136">
        <f>IF(SER_hh_tes!E13=0,"",SER_hh_tes!E13/SER_hh_fec!E13)</f>
        <v>1.6136054793668417</v>
      </c>
      <c r="F13" s="136">
        <f>IF(SER_hh_tes!F13=0,"",SER_hh_tes!F13/SER_hh_fec!F13)</f>
        <v>1.6845257386433341</v>
      </c>
      <c r="G13" s="136">
        <f>IF(SER_hh_tes!G13=0,"",SER_hh_tes!G13/SER_hh_fec!G13)</f>
        <v>1.7626825493957909</v>
      </c>
      <c r="H13" s="136">
        <f>IF(SER_hh_tes!H13=0,"",SER_hh_tes!H13/SER_hh_fec!H13)</f>
        <v>1.8497906758864133</v>
      </c>
      <c r="I13" s="136">
        <f>IF(SER_hh_tes!I13=0,"",SER_hh_tes!I13/SER_hh_fec!I13)</f>
        <v>1.9423898346753898</v>
      </c>
      <c r="J13" s="136">
        <f>IF(SER_hh_tes!J13=0,"",SER_hh_tes!J13/SER_hh_fec!J13)</f>
        <v>2.0334449707205544</v>
      </c>
      <c r="K13" s="136">
        <f>IF(SER_hh_tes!K13=0,"",SER_hh_tes!K13/SER_hh_fec!K13)</f>
        <v>2.1297029624618391</v>
      </c>
      <c r="L13" s="136">
        <f>IF(SER_hh_tes!L13=0,"",SER_hh_tes!L13/SER_hh_fec!L13)</f>
        <v>2.2132841513222434</v>
      </c>
      <c r="M13" s="136">
        <f>IF(SER_hh_tes!M13=0,"",SER_hh_tes!M13/SER_hh_fec!M13)</f>
        <v>2.311347509564492</v>
      </c>
      <c r="N13" s="136">
        <f>IF(SER_hh_tes!N13=0,"",SER_hh_tes!N13/SER_hh_fec!N13)</f>
        <v>2.4131366141014747</v>
      </c>
      <c r="O13" s="136">
        <f>IF(SER_hh_tes!O13=0,"",SER_hh_tes!O13/SER_hh_fec!O13)</f>
        <v>2.538690817381005</v>
      </c>
      <c r="P13" s="136">
        <f>IF(SER_hh_tes!P13=0,"",SER_hh_tes!P13/SER_hh_fec!P13)</f>
        <v>2.6496984443673139</v>
      </c>
      <c r="Q13" s="136">
        <f>IF(SER_hh_tes!Q13=0,"",SER_hh_tes!Q13/SER_hh_fec!Q13)</f>
        <v>2.7492496700886346</v>
      </c>
      <c r="R13" s="136">
        <f>IF(SER_hh_tes!R13=0,"",SER_hh_tes!R13/SER_hh_fec!R13)</f>
        <v>2.8195145915179998</v>
      </c>
      <c r="S13" s="136">
        <f>IF(SER_hh_tes!S13=0,"",SER_hh_tes!S13/SER_hh_fec!S13)</f>
        <v>2.8713512635568113</v>
      </c>
      <c r="T13" s="136">
        <f>IF(SER_hh_tes!T13=0,"",SER_hh_tes!T13/SER_hh_fec!T13)</f>
        <v>2.9038553944471168</v>
      </c>
      <c r="U13" s="136">
        <f>IF(SER_hh_tes!U13=0,"",SER_hh_tes!U13/SER_hh_fec!U13)</f>
        <v>2.9169549237418031</v>
      </c>
      <c r="V13" s="136">
        <f>IF(SER_hh_tes!V13=0,"",SER_hh_tes!V13/SER_hh_fec!V13)</f>
        <v>2.9267151006647167</v>
      </c>
      <c r="W13" s="136">
        <f>IF(SER_hh_tes!W13=0,"",SER_hh_tes!W13/SER_hh_fec!W13)</f>
        <v>2.9360000644788418</v>
      </c>
      <c r="X13" s="136">
        <f>IF(SER_hh_tes!X13=0,"",SER_hh_tes!X13/SER_hh_fec!X13)</f>
        <v>2.9505499201745735</v>
      </c>
      <c r="Y13" s="136">
        <f>IF(SER_hh_tes!Y13=0,"",SER_hh_tes!Y13/SER_hh_fec!Y13)</f>
        <v>2.9652579317724879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0.66944411808537752</v>
      </c>
      <c r="C14" s="137">
        <f>IF(SER_hh_tes!C14=0,"",SER_hh_tes!C14/SER_hh_fec!C14)</f>
        <v>0.6776805656092425</v>
      </c>
      <c r="D14" s="137">
        <f>IF(SER_hh_tes!D14=0,"",SER_hh_tes!D14/SER_hh_fec!D14)</f>
        <v>0.69018056997179567</v>
      </c>
      <c r="E14" s="137">
        <f>IF(SER_hh_tes!E14=0,"",SER_hh_tes!E14/SER_hh_fec!E14)</f>
        <v>0.69670005823108927</v>
      </c>
      <c r="F14" s="137">
        <f>IF(SER_hh_tes!F14=0,"",SER_hh_tes!F14/SER_hh_fec!F14)</f>
        <v>0.70158604815757919</v>
      </c>
      <c r="G14" s="137">
        <f>IF(SER_hh_tes!G14=0,"",SER_hh_tes!G14/SER_hh_fec!G14)</f>
        <v>0.7062834339858779</v>
      </c>
      <c r="H14" s="137">
        <f>IF(SER_hh_tes!H14=0,"",SER_hh_tes!H14/SER_hh_fec!H14)</f>
        <v>0.7106203174642608</v>
      </c>
      <c r="I14" s="137">
        <f>IF(SER_hh_tes!I14=0,"",SER_hh_tes!I14/SER_hh_fec!I14)</f>
        <v>0.71430152942480518</v>
      </c>
      <c r="J14" s="137">
        <f>IF(SER_hh_tes!J14=0,"",SER_hh_tes!J14/SER_hh_fec!J14)</f>
        <v>0.71547055074019739</v>
      </c>
      <c r="K14" s="137">
        <f>IF(SER_hh_tes!K14=0,"",SER_hh_tes!K14/SER_hh_fec!K14)</f>
        <v>0.7166772089964456</v>
      </c>
      <c r="L14" s="137">
        <f>IF(SER_hh_tes!L14=0,"",SER_hh_tes!L14/SER_hh_fec!L14)</f>
        <v>0.71758976881357928</v>
      </c>
      <c r="M14" s="137">
        <f>IF(SER_hh_tes!M14=0,"",SER_hh_tes!M14/SER_hh_fec!M14)</f>
        <v>0.72205674937415298</v>
      </c>
      <c r="N14" s="137">
        <f>IF(SER_hh_tes!N14=0,"",SER_hh_tes!N14/SER_hh_fec!N14)</f>
        <v>0.72864750469873685</v>
      </c>
      <c r="O14" s="137">
        <f>IF(SER_hh_tes!O14=0,"",SER_hh_tes!O14/SER_hh_fec!O14)</f>
        <v>0.73196508548006822</v>
      </c>
      <c r="P14" s="137">
        <f>IF(SER_hh_tes!P14=0,"",SER_hh_tes!P14/SER_hh_fec!P14)</f>
        <v>0.73448825373150795</v>
      </c>
      <c r="Q14" s="137">
        <f>IF(SER_hh_tes!Q14=0,"",SER_hh_tes!Q14/SER_hh_fec!Q14)</f>
        <v>0.73567502694629061</v>
      </c>
      <c r="R14" s="137">
        <f>IF(SER_hh_tes!R14=0,"",SER_hh_tes!R14/SER_hh_fec!R14)</f>
        <v>0.74072797643073973</v>
      </c>
      <c r="S14" s="137">
        <f>IF(SER_hh_tes!S14=0,"",SER_hh_tes!S14/SER_hh_fec!S14)</f>
        <v>0.74961297005086425</v>
      </c>
      <c r="T14" s="137">
        <f>IF(SER_hh_tes!T14=0,"",SER_hh_tes!T14/SER_hh_fec!T14)</f>
        <v>0.76354955031116312</v>
      </c>
      <c r="U14" s="137">
        <f>IF(SER_hh_tes!U14=0,"",SER_hh_tes!U14/SER_hh_fec!U14)</f>
        <v>0.77463743987174971</v>
      </c>
      <c r="V14" s="137">
        <f>IF(SER_hh_tes!V14=0,"",SER_hh_tes!V14/SER_hh_fec!V14)</f>
        <v>0.78198142861253295</v>
      </c>
      <c r="W14" s="137">
        <f>IF(SER_hh_tes!W14=0,"",SER_hh_tes!W14/SER_hh_fec!W14)</f>
        <v>0.78743820719214741</v>
      </c>
      <c r="X14" s="137">
        <f>IF(SER_hh_tes!X14=0,"",SER_hh_tes!X14/SER_hh_fec!X14)</f>
        <v>0.79371699565552045</v>
      </c>
      <c r="Y14" s="137">
        <f>IF(SER_hh_tes!Y14=0,"",SER_hh_tes!Y14/SER_hh_fec!Y14)</f>
        <v>0.79832323943417416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2.0295683729194383</v>
      </c>
      <c r="C16" s="135">
        <f>IF(SER_hh_tes!C16=0,"",SER_hh_tes!C16/SER_hh_fec!C16)</f>
        <v>2.1319414938975592</v>
      </c>
      <c r="D16" s="135">
        <f>IF(SER_hh_tes!D16=0,"",SER_hh_tes!D16/SER_hh_fec!D16)</f>
        <v>2.2566774796230344</v>
      </c>
      <c r="E16" s="135">
        <f>IF(SER_hh_tes!E16=0,"",SER_hh_tes!E16/SER_hh_fec!E16)</f>
        <v>2.3961475381232127</v>
      </c>
      <c r="F16" s="135">
        <f>IF(SER_hh_tes!F16=0,"",SER_hh_tes!F16/SER_hh_fec!F16)</f>
        <v>2.5306872567748946</v>
      </c>
      <c r="G16" s="135">
        <f>IF(SER_hh_tes!G16=0,"",SER_hh_tes!G16/SER_hh_fec!G16)</f>
        <v>2.6890956432940007</v>
      </c>
      <c r="H16" s="135">
        <f>IF(SER_hh_tes!H16=0,"",SER_hh_tes!H16/SER_hh_fec!H16)</f>
        <v>2.8527714555021104</v>
      </c>
      <c r="I16" s="135">
        <f>IF(SER_hh_tes!I16=0,"",SER_hh_tes!I16/SER_hh_fec!I16)</f>
        <v>3.0348935311885326</v>
      </c>
      <c r="J16" s="135">
        <f>IF(SER_hh_tes!J16=0,"",SER_hh_tes!J16/SER_hh_fec!J16)</f>
        <v>3.2206296823370346</v>
      </c>
      <c r="K16" s="135">
        <f>IF(SER_hh_tes!K16=0,"",SER_hh_tes!K16/SER_hh_fec!K16)</f>
        <v>3.2993151380178083</v>
      </c>
      <c r="L16" s="135">
        <f>IF(SER_hh_tes!L16=0,"",SER_hh_tes!L16/SER_hh_fec!L16)</f>
        <v>3.3902415769073082</v>
      </c>
      <c r="M16" s="135">
        <f>IF(SER_hh_tes!M16=0,"",SER_hh_tes!M16/SER_hh_fec!M16)</f>
        <v>3.5166884068048883</v>
      </c>
      <c r="N16" s="135">
        <f>IF(SER_hh_tes!N16=0,"",SER_hh_tes!N16/SER_hh_fec!N16)</f>
        <v>3.6496564274764642</v>
      </c>
      <c r="O16" s="135">
        <f>IF(SER_hh_tes!O16=0,"",SER_hh_tes!O16/SER_hh_fec!O16)</f>
        <v>3.7974130554034597</v>
      </c>
      <c r="P16" s="135">
        <f>IF(SER_hh_tes!P16=0,"",SER_hh_tes!P16/SER_hh_fec!P16)</f>
        <v>3.9577426284435284</v>
      </c>
      <c r="Q16" s="135">
        <f>IF(SER_hh_tes!Q16=0,"",SER_hh_tes!Q16/SER_hh_fec!Q16)</f>
        <v>4.1343184452366639</v>
      </c>
      <c r="R16" s="135">
        <f>IF(SER_hh_tes!R16=0,"",SER_hh_tes!R16/SER_hh_fec!R16)</f>
        <v>4.318677231808234</v>
      </c>
      <c r="S16" s="135">
        <f>IF(SER_hh_tes!S16=0,"",SER_hh_tes!S16/SER_hh_fec!S16)</f>
        <v>4.493800488448735</v>
      </c>
      <c r="T16" s="135">
        <f>IF(SER_hh_tes!T16=0,"",SER_hh_tes!T16/SER_hh_fec!T16)</f>
        <v>4.6481854602899375</v>
      </c>
      <c r="U16" s="135">
        <f>IF(SER_hh_tes!U16=0,"",SER_hh_tes!U16/SER_hh_fec!U16)</f>
        <v>4.7785229756564842</v>
      </c>
      <c r="V16" s="135">
        <f>IF(SER_hh_tes!V16=0,"",SER_hh_tes!V16/SER_hh_fec!V16)</f>
        <v>4.8921999398099603</v>
      </c>
      <c r="W16" s="135">
        <f>IF(SER_hh_tes!W16=0,"",SER_hh_tes!W16/SER_hh_fec!W16)</f>
        <v>4.9947163065618883</v>
      </c>
      <c r="X16" s="135">
        <f>IF(SER_hh_tes!X16=0,"",SER_hh_tes!X16/SER_hh_fec!X16)</f>
        <v>5.0746615523488039</v>
      </c>
      <c r="Y16" s="135">
        <f>IF(SER_hh_tes!Y16=0,"",SER_hh_tes!Y16/SER_hh_fec!Y16)</f>
        <v>5.1401099461430739</v>
      </c>
      <c r="DA16" s="162" t="s">
        <v>241</v>
      </c>
    </row>
    <row r="17" spans="1:105" ht="12.95" customHeight="1" x14ac:dyDescent="0.25">
      <c r="A17" s="131" t="s">
        <v>73</v>
      </c>
      <c r="B17" s="136" t="str">
        <f>IF(SER_hh_tes!B17=0,"",SER_hh_tes!B17/SER_hh_fec!B17)</f>
        <v/>
      </c>
      <c r="C17" s="136" t="str">
        <f>IF(SER_hh_tes!C17=0,"",SER_hh_tes!C17/SER_hh_fec!C17)</f>
        <v/>
      </c>
      <c r="D17" s="136" t="str">
        <f>IF(SER_hh_tes!D17=0,"",SER_hh_tes!D17/SER_hh_fec!D17)</f>
        <v/>
      </c>
      <c r="E17" s="136" t="str">
        <f>IF(SER_hh_tes!E17=0,"",SER_hh_tes!E17/SER_hh_fec!E17)</f>
        <v/>
      </c>
      <c r="F17" s="136" t="str">
        <f>IF(SER_hh_tes!F17=0,"",SER_hh_tes!F17/SER_hh_fec!F17)</f>
        <v/>
      </c>
      <c r="G17" s="136" t="str">
        <f>IF(SER_hh_tes!G17=0,"",SER_hh_tes!G17/SER_hh_fec!G17)</f>
        <v/>
      </c>
      <c r="H17" s="136" t="str">
        <f>IF(SER_hh_tes!H17=0,"",SER_hh_tes!H17/SER_hh_fec!H17)</f>
        <v/>
      </c>
      <c r="I17" s="136" t="str">
        <f>IF(SER_hh_tes!I17=0,"",SER_hh_tes!I17/SER_hh_fec!I17)</f>
        <v/>
      </c>
      <c r="J17" s="136" t="str">
        <f>IF(SER_hh_tes!J17=0,"",SER_hh_tes!J17/SER_hh_fec!J17)</f>
        <v/>
      </c>
      <c r="K17" s="136" t="str">
        <f>IF(SER_hh_tes!K17=0,"",SER_hh_tes!K17/SER_hh_fec!K17)</f>
        <v/>
      </c>
      <c r="L17" s="136" t="str">
        <f>IF(SER_hh_tes!L17=0,"",SER_hh_tes!L17/SER_hh_fec!L17)</f>
        <v/>
      </c>
      <c r="M17" s="136" t="str">
        <f>IF(SER_hh_tes!M17=0,"",SER_hh_tes!M17/SER_hh_fec!M17)</f>
        <v/>
      </c>
      <c r="N17" s="136" t="str">
        <f>IF(SER_hh_tes!N17=0,"",SER_hh_tes!N17/SER_hh_fec!N17)</f>
        <v/>
      </c>
      <c r="O17" s="136" t="str">
        <f>IF(SER_hh_tes!O17=0,"",SER_hh_tes!O17/SER_hh_fec!O17)</f>
        <v/>
      </c>
      <c r="P17" s="136" t="str">
        <f>IF(SER_hh_tes!P17=0,"",SER_hh_tes!P17/SER_hh_fec!P17)</f>
        <v/>
      </c>
      <c r="Q17" s="136" t="str">
        <f>IF(SER_hh_tes!Q17=0,"",SER_hh_tes!Q17/SER_hh_fec!Q17)</f>
        <v/>
      </c>
      <c r="R17" s="136" t="str">
        <f>IF(SER_hh_tes!R17=0,"",SER_hh_tes!R17/SER_hh_fec!R17)</f>
        <v/>
      </c>
      <c r="S17" s="136" t="str">
        <f>IF(SER_hh_tes!S17=0,"",SER_hh_tes!S17/SER_hh_fec!S17)</f>
        <v/>
      </c>
      <c r="T17" s="136" t="str">
        <f>IF(SER_hh_tes!T17=0,"",SER_hh_tes!T17/SER_hh_fec!T17)</f>
        <v/>
      </c>
      <c r="U17" s="136" t="str">
        <f>IF(SER_hh_tes!U17=0,"",SER_hh_tes!U17/SER_hh_fec!U17)</f>
        <v/>
      </c>
      <c r="V17" s="136" t="str">
        <f>IF(SER_hh_tes!V17=0,"",SER_hh_tes!V17/SER_hh_fec!V17)</f>
        <v/>
      </c>
      <c r="W17" s="136" t="str">
        <f>IF(SER_hh_tes!W17=0,"",SER_hh_tes!W17/SER_hh_fec!W17)</f>
        <v/>
      </c>
      <c r="X17" s="136" t="str">
        <f>IF(SER_hh_tes!X17=0,"",SER_hh_tes!X17/SER_hh_fec!X17)</f>
        <v/>
      </c>
      <c r="Y17" s="136" t="str">
        <f>IF(SER_hh_tes!Y17=0,"",SER_hh_tes!Y17/SER_hh_fec!Y17)</f>
        <v/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2.0295683729194383</v>
      </c>
      <c r="C18" s="136">
        <f>IF(SER_hh_tes!C18=0,"",SER_hh_tes!C18/SER_hh_fec!C18)</f>
        <v>2.1319414938975592</v>
      </c>
      <c r="D18" s="136">
        <f>IF(SER_hh_tes!D18=0,"",SER_hh_tes!D18/SER_hh_fec!D18)</f>
        <v>2.2566774796230344</v>
      </c>
      <c r="E18" s="136">
        <f>IF(SER_hh_tes!E18=0,"",SER_hh_tes!E18/SER_hh_fec!E18)</f>
        <v>2.3961475381232127</v>
      </c>
      <c r="F18" s="136">
        <f>IF(SER_hh_tes!F18=0,"",SER_hh_tes!F18/SER_hh_fec!F18)</f>
        <v>2.5306872567748946</v>
      </c>
      <c r="G18" s="136">
        <f>IF(SER_hh_tes!G18=0,"",SER_hh_tes!G18/SER_hh_fec!G18)</f>
        <v>2.6890956432940007</v>
      </c>
      <c r="H18" s="136">
        <f>IF(SER_hh_tes!H18=0,"",SER_hh_tes!H18/SER_hh_fec!H18)</f>
        <v>2.8527714555021104</v>
      </c>
      <c r="I18" s="136">
        <f>IF(SER_hh_tes!I18=0,"",SER_hh_tes!I18/SER_hh_fec!I18)</f>
        <v>3.0348935311885326</v>
      </c>
      <c r="J18" s="136">
        <f>IF(SER_hh_tes!J18=0,"",SER_hh_tes!J18/SER_hh_fec!J18)</f>
        <v>3.2206296823370346</v>
      </c>
      <c r="K18" s="136">
        <f>IF(SER_hh_tes!K18=0,"",SER_hh_tes!K18/SER_hh_fec!K18)</f>
        <v>3.2993151380178083</v>
      </c>
      <c r="L18" s="136">
        <f>IF(SER_hh_tes!L18=0,"",SER_hh_tes!L18/SER_hh_fec!L18)</f>
        <v>3.3902415769073082</v>
      </c>
      <c r="M18" s="136">
        <f>IF(SER_hh_tes!M18=0,"",SER_hh_tes!M18/SER_hh_fec!M18)</f>
        <v>3.5166884068048883</v>
      </c>
      <c r="N18" s="136">
        <f>IF(SER_hh_tes!N18=0,"",SER_hh_tes!N18/SER_hh_fec!N18)</f>
        <v>3.6496564274764642</v>
      </c>
      <c r="O18" s="136">
        <f>IF(SER_hh_tes!O18=0,"",SER_hh_tes!O18/SER_hh_fec!O18)</f>
        <v>3.7974130554034597</v>
      </c>
      <c r="P18" s="136">
        <f>IF(SER_hh_tes!P18=0,"",SER_hh_tes!P18/SER_hh_fec!P18)</f>
        <v>3.9577426284435284</v>
      </c>
      <c r="Q18" s="136">
        <f>IF(SER_hh_tes!Q18=0,"",SER_hh_tes!Q18/SER_hh_fec!Q18)</f>
        <v>4.1343184452366639</v>
      </c>
      <c r="R18" s="136">
        <f>IF(SER_hh_tes!R18=0,"",SER_hh_tes!R18/SER_hh_fec!R18)</f>
        <v>4.318677231808234</v>
      </c>
      <c r="S18" s="136">
        <f>IF(SER_hh_tes!S18=0,"",SER_hh_tes!S18/SER_hh_fec!S18)</f>
        <v>4.493800488448735</v>
      </c>
      <c r="T18" s="136">
        <f>IF(SER_hh_tes!T18=0,"",SER_hh_tes!T18/SER_hh_fec!T18)</f>
        <v>4.6481854602899375</v>
      </c>
      <c r="U18" s="136">
        <f>IF(SER_hh_tes!U18=0,"",SER_hh_tes!U18/SER_hh_fec!U18)</f>
        <v>4.7785229756564842</v>
      </c>
      <c r="V18" s="136">
        <f>IF(SER_hh_tes!V18=0,"",SER_hh_tes!V18/SER_hh_fec!V18)</f>
        <v>4.8921999398099603</v>
      </c>
      <c r="W18" s="136">
        <f>IF(SER_hh_tes!W18=0,"",SER_hh_tes!W18/SER_hh_fec!W18)</f>
        <v>4.9947163065618883</v>
      </c>
      <c r="X18" s="136">
        <f>IF(SER_hh_tes!X18=0,"",SER_hh_tes!X18/SER_hh_fec!X18)</f>
        <v>5.0746615523488039</v>
      </c>
      <c r="Y18" s="136">
        <f>IF(SER_hh_tes!Y18=0,"",SER_hh_tes!Y18/SER_hh_fec!Y18)</f>
        <v>5.1401099461430739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0.6104482244706716</v>
      </c>
      <c r="C19" s="135">
        <f>IF(SER_hh_tes!C19=0,"",SER_hh_tes!C19/SER_hh_fec!C19)</f>
        <v>0.61918482689491727</v>
      </c>
      <c r="D19" s="135">
        <f>IF(SER_hh_tes!D19=0,"",SER_hh_tes!D19/SER_hh_fec!D19)</f>
        <v>0.62185266183783472</v>
      </c>
      <c r="E19" s="135">
        <f>IF(SER_hh_tes!E19=0,"",SER_hh_tes!E19/SER_hh_fec!E19)</f>
        <v>0.62620448988829625</v>
      </c>
      <c r="F19" s="135">
        <f>IF(SER_hh_tes!F19=0,"",SER_hh_tes!F19/SER_hh_fec!F19)</f>
        <v>0.62966312584555484</v>
      </c>
      <c r="G19" s="135">
        <f>IF(SER_hh_tes!G19=0,"",SER_hh_tes!G19/SER_hh_fec!G19)</f>
        <v>0.63247599819368461</v>
      </c>
      <c r="H19" s="135">
        <f>IF(SER_hh_tes!H19=0,"",SER_hh_tes!H19/SER_hh_fec!H19)</f>
        <v>0.63760982354748674</v>
      </c>
      <c r="I19" s="135">
        <f>IF(SER_hh_tes!I19=0,"",SER_hh_tes!I19/SER_hh_fec!I19)</f>
        <v>0.64328445381265509</v>
      </c>
      <c r="J19" s="135">
        <f>IF(SER_hh_tes!J19=0,"",SER_hh_tes!J19/SER_hh_fec!J19)</f>
        <v>0.64574392125709879</v>
      </c>
      <c r="K19" s="135">
        <f>IF(SER_hh_tes!K19=0,"",SER_hh_tes!K19/SER_hh_fec!K19)</f>
        <v>0.65101758882179883</v>
      </c>
      <c r="L19" s="135">
        <f>IF(SER_hh_tes!L19=0,"",SER_hh_tes!L19/SER_hh_fec!L19)</f>
        <v>0.65624984830059641</v>
      </c>
      <c r="M19" s="135">
        <f>IF(SER_hh_tes!M19=0,"",SER_hh_tes!M19/SER_hh_fec!M19)</f>
        <v>0.66346021712304393</v>
      </c>
      <c r="N19" s="135">
        <f>IF(SER_hh_tes!N19=0,"",SER_hh_tes!N19/SER_hh_fec!N19)</f>
        <v>0.67108956280291543</v>
      </c>
      <c r="O19" s="135">
        <f>IF(SER_hh_tes!O19=0,"",SER_hh_tes!O19/SER_hh_fec!O19)</f>
        <v>0.67986504149208427</v>
      </c>
      <c r="P19" s="135">
        <f>IF(SER_hh_tes!P19=0,"",SER_hh_tes!P19/SER_hh_fec!P19)</f>
        <v>0.68476743669479456</v>
      </c>
      <c r="Q19" s="135">
        <f>IF(SER_hh_tes!Q19=0,"",SER_hh_tes!Q19/SER_hh_fec!Q19)</f>
        <v>0.69383962822486689</v>
      </c>
      <c r="R19" s="135">
        <f>IF(SER_hh_tes!R19=0,"",SER_hh_tes!R19/SER_hh_fec!R19)</f>
        <v>0.70410790594947159</v>
      </c>
      <c r="S19" s="135">
        <f>IF(SER_hh_tes!S19=0,"",SER_hh_tes!S19/SER_hh_fec!S19)</f>
        <v>0.71735405012405162</v>
      </c>
      <c r="T19" s="135">
        <f>IF(SER_hh_tes!T19=0,"",SER_hh_tes!T19/SER_hh_fec!T19)</f>
        <v>0.73369283165139731</v>
      </c>
      <c r="U19" s="135">
        <f>IF(SER_hh_tes!U19=0,"",SER_hh_tes!U19/SER_hh_fec!U19)</f>
        <v>0.75119544446294439</v>
      </c>
      <c r="V19" s="135">
        <f>IF(SER_hh_tes!V19=0,"",SER_hh_tes!V19/SER_hh_fec!V19)</f>
        <v>0.76657765633049346</v>
      </c>
      <c r="W19" s="135">
        <f>IF(SER_hh_tes!W19=0,"",SER_hh_tes!W19/SER_hh_fec!W19)</f>
        <v>0.78300616350309415</v>
      </c>
      <c r="X19" s="135">
        <f>IF(SER_hh_tes!X19=0,"",SER_hh_tes!X19/SER_hh_fec!X19)</f>
        <v>0.79793788637598695</v>
      </c>
      <c r="Y19" s="135">
        <f>IF(SER_hh_tes!Y19=0,"",SER_hh_tes!Y19/SER_hh_fec!Y19)</f>
        <v>0.81330370778856798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 t="str">
        <f>IF(SER_hh_tes!B21=0,"",SER_hh_tes!B21/SER_hh_fec!B21)</f>
        <v/>
      </c>
      <c r="C21" s="136" t="str">
        <f>IF(SER_hh_tes!C21=0,"",SER_hh_tes!C21/SER_hh_fec!C21)</f>
        <v/>
      </c>
      <c r="D21" s="136" t="str">
        <f>IF(SER_hh_tes!D21=0,"",SER_hh_tes!D21/SER_hh_fec!D21)</f>
        <v/>
      </c>
      <c r="E21" s="136" t="str">
        <f>IF(SER_hh_tes!E21=0,"",SER_hh_tes!E21/SER_hh_fec!E21)</f>
        <v/>
      </c>
      <c r="F21" s="136" t="str">
        <f>IF(SER_hh_tes!F21=0,"",SER_hh_tes!F21/SER_hh_fec!F21)</f>
        <v/>
      </c>
      <c r="G21" s="136" t="str">
        <f>IF(SER_hh_tes!G21=0,"",SER_hh_tes!G21/SER_hh_fec!G21)</f>
        <v/>
      </c>
      <c r="H21" s="136" t="str">
        <f>IF(SER_hh_tes!H21=0,"",SER_hh_tes!H21/SER_hh_fec!H21)</f>
        <v/>
      </c>
      <c r="I21" s="136" t="str">
        <f>IF(SER_hh_tes!I21=0,"",SER_hh_tes!I21/SER_hh_fec!I21)</f>
        <v/>
      </c>
      <c r="J21" s="136" t="str">
        <f>IF(SER_hh_tes!J21=0,"",SER_hh_tes!J21/SER_hh_fec!J21)</f>
        <v/>
      </c>
      <c r="K21" s="136" t="str">
        <f>IF(SER_hh_tes!K21=0,"",SER_hh_tes!K21/SER_hh_fec!K21)</f>
        <v/>
      </c>
      <c r="L21" s="136" t="str">
        <f>IF(SER_hh_tes!L21=0,"",SER_hh_tes!L21/SER_hh_fec!L21)</f>
        <v/>
      </c>
      <c r="M21" s="136" t="str">
        <f>IF(SER_hh_tes!M21=0,"",SER_hh_tes!M21/SER_hh_fec!M21)</f>
        <v/>
      </c>
      <c r="N21" s="136" t="str">
        <f>IF(SER_hh_tes!N21=0,"",SER_hh_tes!N21/SER_hh_fec!N21)</f>
        <v/>
      </c>
      <c r="O21" s="136" t="str">
        <f>IF(SER_hh_tes!O21=0,"",SER_hh_tes!O21/SER_hh_fec!O21)</f>
        <v/>
      </c>
      <c r="P21" s="136" t="str">
        <f>IF(SER_hh_tes!P21=0,"",SER_hh_tes!P21/SER_hh_fec!P21)</f>
        <v/>
      </c>
      <c r="Q21" s="136" t="str">
        <f>IF(SER_hh_tes!Q21=0,"",SER_hh_tes!Q21/SER_hh_fec!Q21)</f>
        <v/>
      </c>
      <c r="R21" s="136" t="str">
        <f>IF(SER_hh_tes!R21=0,"",SER_hh_tes!R21/SER_hh_fec!R21)</f>
        <v/>
      </c>
      <c r="S21" s="136" t="str">
        <f>IF(SER_hh_tes!S21=0,"",SER_hh_tes!S21/SER_hh_fec!S21)</f>
        <v/>
      </c>
      <c r="T21" s="136" t="str">
        <f>IF(SER_hh_tes!T21=0,"",SER_hh_tes!T21/SER_hh_fec!T21)</f>
        <v/>
      </c>
      <c r="U21" s="136" t="str">
        <f>IF(SER_hh_tes!U21=0,"",SER_hh_tes!U21/SER_hh_fec!U21)</f>
        <v/>
      </c>
      <c r="V21" s="136" t="str">
        <f>IF(SER_hh_tes!V21=0,"",SER_hh_tes!V21/SER_hh_fec!V21)</f>
        <v/>
      </c>
      <c r="W21" s="136" t="str">
        <f>IF(SER_hh_tes!W21=0,"",SER_hh_tes!W21/SER_hh_fec!W21)</f>
        <v/>
      </c>
      <c r="X21" s="136" t="str">
        <f>IF(SER_hh_tes!X21=0,"",SER_hh_tes!X21/SER_hh_fec!X21)</f>
        <v/>
      </c>
      <c r="Y21" s="136" t="str">
        <f>IF(SER_hh_tes!Y21=0,"",SER_hh_tes!Y21/SER_hh_fec!Y21)</f>
        <v/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0.49745509495195406</v>
      </c>
      <c r="C22" s="136">
        <f>IF(SER_hh_tes!C22=0,"",SER_hh_tes!C22/SER_hh_fec!C22)</f>
        <v>0.49929198865951485</v>
      </c>
      <c r="D22" s="136">
        <f>IF(SER_hh_tes!D22=0,"",SER_hh_tes!D22/SER_hh_fec!D22)</f>
        <v>0.50155043188740267</v>
      </c>
      <c r="E22" s="136">
        <f>IF(SER_hh_tes!E22=0,"",SER_hh_tes!E22/SER_hh_fec!E22)</f>
        <v>0.50379067554530177</v>
      </c>
      <c r="F22" s="136">
        <f>IF(SER_hh_tes!F22=0,"",SER_hh_tes!F22/SER_hh_fec!F22)</f>
        <v>0.50608387676600519</v>
      </c>
      <c r="G22" s="136">
        <f>IF(SER_hh_tes!G22=0,"",SER_hh_tes!G22/SER_hh_fec!G22)</f>
        <v>0.50859661325179251</v>
      </c>
      <c r="H22" s="136">
        <f>IF(SER_hh_tes!H22=0,"",SER_hh_tes!H22/SER_hh_fec!H22)</f>
        <v>0.5114152459975394</v>
      </c>
      <c r="I22" s="136">
        <f>IF(SER_hh_tes!I22=0,"",SER_hh_tes!I22/SER_hh_fec!I22)</f>
        <v>0.51421860396089436</v>
      </c>
      <c r="J22" s="136">
        <f>IF(SER_hh_tes!J22=0,"",SER_hh_tes!J22/SER_hh_fec!J22)</f>
        <v>0.51747894477234113</v>
      </c>
      <c r="K22" s="136">
        <f>IF(SER_hh_tes!K22=0,"",SER_hh_tes!K22/SER_hh_fec!K22)</f>
        <v>0.52076114967393172</v>
      </c>
      <c r="L22" s="136">
        <f>IF(SER_hh_tes!L22=0,"",SER_hh_tes!L22/SER_hh_fec!L22)</f>
        <v>0.52527650736230502</v>
      </c>
      <c r="M22" s="136">
        <f>IF(SER_hh_tes!M22=0,"",SER_hh_tes!M22/SER_hh_fec!M22)</f>
        <v>0.53130280268301577</v>
      </c>
      <c r="N22" s="136">
        <f>IF(SER_hh_tes!N22=0,"",SER_hh_tes!N22/SER_hh_fec!N22)</f>
        <v>0.54040622351070833</v>
      </c>
      <c r="O22" s="136">
        <f>IF(SER_hh_tes!O22=0,"",SER_hh_tes!O22/SER_hh_fec!O22)</f>
        <v>0.55082758102367624</v>
      </c>
      <c r="P22" s="136">
        <f>IF(SER_hh_tes!P22=0,"",SER_hh_tes!P22/SER_hh_fec!P22)</f>
        <v>0.55695857340617116</v>
      </c>
      <c r="Q22" s="136">
        <f>IF(SER_hh_tes!Q22=0,"",SER_hh_tes!Q22/SER_hh_fec!Q22)</f>
        <v>0.56369235393257666</v>
      </c>
      <c r="R22" s="136">
        <f>IF(SER_hh_tes!R22=0,"",SER_hh_tes!R22/SER_hh_fec!R22)</f>
        <v>0.57129556027833228</v>
      </c>
      <c r="S22" s="136">
        <f>IF(SER_hh_tes!S22=0,"",SER_hh_tes!S22/SER_hh_fec!S22)</f>
        <v>0.58055105721756606</v>
      </c>
      <c r="T22" s="136">
        <f>IF(SER_hh_tes!T22=0,"",SER_hh_tes!T22/SER_hh_fec!T22)</f>
        <v>0.59051810019763262</v>
      </c>
      <c r="U22" s="136">
        <f>IF(SER_hh_tes!U22=0,"",SER_hh_tes!U22/SER_hh_fec!U22)</f>
        <v>0.60059944474810234</v>
      </c>
      <c r="V22" s="136">
        <f>IF(SER_hh_tes!V22=0,"",SER_hh_tes!V22/SER_hh_fec!V22)</f>
        <v>0.61282978137134847</v>
      </c>
      <c r="W22" s="136">
        <f>IF(SER_hh_tes!W22=0,"",SER_hh_tes!W22/SER_hh_fec!W22)</f>
        <v>0.62872141699771411</v>
      </c>
      <c r="X22" s="136">
        <f>IF(SER_hh_tes!X22=0,"",SER_hh_tes!X22/SER_hh_fec!X22)</f>
        <v>0.64674310692536152</v>
      </c>
      <c r="Y22" s="136">
        <f>IF(SER_hh_tes!Y22=0,"",SER_hh_tes!Y22/SER_hh_fec!Y22)</f>
        <v>0.66963829614071391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0.50863159945522618</v>
      </c>
      <c r="C23" s="136">
        <f>IF(SER_hh_tes!C23=0,"",SER_hh_tes!C23/SER_hh_fec!C23)</f>
        <v>0.51573363714663656</v>
      </c>
      <c r="D23" s="136">
        <f>IF(SER_hh_tes!D23=0,"",SER_hh_tes!D23/SER_hh_fec!D23)</f>
        <v>0.52574210070386407</v>
      </c>
      <c r="E23" s="136">
        <f>IF(SER_hh_tes!E23=0,"",SER_hh_tes!E23/SER_hh_fec!E23)</f>
        <v>0.53413095646176978</v>
      </c>
      <c r="F23" s="136">
        <f>IF(SER_hh_tes!F23=0,"",SER_hh_tes!F23/SER_hh_fec!F23)</f>
        <v>0.54189593266646197</v>
      </c>
      <c r="G23" s="136">
        <f>IF(SER_hh_tes!G23=0,"",SER_hh_tes!G23/SER_hh_fec!G23)</f>
        <v>0.54940578604858747</v>
      </c>
      <c r="H23" s="136">
        <f>IF(SER_hh_tes!H23=0,"",SER_hh_tes!H23/SER_hh_fec!H23)</f>
        <v>0.55681329936229174</v>
      </c>
      <c r="I23" s="136">
        <f>IF(SER_hh_tes!I23=0,"",SER_hh_tes!I23/SER_hh_fec!I23)</f>
        <v>0.56459859151726244</v>
      </c>
      <c r="J23" s="136">
        <f>IF(SER_hh_tes!J23=0,"",SER_hh_tes!J23/SER_hh_fec!J23)</f>
        <v>0.57283366700892568</v>
      </c>
      <c r="K23" s="136">
        <f>IF(SER_hh_tes!K23=0,"",SER_hh_tes!K23/SER_hh_fec!K23)</f>
        <v>0.57991058106584603</v>
      </c>
      <c r="L23" s="136">
        <f>IF(SER_hh_tes!L23=0,"",SER_hh_tes!L23/SER_hh_fec!L23)</f>
        <v>0.58675658019025001</v>
      </c>
      <c r="M23" s="136">
        <f>IF(SER_hh_tes!M23=0,"",SER_hh_tes!M23/SER_hh_fec!M23)</f>
        <v>0.59386267164479944</v>
      </c>
      <c r="N23" s="136">
        <f>IF(SER_hh_tes!N23=0,"",SER_hh_tes!N23/SER_hh_fec!N23)</f>
        <v>0.60281831633919047</v>
      </c>
      <c r="O23" s="136">
        <f>IF(SER_hh_tes!O23=0,"",SER_hh_tes!O23/SER_hh_fec!O23)</f>
        <v>0.61241328231859427</v>
      </c>
      <c r="P23" s="136">
        <f>IF(SER_hh_tes!P23=0,"",SER_hh_tes!P23/SER_hh_fec!P23)</f>
        <v>0.62000859772142136</v>
      </c>
      <c r="Q23" s="136">
        <f>IF(SER_hh_tes!Q23=0,"",SER_hh_tes!Q23/SER_hh_fec!Q23)</f>
        <v>0.62986358998416037</v>
      </c>
      <c r="R23" s="136">
        <f>IF(SER_hh_tes!R23=0,"",SER_hh_tes!R23/SER_hh_fec!R23)</f>
        <v>0.64226698041539243</v>
      </c>
      <c r="S23" s="136">
        <f>IF(SER_hh_tes!S23=0,"",SER_hh_tes!S23/SER_hh_fec!S23)</f>
        <v>0.65804400228863802</v>
      </c>
      <c r="T23" s="136">
        <f>IF(SER_hh_tes!T23=0,"",SER_hh_tes!T23/SER_hh_fec!T23)</f>
        <v>0.67680896143108149</v>
      </c>
      <c r="U23" s="136">
        <f>IF(SER_hh_tes!U23=0,"",SER_hh_tes!U23/SER_hh_fec!U23)</f>
        <v>0.69663411482974646</v>
      </c>
      <c r="V23" s="136">
        <f>IF(SER_hh_tes!V23=0,"",SER_hh_tes!V23/SER_hh_fec!V23)</f>
        <v>0.71684051110637181</v>
      </c>
      <c r="W23" s="136">
        <f>IF(SER_hh_tes!W23=0,"",SER_hh_tes!W23/SER_hh_fec!W23)</f>
        <v>0.73267151384045026</v>
      </c>
      <c r="X23" s="136">
        <f>IF(SER_hh_tes!X23=0,"",SER_hh_tes!X23/SER_hh_fec!X23)</f>
        <v>0.74686497487948733</v>
      </c>
      <c r="Y23" s="136">
        <f>IF(SER_hh_tes!Y23=0,"",SER_hh_tes!Y23/SER_hh_fec!Y23)</f>
        <v>0.7601115545159508</v>
      </c>
      <c r="DA23" s="163" t="s">
        <v>348</v>
      </c>
    </row>
    <row r="24" spans="1:105" ht="12" customHeight="1" x14ac:dyDescent="0.25">
      <c r="A24" s="131" t="s">
        <v>128</v>
      </c>
      <c r="B24" s="136">
        <f>IF(SER_hh_tes!B24=0,"",SER_hh_tes!B24/SER_hh_fec!B24)</f>
        <v>0.4341995501414197</v>
      </c>
      <c r="C24" s="136">
        <f>IF(SER_hh_tes!C24=0,"",SER_hh_tes!C24/SER_hh_fec!C24)</f>
        <v>0.44431977723771554</v>
      </c>
      <c r="D24" s="136">
        <f>IF(SER_hh_tes!D24=0,"",SER_hh_tes!D24/SER_hh_fec!D24)</f>
        <v>0.45531155091098557</v>
      </c>
      <c r="E24" s="136">
        <f>IF(SER_hh_tes!E24=0,"",SER_hh_tes!E24/SER_hh_fec!E24)</f>
        <v>0.46828693729155996</v>
      </c>
      <c r="F24" s="136">
        <f>IF(SER_hh_tes!F24=0,"",SER_hh_tes!F24/SER_hh_fec!F24)</f>
        <v>0.4843982165304026</v>
      </c>
      <c r="G24" s="136">
        <f>IF(SER_hh_tes!G24=0,"",SER_hh_tes!G24/SER_hh_fec!G24)</f>
        <v>0.50026541796440438</v>
      </c>
      <c r="H24" s="136">
        <f>IF(SER_hh_tes!H24=0,"",SER_hh_tes!H24/SER_hh_fec!H24)</f>
        <v>0.51460598550986392</v>
      </c>
      <c r="I24" s="136">
        <f>IF(SER_hh_tes!I24=0,"",SER_hh_tes!I24/SER_hh_fec!I24)</f>
        <v>0.5280147185686126</v>
      </c>
      <c r="J24" s="136">
        <f>IF(SER_hh_tes!J24=0,"",SER_hh_tes!J24/SER_hh_fec!J24)</f>
        <v>0.54127583246215838</v>
      </c>
      <c r="K24" s="136">
        <f>IF(SER_hh_tes!K24=0,"",SER_hh_tes!K24/SER_hh_fec!K24)</f>
        <v>0.55552723701430218</v>
      </c>
      <c r="L24" s="136">
        <f>IF(SER_hh_tes!L24=0,"",SER_hh_tes!L24/SER_hh_fec!L24)</f>
        <v>0.57239059607213683</v>
      </c>
      <c r="M24" s="136">
        <f>IF(SER_hh_tes!M24=0,"",SER_hh_tes!M24/SER_hh_fec!M24)</f>
        <v>0.59065126508732779</v>
      </c>
      <c r="N24" s="136">
        <f>IF(SER_hh_tes!N24=0,"",SER_hh_tes!N24/SER_hh_fec!N24)</f>
        <v>0.61030466174118359</v>
      </c>
      <c r="O24" s="136">
        <f>IF(SER_hh_tes!O24=0,"",SER_hh_tes!O24/SER_hh_fec!O24)</f>
        <v>0.62751444363687103</v>
      </c>
      <c r="P24" s="136">
        <f>IF(SER_hh_tes!P24=0,"",SER_hh_tes!P24/SER_hh_fec!P24)</f>
        <v>0.63282363731170177</v>
      </c>
      <c r="Q24" s="136">
        <f>IF(SER_hh_tes!Q24=0,"",SER_hh_tes!Q24/SER_hh_fec!Q24)</f>
        <v>0.63887234017359984</v>
      </c>
      <c r="R24" s="136">
        <f>IF(SER_hh_tes!R24=0,"",SER_hh_tes!R24/SER_hh_fec!R24)</f>
        <v>0.64480841650204346</v>
      </c>
      <c r="S24" s="136">
        <f>IF(SER_hh_tes!S24=0,"",SER_hh_tes!S24/SER_hh_fec!S24)</f>
        <v>0.65231845971723357</v>
      </c>
      <c r="T24" s="136">
        <f>IF(SER_hh_tes!T24=0,"",SER_hh_tes!T24/SER_hh_fec!T24)</f>
        <v>0.65768110144893133</v>
      </c>
      <c r="U24" s="136">
        <f>IF(SER_hh_tes!U24=0,"",SER_hh_tes!U24/SER_hh_fec!U24)</f>
        <v>0.66318573596563668</v>
      </c>
      <c r="V24" s="136">
        <f>IF(SER_hh_tes!V24=0,"",SER_hh_tes!V24/SER_hh_fec!V24)</f>
        <v>0.67244950630473233</v>
      </c>
      <c r="W24" s="136">
        <f>IF(SER_hh_tes!W24=0,"",SER_hh_tes!W24/SER_hh_fec!W24)</f>
        <v>0.68819175830657342</v>
      </c>
      <c r="X24" s="136">
        <f>IF(SER_hh_tes!X24=0,"",SER_hh_tes!X24/SER_hh_fec!X24)</f>
        <v>0.70663428698981112</v>
      </c>
      <c r="Y24" s="136">
        <f>IF(SER_hh_tes!Y24=0,"",SER_hh_tes!Y24/SER_hh_fec!Y24)</f>
        <v>0.72026722920744612</v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0.75900452867328427</v>
      </c>
      <c r="C25" s="136">
        <f>IF(SER_hh_tes!C25=0,"",SER_hh_tes!C25/SER_hh_fec!C25)</f>
        <v>0.76197342504262411</v>
      </c>
      <c r="D25" s="136">
        <f>IF(SER_hh_tes!D25=0,"",SER_hh_tes!D25/SER_hh_fec!D25)</f>
        <v>0.76450475230146653</v>
      </c>
      <c r="E25" s="136">
        <f>IF(SER_hh_tes!E25=0,"",SER_hh_tes!E25/SER_hh_fec!E25)</f>
        <v>0.76708671264953621</v>
      </c>
      <c r="F25" s="136">
        <f>IF(SER_hh_tes!F25=0,"",SER_hh_tes!F25/SER_hh_fec!F25)</f>
        <v>0.76988612297702907</v>
      </c>
      <c r="G25" s="136">
        <f>IF(SER_hh_tes!G25=0,"",SER_hh_tes!G25/SER_hh_fec!G25)</f>
        <v>0.77265542849487012</v>
      </c>
      <c r="H25" s="136">
        <f>IF(SER_hh_tes!H25=0,"",SER_hh_tes!H25/SER_hh_fec!H25)</f>
        <v>0.77558597561275466</v>
      </c>
      <c r="I25" s="136">
        <f>IF(SER_hh_tes!I25=0,"",SER_hh_tes!I25/SER_hh_fec!I25)</f>
        <v>0.77875290306761569</v>
      </c>
      <c r="J25" s="136">
        <f>IF(SER_hh_tes!J25=0,"",SER_hh_tes!J25/SER_hh_fec!J25)</f>
        <v>0.78206679915473154</v>
      </c>
      <c r="K25" s="136">
        <f>IF(SER_hh_tes!K25=0,"",SER_hh_tes!K25/SER_hh_fec!K25)</f>
        <v>0.78593316693869497</v>
      </c>
      <c r="L25" s="136">
        <f>IF(SER_hh_tes!L25=0,"",SER_hh_tes!L25/SER_hh_fec!L25)</f>
        <v>0.79063699386223318</v>
      </c>
      <c r="M25" s="136">
        <f>IF(SER_hh_tes!M25=0,"",SER_hh_tes!M25/SER_hh_fec!M25)</f>
        <v>0.79611908827344069</v>
      </c>
      <c r="N25" s="136">
        <f>IF(SER_hh_tes!N25=0,"",SER_hh_tes!N25/SER_hh_fec!N25)</f>
        <v>0.80256959320186938</v>
      </c>
      <c r="O25" s="136">
        <f>IF(SER_hh_tes!O25=0,"",SER_hh_tes!O25/SER_hh_fec!O25)</f>
        <v>0.80897279732593197</v>
      </c>
      <c r="P25" s="136">
        <f>IF(SER_hh_tes!P25=0,"",SER_hh_tes!P25/SER_hh_fec!P25)</f>
        <v>0.81204417357911796</v>
      </c>
      <c r="Q25" s="136">
        <f>IF(SER_hh_tes!Q25=0,"",SER_hh_tes!Q25/SER_hh_fec!Q25)</f>
        <v>0.81644885722262661</v>
      </c>
      <c r="R25" s="136">
        <f>IF(SER_hh_tes!R25=0,"",SER_hh_tes!R25/SER_hh_fec!R25)</f>
        <v>0.82154889313431145</v>
      </c>
      <c r="S25" s="136">
        <f>IF(SER_hh_tes!S25=0,"",SER_hh_tes!S25/SER_hh_fec!S25)</f>
        <v>0.82781378931377048</v>
      </c>
      <c r="T25" s="136">
        <f>IF(SER_hh_tes!T25=0,"",SER_hh_tes!T25/SER_hh_fec!T25)</f>
        <v>0.83399232946448509</v>
      </c>
      <c r="U25" s="136">
        <f>IF(SER_hh_tes!U25=0,"",SER_hh_tes!U25/SER_hh_fec!U25)</f>
        <v>0.84104258131487253</v>
      </c>
      <c r="V25" s="136">
        <f>IF(SER_hh_tes!V25=0,"",SER_hh_tes!V25/SER_hh_fec!V25)</f>
        <v>0.84848056038305242</v>
      </c>
      <c r="W25" s="136">
        <f>IF(SER_hh_tes!W25=0,"",SER_hh_tes!W25/SER_hh_fec!W25)</f>
        <v>0.85548823397872198</v>
      </c>
      <c r="X25" s="136">
        <f>IF(SER_hh_tes!X25=0,"",SER_hh_tes!X25/SER_hh_fec!X25)</f>
        <v>0.86156747797087019</v>
      </c>
      <c r="Y25" s="136">
        <f>IF(SER_hh_tes!Y25=0,"",SER_hh_tes!Y25/SER_hh_fec!Y25)</f>
        <v>0.86756296654951237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0.63120818458261518</v>
      </c>
      <c r="C26" s="137">
        <f>IF(SER_hh_tes!C26=0,"",SER_hh_tes!C26/SER_hh_fec!C26)</f>
        <v>0.63351417225510831</v>
      </c>
      <c r="D26" s="137">
        <f>IF(SER_hh_tes!D26=0,"",SER_hh_tes!D26/SER_hh_fec!D26)</f>
        <v>0.6363090727980899</v>
      </c>
      <c r="E26" s="137">
        <f>IF(SER_hh_tes!E26=0,"",SER_hh_tes!E26/SER_hh_fec!E26)</f>
        <v>0.63938425204244687</v>
      </c>
      <c r="F26" s="137">
        <f>IF(SER_hh_tes!F26=0,"",SER_hh_tes!F26/SER_hh_fec!F26)</f>
        <v>0.64264738822104994</v>
      </c>
      <c r="G26" s="137">
        <f>IF(SER_hh_tes!G26=0,"",SER_hh_tes!G26/SER_hh_fec!G26)</f>
        <v>0.64550024695574615</v>
      </c>
      <c r="H26" s="137">
        <f>IF(SER_hh_tes!H26=0,"",SER_hh_tes!H26/SER_hh_fec!H26)</f>
        <v>0.64937834667625849</v>
      </c>
      <c r="I26" s="137">
        <f>IF(SER_hh_tes!I26=0,"",SER_hh_tes!I26/SER_hh_fec!I26)</f>
        <v>0.65324035011018089</v>
      </c>
      <c r="J26" s="137">
        <f>IF(SER_hh_tes!J26=0,"",SER_hh_tes!J26/SER_hh_fec!J26)</f>
        <v>0.65607812896638262</v>
      </c>
      <c r="K26" s="137">
        <f>IF(SER_hh_tes!K26=0,"",SER_hh_tes!K26/SER_hh_fec!K26)</f>
        <v>0.65808376200870911</v>
      </c>
      <c r="L26" s="137">
        <f>IF(SER_hh_tes!L26=0,"",SER_hh_tes!L26/SER_hh_fec!L26)</f>
        <v>0.65977850554758521</v>
      </c>
      <c r="M26" s="137">
        <f>IF(SER_hh_tes!M26=0,"",SER_hh_tes!M26/SER_hh_fec!M26)</f>
        <v>0.66347207215731796</v>
      </c>
      <c r="N26" s="137">
        <f>IF(SER_hh_tes!N26=0,"",SER_hh_tes!N26/SER_hh_fec!N26)</f>
        <v>0.66616428016376705</v>
      </c>
      <c r="O26" s="137">
        <f>IF(SER_hh_tes!O26=0,"",SER_hh_tes!O26/SER_hh_fec!O26)</f>
        <v>0.67247307683487212</v>
      </c>
      <c r="P26" s="137">
        <f>IF(SER_hh_tes!P26=0,"",SER_hh_tes!P26/SER_hh_fec!P26)</f>
        <v>0.67724186334759195</v>
      </c>
      <c r="Q26" s="137">
        <f>IF(SER_hh_tes!Q26=0,"",SER_hh_tes!Q26/SER_hh_fec!Q26)</f>
        <v>0.68600617077899628</v>
      </c>
      <c r="R26" s="137">
        <f>IF(SER_hh_tes!R26=0,"",SER_hh_tes!R26/SER_hh_fec!R26)</f>
        <v>0.6981464781033071</v>
      </c>
      <c r="S26" s="137">
        <f>IF(SER_hh_tes!S26=0,"",SER_hh_tes!S26/SER_hh_fec!S26)</f>
        <v>0.71745634304256212</v>
      </c>
      <c r="T26" s="137">
        <f>IF(SER_hh_tes!T26=0,"",SER_hh_tes!T26/SER_hh_fec!T26)</f>
        <v>0.7387984674725917</v>
      </c>
      <c r="U26" s="137">
        <f>IF(SER_hh_tes!U26=0,"",SER_hh_tes!U26/SER_hh_fec!U26)</f>
        <v>0.75902659684997187</v>
      </c>
      <c r="V26" s="137">
        <f>IF(SER_hh_tes!V26=0,"",SER_hh_tes!V26/SER_hh_fec!V26)</f>
        <v>0.77752032068832144</v>
      </c>
      <c r="W26" s="137">
        <f>IF(SER_hh_tes!W26=0,"",SER_hh_tes!W26/SER_hh_fec!W26)</f>
        <v>0.79737644593331225</v>
      </c>
      <c r="X26" s="137">
        <f>IF(SER_hh_tes!X26=0,"",SER_hh_tes!X26/SER_hh_fec!X26)</f>
        <v>0.81915431760518687</v>
      </c>
      <c r="Y26" s="137">
        <f>IF(SER_hh_tes!Y26=0,"",SER_hh_tes!Y26/SER_hh_fec!Y26)</f>
        <v>0.83975014805410442</v>
      </c>
      <c r="DA26" s="164" t="s">
        <v>351</v>
      </c>
    </row>
    <row r="27" spans="1:105" ht="12" customHeight="1" x14ac:dyDescent="0.25">
      <c r="A27" s="144" t="s">
        <v>26</v>
      </c>
      <c r="B27" s="153" t="str">
        <f>IF(SER_hh_tes!B27=0,"",SER_hh_tes!B27/SER_hh_fec!B27)</f>
        <v/>
      </c>
      <c r="C27" s="153" t="str">
        <f>IF(SER_hh_tes!C27=0,"",SER_hh_tes!C27/SER_hh_fec!C27)</f>
        <v/>
      </c>
      <c r="D27" s="153" t="str">
        <f>IF(SER_hh_tes!D27=0,"",SER_hh_tes!D27/SER_hh_fec!D27)</f>
        <v/>
      </c>
      <c r="E27" s="153" t="str">
        <f>IF(SER_hh_tes!E27=0,"",SER_hh_tes!E27/SER_hh_fec!E27)</f>
        <v/>
      </c>
      <c r="F27" s="153" t="str">
        <f>IF(SER_hh_tes!F27=0,"",SER_hh_tes!F27/SER_hh_fec!F27)</f>
        <v/>
      </c>
      <c r="G27" s="153" t="str">
        <f>IF(SER_hh_tes!G27=0,"",SER_hh_tes!G27/SER_hh_fec!G27)</f>
        <v/>
      </c>
      <c r="H27" s="153" t="str">
        <f>IF(SER_hh_tes!H27=0,"",SER_hh_tes!H27/SER_hh_fec!H27)</f>
        <v/>
      </c>
      <c r="I27" s="153" t="str">
        <f>IF(SER_hh_tes!I27=0,"",SER_hh_tes!I27/SER_hh_fec!I27)</f>
        <v/>
      </c>
      <c r="J27" s="153" t="str">
        <f>IF(SER_hh_tes!J27=0,"",SER_hh_tes!J27/SER_hh_fec!J27)</f>
        <v/>
      </c>
      <c r="K27" s="153" t="str">
        <f>IF(SER_hh_tes!K27=0,"",SER_hh_tes!K27/SER_hh_fec!K27)</f>
        <v/>
      </c>
      <c r="L27" s="153" t="str">
        <f>IF(SER_hh_tes!L27=0,"",SER_hh_tes!L27/SER_hh_fec!L27)</f>
        <v/>
      </c>
      <c r="M27" s="153" t="str">
        <f>IF(SER_hh_tes!M27=0,"",SER_hh_tes!M27/SER_hh_fec!M27)</f>
        <v/>
      </c>
      <c r="N27" s="153" t="str">
        <f>IF(SER_hh_tes!N27=0,"",SER_hh_tes!N27/SER_hh_fec!N27)</f>
        <v/>
      </c>
      <c r="O27" s="153" t="str">
        <f>IF(SER_hh_tes!O27=0,"",SER_hh_tes!O27/SER_hh_fec!O27)</f>
        <v/>
      </c>
      <c r="P27" s="153" t="str">
        <f>IF(SER_hh_tes!P27=0,"",SER_hh_tes!P27/SER_hh_fec!P27)</f>
        <v/>
      </c>
      <c r="Q27" s="153" t="str">
        <f>IF(SER_hh_tes!Q27=0,"",SER_hh_tes!Q27/SER_hh_fec!Q27)</f>
        <v/>
      </c>
      <c r="R27" s="153" t="str">
        <f>IF(SER_hh_tes!R27=0,"",SER_hh_tes!R27/SER_hh_fec!R27)</f>
        <v/>
      </c>
      <c r="S27" s="153" t="str">
        <f>IF(SER_hh_tes!S27=0,"",SER_hh_tes!S27/SER_hh_fec!S27)</f>
        <v/>
      </c>
      <c r="T27" s="153" t="str">
        <f>IF(SER_hh_tes!T27=0,"",SER_hh_tes!T27/SER_hh_fec!T27)</f>
        <v/>
      </c>
      <c r="U27" s="153" t="str">
        <f>IF(SER_hh_tes!U27=0,"",SER_hh_tes!U27/SER_hh_fec!U27)</f>
        <v/>
      </c>
      <c r="V27" s="153" t="str">
        <f>IF(SER_hh_tes!V27=0,"",SER_hh_tes!V27/SER_hh_fec!V27)</f>
        <v/>
      </c>
      <c r="W27" s="153" t="str">
        <f>IF(SER_hh_tes!W27=0,"",SER_hh_tes!W27/SER_hh_fec!W27)</f>
        <v/>
      </c>
      <c r="X27" s="153" t="str">
        <f>IF(SER_hh_tes!X27=0,"",SER_hh_tes!X27/SER_hh_fec!X27)</f>
        <v/>
      </c>
      <c r="Y27" s="153" t="str">
        <f>IF(SER_hh_tes!Y27=0,"",SER_hh_tes!Y27/SER_hh_fec!Y27)</f>
        <v/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0.72186776564285404</v>
      </c>
      <c r="C29" s="135">
        <f>IF(SER_hh_tes!C29=0,"",SER_hh_tes!C29/SER_hh_fec!C29)</f>
        <v>0.70314832393357829</v>
      </c>
      <c r="D29" s="135">
        <f>IF(SER_hh_tes!D29=0,"",SER_hh_tes!D29/SER_hh_fec!D29)</f>
        <v>0.69920573986724699</v>
      </c>
      <c r="E29" s="135">
        <f>IF(SER_hh_tes!E29=0,"",SER_hh_tes!E29/SER_hh_fec!E29)</f>
        <v>0.69280693903830093</v>
      </c>
      <c r="F29" s="135">
        <f>IF(SER_hh_tes!F29=0,"",SER_hh_tes!F29/SER_hh_fec!F29)</f>
        <v>0.69664857447523165</v>
      </c>
      <c r="G29" s="135">
        <f>IF(SER_hh_tes!G29=0,"",SER_hh_tes!G29/SER_hh_fec!G29)</f>
        <v>0.70046101135138272</v>
      </c>
      <c r="H29" s="135">
        <f>IF(SER_hh_tes!H29=0,"",SER_hh_tes!H29/SER_hh_fec!H29)</f>
        <v>0.70425092666793976</v>
      </c>
      <c r="I29" s="135">
        <f>IF(SER_hh_tes!I29=0,"",SER_hh_tes!I29/SER_hh_fec!I29)</f>
        <v>0.70431118605753007</v>
      </c>
      <c r="J29" s="135">
        <f>IF(SER_hh_tes!J29=0,"",SER_hh_tes!J29/SER_hh_fec!J29)</f>
        <v>0.70734613478885999</v>
      </c>
      <c r="K29" s="135">
        <f>IF(SER_hh_tes!K29=0,"",SER_hh_tes!K29/SER_hh_fec!K29)</f>
        <v>0.70832362521813363</v>
      </c>
      <c r="L29" s="135">
        <f>IF(SER_hh_tes!L29=0,"",SER_hh_tes!L29/SER_hh_fec!L29)</f>
        <v>0.71032884990060274</v>
      </c>
      <c r="M29" s="135">
        <f>IF(SER_hh_tes!M29=0,"",SER_hh_tes!M29/SER_hh_fec!M29)</f>
        <v>0.71679739817739174</v>
      </c>
      <c r="N29" s="135">
        <f>IF(SER_hh_tes!N29=0,"",SER_hh_tes!N29/SER_hh_fec!N29)</f>
        <v>0.72351138595869879</v>
      </c>
      <c r="O29" s="135">
        <f>IF(SER_hh_tes!O29=0,"",SER_hh_tes!O29/SER_hh_fec!O29)</f>
        <v>0.73060012389769846</v>
      </c>
      <c r="P29" s="135">
        <f>IF(SER_hh_tes!P29=0,"",SER_hh_tes!P29/SER_hh_fec!P29)</f>
        <v>0.7293829529191711</v>
      </c>
      <c r="Q29" s="135">
        <f>IF(SER_hh_tes!Q29=0,"",SER_hh_tes!Q29/SER_hh_fec!Q29)</f>
        <v>0.73362396201392499</v>
      </c>
      <c r="R29" s="135">
        <f>IF(SER_hh_tes!R29=0,"",SER_hh_tes!R29/SER_hh_fec!R29)</f>
        <v>0.72486878398653942</v>
      </c>
      <c r="S29" s="135">
        <f>IF(SER_hh_tes!S29=0,"",SER_hh_tes!S29/SER_hh_fec!S29)</f>
        <v>0.7196179616751377</v>
      </c>
      <c r="T29" s="135">
        <f>IF(SER_hh_tes!T29=0,"",SER_hh_tes!T29/SER_hh_fec!T29)</f>
        <v>0.72504675425297316</v>
      </c>
      <c r="U29" s="135">
        <f>IF(SER_hh_tes!U29=0,"",SER_hh_tes!U29/SER_hh_fec!U29)</f>
        <v>0.73354205091012614</v>
      </c>
      <c r="V29" s="135">
        <f>IF(SER_hh_tes!V29=0,"",SER_hh_tes!V29/SER_hh_fec!V29)</f>
        <v>0.73288732042922189</v>
      </c>
      <c r="W29" s="135">
        <f>IF(SER_hh_tes!W29=0,"",SER_hh_tes!W29/SER_hh_fec!W29)</f>
        <v>0.7417400811398881</v>
      </c>
      <c r="X29" s="135">
        <f>IF(SER_hh_tes!X29=0,"",SER_hh_tes!X29/SER_hh_fec!X29)</f>
        <v>0.7423758977520537</v>
      </c>
      <c r="Y29" s="135">
        <f>IF(SER_hh_tes!Y29=0,"",SER_hh_tes!Y29/SER_hh_fec!Y29)</f>
        <v>0.75411756268367269</v>
      </c>
      <c r="DA29" s="162" t="s">
        <v>243</v>
      </c>
    </row>
    <row r="30" spans="1:105" ht="12" customHeight="1" x14ac:dyDescent="0.25">
      <c r="A30" s="131" t="s">
        <v>52</v>
      </c>
      <c r="B30" s="136" t="str">
        <f>IF(SER_hh_tes!B30=0,"",SER_hh_tes!B30/SER_hh_fec!B30)</f>
        <v/>
      </c>
      <c r="C30" s="136">
        <f>IF(SER_hh_tes!C30=0,"",SER_hh_tes!C30/SER_hh_fec!C30)</f>
        <v>0.59550036143636353</v>
      </c>
      <c r="D30" s="136">
        <f>IF(SER_hh_tes!D30=0,"",SER_hh_tes!D30/SER_hh_fec!D30)</f>
        <v>0.59561065192093998</v>
      </c>
      <c r="E30" s="136">
        <f>IF(SER_hh_tes!E30=0,"",SER_hh_tes!E30/SER_hh_fec!E30)</f>
        <v>0.59578209030269358</v>
      </c>
      <c r="F30" s="136">
        <f>IF(SER_hh_tes!F30=0,"",SER_hh_tes!F30/SER_hh_fec!F30)</f>
        <v>0.59580601384363907</v>
      </c>
      <c r="G30" s="136">
        <f>IF(SER_hh_tes!G30=0,"",SER_hh_tes!G30/SER_hh_fec!G30)</f>
        <v>0.59584382798141877</v>
      </c>
      <c r="H30" s="136">
        <f>IF(SER_hh_tes!H30=0,"",SER_hh_tes!H30/SER_hh_fec!H30)</f>
        <v>0.5958477757318269</v>
      </c>
      <c r="I30" s="136">
        <f>IF(SER_hh_tes!I30=0,"",SER_hh_tes!I30/SER_hh_fec!I30)</f>
        <v>0.59584976544629353</v>
      </c>
      <c r="J30" s="136">
        <f>IF(SER_hh_tes!J30=0,"",SER_hh_tes!J30/SER_hh_fec!J30)</f>
        <v>0.59585375404031715</v>
      </c>
      <c r="K30" s="136">
        <f>IF(SER_hh_tes!K30=0,"",SER_hh_tes!K30/SER_hh_fec!K30)</f>
        <v>0.59585375404031715</v>
      </c>
      <c r="L30" s="136">
        <f>IF(SER_hh_tes!L30=0,"",SER_hh_tes!L30/SER_hh_fec!L30)</f>
        <v>0.5958567224388559</v>
      </c>
      <c r="M30" s="136">
        <f>IF(SER_hh_tes!M30=0,"",SER_hh_tes!M30/SER_hh_fec!M30)</f>
        <v>0.59588232284106279</v>
      </c>
      <c r="N30" s="136">
        <f>IF(SER_hh_tes!N30=0,"",SER_hh_tes!N30/SER_hh_fec!N30)</f>
        <v>0.59675389829069803</v>
      </c>
      <c r="O30" s="136">
        <f>IF(SER_hh_tes!O30=0,"",SER_hh_tes!O30/SER_hh_fec!O30)</f>
        <v>0.59773945543603846</v>
      </c>
      <c r="P30" s="136">
        <f>IF(SER_hh_tes!P30=0,"",SER_hh_tes!P30/SER_hh_fec!P30)</f>
        <v>0.59837850155491579</v>
      </c>
      <c r="Q30" s="136">
        <f>IF(SER_hh_tes!Q30=0,"",SER_hh_tes!Q30/SER_hh_fec!Q30)</f>
        <v>0.59894224940827712</v>
      </c>
      <c r="R30" s="136">
        <f>IF(SER_hh_tes!R30=0,"",SER_hh_tes!R30/SER_hh_fec!R30)</f>
        <v>0.59978312523171184</v>
      </c>
      <c r="S30" s="136">
        <f>IF(SER_hh_tes!S30=0,"",SER_hh_tes!S30/SER_hh_fec!S30)</f>
        <v>0.60074345511697813</v>
      </c>
      <c r="T30" s="136">
        <f>IF(SER_hh_tes!T30=0,"",SER_hh_tes!T30/SER_hh_fec!T30)</f>
        <v>0.60086338932043248</v>
      </c>
      <c r="U30" s="136">
        <f>IF(SER_hh_tes!U30=0,"",SER_hh_tes!U30/SER_hh_fec!U30)</f>
        <v>0.60091074256595289</v>
      </c>
      <c r="V30" s="136">
        <f>IF(SER_hh_tes!V30=0,"",SER_hh_tes!V30/SER_hh_fec!V30)</f>
        <v>0.6013748387915091</v>
      </c>
      <c r="W30" s="136">
        <f>IF(SER_hh_tes!W30=0,"",SER_hh_tes!W30/SER_hh_fec!W30)</f>
        <v>0.60260294046925034</v>
      </c>
      <c r="X30" s="136">
        <f>IF(SER_hh_tes!X30=0,"",SER_hh_tes!X30/SER_hh_fec!X30)</f>
        <v>0.60593411625066473</v>
      </c>
      <c r="Y30" s="136">
        <f>IF(SER_hh_tes!Y30=0,"",SER_hh_tes!Y30/SER_hh_fec!Y30)</f>
        <v>0.60762900924596541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0.56875537087588091</v>
      </c>
      <c r="C31" s="136">
        <f>IF(SER_hh_tes!C31=0,"",SER_hh_tes!C31/SER_hh_fec!C31)</f>
        <v>0.57097032810089443</v>
      </c>
      <c r="D31" s="136">
        <f>IF(SER_hh_tes!D31=0,"",SER_hh_tes!D31/SER_hh_fec!D31)</f>
        <v>0.57239127705369741</v>
      </c>
      <c r="E31" s="136">
        <f>IF(SER_hh_tes!E31=0,"",SER_hh_tes!E31/SER_hh_fec!E31)</f>
        <v>0.57331840780314458</v>
      </c>
      <c r="F31" s="136">
        <f>IF(SER_hh_tes!F31=0,"",SER_hh_tes!F31/SER_hh_fec!F31)</f>
        <v>0.57407001499357369</v>
      </c>
      <c r="G31" s="136">
        <f>IF(SER_hh_tes!G31=0,"",SER_hh_tes!G31/SER_hh_fec!G31)</f>
        <v>0.57473679504586372</v>
      </c>
      <c r="H31" s="136">
        <f>IF(SER_hh_tes!H31=0,"",SER_hh_tes!H31/SER_hh_fec!H31)</f>
        <v>0.57550511633320423</v>
      </c>
      <c r="I31" s="136">
        <f>IF(SER_hh_tes!I31=0,"",SER_hh_tes!I31/SER_hh_fec!I31)</f>
        <v>0.57639584940756083</v>
      </c>
      <c r="J31" s="136">
        <f>IF(SER_hh_tes!J31=0,"",SER_hh_tes!J31/SER_hh_fec!J31)</f>
        <v>0.57730519352178289</v>
      </c>
      <c r="K31" s="136">
        <f>IF(SER_hh_tes!K31=0,"",SER_hh_tes!K31/SER_hh_fec!K31)</f>
        <v>0.57819454309881613</v>
      </c>
      <c r="L31" s="136">
        <f>IF(SER_hh_tes!L31=0,"",SER_hh_tes!L31/SER_hh_fec!L31)</f>
        <v>0.57881509073970538</v>
      </c>
      <c r="M31" s="136">
        <f>IF(SER_hh_tes!M31=0,"",SER_hh_tes!M31/SER_hh_fec!M31)</f>
        <v>0.57906468557597435</v>
      </c>
      <c r="N31" s="136">
        <f>IF(SER_hh_tes!N31=0,"",SER_hh_tes!N31/SER_hh_fec!N31)</f>
        <v>0.57937312239652672</v>
      </c>
      <c r="O31" s="136">
        <f>IF(SER_hh_tes!O31=0,"",SER_hh_tes!O31/SER_hh_fec!O31)</f>
        <v>0.58015177128966922</v>
      </c>
      <c r="P31" s="136">
        <f>IF(SER_hh_tes!P31=0,"",SER_hh_tes!P31/SER_hh_fec!P31)</f>
        <v>0.58112633099621858</v>
      </c>
      <c r="Q31" s="136">
        <f>IF(SER_hh_tes!Q31=0,"",SER_hh_tes!Q31/SER_hh_fec!Q31)</f>
        <v>0.58240014687194208</v>
      </c>
      <c r="R31" s="136">
        <f>IF(SER_hh_tes!R31=0,"",SER_hh_tes!R31/SER_hh_fec!R31)</f>
        <v>0.58494983406065748</v>
      </c>
      <c r="S31" s="136">
        <f>IF(SER_hh_tes!S31=0,"",SER_hh_tes!S31/SER_hh_fec!S31)</f>
        <v>0.58864580185017268</v>
      </c>
      <c r="T31" s="136">
        <f>IF(SER_hh_tes!T31=0,"",SER_hh_tes!T31/SER_hh_fec!T31)</f>
        <v>0.59351831844321123</v>
      </c>
      <c r="U31" s="136">
        <f>IF(SER_hh_tes!U31=0,"",SER_hh_tes!U31/SER_hh_fec!U31)</f>
        <v>0.59852210912538417</v>
      </c>
      <c r="V31" s="136">
        <f>IF(SER_hh_tes!V31=0,"",SER_hh_tes!V31/SER_hh_fec!V31)</f>
        <v>0.60291139479009737</v>
      </c>
      <c r="W31" s="136">
        <f>IF(SER_hh_tes!W31=0,"",SER_hh_tes!W31/SER_hh_fec!W31)</f>
        <v>0.60560373606669438</v>
      </c>
      <c r="X31" s="136">
        <f>IF(SER_hh_tes!X31=0,"",SER_hh_tes!X31/SER_hh_fec!X31)</f>
        <v>0.60701919205203692</v>
      </c>
      <c r="Y31" s="136">
        <f>IF(SER_hh_tes!Y31=0,"",SER_hh_tes!Y31/SER_hh_fec!Y31)</f>
        <v>0.60926574934780242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0.74338104328367094</v>
      </c>
      <c r="C33" s="149">
        <f>IF(SER_hh_tes!C33=0,"",SER_hh_tes!C33/SER_hh_fec!C33)</f>
        <v>0.74434932109107754</v>
      </c>
      <c r="D33" s="149">
        <f>IF(SER_hh_tes!D33=0,"",SER_hh_tes!D33/SER_hh_fec!D33)</f>
        <v>0.74579021214721453</v>
      </c>
      <c r="E33" s="149">
        <f>IF(SER_hh_tes!E33=0,"",SER_hh_tes!E33/SER_hh_fec!E33)</f>
        <v>0.747534932358487</v>
      </c>
      <c r="F33" s="149">
        <f>IF(SER_hh_tes!F33=0,"",SER_hh_tes!F33/SER_hh_fec!F33)</f>
        <v>0.74986129381335831</v>
      </c>
      <c r="G33" s="149">
        <f>IF(SER_hh_tes!G33=0,"",SER_hh_tes!G33/SER_hh_fec!G33)</f>
        <v>0.75212331450646219</v>
      </c>
      <c r="H33" s="149">
        <f>IF(SER_hh_tes!H33=0,"",SER_hh_tes!H33/SER_hh_fec!H33)</f>
        <v>0.75466479906128336</v>
      </c>
      <c r="I33" s="149">
        <f>IF(SER_hh_tes!I33=0,"",SER_hh_tes!I33/SER_hh_fec!I33)</f>
        <v>0.75715226955728199</v>
      </c>
      <c r="J33" s="149">
        <f>IF(SER_hh_tes!J33=0,"",SER_hh_tes!J33/SER_hh_fec!J33)</f>
        <v>0.75948050673933587</v>
      </c>
      <c r="K33" s="149">
        <f>IF(SER_hh_tes!K33=0,"",SER_hh_tes!K33/SER_hh_fec!K33)</f>
        <v>0.76178763510461012</v>
      </c>
      <c r="L33" s="149">
        <f>IF(SER_hh_tes!L33=0,"",SER_hh_tes!L33/SER_hh_fec!L33)</f>
        <v>0.76355761679390388</v>
      </c>
      <c r="M33" s="149">
        <f>IF(SER_hh_tes!M33=0,"",SER_hh_tes!M33/SER_hh_fec!M33)</f>
        <v>0.76461163691584011</v>
      </c>
      <c r="N33" s="149">
        <f>IF(SER_hh_tes!N33=0,"",SER_hh_tes!N33/SER_hh_fec!N33)</f>
        <v>0.76593781807078387</v>
      </c>
      <c r="O33" s="149">
        <f>IF(SER_hh_tes!O33=0,"",SER_hh_tes!O33/SER_hh_fec!O33)</f>
        <v>0.76825591625073586</v>
      </c>
      <c r="P33" s="149">
        <f>IF(SER_hh_tes!P33=0,"",SER_hh_tes!P33/SER_hh_fec!P33)</f>
        <v>0.77106689516078886</v>
      </c>
      <c r="Q33" s="149">
        <f>IF(SER_hh_tes!Q33=0,"",SER_hh_tes!Q33/SER_hh_fec!Q33)</f>
        <v>0.77470511842530632</v>
      </c>
      <c r="R33" s="149">
        <f>IF(SER_hh_tes!R33=0,"",SER_hh_tes!R33/SER_hh_fec!R33)</f>
        <v>0.77876590945166835</v>
      </c>
      <c r="S33" s="149">
        <f>IF(SER_hh_tes!S33=0,"",SER_hh_tes!S33/SER_hh_fec!S33)</f>
        <v>0.78466077102619469</v>
      </c>
      <c r="T33" s="149">
        <f>IF(SER_hh_tes!T33=0,"",SER_hh_tes!T33/SER_hh_fec!T33)</f>
        <v>0.79275159275795937</v>
      </c>
      <c r="U33" s="149">
        <f>IF(SER_hh_tes!U33=0,"",SER_hh_tes!U33/SER_hh_fec!U33)</f>
        <v>0.80255036254631151</v>
      </c>
      <c r="V33" s="149">
        <f>IF(SER_hh_tes!V33=0,"",SER_hh_tes!V33/SER_hh_fec!V33)</f>
        <v>0.81222594294714545</v>
      </c>
      <c r="W33" s="149">
        <f>IF(SER_hh_tes!W33=0,"",SER_hh_tes!W33/SER_hh_fec!W33)</f>
        <v>0.82288324406994484</v>
      </c>
      <c r="X33" s="149">
        <f>IF(SER_hh_tes!X33=0,"",SER_hh_tes!X33/SER_hh_fec!X33)</f>
        <v>0.83327650551574894</v>
      </c>
      <c r="Y33" s="149">
        <f>IF(SER_hh_tes!Y33=0,"",SER_hh_tes!Y33/SER_hh_fec!Y33)</f>
        <v>0.84456105343587362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365.51382709309848</v>
      </c>
      <c r="C3" s="125">
        <f t="shared" si="0"/>
        <v>393.14088000663003</v>
      </c>
      <c r="D3" s="125">
        <f t="shared" si="0"/>
        <v>433.05632820000005</v>
      </c>
      <c r="E3" s="125">
        <f t="shared" si="0"/>
        <v>460.65305232000014</v>
      </c>
      <c r="F3" s="125">
        <f t="shared" si="0"/>
        <v>494.33170494974826</v>
      </c>
      <c r="G3" s="125">
        <f t="shared" si="0"/>
        <v>450.55544106974833</v>
      </c>
      <c r="H3" s="125">
        <f t="shared" si="0"/>
        <v>510.53970785025166</v>
      </c>
      <c r="I3" s="125">
        <f t="shared" si="0"/>
        <v>504.54707588913226</v>
      </c>
      <c r="J3" s="125">
        <f t="shared" si="0"/>
        <v>472.5979705139618</v>
      </c>
      <c r="K3" s="125">
        <f t="shared" si="0"/>
        <v>438.3360301358378</v>
      </c>
      <c r="L3" s="125">
        <f t="shared" si="0"/>
        <v>471.19741158974824</v>
      </c>
      <c r="M3" s="125">
        <f t="shared" si="0"/>
        <v>419.55668100000008</v>
      </c>
      <c r="N3" s="125">
        <f t="shared" si="0"/>
        <v>408.19510604897965</v>
      </c>
      <c r="O3" s="125">
        <f t="shared" si="0"/>
        <v>384.65858338008303</v>
      </c>
      <c r="P3" s="125">
        <f t="shared" si="0"/>
        <v>403.05766599900068</v>
      </c>
      <c r="Q3" s="125">
        <f t="shared" si="0"/>
        <v>389.20680358904571</v>
      </c>
      <c r="R3" s="125">
        <f t="shared" ref="R3:W3" si="1">SUM(R4,R16,R19,R29)</f>
        <v>359.44174389161822</v>
      </c>
      <c r="S3" s="125">
        <f t="shared" si="1"/>
        <v>379.11738613689619</v>
      </c>
      <c r="T3" s="125">
        <f t="shared" si="1"/>
        <v>396.26716122509822</v>
      </c>
      <c r="U3" s="125">
        <f t="shared" si="1"/>
        <v>377.24228922169362</v>
      </c>
      <c r="V3" s="125">
        <f t="shared" si="1"/>
        <v>392.1637367134017</v>
      </c>
      <c r="W3" s="125">
        <f t="shared" si="1"/>
        <v>462.01788009981794</v>
      </c>
      <c r="X3" s="125">
        <f t="shared" ref="X3:Y3" si="2">SUM(X4,X16,X19,X29)</f>
        <v>443.93803010379753</v>
      </c>
      <c r="Y3" s="125">
        <f t="shared" si="2"/>
        <v>451.91848365985464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329.98943279292143</v>
      </c>
      <c r="C4" s="130">
        <f t="shared" si="3"/>
        <v>341.41214480343706</v>
      </c>
      <c r="D4" s="130">
        <f t="shared" si="3"/>
        <v>376.5423150340514</v>
      </c>
      <c r="E4" s="130">
        <f t="shared" si="3"/>
        <v>395.66300906553238</v>
      </c>
      <c r="F4" s="130">
        <f t="shared" si="3"/>
        <v>428.74055023887718</v>
      </c>
      <c r="G4" s="130">
        <f t="shared" si="3"/>
        <v>382.16262511832696</v>
      </c>
      <c r="H4" s="130">
        <f t="shared" si="3"/>
        <v>440.40068307436229</v>
      </c>
      <c r="I4" s="130">
        <f t="shared" si="3"/>
        <v>431.66546947948029</v>
      </c>
      <c r="J4" s="130">
        <f t="shared" si="3"/>
        <v>396.31969099014941</v>
      </c>
      <c r="K4" s="130">
        <f t="shared" si="3"/>
        <v>359.03078470168839</v>
      </c>
      <c r="L4" s="130">
        <f t="shared" si="3"/>
        <v>393.21666085303582</v>
      </c>
      <c r="M4" s="130">
        <f t="shared" si="3"/>
        <v>345.51229295491066</v>
      </c>
      <c r="N4" s="130">
        <f t="shared" si="3"/>
        <v>337.98741576892326</v>
      </c>
      <c r="O4" s="130">
        <f t="shared" si="3"/>
        <v>317.47434975440945</v>
      </c>
      <c r="P4" s="130">
        <f t="shared" si="3"/>
        <v>332.29782872689611</v>
      </c>
      <c r="Q4" s="130">
        <f t="shared" si="3"/>
        <v>318.87751650388122</v>
      </c>
      <c r="R4" s="130">
        <f t="shared" ref="R4:W4" si="4">SUM(R5:R15)</f>
        <v>278.87150337424828</v>
      </c>
      <c r="S4" s="130">
        <f t="shared" si="4"/>
        <v>288.95865800625279</v>
      </c>
      <c r="T4" s="130">
        <f t="shared" si="4"/>
        <v>307.83069658480099</v>
      </c>
      <c r="U4" s="130">
        <f t="shared" si="4"/>
        <v>290.98966969487623</v>
      </c>
      <c r="V4" s="130">
        <f t="shared" si="4"/>
        <v>305.45045241690877</v>
      </c>
      <c r="W4" s="130">
        <f t="shared" si="4"/>
        <v>373.79924041295897</v>
      </c>
      <c r="X4" s="130">
        <f t="shared" ref="X4:Y4" si="5">SUM(X5:X15)</f>
        <v>349.08104435456596</v>
      </c>
      <c r="Y4" s="130">
        <f t="shared" si="5"/>
        <v>363.08908647147911</v>
      </c>
      <c r="DA4" s="155" t="s">
        <v>234</v>
      </c>
    </row>
    <row r="5" spans="1:105" ht="12" customHeight="1" x14ac:dyDescent="0.25">
      <c r="A5" s="131" t="s">
        <v>29</v>
      </c>
      <c r="B5" s="132">
        <v>136.33309417309849</v>
      </c>
      <c r="C5" s="132">
        <v>134.69188392662994</v>
      </c>
      <c r="D5" s="132">
        <v>125.22411000000002</v>
      </c>
      <c r="E5" s="132">
        <v>118.48320000000008</v>
      </c>
      <c r="F5" s="132">
        <v>113.54628702974836</v>
      </c>
      <c r="G5" s="132">
        <v>91.330687029748319</v>
      </c>
      <c r="H5" s="132">
        <v>93.79931297025179</v>
      </c>
      <c r="I5" s="132">
        <v>92.396421809132022</v>
      </c>
      <c r="J5" s="132">
        <v>80.053007153961801</v>
      </c>
      <c r="K5" s="132">
        <v>60.303775575837662</v>
      </c>
      <c r="L5" s="132">
        <v>83.925487029748339</v>
      </c>
      <c r="M5" s="132">
        <v>74.052000000000021</v>
      </c>
      <c r="N5" s="132">
        <v>40.22020244897962</v>
      </c>
      <c r="O5" s="132">
        <v>44.164792780082912</v>
      </c>
      <c r="P5" s="132">
        <v>33.734193759000547</v>
      </c>
      <c r="Q5" s="132">
        <v>25.409633029045636</v>
      </c>
      <c r="R5" s="132">
        <v>23.320240411618254</v>
      </c>
      <c r="S5" s="132">
        <v>15.78105049689623</v>
      </c>
      <c r="T5" s="132">
        <v>15.086391305098211</v>
      </c>
      <c r="U5" s="132">
        <v>11.006652901693444</v>
      </c>
      <c r="V5" s="132">
        <v>6.3661176334016405</v>
      </c>
      <c r="W5" s="132">
        <v>8.163960579818049</v>
      </c>
      <c r="X5" s="132">
        <v>4.7160240237977966</v>
      </c>
      <c r="Y5" s="132">
        <v>9.9835092998550952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112.07844533693184</v>
      </c>
      <c r="C7" s="132">
        <v>127.50040542210903</v>
      </c>
      <c r="D7" s="132">
        <v>127.07850639591766</v>
      </c>
      <c r="E7" s="132">
        <v>141.16768333646655</v>
      </c>
      <c r="F7" s="132">
        <v>147.30980531700416</v>
      </c>
      <c r="G7" s="132">
        <v>116.21422075200705</v>
      </c>
      <c r="H7" s="132">
        <v>154.37740174500453</v>
      </c>
      <c r="I7" s="132">
        <v>120.61182839995182</v>
      </c>
      <c r="J7" s="132">
        <v>101.26898613931426</v>
      </c>
      <c r="K7" s="132">
        <v>95.753170075810019</v>
      </c>
      <c r="L7" s="132">
        <v>95.780456223663947</v>
      </c>
      <c r="M7" s="132">
        <v>82.811469271349566</v>
      </c>
      <c r="N7" s="132">
        <v>117.107701252426</v>
      </c>
      <c r="O7" s="132">
        <v>123.09452280273055</v>
      </c>
      <c r="P7" s="132">
        <v>132.60761777550687</v>
      </c>
      <c r="Q7" s="132">
        <v>139.00910008881704</v>
      </c>
      <c r="R7" s="132">
        <v>85.973163708631162</v>
      </c>
      <c r="S7" s="132">
        <v>91.159138098516124</v>
      </c>
      <c r="T7" s="132">
        <v>103.9034938373926</v>
      </c>
      <c r="U7" s="132">
        <v>82.449527741546945</v>
      </c>
      <c r="V7" s="132">
        <v>101.05799486472684</v>
      </c>
      <c r="W7" s="132">
        <v>153.05277868948542</v>
      </c>
      <c r="X7" s="132">
        <v>142.0823224778155</v>
      </c>
      <c r="Y7" s="132">
        <v>166.87895354242724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81.577893282891125</v>
      </c>
      <c r="C9" s="132">
        <v>79.219855454698035</v>
      </c>
      <c r="D9" s="132">
        <v>124.23969863813373</v>
      </c>
      <c r="E9" s="132">
        <v>136.01212572906573</v>
      </c>
      <c r="F9" s="132">
        <v>167.88445789212466</v>
      </c>
      <c r="G9" s="132">
        <v>174.61771733657159</v>
      </c>
      <c r="H9" s="132">
        <v>192.22396835910601</v>
      </c>
      <c r="I9" s="132">
        <v>218.65721927039644</v>
      </c>
      <c r="J9" s="132">
        <v>214.99769769687336</v>
      </c>
      <c r="K9" s="132">
        <v>202.97383905004074</v>
      </c>
      <c r="L9" s="132">
        <v>213.51071759962358</v>
      </c>
      <c r="M9" s="132">
        <v>188.64882368356106</v>
      </c>
      <c r="N9" s="132">
        <v>180.65951206751765</v>
      </c>
      <c r="O9" s="132">
        <v>150.21503417159599</v>
      </c>
      <c r="P9" s="132">
        <v>165.95601719238866</v>
      </c>
      <c r="Q9" s="132">
        <v>154.45878338601855</v>
      </c>
      <c r="R9" s="132">
        <v>169.57809925399889</v>
      </c>
      <c r="S9" s="132">
        <v>182.01846941084045</v>
      </c>
      <c r="T9" s="132">
        <v>188.84081144231021</v>
      </c>
      <c r="U9" s="132">
        <v>197.53348905163583</v>
      </c>
      <c r="V9" s="132">
        <v>198.02633991878031</v>
      </c>
      <c r="W9" s="132">
        <v>212.58250114365546</v>
      </c>
      <c r="X9" s="132">
        <v>202.28269785295271</v>
      </c>
      <c r="Y9" s="132">
        <v>186.22662362919678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0</v>
      </c>
      <c r="C16" s="130">
        <f t="shared" si="6"/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235</v>
      </c>
    </row>
    <row r="17" spans="1:105" ht="12.95" customHeight="1" x14ac:dyDescent="0.25">
      <c r="A17" s="131" t="s">
        <v>73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22.111242702922972</v>
      </c>
      <c r="C19" s="130">
        <f t="shared" si="9"/>
        <v>22.930501346934257</v>
      </c>
      <c r="D19" s="130">
        <f t="shared" si="9"/>
        <v>24.85877727721747</v>
      </c>
      <c r="E19" s="130">
        <f t="shared" si="9"/>
        <v>25.698220381230215</v>
      </c>
      <c r="F19" s="130">
        <f t="shared" si="9"/>
        <v>26.545565496886368</v>
      </c>
      <c r="G19" s="130">
        <f t="shared" si="9"/>
        <v>28.291374551986955</v>
      </c>
      <c r="H19" s="130">
        <f t="shared" si="9"/>
        <v>29.494318899805727</v>
      </c>
      <c r="I19" s="130">
        <f t="shared" si="9"/>
        <v>30.082267863193948</v>
      </c>
      <c r="J19" s="130">
        <f t="shared" si="9"/>
        <v>33.151068001928991</v>
      </c>
      <c r="K19" s="130">
        <f t="shared" si="9"/>
        <v>34.09458825405104</v>
      </c>
      <c r="L19" s="130">
        <f t="shared" si="9"/>
        <v>34.245757845874913</v>
      </c>
      <c r="M19" s="130">
        <f t="shared" si="9"/>
        <v>35.113275620769713</v>
      </c>
      <c r="N19" s="130">
        <f t="shared" si="9"/>
        <v>35.775642275731357</v>
      </c>
      <c r="O19" s="130">
        <f t="shared" si="9"/>
        <v>36.214013184313266</v>
      </c>
      <c r="P19" s="130">
        <f t="shared" si="9"/>
        <v>36.30741931015892</v>
      </c>
      <c r="Q19" s="130">
        <f t="shared" si="9"/>
        <v>36.60688395091524</v>
      </c>
      <c r="R19" s="130">
        <f t="shared" ref="R19:W19" si="10">SUM(R20:R27)</f>
        <v>36.343503868851172</v>
      </c>
      <c r="S19" s="130">
        <f t="shared" si="10"/>
        <v>35.931401176925121</v>
      </c>
      <c r="T19" s="130">
        <f t="shared" si="10"/>
        <v>34.317498824325185</v>
      </c>
      <c r="U19" s="130">
        <f t="shared" si="10"/>
        <v>33.020309343264863</v>
      </c>
      <c r="V19" s="130">
        <f t="shared" si="10"/>
        <v>31.403427721804398</v>
      </c>
      <c r="W19" s="130">
        <f t="shared" si="10"/>
        <v>31.779446269860806</v>
      </c>
      <c r="X19" s="130">
        <f t="shared" ref="X19:Y19" si="11">SUM(X20:X27)</f>
        <v>30.950582695441419</v>
      </c>
      <c r="Y19" s="130">
        <f t="shared" si="11"/>
        <v>29.370421985957101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0</v>
      </c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372</v>
      </c>
    </row>
    <row r="22" spans="1:105" ht="12" customHeight="1" x14ac:dyDescent="0.25">
      <c r="A22" s="131" t="s">
        <v>161</v>
      </c>
      <c r="B22" s="132">
        <v>13.244357583068181</v>
      </c>
      <c r="C22" s="132">
        <v>13.618542657891005</v>
      </c>
      <c r="D22" s="132">
        <v>13.838127804082331</v>
      </c>
      <c r="E22" s="132">
        <v>14.055122983533487</v>
      </c>
      <c r="F22" s="132">
        <v>14.059140602995788</v>
      </c>
      <c r="G22" s="132">
        <v>14.253411287992929</v>
      </c>
      <c r="H22" s="132">
        <v>14.773101134995462</v>
      </c>
      <c r="I22" s="132">
        <v>14.311303680048244</v>
      </c>
      <c r="J22" s="132">
        <v>14.700469220685743</v>
      </c>
      <c r="K22" s="132">
        <v>14.33736648419003</v>
      </c>
      <c r="L22" s="132">
        <v>14.3100803363361</v>
      </c>
      <c r="M22" s="132">
        <v>14.589707728650424</v>
      </c>
      <c r="N22" s="132">
        <v>14.986634347573954</v>
      </c>
      <c r="O22" s="132">
        <v>15.195529797269439</v>
      </c>
      <c r="P22" s="132">
        <v>15.229292464493184</v>
      </c>
      <c r="Q22" s="132">
        <v>15.166658471182821</v>
      </c>
      <c r="R22" s="132">
        <v>14.6362893713688</v>
      </c>
      <c r="S22" s="132">
        <v>13.948460981483917</v>
      </c>
      <c r="T22" s="132">
        <v>12.999488682607394</v>
      </c>
      <c r="U22" s="132">
        <v>11.674744218453002</v>
      </c>
      <c r="V22" s="132">
        <v>9.9248578552731583</v>
      </c>
      <c r="W22" s="132">
        <v>10.00458127051443</v>
      </c>
      <c r="X22" s="132">
        <v>9.4655178021844506</v>
      </c>
      <c r="Y22" s="132">
        <v>9.5803917375726328</v>
      </c>
      <c r="DA22" s="156" t="s">
        <v>373</v>
      </c>
    </row>
    <row r="23" spans="1:105" ht="12" customHeight="1" x14ac:dyDescent="0.25">
      <c r="A23" s="131" t="s">
        <v>149</v>
      </c>
      <c r="B23" s="132">
        <v>8.8668851198547891</v>
      </c>
      <c r="C23" s="132">
        <v>9.3119586890432497</v>
      </c>
      <c r="D23" s="132">
        <v>11.020649473135137</v>
      </c>
      <c r="E23" s="132">
        <v>11.643097397696726</v>
      </c>
      <c r="F23" s="132">
        <v>12.486424893890582</v>
      </c>
      <c r="G23" s="132">
        <v>14.037963263994024</v>
      </c>
      <c r="H23" s="132">
        <v>14.721217764810266</v>
      </c>
      <c r="I23" s="132">
        <v>15.770964183145706</v>
      </c>
      <c r="J23" s="132">
        <v>18.450598781243247</v>
      </c>
      <c r="K23" s="132">
        <v>19.757221769861008</v>
      </c>
      <c r="L23" s="132">
        <v>19.935677509538813</v>
      </c>
      <c r="M23" s="132">
        <v>20.523567892119285</v>
      </c>
      <c r="N23" s="132">
        <v>20.789007928157407</v>
      </c>
      <c r="O23" s="132">
        <v>21.018483387043826</v>
      </c>
      <c r="P23" s="132">
        <v>21.078126845665732</v>
      </c>
      <c r="Q23" s="132">
        <v>21.440225479732419</v>
      </c>
      <c r="R23" s="132">
        <v>21.707214497482369</v>
      </c>
      <c r="S23" s="132">
        <v>21.982940195441202</v>
      </c>
      <c r="T23" s="132">
        <v>21.318010141717792</v>
      </c>
      <c r="U23" s="132">
        <v>21.345565124811863</v>
      </c>
      <c r="V23" s="132">
        <v>21.478569866531238</v>
      </c>
      <c r="W23" s="132">
        <v>21.774864999346374</v>
      </c>
      <c r="X23" s="132">
        <v>21.485064893256968</v>
      </c>
      <c r="Y23" s="132">
        <v>19.790030248384468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13.413151597254084</v>
      </c>
      <c r="C29" s="130">
        <f t="shared" si="12"/>
        <v>28.798233856258747</v>
      </c>
      <c r="D29" s="130">
        <f t="shared" si="12"/>
        <v>31.655235888731188</v>
      </c>
      <c r="E29" s="130">
        <f t="shared" si="12"/>
        <v>39.291822873237535</v>
      </c>
      <c r="F29" s="130">
        <f t="shared" si="12"/>
        <v>39.045589213984748</v>
      </c>
      <c r="G29" s="130">
        <f t="shared" si="12"/>
        <v>40.101441399434407</v>
      </c>
      <c r="H29" s="130">
        <f t="shared" si="12"/>
        <v>40.64470587608367</v>
      </c>
      <c r="I29" s="130">
        <f t="shared" si="12"/>
        <v>42.799338546458053</v>
      </c>
      <c r="J29" s="130">
        <f t="shared" si="12"/>
        <v>43.127211521883375</v>
      </c>
      <c r="K29" s="130">
        <f t="shared" si="12"/>
        <v>45.21065718009838</v>
      </c>
      <c r="L29" s="130">
        <f t="shared" si="12"/>
        <v>43.734992890837539</v>
      </c>
      <c r="M29" s="130">
        <f t="shared" si="12"/>
        <v>38.931112424319657</v>
      </c>
      <c r="N29" s="130">
        <f t="shared" si="12"/>
        <v>34.432048004325047</v>
      </c>
      <c r="O29" s="130">
        <f t="shared" si="12"/>
        <v>30.970220441360297</v>
      </c>
      <c r="P29" s="130">
        <f t="shared" si="12"/>
        <v>34.452417961945628</v>
      </c>
      <c r="Q29" s="130">
        <f t="shared" si="12"/>
        <v>33.722403134249248</v>
      </c>
      <c r="R29" s="130">
        <f t="shared" ref="R29:W29" si="13">SUM(R30:R33)</f>
        <v>44.226736648518809</v>
      </c>
      <c r="S29" s="130">
        <f t="shared" si="13"/>
        <v>54.227326953718247</v>
      </c>
      <c r="T29" s="130">
        <f t="shared" si="13"/>
        <v>54.118965815972068</v>
      </c>
      <c r="U29" s="130">
        <f t="shared" si="13"/>
        <v>53.232310183552563</v>
      </c>
      <c r="V29" s="130">
        <f t="shared" si="13"/>
        <v>55.30985657468851</v>
      </c>
      <c r="W29" s="130">
        <f t="shared" si="13"/>
        <v>56.439193416998187</v>
      </c>
      <c r="X29" s="130">
        <f t="shared" ref="X29:Y29" si="14">SUM(X30:X33)</f>
        <v>63.906403053790157</v>
      </c>
      <c r="Y29" s="130">
        <f t="shared" si="14"/>
        <v>59.458975202418451</v>
      </c>
      <c r="DA29" s="155" t="s">
        <v>237</v>
      </c>
    </row>
    <row r="30" spans="1:105" ht="12" customHeight="1" x14ac:dyDescent="0.25">
      <c r="A30" s="131" t="s">
        <v>52</v>
      </c>
      <c r="B30" s="132">
        <v>0</v>
      </c>
      <c r="C30" s="132">
        <v>5.747148000000001</v>
      </c>
      <c r="D30" s="132">
        <v>2.8735739999999987</v>
      </c>
      <c r="E30" s="132">
        <v>11.494295999999999</v>
      </c>
      <c r="F30" s="132">
        <v>8.6207220000000007</v>
      </c>
      <c r="G30" s="132">
        <v>8.6207220000000042</v>
      </c>
      <c r="H30" s="132">
        <v>8.6207220000000024</v>
      </c>
      <c r="I30" s="132">
        <v>8.6207220000000024</v>
      </c>
      <c r="J30" s="132">
        <v>5.7471480000000028</v>
      </c>
      <c r="K30" s="132">
        <v>5.7471479999999993</v>
      </c>
      <c r="L30" s="132">
        <v>5.7471480000000037</v>
      </c>
      <c r="M30" s="132">
        <v>2.8735739999999979</v>
      </c>
      <c r="N30" s="132">
        <v>5.7471480000000001</v>
      </c>
      <c r="O30" s="132">
        <v>5.7471480000000028</v>
      </c>
      <c r="P30" s="132">
        <v>8.6207220000000042</v>
      </c>
      <c r="Q30" s="132">
        <v>8.6207220000000042</v>
      </c>
      <c r="R30" s="132">
        <v>14.367870000000007</v>
      </c>
      <c r="S30" s="132">
        <v>20.876458320000008</v>
      </c>
      <c r="T30" s="132">
        <v>17.58627288000001</v>
      </c>
      <c r="U30" s="132">
        <v>13.620740760000002</v>
      </c>
      <c r="V30" s="132">
        <v>13.540326120000007</v>
      </c>
      <c r="W30" s="132">
        <v>14.347652759999994</v>
      </c>
      <c r="X30" s="132">
        <v>25.135254000000007</v>
      </c>
      <c r="Y30" s="132">
        <v>17.755734239999981</v>
      </c>
      <c r="DA30" s="156" t="s">
        <v>379</v>
      </c>
    </row>
    <row r="31" spans="1:105" ht="12" customHeight="1" x14ac:dyDescent="0.25">
      <c r="A31" s="131" t="s">
        <v>149</v>
      </c>
      <c r="B31" s="132">
        <v>13.413151597254084</v>
      </c>
      <c r="C31" s="132">
        <v>23.051085856258748</v>
      </c>
      <c r="D31" s="132">
        <v>28.78166188873119</v>
      </c>
      <c r="E31" s="132">
        <v>27.79752687323754</v>
      </c>
      <c r="F31" s="132">
        <v>30.424867213984747</v>
      </c>
      <c r="G31" s="132">
        <v>31.480719399434399</v>
      </c>
      <c r="H31" s="132">
        <v>32.023983876083669</v>
      </c>
      <c r="I31" s="132">
        <v>34.178616546458052</v>
      </c>
      <c r="J31" s="132">
        <v>37.380063521883372</v>
      </c>
      <c r="K31" s="132">
        <v>39.463509180098377</v>
      </c>
      <c r="L31" s="132">
        <v>37.987844890837536</v>
      </c>
      <c r="M31" s="132">
        <v>36.057538424319659</v>
      </c>
      <c r="N31" s="132">
        <v>28.684900004325048</v>
      </c>
      <c r="O31" s="132">
        <v>25.223072441360294</v>
      </c>
      <c r="P31" s="132">
        <v>25.831695961945627</v>
      </c>
      <c r="Q31" s="132">
        <v>25.101681134249247</v>
      </c>
      <c r="R31" s="132">
        <v>29.858866648518799</v>
      </c>
      <c r="S31" s="132">
        <v>33.350868633718235</v>
      </c>
      <c r="T31" s="132">
        <v>36.532692935972058</v>
      </c>
      <c r="U31" s="132">
        <v>39.611569423552559</v>
      </c>
      <c r="V31" s="132">
        <v>41.7695304546885</v>
      </c>
      <c r="W31" s="132">
        <v>42.091540656998191</v>
      </c>
      <c r="X31" s="132">
        <v>38.771149053790154</v>
      </c>
      <c r="Y31" s="132">
        <v>41.703240962418469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382311.53036474041</v>
      </c>
      <c r="C3" s="125">
        <f>IF(SER_hh_fec!C3=0,0,11630*1000*SER_hh_fec!C3/SER_hh_num!C3)</f>
        <v>389615.77839987574</v>
      </c>
      <c r="D3" s="125">
        <f>IF(SER_hh_fec!D3=0,0,11630*1000*SER_hh_fec!D3/SER_hh_num!D3)</f>
        <v>396798.46820188971</v>
      </c>
      <c r="E3" s="125">
        <f>IF(SER_hh_fec!E3=0,0,11630*1000*SER_hh_fec!E3/SER_hh_num!E3)</f>
        <v>399052.62032044079</v>
      </c>
      <c r="F3" s="125">
        <f>IF(SER_hh_fec!F3=0,0,11630*1000*SER_hh_fec!F3/SER_hh_num!F3)</f>
        <v>398405.85019610409</v>
      </c>
      <c r="G3" s="125">
        <f>IF(SER_hh_fec!G3=0,0,11630*1000*SER_hh_fec!G3/SER_hh_num!G3)</f>
        <v>377347.85508950404</v>
      </c>
      <c r="H3" s="125">
        <f>IF(SER_hh_fec!H3=0,0,11630*1000*SER_hh_fec!H3/SER_hh_num!H3)</f>
        <v>381582.12747258862</v>
      </c>
      <c r="I3" s="125">
        <f>IF(SER_hh_fec!I3=0,0,11630*1000*SER_hh_fec!I3/SER_hh_num!I3)</f>
        <v>385507.60590756952</v>
      </c>
      <c r="J3" s="125">
        <f>IF(SER_hh_fec!J3=0,0,11630*1000*SER_hh_fec!J3/SER_hh_num!J3)</f>
        <v>324464.82521265873</v>
      </c>
      <c r="K3" s="125">
        <f>IF(SER_hh_fec!K3=0,0,11630*1000*SER_hh_fec!K3/SER_hh_num!K3)</f>
        <v>297542.20099403418</v>
      </c>
      <c r="L3" s="125">
        <f>IF(SER_hh_fec!L3=0,0,11630*1000*SER_hh_fec!L3/SER_hh_num!L3)</f>
        <v>314306.40629635402</v>
      </c>
      <c r="M3" s="125">
        <f>IF(SER_hh_fec!M3=0,0,11630*1000*SER_hh_fec!M3/SER_hh_num!M3)</f>
        <v>282648.39969923359</v>
      </c>
      <c r="N3" s="125">
        <f>IF(SER_hh_fec!N3=0,0,11630*1000*SER_hh_fec!N3/SER_hh_num!N3)</f>
        <v>325290.58134331496</v>
      </c>
      <c r="O3" s="125">
        <f>IF(SER_hh_fec!O3=0,0,11630*1000*SER_hh_fec!O3/SER_hh_num!O3)</f>
        <v>306814.74803881231</v>
      </c>
      <c r="P3" s="125">
        <f>IF(SER_hh_fec!P3=0,0,11630*1000*SER_hh_fec!P3/SER_hh_num!P3)</f>
        <v>306917.45261627046</v>
      </c>
      <c r="Q3" s="125">
        <f>IF(SER_hh_fec!Q3=0,0,11630*1000*SER_hh_fec!Q3/SER_hh_num!Q3)</f>
        <v>285203.06380870671</v>
      </c>
      <c r="R3" s="125">
        <f>IF(SER_hh_fec!R3=0,0,11630*1000*SER_hh_fec!R3/SER_hh_num!R3)</f>
        <v>287806.65799018164</v>
      </c>
      <c r="S3" s="125">
        <f>IF(SER_hh_fec!S3=0,0,11630*1000*SER_hh_fec!S3/SER_hh_num!S3)</f>
        <v>293516.26145630638</v>
      </c>
      <c r="T3" s="125">
        <f>IF(SER_hh_fec!T3=0,0,11630*1000*SER_hh_fec!T3/SER_hh_num!T3)</f>
        <v>283668.22974278202</v>
      </c>
      <c r="U3" s="125">
        <f>IF(SER_hh_fec!U3=0,0,11630*1000*SER_hh_fec!U3/SER_hh_num!U3)</f>
        <v>268856.75615958625</v>
      </c>
      <c r="V3" s="125">
        <f>IF(SER_hh_fec!V3=0,0,11630*1000*SER_hh_fec!V3/SER_hh_num!V3)</f>
        <v>257005.30323458754</v>
      </c>
      <c r="W3" s="125">
        <f>IF(SER_hh_fec!W3=0,0,11630*1000*SER_hh_fec!W3/SER_hh_num!W3)</f>
        <v>285156.03452713834</v>
      </c>
      <c r="X3" s="125">
        <f>IF(SER_hh_fec!X3=0,0,11630*1000*SER_hh_fec!X3/SER_hh_num!X3)</f>
        <v>266406.52141983132</v>
      </c>
      <c r="Y3" s="125">
        <f>IF(SER_hh_fec!Y3=0,0,11630*1000*SER_hh_fec!Y3/SER_hh_num!Y3)</f>
        <v>245597.05166604902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301540.35055270564</v>
      </c>
      <c r="C4" s="130">
        <f>IF(SER_hh_fec!C4=0,0,11630*1000*SER_hh_fec!C4/SER_hh_num!C4)</f>
        <v>307844.23479247297</v>
      </c>
      <c r="D4" s="130">
        <f>IF(SER_hh_fec!D4=0,0,11630*1000*SER_hh_fec!D4/SER_hh_num!D4)</f>
        <v>318227.15852936945</v>
      </c>
      <c r="E4" s="130">
        <f>IF(SER_hh_fec!E4=0,0,11630*1000*SER_hh_fec!E4/SER_hh_num!E4)</f>
        <v>321443.33137025853</v>
      </c>
      <c r="F4" s="130">
        <f>IF(SER_hh_fec!F4=0,0,11630*1000*SER_hh_fec!F4/SER_hh_num!F4)</f>
        <v>320336.12006462296</v>
      </c>
      <c r="G4" s="130">
        <f>IF(SER_hh_fec!G4=0,0,11630*1000*SER_hh_fec!G4/SER_hh_num!G4)</f>
        <v>299134.29409601056</v>
      </c>
      <c r="H4" s="130">
        <f>IF(SER_hh_fec!H4=0,0,11630*1000*SER_hh_fec!H4/SER_hh_num!H4)</f>
        <v>303510.4460222568</v>
      </c>
      <c r="I4" s="130">
        <f>IF(SER_hh_fec!I4=0,0,11630*1000*SER_hh_fec!I4/SER_hh_num!I4)</f>
        <v>309493.74294100405</v>
      </c>
      <c r="J4" s="130">
        <f>IF(SER_hh_fec!J4=0,0,11630*1000*SER_hh_fec!J4/SER_hh_num!J4)</f>
        <v>248439.05416686763</v>
      </c>
      <c r="K4" s="130">
        <f>IF(SER_hh_fec!K4=0,0,11630*1000*SER_hh_fec!K4/SER_hh_num!K4)</f>
        <v>218791.69272212771</v>
      </c>
      <c r="L4" s="130">
        <f>IF(SER_hh_fec!L4=0,0,11630*1000*SER_hh_fec!L4/SER_hh_num!L4)</f>
        <v>236648.96665449432</v>
      </c>
      <c r="M4" s="130">
        <f>IF(SER_hh_fec!M4=0,0,11630*1000*SER_hh_fec!M4/SER_hh_num!M4)</f>
        <v>204942.95275976608</v>
      </c>
      <c r="N4" s="130">
        <f>IF(SER_hh_fec!N4=0,0,11630*1000*SER_hh_fec!N4/SER_hh_num!N4)</f>
        <v>249027.61641750752</v>
      </c>
      <c r="O4" s="130">
        <f>IF(SER_hh_fec!O4=0,0,11630*1000*SER_hh_fec!O4/SER_hh_num!O4)</f>
        <v>229503.4296892297</v>
      </c>
      <c r="P4" s="130">
        <f>IF(SER_hh_fec!P4=0,0,11630*1000*SER_hh_fec!P4/SER_hh_num!P4)</f>
        <v>230804.66824278046</v>
      </c>
      <c r="Q4" s="130">
        <f>IF(SER_hh_fec!Q4=0,0,11630*1000*SER_hh_fec!Q4/SER_hh_num!Q4)</f>
        <v>209479.19554760848</v>
      </c>
      <c r="R4" s="130">
        <f>IF(SER_hh_fec!R4=0,0,11630*1000*SER_hh_fec!R4/SER_hh_num!R4)</f>
        <v>212699.26155091592</v>
      </c>
      <c r="S4" s="130">
        <f>IF(SER_hh_fec!S4=0,0,11630*1000*SER_hh_fec!S4/SER_hh_num!S4)</f>
        <v>217885.94098384658</v>
      </c>
      <c r="T4" s="130">
        <f>IF(SER_hh_fec!T4=0,0,11630*1000*SER_hh_fec!T4/SER_hh_num!T4)</f>
        <v>209632.51614871205</v>
      </c>
      <c r="U4" s="130">
        <f>IF(SER_hh_fec!U4=0,0,11630*1000*SER_hh_fec!U4/SER_hh_num!U4)</f>
        <v>196167.13782246519</v>
      </c>
      <c r="V4" s="130">
        <f>IF(SER_hh_fec!V4=0,0,11630*1000*SER_hh_fec!V4/SER_hh_num!V4)</f>
        <v>190518.35710147538</v>
      </c>
      <c r="W4" s="130">
        <f>IF(SER_hh_fec!W4=0,0,11630*1000*SER_hh_fec!W4/SER_hh_num!W4)</f>
        <v>216062.82347659377</v>
      </c>
      <c r="X4" s="130">
        <f>IF(SER_hh_fec!X4=0,0,11630*1000*SER_hh_fec!X4/SER_hh_num!X4)</f>
        <v>196186.05784658916</v>
      </c>
      <c r="Y4" s="130">
        <f>IF(SER_hh_fec!Y4=0,0,11630*1000*SER_hh_fec!Y4/SER_hh_num!Y4)</f>
        <v>176625.63351896088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347936.91798130027</v>
      </c>
      <c r="C5" s="132">
        <f>IF(SER_hh_fec!C5=0,0,11630*1000*SER_hh_fec!C5/SER_hh_num!C5)</f>
        <v>357999.61836121406</v>
      </c>
      <c r="D5" s="132">
        <f>IF(SER_hh_fec!D5=0,0,11630*1000*SER_hh_fec!D5/SER_hh_num!D5)</f>
        <v>362353.43841338984</v>
      </c>
      <c r="E5" s="132">
        <f>IF(SER_hh_fec!E5=0,0,11630*1000*SER_hh_fec!E5/SER_hh_num!E5)</f>
        <v>363400.81857374468</v>
      </c>
      <c r="F5" s="132">
        <f>IF(SER_hh_fec!F5=0,0,11630*1000*SER_hh_fec!F5/SER_hh_num!F5)</f>
        <v>373803.05835416768</v>
      </c>
      <c r="G5" s="132">
        <f>IF(SER_hh_fec!G5=0,0,11630*1000*SER_hh_fec!G5/SER_hh_num!G5)</f>
        <v>324673.69048849901</v>
      </c>
      <c r="H5" s="132">
        <f>IF(SER_hh_fec!H5=0,0,11630*1000*SER_hh_fec!H5/SER_hh_num!H5)</f>
        <v>340863.18474748748</v>
      </c>
      <c r="I5" s="132">
        <f>IF(SER_hh_fec!I5=0,0,11630*1000*SER_hh_fec!I5/SER_hh_num!I5)</f>
        <v>341539.34106090519</v>
      </c>
      <c r="J5" s="132">
        <f>IF(SER_hh_fec!J5=0,0,11630*1000*SER_hh_fec!J5/SER_hh_num!J5)</f>
        <v>286439.63993522315</v>
      </c>
      <c r="K5" s="132">
        <f>IF(SER_hh_fec!K5=0,0,11630*1000*SER_hh_fec!K5/SER_hh_num!K5)</f>
        <v>210651.86740291154</v>
      </c>
      <c r="L5" s="132">
        <f>IF(SER_hh_fec!L5=0,0,11630*1000*SER_hh_fec!L5/SER_hh_num!L5)</f>
        <v>283611.69609525672</v>
      </c>
      <c r="M5" s="132">
        <f>IF(SER_hh_fec!M5=0,0,11630*1000*SER_hh_fec!M5/SER_hh_num!M5)</f>
        <v>266801.25651330227</v>
      </c>
      <c r="N5" s="132">
        <f>IF(SER_hh_fec!N5=0,0,11630*1000*SER_hh_fec!N5/SER_hh_num!N5)</f>
        <v>187001.7969784927</v>
      </c>
      <c r="O5" s="132">
        <f>IF(SER_hh_fec!O5=0,0,11630*1000*SER_hh_fec!O5/SER_hh_num!O5)</f>
        <v>243590.34159162038</v>
      </c>
      <c r="P5" s="132">
        <f>IF(SER_hh_fec!P5=0,0,11630*1000*SER_hh_fec!P5/SER_hh_num!P5)</f>
        <v>235093.85749286323</v>
      </c>
      <c r="Q5" s="132">
        <f>IF(SER_hh_fec!Q5=0,0,11630*1000*SER_hh_fec!Q5/SER_hh_num!Q5)</f>
        <v>210297.56741174505</v>
      </c>
      <c r="R5" s="132">
        <f>IF(SER_hh_fec!R5=0,0,11630*1000*SER_hh_fec!R5/SER_hh_num!R5)</f>
        <v>236616.68562390242</v>
      </c>
      <c r="S5" s="132">
        <f>IF(SER_hh_fec!S5=0,0,11630*1000*SER_hh_fec!S5/SER_hh_num!S5)</f>
        <v>203814.21143564919</v>
      </c>
      <c r="T5" s="132">
        <f>IF(SER_hh_fec!T5=0,0,11630*1000*SER_hh_fec!T5/SER_hh_num!T5)</f>
        <v>237981.07811713422</v>
      </c>
      <c r="U5" s="132">
        <f>IF(SER_hh_fec!U5=0,0,11630*1000*SER_hh_fec!U5/SER_hh_num!U5)</f>
        <v>224114.21570914981</v>
      </c>
      <c r="V5" s="132">
        <f>IF(SER_hh_fec!V5=0,0,11630*1000*SER_hh_fec!V5/SER_hh_num!V5)</f>
        <v>156240.53287793064</v>
      </c>
      <c r="W5" s="132">
        <f>IF(SER_hh_fec!W5=0,0,11630*1000*SER_hh_fec!W5/SER_hh_num!W5)</f>
        <v>211269.70413164399</v>
      </c>
      <c r="X5" s="132">
        <f>IF(SER_hh_fec!X5=0,0,11630*1000*SER_hh_fec!X5/SER_hh_num!X5)</f>
        <v>121777.7254002199</v>
      </c>
      <c r="Y5" s="132">
        <f>IF(SER_hh_fec!Y5=0,0,11630*1000*SER_hh_fec!Y5/SER_hh_num!Y5)</f>
        <v>242986.15611634206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381764.68814890989</v>
      </c>
      <c r="C7" s="132">
        <f>IF(SER_hh_fec!C7=0,0,11630*1000*SER_hh_fec!C7/SER_hh_num!C7)</f>
        <v>416813.63415737258</v>
      </c>
      <c r="D7" s="132">
        <f>IF(SER_hh_fec!D7=0,0,11630*1000*SER_hh_fec!D7/SER_hh_num!D7)</f>
        <v>399018.04420470435</v>
      </c>
      <c r="E7" s="132">
        <f>IF(SER_hh_fec!E7=0,0,11630*1000*SER_hh_fec!E7/SER_hh_num!E7)</f>
        <v>425731.83261567983</v>
      </c>
      <c r="F7" s="132">
        <f>IF(SER_hh_fec!F7=0,0,11630*1000*SER_hh_fec!F7/SER_hh_num!F7)</f>
        <v>427622.43544226856</v>
      </c>
      <c r="G7" s="132">
        <f>IF(SER_hh_fec!G7=0,0,11630*1000*SER_hh_fec!G7/SER_hh_num!G7)</f>
        <v>340916.84165231977</v>
      </c>
      <c r="H7" s="132">
        <f>IF(SER_hh_fec!H7=0,0,11630*1000*SER_hh_fec!H7/SER_hh_num!H7)</f>
        <v>437513.53933150024</v>
      </c>
      <c r="I7" s="132">
        <f>IF(SER_hh_fec!I7=0,0,11630*1000*SER_hh_fec!I7/SER_hh_num!I7)</f>
        <v>362705.07232548314</v>
      </c>
      <c r="J7" s="132">
        <f>IF(SER_hh_fec!J7=0,0,11630*1000*SER_hh_fec!J7/SER_hh_num!J7)</f>
        <v>305394.1566621763</v>
      </c>
      <c r="K7" s="132">
        <f>IF(SER_hh_fec!K7=0,0,11630*1000*SER_hh_fec!K7/SER_hh_num!K7)</f>
        <v>288691.02410979703</v>
      </c>
      <c r="L7" s="132">
        <f>IF(SER_hh_fec!L7=0,0,11630*1000*SER_hh_fec!L7/SER_hh_num!L7)</f>
        <v>285473.91234860703</v>
      </c>
      <c r="M7" s="132">
        <f>IF(SER_hh_fec!M7=0,0,11630*1000*SER_hh_fec!M7/SER_hh_num!M7)</f>
        <v>233625.50898284159</v>
      </c>
      <c r="N7" s="132">
        <f>IF(SER_hh_fec!N7=0,0,11630*1000*SER_hh_fec!N7/SER_hh_num!N7)</f>
        <v>295810.92696544086</v>
      </c>
      <c r="O7" s="132">
        <f>IF(SER_hh_fec!O7=0,0,11630*1000*SER_hh_fec!O7/SER_hh_num!O7)</f>
        <v>272702.97052727954</v>
      </c>
      <c r="P7" s="132">
        <f>IF(SER_hh_fec!P7=0,0,11630*1000*SER_hh_fec!P7/SER_hh_num!P7)</f>
        <v>276134.13335705869</v>
      </c>
      <c r="Q7" s="132">
        <f>IF(SER_hh_fec!Q7=0,0,11630*1000*SER_hh_fec!Q7/SER_hh_num!Q7)</f>
        <v>288262.73482850072</v>
      </c>
      <c r="R7" s="132">
        <f>IF(SER_hh_fec!R7=0,0,11630*1000*SER_hh_fec!R7/SER_hh_num!R7)</f>
        <v>205994.28396979158</v>
      </c>
      <c r="S7" s="132">
        <f>IF(SER_hh_fec!S7=0,0,11630*1000*SER_hh_fec!S7/SER_hh_num!S7)</f>
        <v>233459.03197069766</v>
      </c>
      <c r="T7" s="132">
        <f>IF(SER_hh_fec!T7=0,0,11630*1000*SER_hh_fec!T7/SER_hh_num!T7)</f>
        <v>263615.29716539785</v>
      </c>
      <c r="U7" s="132">
        <f>IF(SER_hh_fec!U7=0,0,11630*1000*SER_hh_fec!U7/SER_hh_num!U7)</f>
        <v>195930.50735644167</v>
      </c>
      <c r="V7" s="132">
        <f>IF(SER_hh_fec!V7=0,0,11630*1000*SER_hh_fec!V7/SER_hh_num!V7)</f>
        <v>204848.72558751001</v>
      </c>
      <c r="W7" s="132">
        <f>IF(SER_hh_fec!W7=0,0,11630*1000*SER_hh_fec!W7/SER_hh_num!W7)</f>
        <v>254200.37427839258</v>
      </c>
      <c r="X7" s="132">
        <f>IF(SER_hh_fec!X7=0,0,11630*1000*SER_hh_fec!X7/SER_hh_num!X7)</f>
        <v>193691.75407903423</v>
      </c>
      <c r="Y7" s="132">
        <f>IF(SER_hh_fec!Y7=0,0,11630*1000*SER_hh_fec!Y7/SER_hh_num!Y7)</f>
        <v>208466.51680429137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372296.10500556993</v>
      </c>
      <c r="C9" s="132">
        <f>IF(SER_hh_fec!C9=0,0,11630*1000*SER_hh_fec!C9/SER_hh_num!C9)</f>
        <v>323649.13869434508</v>
      </c>
      <c r="D9" s="132">
        <f>IF(SER_hh_fec!D9=0,0,11630*1000*SER_hh_fec!D9/SER_hh_num!D9)</f>
        <v>390345.88693708339</v>
      </c>
      <c r="E9" s="132">
        <f>IF(SER_hh_fec!E9=0,0,11630*1000*SER_hh_fec!E9/SER_hh_num!E9)</f>
        <v>365638.67722701229</v>
      </c>
      <c r="F9" s="132">
        <f>IF(SER_hh_fec!F9=0,0,11630*1000*SER_hh_fec!F9/SER_hh_num!F9)</f>
        <v>380826.14382448135</v>
      </c>
      <c r="G9" s="132">
        <f>IF(SER_hh_fec!G9=0,0,11630*1000*SER_hh_fec!G9/SER_hh_num!G9)</f>
        <v>346115.5622410826</v>
      </c>
      <c r="H9" s="132">
        <f>IF(SER_hh_fec!H9=0,0,11630*1000*SER_hh_fec!H9/SER_hh_num!H9)</f>
        <v>338762.82844644564</v>
      </c>
      <c r="I9" s="132">
        <f>IF(SER_hh_fec!I9=0,0,11630*1000*SER_hh_fec!I9/SER_hh_num!I9)</f>
        <v>341519.97764564538</v>
      </c>
      <c r="J9" s="132">
        <f>IF(SER_hh_fec!J9=0,0,11630*1000*SER_hh_fec!J9/SER_hh_num!J9)</f>
        <v>298710.7234998605</v>
      </c>
      <c r="K9" s="132">
        <f>IF(SER_hh_fec!K9=0,0,11630*1000*SER_hh_fec!K9/SER_hh_num!K9)</f>
        <v>263520.5321283727</v>
      </c>
      <c r="L9" s="132">
        <f>IF(SER_hh_fec!L9=0,0,11630*1000*SER_hh_fec!L9/SER_hh_num!L9)</f>
        <v>277637.20947274537</v>
      </c>
      <c r="M9" s="132">
        <f>IF(SER_hh_fec!M9=0,0,11630*1000*SER_hh_fec!M9/SER_hh_num!M9)</f>
        <v>256945.92099151958</v>
      </c>
      <c r="N9" s="132">
        <f>IF(SER_hh_fec!N9=0,0,11630*1000*SER_hh_fec!N9/SER_hh_num!N9)</f>
        <v>275623.20529210015</v>
      </c>
      <c r="O9" s="132">
        <f>IF(SER_hh_fec!O9=0,0,11630*1000*SER_hh_fec!O9/SER_hh_num!O9)</f>
        <v>246558.29852701243</v>
      </c>
      <c r="P9" s="132">
        <f>IF(SER_hh_fec!P9=0,0,11630*1000*SER_hh_fec!P9/SER_hh_num!P9)</f>
        <v>270233.71602523583</v>
      </c>
      <c r="Q9" s="132">
        <f>IF(SER_hh_fec!Q9=0,0,11630*1000*SER_hh_fec!Q9/SER_hh_num!Q9)</f>
        <v>238801.51183651196</v>
      </c>
      <c r="R9" s="132">
        <f>IF(SER_hh_fec!R9=0,0,11630*1000*SER_hh_fec!R9/SER_hh_num!R9)</f>
        <v>241041.98741645255</v>
      </c>
      <c r="S9" s="132">
        <f>IF(SER_hh_fec!S9=0,0,11630*1000*SER_hh_fec!S9/SER_hh_num!S9)</f>
        <v>236981.33795204072</v>
      </c>
      <c r="T9" s="132">
        <f>IF(SER_hh_fec!T9=0,0,11630*1000*SER_hh_fec!T9/SER_hh_num!T9)</f>
        <v>224447.41933562822</v>
      </c>
      <c r="U9" s="132">
        <f>IF(SER_hh_fec!U9=0,0,11630*1000*SER_hh_fec!U9/SER_hh_num!U9)</f>
        <v>216365.80530393688</v>
      </c>
      <c r="V9" s="132">
        <f>IF(SER_hh_fec!V9=0,0,11630*1000*SER_hh_fec!V9/SER_hh_num!V9)</f>
        <v>206813.97785334088</v>
      </c>
      <c r="W9" s="132">
        <f>IF(SER_hh_fec!W9=0,0,11630*1000*SER_hh_fec!W9/SER_hh_num!W9)</f>
        <v>209259.39661025617</v>
      </c>
      <c r="X9" s="132">
        <f>IF(SER_hh_fec!X9=0,0,11630*1000*SER_hh_fec!X9/SER_hh_num!X9)</f>
        <v>198080.39693883175</v>
      </c>
      <c r="Y9" s="132">
        <f>IF(SER_hh_fec!Y9=0,0,11630*1000*SER_hh_fec!Y9/SER_hh_num!Y9)</f>
        <v>181025.17338886525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385877.76808587951</v>
      </c>
      <c r="C10" s="132">
        <f>IF(SER_hh_fec!C10=0,0,11630*1000*SER_hh_fec!C10/SER_hh_num!C10)</f>
        <v>427179.74183724209</v>
      </c>
      <c r="D10" s="132">
        <f>IF(SER_hh_fec!D10=0,0,11630*1000*SER_hh_fec!D10/SER_hh_num!D10)</f>
        <v>406682.37767701317</v>
      </c>
      <c r="E10" s="132">
        <f>IF(SER_hh_fec!E10=0,0,11630*1000*SER_hh_fec!E10/SER_hh_num!E10)</f>
        <v>390024.41221977025</v>
      </c>
      <c r="F10" s="132">
        <f>IF(SER_hh_fec!F10=0,0,11630*1000*SER_hh_fec!F10/SER_hh_num!F10)</f>
        <v>413762.17298465979</v>
      </c>
      <c r="G10" s="132">
        <f>IF(SER_hh_fec!G10=0,0,11630*1000*SER_hh_fec!G10/SER_hh_num!G10)</f>
        <v>372420.0878602906</v>
      </c>
      <c r="H10" s="132">
        <f>IF(SER_hh_fec!H10=0,0,11630*1000*SER_hh_fec!H10/SER_hh_num!H10)</f>
        <v>376360.0742019809</v>
      </c>
      <c r="I10" s="132">
        <f>IF(SER_hh_fec!I10=0,0,11630*1000*SER_hh_fec!I10/SER_hh_num!I10)</f>
        <v>435863.35013129533</v>
      </c>
      <c r="J10" s="132">
        <f>IF(SER_hh_fec!J10=0,0,11630*1000*SER_hh_fec!J10/SER_hh_num!J10)</f>
        <v>269210.79807957058</v>
      </c>
      <c r="K10" s="132">
        <f>IF(SER_hh_fec!K10=0,0,11630*1000*SER_hh_fec!K10/SER_hh_num!K10)</f>
        <v>272388.6865766407</v>
      </c>
      <c r="L10" s="132">
        <f>IF(SER_hh_fec!L10=0,0,11630*1000*SER_hh_fec!L10/SER_hh_num!L10)</f>
        <v>290604.6689268336</v>
      </c>
      <c r="M10" s="132">
        <f>IF(SER_hh_fec!M10=0,0,11630*1000*SER_hh_fec!M10/SER_hh_num!M10)</f>
        <v>233744.36847368046</v>
      </c>
      <c r="N10" s="132">
        <f>IF(SER_hh_fec!N10=0,0,11630*1000*SER_hh_fec!N10/SER_hh_num!N10)</f>
        <v>313778.78541473934</v>
      </c>
      <c r="O10" s="132">
        <f>IF(SER_hh_fec!O10=0,0,11630*1000*SER_hh_fec!O10/SER_hh_num!O10)</f>
        <v>303327.04239288601</v>
      </c>
      <c r="P10" s="132">
        <f>IF(SER_hh_fec!P10=0,0,11630*1000*SER_hh_fec!P10/SER_hh_num!P10)</f>
        <v>274499.40660036239</v>
      </c>
      <c r="Q10" s="132">
        <f>IF(SER_hh_fec!Q10=0,0,11630*1000*SER_hh_fec!Q10/SER_hh_num!Q10)</f>
        <v>264566.82620297972</v>
      </c>
      <c r="R10" s="132">
        <f>IF(SER_hh_fec!R10=0,0,11630*1000*SER_hh_fec!R10/SER_hh_num!R10)</f>
        <v>267818.64892733423</v>
      </c>
      <c r="S10" s="132">
        <f>IF(SER_hh_fec!S10=0,0,11630*1000*SER_hh_fec!S10/SER_hh_num!S10)</f>
        <v>298495.75747251196</v>
      </c>
      <c r="T10" s="132">
        <f>IF(SER_hh_fec!T10=0,0,11630*1000*SER_hh_fec!T10/SER_hh_num!T10)</f>
        <v>274720.34112309653</v>
      </c>
      <c r="U10" s="132">
        <f>IF(SER_hh_fec!U10=0,0,11630*1000*SER_hh_fec!U10/SER_hh_num!U10)</f>
        <v>259857.89401992914</v>
      </c>
      <c r="V10" s="132">
        <f>IF(SER_hh_fec!V10=0,0,11630*1000*SER_hh_fec!V10/SER_hh_num!V10)</f>
        <v>238493.72602742063</v>
      </c>
      <c r="W10" s="132">
        <f>IF(SER_hh_fec!W10=0,0,11630*1000*SER_hh_fec!W10/SER_hh_num!W10)</f>
        <v>272101.26792761841</v>
      </c>
      <c r="X10" s="132">
        <f>IF(SER_hh_fec!X10=0,0,11630*1000*SER_hh_fec!X10/SER_hh_num!X10)</f>
        <v>319177.55554557522</v>
      </c>
      <c r="Y10" s="132">
        <f>IF(SER_hh_fec!Y10=0,0,11630*1000*SER_hh_fec!Y10/SER_hh_num!Y10)</f>
        <v>224228.0962111633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0</v>
      </c>
      <c r="J11" s="132">
        <f>IF(SER_hh_fec!J11=0,0,11630*1000*SER_hh_fec!J11/SER_hh_num!J11)</f>
        <v>0</v>
      </c>
      <c r="K11" s="132">
        <f>IF(SER_hh_fec!K11=0,0,11630*1000*SER_hh_fec!K11/SER_hh_num!K11)</f>
        <v>0</v>
      </c>
      <c r="L11" s="132">
        <f>IF(SER_hh_fec!L11=0,0,11630*1000*SER_hh_fec!L11/SER_hh_num!L11)</f>
        <v>0</v>
      </c>
      <c r="M11" s="132">
        <f>IF(SER_hh_fec!M11=0,0,11630*1000*SER_hh_fec!M11/SER_hh_num!M11)</f>
        <v>0</v>
      </c>
      <c r="N11" s="132">
        <f>IF(SER_hh_fec!N11=0,0,11630*1000*SER_hh_fec!N11/SER_hh_num!N11)</f>
        <v>0</v>
      </c>
      <c r="O11" s="132">
        <f>IF(SER_hh_fec!O11=0,0,11630*1000*SER_hh_fec!O11/SER_hh_num!O11)</f>
        <v>0</v>
      </c>
      <c r="P11" s="132">
        <f>IF(SER_hh_fec!P11=0,0,11630*1000*SER_hh_fec!P11/SER_hh_num!P11)</f>
        <v>0</v>
      </c>
      <c r="Q11" s="132">
        <f>IF(SER_hh_fec!Q11=0,0,11630*1000*SER_hh_fec!Q11/SER_hh_num!Q11)</f>
        <v>0</v>
      </c>
      <c r="R11" s="132">
        <f>IF(SER_hh_fec!R11=0,0,11630*1000*SER_hh_fec!R11/SER_hh_num!R11)</f>
        <v>0</v>
      </c>
      <c r="S11" s="132">
        <f>IF(SER_hh_fec!S11=0,0,11630*1000*SER_hh_fec!S11/SER_hh_num!S11)</f>
        <v>0</v>
      </c>
      <c r="T11" s="132">
        <f>IF(SER_hh_fec!T11=0,0,11630*1000*SER_hh_fec!T11/SER_hh_num!T11)</f>
        <v>0</v>
      </c>
      <c r="U11" s="132">
        <f>IF(SER_hh_fec!U11=0,0,11630*1000*SER_hh_fec!U11/SER_hh_num!U11)</f>
        <v>0</v>
      </c>
      <c r="V11" s="132">
        <f>IF(SER_hh_fec!V11=0,0,11630*1000*SER_hh_fec!V11/SER_hh_num!V11)</f>
        <v>0</v>
      </c>
      <c r="W11" s="132">
        <f>IF(SER_hh_fec!W11=0,0,11630*1000*SER_hh_fec!W11/SER_hh_num!W11)</f>
        <v>0</v>
      </c>
      <c r="X11" s="132">
        <f>IF(SER_hh_fec!X11=0,0,11630*1000*SER_hh_fec!X11/SER_hh_num!X11)</f>
        <v>0</v>
      </c>
      <c r="Y11" s="132">
        <f>IF(SER_hh_fec!Y11=0,0,11630*1000*SER_hh_fec!Y11/SER_hh_num!Y11)</f>
        <v>0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231474.05394092744</v>
      </c>
      <c r="C12" s="132">
        <f>IF(SER_hh_fec!C12=0,0,11630*1000*SER_hh_fec!C12/SER_hh_num!C12)</f>
        <v>252254.4034207646</v>
      </c>
      <c r="D12" s="132">
        <f>IF(SER_hh_fec!D12=0,0,11630*1000*SER_hh_fec!D12/SER_hh_num!D12)</f>
        <v>246961.47474147787</v>
      </c>
      <c r="E12" s="132">
        <f>IF(SER_hh_fec!E12=0,0,11630*1000*SER_hh_fec!E12/SER_hh_num!E12)</f>
        <v>256809.31902455995</v>
      </c>
      <c r="F12" s="132">
        <f>IF(SER_hh_fec!F12=0,0,11630*1000*SER_hh_fec!F12/SER_hh_num!F12)</f>
        <v>241762.99827071003</v>
      </c>
      <c r="G12" s="132">
        <f>IF(SER_hh_fec!G12=0,0,11630*1000*SER_hh_fec!G12/SER_hh_num!G12)</f>
        <v>245811.06631733666</v>
      </c>
      <c r="H12" s="132">
        <f>IF(SER_hh_fec!H12=0,0,11630*1000*SER_hh_fec!H12/SER_hh_num!H12)</f>
        <v>240198.37252160296</v>
      </c>
      <c r="I12" s="132">
        <f>IF(SER_hh_fec!I12=0,0,11630*1000*SER_hh_fec!I12/SER_hh_num!I12)</f>
        <v>216804.03151029858</v>
      </c>
      <c r="J12" s="132">
        <f>IF(SER_hh_fec!J12=0,0,11630*1000*SER_hh_fec!J12/SER_hh_num!J12)</f>
        <v>193748.81448873709</v>
      </c>
      <c r="K12" s="132">
        <f>IF(SER_hh_fec!K12=0,0,11630*1000*SER_hh_fec!K12/SER_hh_num!K12)</f>
        <v>184246.11251979519</v>
      </c>
      <c r="L12" s="132">
        <f>IF(SER_hh_fec!L12=0,0,11630*1000*SER_hh_fec!L12/SER_hh_num!L12)</f>
        <v>194960.82215685782</v>
      </c>
      <c r="M12" s="132">
        <f>IF(SER_hh_fec!M12=0,0,11630*1000*SER_hh_fec!M12/SER_hh_num!M12)</f>
        <v>163121.08478505464</v>
      </c>
      <c r="N12" s="132">
        <f>IF(SER_hh_fec!N12=0,0,11630*1000*SER_hh_fec!N12/SER_hh_num!N12)</f>
        <v>200667.44349193541</v>
      </c>
      <c r="O12" s="132">
        <f>IF(SER_hh_fec!O12=0,0,11630*1000*SER_hh_fec!O12/SER_hh_num!O12)</f>
        <v>192099.58572331391</v>
      </c>
      <c r="P12" s="132">
        <f>IF(SER_hh_fec!P12=0,0,11630*1000*SER_hh_fec!P12/SER_hh_num!P12)</f>
        <v>179842.6174586704</v>
      </c>
      <c r="Q12" s="132">
        <f>IF(SER_hh_fec!Q12=0,0,11630*1000*SER_hh_fec!Q12/SER_hh_num!Q12)</f>
        <v>167770.99046643675</v>
      </c>
      <c r="R12" s="132">
        <f>IF(SER_hh_fec!R12=0,0,11630*1000*SER_hh_fec!R12/SER_hh_num!R12)</f>
        <v>188024.84661898806</v>
      </c>
      <c r="S12" s="132">
        <f>IF(SER_hh_fec!S12=0,0,11630*1000*SER_hh_fec!S12/SER_hh_num!S12)</f>
        <v>187357.97309383273</v>
      </c>
      <c r="T12" s="132">
        <f>IF(SER_hh_fec!T12=0,0,11630*1000*SER_hh_fec!T12/SER_hh_num!T12)</f>
        <v>171771.77986767891</v>
      </c>
      <c r="U12" s="132">
        <f>IF(SER_hh_fec!U12=0,0,11630*1000*SER_hh_fec!U12/SER_hh_num!U12)</f>
        <v>164892.02454771919</v>
      </c>
      <c r="V12" s="132">
        <f>IF(SER_hh_fec!V12=0,0,11630*1000*SER_hh_fec!V12/SER_hh_num!V12)</f>
        <v>170547.36677269949</v>
      </c>
      <c r="W12" s="132">
        <f>IF(SER_hh_fec!W12=0,0,11630*1000*SER_hh_fec!W12/SER_hh_num!W12)</f>
        <v>203585.11292425863</v>
      </c>
      <c r="X12" s="132">
        <f>IF(SER_hh_fec!X12=0,0,11630*1000*SER_hh_fec!X12/SER_hh_num!X12)</f>
        <v>169309.59752631807</v>
      </c>
      <c r="Y12" s="132">
        <f>IF(SER_hh_fec!Y12=0,0,11630*1000*SER_hh_fec!Y12/SER_hh_num!Y12)</f>
        <v>154276.81241344847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91562.903471190133</v>
      </c>
      <c r="C13" s="132">
        <f>IF(SER_hh_fec!C13=0,0,11630*1000*SER_hh_fec!C13/SER_hh_num!C13)</f>
        <v>42963.217905900143</v>
      </c>
      <c r="D13" s="132">
        <f>IF(SER_hh_fec!D13=0,0,11630*1000*SER_hh_fec!D13/SER_hh_num!D13)</f>
        <v>96869.13470730625</v>
      </c>
      <c r="E13" s="132">
        <f>IF(SER_hh_fec!E13=0,0,11630*1000*SER_hh_fec!E13/SER_hh_num!E13)</f>
        <v>86148.343539087655</v>
      </c>
      <c r="F13" s="132">
        <f>IF(SER_hh_fec!F13=0,0,11630*1000*SER_hh_fec!F13/SER_hh_num!F13)</f>
        <v>80952.057837076107</v>
      </c>
      <c r="G13" s="132">
        <f>IF(SER_hh_fec!G13=0,0,11630*1000*SER_hh_fec!G13/SER_hh_num!G13)</f>
        <v>76438.176263684407</v>
      </c>
      <c r="H13" s="132">
        <f>IF(SER_hh_fec!H13=0,0,11630*1000*SER_hh_fec!H13/SER_hh_num!H13)</f>
        <v>69643.716046352783</v>
      </c>
      <c r="I13" s="132">
        <f>IF(SER_hh_fec!I13=0,0,11630*1000*SER_hh_fec!I13/SER_hh_num!I13)</f>
        <v>60893.482662263443</v>
      </c>
      <c r="J13" s="132">
        <f>IF(SER_hh_fec!J13=0,0,11630*1000*SER_hh_fec!J13/SER_hh_num!J13)</f>
        <v>53767.385294029082</v>
      </c>
      <c r="K13" s="132">
        <f>IF(SER_hh_fec!K13=0,0,11630*1000*SER_hh_fec!K13/SER_hh_num!K13)</f>
        <v>48316.416325447921</v>
      </c>
      <c r="L13" s="132">
        <f>IF(SER_hh_fec!L13=0,0,11630*1000*SER_hh_fec!L13/SER_hh_num!L13)</f>
        <v>50698.414448787822</v>
      </c>
      <c r="M13" s="132">
        <f>IF(SER_hh_fec!M13=0,0,11630*1000*SER_hh_fec!M13/SER_hh_num!M13)</f>
        <v>53981.014826431565</v>
      </c>
      <c r="N13" s="132">
        <f>IF(SER_hh_fec!N13=0,0,11630*1000*SER_hh_fec!N13/SER_hh_num!N13)</f>
        <v>53169.279641090099</v>
      </c>
      <c r="O13" s="132">
        <f>IF(SER_hh_fec!O13=0,0,11630*1000*SER_hh_fec!O13/SER_hh_num!O13)</f>
        <v>57710.794766573141</v>
      </c>
      <c r="P13" s="132">
        <f>IF(SER_hh_fec!P13=0,0,11630*1000*SER_hh_fec!P13/SER_hh_num!P13)</f>
        <v>56096.140150544496</v>
      </c>
      <c r="Q13" s="132">
        <f>IF(SER_hh_fec!Q13=0,0,11630*1000*SER_hh_fec!Q13/SER_hh_num!Q13)</f>
        <v>54087.438403499924</v>
      </c>
      <c r="R13" s="132">
        <f>IF(SER_hh_fec!R13=0,0,11630*1000*SER_hh_fec!R13/SER_hh_num!R13)</f>
        <v>52791.965575766226</v>
      </c>
      <c r="S13" s="132">
        <f>IF(SER_hh_fec!S13=0,0,11630*1000*SER_hh_fec!S13/SER_hh_num!S13)</f>
        <v>54147.356034139128</v>
      </c>
      <c r="T13" s="132">
        <f>IF(SER_hh_fec!T13=0,0,11630*1000*SER_hh_fec!T13/SER_hh_num!T13)</f>
        <v>50749.250070226473</v>
      </c>
      <c r="U13" s="132">
        <f>IF(SER_hh_fec!U13=0,0,11630*1000*SER_hh_fec!U13/SER_hh_num!U13)</f>
        <v>50757.159903942207</v>
      </c>
      <c r="V13" s="132">
        <f>IF(SER_hh_fec!V13=0,0,11630*1000*SER_hh_fec!V13/SER_hh_num!V13)</f>
        <v>53669.440359226282</v>
      </c>
      <c r="W13" s="132">
        <f>IF(SER_hh_fec!W13=0,0,11630*1000*SER_hh_fec!W13/SER_hh_num!W13)</f>
        <v>40173.464576393526</v>
      </c>
      <c r="X13" s="132">
        <f>IF(SER_hh_fec!X13=0,0,11630*1000*SER_hh_fec!X13/SER_hh_num!X13)</f>
        <v>43615.369297999758</v>
      </c>
      <c r="Y13" s="132">
        <f>IF(SER_hh_fec!Y13=0,0,11630*1000*SER_hh_fec!Y13/SER_hh_num!Y13)</f>
        <v>46199.976106823102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342399.71320863761</v>
      </c>
      <c r="C14" s="65">
        <f>IF(SER_hh_fec!C14=0,0,11630*1000*SER_hh_fec!C14/SER_hh_num!C14)</f>
        <v>184496.00790697933</v>
      </c>
      <c r="D14" s="65">
        <f>IF(SER_hh_fec!D14=0,0,11630*1000*SER_hh_fec!D14/SER_hh_num!D14)</f>
        <v>298666.50171042973</v>
      </c>
      <c r="E14" s="65">
        <f>IF(SER_hh_fec!E14=0,0,11630*1000*SER_hh_fec!E14/SER_hh_num!E14)</f>
        <v>300220.5457010633</v>
      </c>
      <c r="F14" s="65">
        <f>IF(SER_hh_fec!F14=0,0,11630*1000*SER_hh_fec!F14/SER_hh_num!F14)</f>
        <v>265786.0862973269</v>
      </c>
      <c r="G14" s="65">
        <f>IF(SER_hh_fec!G14=0,0,11630*1000*SER_hh_fec!G14/SER_hh_num!G14)</f>
        <v>252728.06452476859</v>
      </c>
      <c r="H14" s="65">
        <f>IF(SER_hh_fec!H14=0,0,11630*1000*SER_hh_fec!H14/SER_hh_num!H14)</f>
        <v>242159.31704809162</v>
      </c>
      <c r="I14" s="65">
        <f>IF(SER_hh_fec!I14=0,0,11630*1000*SER_hh_fec!I14/SER_hh_num!I14)</f>
        <v>308797.08267434413</v>
      </c>
      <c r="J14" s="65">
        <f>IF(SER_hh_fec!J14=0,0,11630*1000*SER_hh_fec!J14/SER_hh_num!J14)</f>
        <v>257658.78034336341</v>
      </c>
      <c r="K14" s="65">
        <f>IF(SER_hh_fec!K14=0,0,11630*1000*SER_hh_fec!K14/SER_hh_num!K14)</f>
        <v>147933.159963985</v>
      </c>
      <c r="L14" s="65">
        <f>IF(SER_hh_fec!L14=0,0,11630*1000*SER_hh_fec!L14/SER_hh_num!L14)</f>
        <v>182819.45462505161</v>
      </c>
      <c r="M14" s="65">
        <f>IF(SER_hh_fec!M14=0,0,11630*1000*SER_hh_fec!M14/SER_hh_num!M14)</f>
        <v>177268.97539685931</v>
      </c>
      <c r="N14" s="65">
        <f>IF(SER_hh_fec!N14=0,0,11630*1000*SER_hh_fec!N14/SER_hh_num!N14)</f>
        <v>251986.68236512787</v>
      </c>
      <c r="O14" s="65">
        <f>IF(SER_hh_fec!O14=0,0,11630*1000*SER_hh_fec!O14/SER_hh_num!O14)</f>
        <v>192583.23752560795</v>
      </c>
      <c r="P14" s="65">
        <f>IF(SER_hh_fec!P14=0,0,11630*1000*SER_hh_fec!P14/SER_hh_num!P14)</f>
        <v>234297.2782162838</v>
      </c>
      <c r="Q14" s="65">
        <f>IF(SER_hh_fec!Q14=0,0,11630*1000*SER_hh_fec!Q14/SER_hh_num!Q14)</f>
        <v>176145.27751606354</v>
      </c>
      <c r="R14" s="65">
        <f>IF(SER_hh_fec!R14=0,0,11630*1000*SER_hh_fec!R14/SER_hh_num!R14)</f>
        <v>188833.850786508</v>
      </c>
      <c r="S14" s="65">
        <f>IF(SER_hh_fec!S14=0,0,11630*1000*SER_hh_fec!S14/SER_hh_num!S14)</f>
        <v>190612.25183177818</v>
      </c>
      <c r="T14" s="65">
        <f>IF(SER_hh_fec!T14=0,0,11630*1000*SER_hh_fec!T14/SER_hh_num!T14)</f>
        <v>201900.74813535073</v>
      </c>
      <c r="U14" s="65">
        <f>IF(SER_hh_fec!U14=0,0,11630*1000*SER_hh_fec!U14/SER_hh_num!U14)</f>
        <v>195145.3334265349</v>
      </c>
      <c r="V14" s="65">
        <f>IF(SER_hh_fec!V14=0,0,11630*1000*SER_hh_fec!V14/SER_hh_num!V14)</f>
        <v>177038.65045788899</v>
      </c>
      <c r="W14" s="65">
        <f>IF(SER_hh_fec!W14=0,0,11630*1000*SER_hh_fec!W14/SER_hh_num!W14)</f>
        <v>196611.22636770329</v>
      </c>
      <c r="X14" s="65">
        <f>IF(SER_hh_fec!X14=0,0,11630*1000*SER_hh_fec!X14/SER_hh_num!X14)</f>
        <v>191019.642597775</v>
      </c>
      <c r="Y14" s="65">
        <f>IF(SER_hh_fec!Y14=0,0,11630*1000*SER_hh_fec!Y14/SER_hh_num!Y14)</f>
        <v>158191.39859163415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1583.2648840260185</v>
      </c>
      <c r="C15" s="134">
        <f>IF(SER_hh_fec!C15=0,0,11630*1000*SER_hh_fec!C15/SER_hh_num!C15)</f>
        <v>1649.0039344886284</v>
      </c>
      <c r="D15" s="134">
        <f>IF(SER_hh_fec!D15=0,0,11630*1000*SER_hh_fec!D15/SER_hh_num!D15)</f>
        <v>1738.9207732337652</v>
      </c>
      <c r="E15" s="134">
        <f>IF(SER_hh_fec!E15=0,0,11630*1000*SER_hh_fec!E15/SER_hh_num!E15)</f>
        <v>1777.6437099936884</v>
      </c>
      <c r="F15" s="134">
        <f>IF(SER_hh_fec!F15=0,0,11630*1000*SER_hh_fec!F15/SER_hh_num!F15)</f>
        <v>1849.4018203740266</v>
      </c>
      <c r="G15" s="134">
        <f>IF(SER_hh_fec!G15=0,0,11630*1000*SER_hh_fec!G15/SER_hh_num!G15)</f>
        <v>1704.0917109269326</v>
      </c>
      <c r="H15" s="134">
        <f>IF(SER_hh_fec!H15=0,0,11630*1000*SER_hh_fec!H15/SER_hh_num!H15)</f>
        <v>1786.7691349257348</v>
      </c>
      <c r="I15" s="134">
        <f>IF(SER_hh_fec!I15=0,0,11630*1000*SER_hh_fec!I15/SER_hh_num!I15)</f>
        <v>1748.8544303697172</v>
      </c>
      <c r="J15" s="134">
        <f>IF(SER_hh_fec!J15=0,0,11630*1000*SER_hh_fec!J15/SER_hh_num!J15)</f>
        <v>1430.3680539663192</v>
      </c>
      <c r="K15" s="134">
        <f>IF(SER_hh_fec!K15=0,0,11630*1000*SER_hh_fec!K15/SER_hh_num!K15)</f>
        <v>1318.0022439581796</v>
      </c>
      <c r="L15" s="134">
        <f>IF(SER_hh_fec!L15=0,0,11630*1000*SER_hh_fec!L15/SER_hh_num!L15)</f>
        <v>1398.1335646660905</v>
      </c>
      <c r="M15" s="134">
        <f>IF(SER_hh_fec!M15=0,0,11630*1000*SER_hh_fec!M15/SER_hh_num!M15)</f>
        <v>1204.8374636823301</v>
      </c>
      <c r="N15" s="134">
        <f>IF(SER_hh_fec!N15=0,0,11630*1000*SER_hh_fec!N15/SER_hh_num!N15)</f>
        <v>1394.2236734112969</v>
      </c>
      <c r="O15" s="134">
        <f>IF(SER_hh_fec!O15=0,0,11630*1000*SER_hh_fec!O15/SER_hh_num!O15)</f>
        <v>1314.5847118548406</v>
      </c>
      <c r="P15" s="134">
        <f>IF(SER_hh_fec!P15=0,0,11630*1000*SER_hh_fec!P15/SER_hh_num!P15)</f>
        <v>1321.6351223663964</v>
      </c>
      <c r="Q15" s="134">
        <f>IF(SER_hh_fec!Q15=0,0,11630*1000*SER_hh_fec!Q15/SER_hh_num!Q15)</f>
        <v>1250.9252813632179</v>
      </c>
      <c r="R15" s="134">
        <f>IF(SER_hh_fec!R15=0,0,11630*1000*SER_hh_fec!R15/SER_hh_num!R15)</f>
        <v>1219.7682646340763</v>
      </c>
      <c r="S15" s="134">
        <f>IF(SER_hh_fec!S15=0,0,11630*1000*SER_hh_fec!S15/SER_hh_num!S15)</f>
        <v>1288.2589371201523</v>
      </c>
      <c r="T15" s="134">
        <f>IF(SER_hh_fec!T15=0,0,11630*1000*SER_hh_fec!T15/SER_hh_num!T15)</f>
        <v>1301.9317107002291</v>
      </c>
      <c r="U15" s="134">
        <f>IF(SER_hh_fec!U15=0,0,11630*1000*SER_hh_fec!U15/SER_hh_num!U15)</f>
        <v>1255.5549141317729</v>
      </c>
      <c r="V15" s="134">
        <f>IF(SER_hh_fec!V15=0,0,11630*1000*SER_hh_fec!V15/SER_hh_num!V15)</f>
        <v>1282.5072870132783</v>
      </c>
      <c r="W15" s="134">
        <f>IF(SER_hh_fec!W15=0,0,11630*1000*SER_hh_fec!W15/SER_hh_num!W15)</f>
        <v>1500.2597738378877</v>
      </c>
      <c r="X15" s="134">
        <f>IF(SER_hh_fec!X15=0,0,11630*1000*SER_hh_fec!X15/SER_hh_num!X15)</f>
        <v>1397.3120384913034</v>
      </c>
      <c r="Y15" s="134">
        <f>IF(SER_hh_fec!Y15=0,0,11630*1000*SER_hh_fec!Y15/SER_hh_num!Y15)</f>
        <v>1341.3555827920775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9370.5275418212932</v>
      </c>
      <c r="C16" s="130">
        <f>IF(SER_hh_fec!C16=0,0,11630*1000*SER_hh_fec!C16/SER_hh_num!C16)</f>
        <v>9273.5034847852312</v>
      </c>
      <c r="D16" s="130">
        <f>IF(SER_hh_fec!D16=0,0,11630*1000*SER_hh_fec!D16/SER_hh_num!D16)</f>
        <v>9088.4805855822051</v>
      </c>
      <c r="E16" s="130">
        <f>IF(SER_hh_fec!E16=0,0,11630*1000*SER_hh_fec!E16/SER_hh_num!E16)</f>
        <v>8245.0848261279243</v>
      </c>
      <c r="F16" s="130">
        <f>IF(SER_hh_fec!F16=0,0,11630*1000*SER_hh_fec!F16/SER_hh_num!F16)</f>
        <v>7600.2007265251586</v>
      </c>
      <c r="G16" s="130">
        <f>IF(SER_hh_fec!G16=0,0,11630*1000*SER_hh_fec!G16/SER_hh_num!G16)</f>
        <v>7161.8750304983732</v>
      </c>
      <c r="H16" s="130">
        <f>IF(SER_hh_fec!H16=0,0,11630*1000*SER_hh_fec!H16/SER_hh_num!H16)</f>
        <v>7190.026392656172</v>
      </c>
      <c r="I16" s="130">
        <f>IF(SER_hh_fec!I16=0,0,11630*1000*SER_hh_fec!I16/SER_hh_num!I16)</f>
        <v>6385.6645543606983</v>
      </c>
      <c r="J16" s="130">
        <f>IF(SER_hh_fec!J16=0,0,11630*1000*SER_hh_fec!J16/SER_hh_num!J16)</f>
        <v>6011.3558414799936</v>
      </c>
      <c r="K16" s="130">
        <f>IF(SER_hh_fec!K16=0,0,11630*1000*SER_hh_fec!K16/SER_hh_num!K16)</f>
        <v>5872.6494581381712</v>
      </c>
      <c r="L16" s="130">
        <f>IF(SER_hh_fec!L16=0,0,11630*1000*SER_hh_fec!L16/SER_hh_num!L16)</f>
        <v>6949.453361439585</v>
      </c>
      <c r="M16" s="130">
        <f>IF(SER_hh_fec!M16=0,0,11630*1000*SER_hh_fec!M16/SER_hh_num!M16)</f>
        <v>5630.6996303909582</v>
      </c>
      <c r="N16" s="130">
        <f>IF(SER_hh_fec!N16=0,0,11630*1000*SER_hh_fec!N16/SER_hh_num!N16)</f>
        <v>5469.7625978979495</v>
      </c>
      <c r="O16" s="130">
        <f>IF(SER_hh_fec!O16=0,0,11630*1000*SER_hh_fec!O16/SER_hh_num!O16)</f>
        <v>5170.6046418738861</v>
      </c>
      <c r="P16" s="130">
        <f>IF(SER_hh_fec!P16=0,0,11630*1000*SER_hh_fec!P16/SER_hh_num!P16)</f>
        <v>5245.582268128187</v>
      </c>
      <c r="Q16" s="130">
        <f>IF(SER_hh_fec!Q16=0,0,11630*1000*SER_hh_fec!Q16/SER_hh_num!Q16)</f>
        <v>4755.0449343699856</v>
      </c>
      <c r="R16" s="130">
        <f>IF(SER_hh_fec!R16=0,0,11630*1000*SER_hh_fec!R16/SER_hh_num!R16)</f>
        <v>4587.6875681967422</v>
      </c>
      <c r="S16" s="130">
        <f>IF(SER_hh_fec!S16=0,0,11630*1000*SER_hh_fec!S16/SER_hh_num!S16)</f>
        <v>4425.3422795760198</v>
      </c>
      <c r="T16" s="130">
        <f>IF(SER_hh_fec!T16=0,0,11630*1000*SER_hh_fec!T16/SER_hh_num!T16)</f>
        <v>4573.9601726954324</v>
      </c>
      <c r="U16" s="130">
        <f>IF(SER_hh_fec!U16=0,0,11630*1000*SER_hh_fec!U16/SER_hh_num!U16)</f>
        <v>4199.2894754259205</v>
      </c>
      <c r="V16" s="130">
        <f>IF(SER_hh_fec!V16=0,0,11630*1000*SER_hh_fec!V16/SER_hh_num!V16)</f>
        <v>4105.7139823194166</v>
      </c>
      <c r="W16" s="130">
        <f>IF(SER_hh_fec!W16=0,0,11630*1000*SER_hh_fec!W16/SER_hh_num!W16)</f>
        <v>4635.2288124258775</v>
      </c>
      <c r="X16" s="130">
        <f>IF(SER_hh_fec!X16=0,0,11630*1000*SER_hh_fec!X16/SER_hh_num!X16)</f>
        <v>3914.2584143901336</v>
      </c>
      <c r="Y16" s="130">
        <f>IF(SER_hh_fec!Y16=0,0,11630*1000*SER_hh_fec!Y16/SER_hh_num!Y16)</f>
        <v>3886.6335931130375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0</v>
      </c>
      <c r="C17" s="132">
        <f>IF(SER_hh_fec!C17=0,0,11630*1000*SER_hh_fec!C17/SER_hh_num!C17)</f>
        <v>0</v>
      </c>
      <c r="D17" s="132">
        <f>IF(SER_hh_fec!D17=0,0,11630*1000*SER_hh_fec!D17/SER_hh_num!D17)</f>
        <v>0</v>
      </c>
      <c r="E17" s="132">
        <f>IF(SER_hh_fec!E17=0,0,11630*1000*SER_hh_fec!E17/SER_hh_num!E17)</f>
        <v>0</v>
      </c>
      <c r="F17" s="132">
        <f>IF(SER_hh_fec!F17=0,0,11630*1000*SER_hh_fec!F17/SER_hh_num!F17)</f>
        <v>0</v>
      </c>
      <c r="G17" s="132">
        <f>IF(SER_hh_fec!G17=0,0,11630*1000*SER_hh_fec!G17/SER_hh_num!G17)</f>
        <v>0</v>
      </c>
      <c r="H17" s="132">
        <f>IF(SER_hh_fec!H17=0,0,11630*1000*SER_hh_fec!H17/SER_hh_num!H17)</f>
        <v>0</v>
      </c>
      <c r="I17" s="132">
        <f>IF(SER_hh_fec!I17=0,0,11630*1000*SER_hh_fec!I17/SER_hh_num!I17)</f>
        <v>0</v>
      </c>
      <c r="J17" s="132">
        <f>IF(SER_hh_fec!J17=0,0,11630*1000*SER_hh_fec!J17/SER_hh_num!J17)</f>
        <v>0</v>
      </c>
      <c r="K17" s="132">
        <f>IF(SER_hh_fec!K17=0,0,11630*1000*SER_hh_fec!K17/SER_hh_num!K17)</f>
        <v>0</v>
      </c>
      <c r="L17" s="132">
        <f>IF(SER_hh_fec!L17=0,0,11630*1000*SER_hh_fec!L17/SER_hh_num!L17)</f>
        <v>0</v>
      </c>
      <c r="M17" s="132">
        <f>IF(SER_hh_fec!M17=0,0,11630*1000*SER_hh_fec!M17/SER_hh_num!M17)</f>
        <v>0</v>
      </c>
      <c r="N17" s="132">
        <f>IF(SER_hh_fec!N17=0,0,11630*1000*SER_hh_fec!N17/SER_hh_num!N17)</f>
        <v>0</v>
      </c>
      <c r="O17" s="132">
        <f>IF(SER_hh_fec!O17=0,0,11630*1000*SER_hh_fec!O17/SER_hh_num!O17)</f>
        <v>0</v>
      </c>
      <c r="P17" s="132">
        <f>IF(SER_hh_fec!P17=0,0,11630*1000*SER_hh_fec!P17/SER_hh_num!P17)</f>
        <v>0</v>
      </c>
      <c r="Q17" s="132">
        <f>IF(SER_hh_fec!Q17=0,0,11630*1000*SER_hh_fec!Q17/SER_hh_num!Q17)</f>
        <v>0</v>
      </c>
      <c r="R17" s="132">
        <f>IF(SER_hh_fec!R17=0,0,11630*1000*SER_hh_fec!R17/SER_hh_num!R17)</f>
        <v>0</v>
      </c>
      <c r="S17" s="132">
        <f>IF(SER_hh_fec!S17=0,0,11630*1000*SER_hh_fec!S17/SER_hh_num!S17)</f>
        <v>0</v>
      </c>
      <c r="T17" s="132">
        <f>IF(SER_hh_fec!T17=0,0,11630*1000*SER_hh_fec!T17/SER_hh_num!T17)</f>
        <v>0</v>
      </c>
      <c r="U17" s="132">
        <f>IF(SER_hh_fec!U17=0,0,11630*1000*SER_hh_fec!U17/SER_hh_num!U17)</f>
        <v>0</v>
      </c>
      <c r="V17" s="132">
        <f>IF(SER_hh_fec!V17=0,0,11630*1000*SER_hh_fec!V17/SER_hh_num!V17)</f>
        <v>0</v>
      </c>
      <c r="W17" s="132">
        <f>IF(SER_hh_fec!W17=0,0,11630*1000*SER_hh_fec!W17/SER_hh_num!W17)</f>
        <v>0</v>
      </c>
      <c r="X17" s="132">
        <f>IF(SER_hh_fec!X17=0,0,11630*1000*SER_hh_fec!X17/SER_hh_num!X17)</f>
        <v>0</v>
      </c>
      <c r="Y17" s="132">
        <f>IF(SER_hh_fec!Y17=0,0,11630*1000*SER_hh_fec!Y17/SER_hh_num!Y17)</f>
        <v>0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9370.5275418212932</v>
      </c>
      <c r="C18" s="132">
        <f>IF(SER_hh_fec!C18=0,0,11630*1000*SER_hh_fec!C18/SER_hh_num!C18)</f>
        <v>9273.5034847852312</v>
      </c>
      <c r="D18" s="132">
        <f>IF(SER_hh_fec!D18=0,0,11630*1000*SER_hh_fec!D18/SER_hh_num!D18)</f>
        <v>9088.4805855822051</v>
      </c>
      <c r="E18" s="132">
        <f>IF(SER_hh_fec!E18=0,0,11630*1000*SER_hh_fec!E18/SER_hh_num!E18)</f>
        <v>8245.0848261279243</v>
      </c>
      <c r="F18" s="132">
        <f>IF(SER_hh_fec!F18=0,0,11630*1000*SER_hh_fec!F18/SER_hh_num!F18)</f>
        <v>7600.2007265251586</v>
      </c>
      <c r="G18" s="132">
        <f>IF(SER_hh_fec!G18=0,0,11630*1000*SER_hh_fec!G18/SER_hh_num!G18)</f>
        <v>7161.8750304983732</v>
      </c>
      <c r="H18" s="132">
        <f>IF(SER_hh_fec!H18=0,0,11630*1000*SER_hh_fec!H18/SER_hh_num!H18)</f>
        <v>7190.026392656172</v>
      </c>
      <c r="I18" s="132">
        <f>IF(SER_hh_fec!I18=0,0,11630*1000*SER_hh_fec!I18/SER_hh_num!I18)</f>
        <v>6385.6645543606983</v>
      </c>
      <c r="J18" s="132">
        <f>IF(SER_hh_fec!J18=0,0,11630*1000*SER_hh_fec!J18/SER_hh_num!J18)</f>
        <v>6011.3558414799936</v>
      </c>
      <c r="K18" s="132">
        <f>IF(SER_hh_fec!K18=0,0,11630*1000*SER_hh_fec!K18/SER_hh_num!K18)</f>
        <v>5872.6494581381712</v>
      </c>
      <c r="L18" s="132">
        <f>IF(SER_hh_fec!L18=0,0,11630*1000*SER_hh_fec!L18/SER_hh_num!L18)</f>
        <v>6949.453361439585</v>
      </c>
      <c r="M18" s="132">
        <f>IF(SER_hh_fec!M18=0,0,11630*1000*SER_hh_fec!M18/SER_hh_num!M18)</f>
        <v>5630.6996303909582</v>
      </c>
      <c r="N18" s="132">
        <f>IF(SER_hh_fec!N18=0,0,11630*1000*SER_hh_fec!N18/SER_hh_num!N18)</f>
        <v>5469.7625978979495</v>
      </c>
      <c r="O18" s="132">
        <f>IF(SER_hh_fec!O18=0,0,11630*1000*SER_hh_fec!O18/SER_hh_num!O18)</f>
        <v>5170.6046418738861</v>
      </c>
      <c r="P18" s="132">
        <f>IF(SER_hh_fec!P18=0,0,11630*1000*SER_hh_fec!P18/SER_hh_num!P18)</f>
        <v>5245.582268128187</v>
      </c>
      <c r="Q18" s="132">
        <f>IF(SER_hh_fec!Q18=0,0,11630*1000*SER_hh_fec!Q18/SER_hh_num!Q18)</f>
        <v>4755.0449343699856</v>
      </c>
      <c r="R18" s="132">
        <f>IF(SER_hh_fec!R18=0,0,11630*1000*SER_hh_fec!R18/SER_hh_num!R18)</f>
        <v>4587.6875681967422</v>
      </c>
      <c r="S18" s="132">
        <f>IF(SER_hh_fec!S18=0,0,11630*1000*SER_hh_fec!S18/SER_hh_num!S18)</f>
        <v>4425.3422795760198</v>
      </c>
      <c r="T18" s="132">
        <f>IF(SER_hh_fec!T18=0,0,11630*1000*SER_hh_fec!T18/SER_hh_num!T18)</f>
        <v>4573.9601726954324</v>
      </c>
      <c r="U18" s="132">
        <f>IF(SER_hh_fec!U18=0,0,11630*1000*SER_hh_fec!U18/SER_hh_num!U18)</f>
        <v>4199.2894754259205</v>
      </c>
      <c r="V18" s="132">
        <f>IF(SER_hh_fec!V18=0,0,11630*1000*SER_hh_fec!V18/SER_hh_num!V18)</f>
        <v>4105.7139823194166</v>
      </c>
      <c r="W18" s="132">
        <f>IF(SER_hh_fec!W18=0,0,11630*1000*SER_hh_fec!W18/SER_hh_num!W18)</f>
        <v>4635.2288124258775</v>
      </c>
      <c r="X18" s="132">
        <f>IF(SER_hh_fec!X18=0,0,11630*1000*SER_hh_fec!X18/SER_hh_num!X18)</f>
        <v>3914.2584143901336</v>
      </c>
      <c r="Y18" s="132">
        <f>IF(SER_hh_fec!Y18=0,0,11630*1000*SER_hh_fec!Y18/SER_hh_num!Y18)</f>
        <v>3886.6335931130375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38072.519725028622</v>
      </c>
      <c r="C19" s="130">
        <f>IF(SER_hh_fec!C19=0,0,11630*1000*SER_hh_fec!C19/SER_hh_num!C19)</f>
        <v>38314.486655257082</v>
      </c>
      <c r="D19" s="130">
        <f>IF(SER_hh_fec!D19=0,0,11630*1000*SER_hh_fec!D19/SER_hh_num!D19)</f>
        <v>37058.237510708306</v>
      </c>
      <c r="E19" s="130">
        <f>IF(SER_hh_fec!E19=0,0,11630*1000*SER_hh_fec!E19/SER_hh_num!E19)</f>
        <v>36730.503680405789</v>
      </c>
      <c r="F19" s="130">
        <f>IF(SER_hh_fec!F19=0,0,11630*1000*SER_hh_fec!F19/SER_hh_num!F19)</f>
        <v>37044.943406184953</v>
      </c>
      <c r="G19" s="130">
        <f>IF(SER_hh_fec!G19=0,0,11630*1000*SER_hh_fec!G19/SER_hh_num!G19)</f>
        <v>36548.375459503957</v>
      </c>
      <c r="H19" s="130">
        <f>IF(SER_hh_fec!H19=0,0,11630*1000*SER_hh_fec!H19/SER_hh_num!H19)</f>
        <v>36675.209688924348</v>
      </c>
      <c r="I19" s="130">
        <f>IF(SER_hh_fec!I19=0,0,11630*1000*SER_hh_fec!I19/SER_hh_num!I19)</f>
        <v>36368.322695130279</v>
      </c>
      <c r="J19" s="130">
        <f>IF(SER_hh_fec!J19=0,0,11630*1000*SER_hh_fec!J19/SER_hh_num!J19)</f>
        <v>35837.66399809991</v>
      </c>
      <c r="K19" s="130">
        <f>IF(SER_hh_fec!K19=0,0,11630*1000*SER_hh_fec!K19/SER_hh_num!K19)</f>
        <v>37159.154772544374</v>
      </c>
      <c r="L19" s="130">
        <f>IF(SER_hh_fec!L19=0,0,11630*1000*SER_hh_fec!L19/SER_hh_num!L19)</f>
        <v>36530.612814304077</v>
      </c>
      <c r="M19" s="130">
        <f>IF(SER_hh_fec!M19=0,0,11630*1000*SER_hh_fec!M19/SER_hh_num!M19)</f>
        <v>36968.980043389034</v>
      </c>
      <c r="N19" s="130">
        <f>IF(SER_hh_fec!N19=0,0,11630*1000*SER_hh_fec!N19/SER_hh_num!N19)</f>
        <v>35865.394610460244</v>
      </c>
      <c r="O19" s="130">
        <f>IF(SER_hh_fec!O19=0,0,11630*1000*SER_hh_fec!O19/SER_hh_num!O19)</f>
        <v>36451.388528380186</v>
      </c>
      <c r="P19" s="130">
        <f>IF(SER_hh_fec!P19=0,0,11630*1000*SER_hh_fec!P19/SER_hh_num!P19)</f>
        <v>35700.252959875208</v>
      </c>
      <c r="Q19" s="130">
        <f>IF(SER_hh_fec!Q19=0,0,11630*1000*SER_hh_fec!Q19/SER_hh_num!Q19)</f>
        <v>35680.605973356731</v>
      </c>
      <c r="R19" s="130">
        <f>IF(SER_hh_fec!R19=0,0,11630*1000*SER_hh_fec!R19/SER_hh_num!R19)</f>
        <v>35656.32542277519</v>
      </c>
      <c r="S19" s="130">
        <f>IF(SER_hh_fec!S19=0,0,11630*1000*SER_hh_fec!S19/SER_hh_num!S19)</f>
        <v>35895.620637783679</v>
      </c>
      <c r="T19" s="130">
        <f>IF(SER_hh_fec!T19=0,0,11630*1000*SER_hh_fec!T19/SER_hh_num!T19)</f>
        <v>34739.152303842486</v>
      </c>
      <c r="U19" s="130">
        <f>IF(SER_hh_fec!U19=0,0,11630*1000*SER_hh_fec!U19/SER_hh_num!U19)</f>
        <v>33549.28254310818</v>
      </c>
      <c r="V19" s="130">
        <f>IF(SER_hh_fec!V19=0,0,11630*1000*SER_hh_fec!V19/SER_hh_num!V19)</f>
        <v>30203.412854033417</v>
      </c>
      <c r="W19" s="130">
        <f>IF(SER_hh_fec!W19=0,0,11630*1000*SER_hh_fec!W19/SER_hh_num!W19)</f>
        <v>31689.244256563325</v>
      </c>
      <c r="X19" s="130">
        <f>IF(SER_hh_fec!X19=0,0,11630*1000*SER_hh_fec!X19/SER_hh_num!X19)</f>
        <v>32012.898559455862</v>
      </c>
      <c r="Y19" s="130">
        <f>IF(SER_hh_fec!Y19=0,0,11630*1000*SER_hh_fec!Y19/SER_hh_num!Y19)</f>
        <v>31517.559993691531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0</v>
      </c>
      <c r="C21" s="132">
        <f>IF(SER_hh_fec!C21=0,0,11630*1000*SER_hh_fec!C21/SER_hh_num!C21)</f>
        <v>0</v>
      </c>
      <c r="D21" s="132">
        <f>IF(SER_hh_fec!D21=0,0,11630*1000*SER_hh_fec!D21/SER_hh_num!D21)</f>
        <v>0</v>
      </c>
      <c r="E21" s="132">
        <f>IF(SER_hh_fec!E21=0,0,11630*1000*SER_hh_fec!E21/SER_hh_num!E21)</f>
        <v>0</v>
      </c>
      <c r="F21" s="132">
        <f>IF(SER_hh_fec!F21=0,0,11630*1000*SER_hh_fec!F21/SER_hh_num!F21)</f>
        <v>0</v>
      </c>
      <c r="G21" s="132">
        <f>IF(SER_hh_fec!G21=0,0,11630*1000*SER_hh_fec!G21/SER_hh_num!G21)</f>
        <v>0</v>
      </c>
      <c r="H21" s="132">
        <f>IF(SER_hh_fec!H21=0,0,11630*1000*SER_hh_fec!H21/SER_hh_num!H21)</f>
        <v>0</v>
      </c>
      <c r="I21" s="132">
        <f>IF(SER_hh_fec!I21=0,0,11630*1000*SER_hh_fec!I21/SER_hh_num!I21)</f>
        <v>0</v>
      </c>
      <c r="J21" s="132">
        <f>IF(SER_hh_fec!J21=0,0,11630*1000*SER_hh_fec!J21/SER_hh_num!J21)</f>
        <v>0</v>
      </c>
      <c r="K21" s="132">
        <f>IF(SER_hh_fec!K21=0,0,11630*1000*SER_hh_fec!K21/SER_hh_num!K21)</f>
        <v>0</v>
      </c>
      <c r="L21" s="132">
        <f>IF(SER_hh_fec!L21=0,0,11630*1000*SER_hh_fec!L21/SER_hh_num!L21)</f>
        <v>0</v>
      </c>
      <c r="M21" s="132">
        <f>IF(SER_hh_fec!M21=0,0,11630*1000*SER_hh_fec!M21/SER_hh_num!M21)</f>
        <v>0</v>
      </c>
      <c r="N21" s="132">
        <f>IF(SER_hh_fec!N21=0,0,11630*1000*SER_hh_fec!N21/SER_hh_num!N21)</f>
        <v>0</v>
      </c>
      <c r="O21" s="132">
        <f>IF(SER_hh_fec!O21=0,0,11630*1000*SER_hh_fec!O21/SER_hh_num!O21)</f>
        <v>0</v>
      </c>
      <c r="P21" s="132">
        <f>IF(SER_hh_fec!P21=0,0,11630*1000*SER_hh_fec!P21/SER_hh_num!P21)</f>
        <v>0</v>
      </c>
      <c r="Q21" s="132">
        <f>IF(SER_hh_fec!Q21=0,0,11630*1000*SER_hh_fec!Q21/SER_hh_num!Q21)</f>
        <v>0</v>
      </c>
      <c r="R21" s="132">
        <f>IF(SER_hh_fec!R21=0,0,11630*1000*SER_hh_fec!R21/SER_hh_num!R21)</f>
        <v>0</v>
      </c>
      <c r="S21" s="132">
        <f>IF(SER_hh_fec!S21=0,0,11630*1000*SER_hh_fec!S21/SER_hh_num!S21)</f>
        <v>0</v>
      </c>
      <c r="T21" s="132">
        <f>IF(SER_hh_fec!T21=0,0,11630*1000*SER_hh_fec!T21/SER_hh_num!T21)</f>
        <v>0</v>
      </c>
      <c r="U21" s="132">
        <f>IF(SER_hh_fec!U21=0,0,11630*1000*SER_hh_fec!U21/SER_hh_num!U21)</f>
        <v>0</v>
      </c>
      <c r="V21" s="132">
        <f>IF(SER_hh_fec!V21=0,0,11630*1000*SER_hh_fec!V21/SER_hh_num!V21)</f>
        <v>0</v>
      </c>
      <c r="W21" s="132">
        <f>IF(SER_hh_fec!W21=0,0,11630*1000*SER_hh_fec!W21/SER_hh_num!W21)</f>
        <v>0</v>
      </c>
      <c r="X21" s="132">
        <f>IF(SER_hh_fec!X21=0,0,11630*1000*SER_hh_fec!X21/SER_hh_num!X21)</f>
        <v>0</v>
      </c>
      <c r="Y21" s="132">
        <f>IF(SER_hh_fec!Y21=0,0,11630*1000*SER_hh_fec!Y21/SER_hh_num!Y21)</f>
        <v>0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46547.889342318915</v>
      </c>
      <c r="C22" s="132">
        <f>IF(SER_hh_fec!C22=0,0,11630*1000*SER_hh_fec!C22/SER_hh_num!C22)</f>
        <v>46997.997313266736</v>
      </c>
      <c r="D22" s="132">
        <f>IF(SER_hh_fec!D22=0,0,11630*1000*SER_hh_fec!D22/SER_hh_num!D22)</f>
        <v>46429.287397209977</v>
      </c>
      <c r="E22" s="132">
        <f>IF(SER_hh_fec!E22=0,0,11630*1000*SER_hh_fec!E22/SER_hh_num!E22)</f>
        <v>46214.782135759175</v>
      </c>
      <c r="F22" s="132">
        <f>IF(SER_hh_fec!F22=0,0,11630*1000*SER_hh_fec!F22/SER_hh_num!F22)</f>
        <v>45620.913475040084</v>
      </c>
      <c r="G22" s="132">
        <f>IF(SER_hh_fec!G22=0,0,11630*1000*SER_hh_fec!G22/SER_hh_num!G22)</f>
        <v>45364.958287715701</v>
      </c>
      <c r="H22" s="132">
        <f>IF(SER_hh_fec!H22=0,0,11630*1000*SER_hh_fec!H22/SER_hh_num!H22)</f>
        <v>46358.97710753134</v>
      </c>
      <c r="I22" s="132">
        <f>IF(SER_hh_fec!I22=0,0,11630*1000*SER_hh_fec!I22/SER_hh_num!I22)</f>
        <v>45050.966393362985</v>
      </c>
      <c r="J22" s="132">
        <f>IF(SER_hh_fec!J22=0,0,11630*1000*SER_hh_fec!J22/SER_hh_num!J22)</f>
        <v>45970.34912174505</v>
      </c>
      <c r="K22" s="132">
        <f>IF(SER_hh_fec!K22=0,0,11630*1000*SER_hh_fec!K22/SER_hh_num!K22)</f>
        <v>45476.426797810265</v>
      </c>
      <c r="L22" s="132">
        <f>IF(SER_hh_fec!L22=0,0,11630*1000*SER_hh_fec!L22/SER_hh_num!L22)</f>
        <v>45193.785010890773</v>
      </c>
      <c r="M22" s="132">
        <f>IF(SER_hh_fec!M22=0,0,11630*1000*SER_hh_fec!M22/SER_hh_num!M22)</f>
        <v>45488.280327939516</v>
      </c>
      <c r="N22" s="132">
        <f>IF(SER_hh_fec!N22=0,0,11630*1000*SER_hh_fec!N22/SER_hh_num!N22)</f>
        <v>45187.810019999502</v>
      </c>
      <c r="O22" s="132">
        <f>IF(SER_hh_fec!O22=0,0,11630*1000*SER_hh_fec!O22/SER_hh_num!O22)</f>
        <v>45003.18147682304</v>
      </c>
      <c r="P22" s="132">
        <f>IF(SER_hh_fec!P22=0,0,11630*1000*SER_hh_fec!P22/SER_hh_num!P22)</f>
        <v>44469.812923868929</v>
      </c>
      <c r="Q22" s="132">
        <f>IF(SER_hh_fec!Q22=0,0,11630*1000*SER_hh_fec!Q22/SER_hh_num!Q22)</f>
        <v>44651.107395312392</v>
      </c>
      <c r="R22" s="132">
        <f>IF(SER_hh_fec!R22=0,0,11630*1000*SER_hh_fec!R22/SER_hh_num!R22)</f>
        <v>44368.622669669094</v>
      </c>
      <c r="S22" s="132">
        <f>IF(SER_hh_fec!S22=0,0,11630*1000*SER_hh_fec!S22/SER_hh_num!S22)</f>
        <v>44302.463220369784</v>
      </c>
      <c r="T22" s="132">
        <f>IF(SER_hh_fec!T22=0,0,11630*1000*SER_hh_fec!T22/SER_hh_num!T22)</f>
        <v>43531.748779057532</v>
      </c>
      <c r="U22" s="132">
        <f>IF(SER_hh_fec!U22=0,0,11630*1000*SER_hh_fec!U22/SER_hh_num!U22)</f>
        <v>41581.830528752122</v>
      </c>
      <c r="V22" s="132">
        <f>IF(SER_hh_fec!V22=0,0,11630*1000*SER_hh_fec!V22/SER_hh_num!V22)</f>
        <v>37362.314842118685</v>
      </c>
      <c r="W22" s="132">
        <f>IF(SER_hh_fec!W22=0,0,11630*1000*SER_hh_fec!W22/SER_hh_num!W22)</f>
        <v>39252.579922552526</v>
      </c>
      <c r="X22" s="132">
        <f>IF(SER_hh_fec!X22=0,0,11630*1000*SER_hh_fec!X22/SER_hh_num!X22)</f>
        <v>38547.643023688543</v>
      </c>
      <c r="Y22" s="132">
        <f>IF(SER_hh_fec!Y22=0,0,11630*1000*SER_hh_fec!Y22/SER_hh_num!Y22)</f>
        <v>38811.183122162234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45045.078225156241</v>
      </c>
      <c r="C23" s="132">
        <f>IF(SER_hh_fec!C23=0,0,11630*1000*SER_hh_fec!C23/SER_hh_num!C23)</f>
        <v>43803.34596991018</v>
      </c>
      <c r="D23" s="132">
        <f>IF(SER_hh_fec!D23=0,0,11630*1000*SER_hh_fec!D23/SER_hh_num!D23)</f>
        <v>44813.168412808212</v>
      </c>
      <c r="E23" s="132">
        <f>IF(SER_hh_fec!E23=0,0,11630*1000*SER_hh_fec!E23/SER_hh_num!E23)</f>
        <v>43348.289780289546</v>
      </c>
      <c r="F23" s="132">
        <f>IF(SER_hh_fec!F23=0,0,11630*1000*SER_hh_fec!F23/SER_hh_num!F23)</f>
        <v>42425.920529363939</v>
      </c>
      <c r="G23" s="132">
        <f>IF(SER_hh_fec!G23=0,0,11630*1000*SER_hh_fec!G23/SER_hh_num!G23)</f>
        <v>42834.847652507611</v>
      </c>
      <c r="H23" s="132">
        <f>IF(SER_hh_fec!H23=0,0,11630*1000*SER_hh_fec!H23/SER_hh_num!H23)</f>
        <v>41162.592598411407</v>
      </c>
      <c r="I23" s="132">
        <f>IF(SER_hh_fec!I23=0,0,11630*1000*SER_hh_fec!I23/SER_hh_num!I23)</f>
        <v>39957.518202460204</v>
      </c>
      <c r="J23" s="132">
        <f>IF(SER_hh_fec!J23=0,0,11630*1000*SER_hh_fec!J23/SER_hh_num!J23)</f>
        <v>42081.35510788572</v>
      </c>
      <c r="K23" s="132">
        <f>IF(SER_hh_fec!K23=0,0,11630*1000*SER_hh_fec!K23/SER_hh_num!K23)</f>
        <v>42379.983314745848</v>
      </c>
      <c r="L23" s="132">
        <f>IF(SER_hh_fec!L23=0,0,11630*1000*SER_hh_fec!L23/SER_hh_num!L23)</f>
        <v>40947.468931130905</v>
      </c>
      <c r="M23" s="132">
        <f>IF(SER_hh_fec!M23=0,0,11630*1000*SER_hh_fec!M23/SER_hh_num!M23)</f>
        <v>40991.713901037125</v>
      </c>
      <c r="N23" s="132">
        <f>IF(SER_hh_fec!N23=0,0,11630*1000*SER_hh_fec!N23/SER_hh_num!N23)</f>
        <v>40473.898465716855</v>
      </c>
      <c r="O23" s="132">
        <f>IF(SER_hh_fec!O23=0,0,11630*1000*SER_hh_fec!O23/SER_hh_num!O23)</f>
        <v>40287.471100514071</v>
      </c>
      <c r="P23" s="132">
        <f>IF(SER_hh_fec!P23=0,0,11630*1000*SER_hh_fec!P23/SER_hh_num!P23)</f>
        <v>39479.976090913915</v>
      </c>
      <c r="Q23" s="132">
        <f>IF(SER_hh_fec!Q23=0,0,11630*1000*SER_hh_fec!Q23/SER_hh_num!Q23)</f>
        <v>39476.44129717668</v>
      </c>
      <c r="R23" s="132">
        <f>IF(SER_hh_fec!R23=0,0,11630*1000*SER_hh_fec!R23/SER_hh_num!R23)</f>
        <v>39136.534308696908</v>
      </c>
      <c r="S23" s="132">
        <f>IF(SER_hh_fec!S23=0,0,11630*1000*SER_hh_fec!S23/SER_hh_num!S23)</f>
        <v>39019.794500603653</v>
      </c>
      <c r="T23" s="132">
        <f>IF(SER_hh_fec!T23=0,0,11630*1000*SER_hh_fec!T23/SER_hh_num!T23)</f>
        <v>36882.910109314696</v>
      </c>
      <c r="U23" s="132">
        <f>IF(SER_hh_fec!U23=0,0,11630*1000*SER_hh_fec!U23/SER_hh_num!U23)</f>
        <v>35404.016823451762</v>
      </c>
      <c r="V23" s="132">
        <f>IF(SER_hh_fec!V23=0,0,11630*1000*SER_hh_fec!V23/SER_hh_num!V23)</f>
        <v>33973.577101233299</v>
      </c>
      <c r="W23" s="132">
        <f>IF(SER_hh_fec!W23=0,0,11630*1000*SER_hh_fec!W23/SER_hh_num!W23)</f>
        <v>34362.595997882658</v>
      </c>
      <c r="X23" s="132">
        <f>IF(SER_hh_fec!X23=0,0,11630*1000*SER_hh_fec!X23/SER_hh_num!X23)</f>
        <v>34572.283478213576</v>
      </c>
      <c r="Y23" s="132">
        <f>IF(SER_hh_fec!Y23=0,0,11630*1000*SER_hh_fec!Y23/SER_hh_num!Y23)</f>
        <v>32946.917933429009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59051.512879094873</v>
      </c>
      <c r="C24" s="132">
        <f>IF(SER_hh_fec!C24=0,0,11630*1000*SER_hh_fec!C24/SER_hh_num!C24)</f>
        <v>51047.994781530026</v>
      </c>
      <c r="D24" s="132">
        <f>IF(SER_hh_fec!D24=0,0,11630*1000*SER_hh_fec!D24/SER_hh_num!D24)</f>
        <v>49873.836608334313</v>
      </c>
      <c r="E24" s="132">
        <f>IF(SER_hh_fec!E24=0,0,11630*1000*SER_hh_fec!E24/SER_hh_num!E24)</f>
        <v>47762.926913318537</v>
      </c>
      <c r="F24" s="132">
        <f>IF(SER_hh_fec!F24=0,0,11630*1000*SER_hh_fec!F24/SER_hh_num!F24)</f>
        <v>48093.818722799901</v>
      </c>
      <c r="G24" s="132">
        <f>IF(SER_hh_fec!G24=0,0,11630*1000*SER_hh_fec!G24/SER_hh_num!G24)</f>
        <v>47270.18512366405</v>
      </c>
      <c r="H24" s="132">
        <f>IF(SER_hh_fec!H24=0,0,11630*1000*SER_hh_fec!H24/SER_hh_num!H24)</f>
        <v>45761.622975036902</v>
      </c>
      <c r="I24" s="132">
        <f>IF(SER_hh_fec!I24=0,0,11630*1000*SER_hh_fec!I24/SER_hh_num!I24)</f>
        <v>44810.914955032698</v>
      </c>
      <c r="J24" s="132">
        <f>IF(SER_hh_fec!J24=0,0,11630*1000*SER_hh_fec!J24/SER_hh_num!J24)</f>
        <v>42974.491825475008</v>
      </c>
      <c r="K24" s="132">
        <f>IF(SER_hh_fec!K24=0,0,11630*1000*SER_hh_fec!K24/SER_hh_num!K24)</f>
        <v>42584.706574164979</v>
      </c>
      <c r="L24" s="132">
        <f>IF(SER_hh_fec!L24=0,0,11630*1000*SER_hh_fec!L24/SER_hh_num!L24)</f>
        <v>41775.58573872492</v>
      </c>
      <c r="M24" s="132">
        <f>IF(SER_hh_fec!M24=0,0,11630*1000*SER_hh_fec!M24/SER_hh_num!M24)</f>
        <v>41522.940104740977</v>
      </c>
      <c r="N24" s="132">
        <f>IF(SER_hh_fec!N24=0,0,11630*1000*SER_hh_fec!N24/SER_hh_num!N24)</f>
        <v>39868.409632970077</v>
      </c>
      <c r="O24" s="132">
        <f>IF(SER_hh_fec!O24=0,0,11630*1000*SER_hh_fec!O24/SER_hh_num!O24)</f>
        <v>39515.975933740279</v>
      </c>
      <c r="P24" s="132">
        <f>IF(SER_hh_fec!P24=0,0,11630*1000*SER_hh_fec!P24/SER_hh_num!P24)</f>
        <v>39037.080134676318</v>
      </c>
      <c r="Q24" s="132">
        <f>IF(SER_hh_fec!Q24=0,0,11630*1000*SER_hh_fec!Q24/SER_hh_num!Q24)</f>
        <v>39621.195276894017</v>
      </c>
      <c r="R24" s="132">
        <f>IF(SER_hh_fec!R24=0,0,11630*1000*SER_hh_fec!R24/SER_hh_num!R24)</f>
        <v>38639.775056512059</v>
      </c>
      <c r="S24" s="132">
        <f>IF(SER_hh_fec!S24=0,0,11630*1000*SER_hh_fec!S24/SER_hh_num!S24)</f>
        <v>42388.431562218757</v>
      </c>
      <c r="T24" s="132">
        <f>IF(SER_hh_fec!T24=0,0,11630*1000*SER_hh_fec!T24/SER_hh_num!T24)</f>
        <v>38193.639558739807</v>
      </c>
      <c r="U24" s="132">
        <f>IF(SER_hh_fec!U24=0,0,11630*1000*SER_hh_fec!U24/SER_hh_num!U24)</f>
        <v>35657.570169462058</v>
      </c>
      <c r="V24" s="132">
        <f>IF(SER_hh_fec!V24=0,0,11630*1000*SER_hh_fec!V24/SER_hh_num!V24)</f>
        <v>32664.254541767077</v>
      </c>
      <c r="W24" s="132">
        <f>IF(SER_hh_fec!W24=0,0,11630*1000*SER_hh_fec!W24/SER_hh_num!W24)</f>
        <v>34432.377652715673</v>
      </c>
      <c r="X24" s="132">
        <f>IF(SER_hh_fec!X24=0,0,11630*1000*SER_hh_fec!X24/SER_hh_num!X24)</f>
        <v>38177.194944719995</v>
      </c>
      <c r="Y24" s="132">
        <f>IF(SER_hh_fec!Y24=0,0,11630*1000*SER_hh_fec!Y24/SER_hh_num!Y24)</f>
        <v>34813.596541069121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31716.158597496913</v>
      </c>
      <c r="C25" s="132">
        <f>IF(SER_hh_fec!C25=0,0,11630*1000*SER_hh_fec!C25/SER_hh_num!C25)</f>
        <v>30977.135779037228</v>
      </c>
      <c r="D25" s="132">
        <f>IF(SER_hh_fec!D25=0,0,11630*1000*SER_hh_fec!D25/SER_hh_num!D25)</f>
        <v>30656.848678394384</v>
      </c>
      <c r="E25" s="132">
        <f>IF(SER_hh_fec!E25=0,0,11630*1000*SER_hh_fec!E25/SER_hh_num!E25)</f>
        <v>30443.862878930184</v>
      </c>
      <c r="F25" s="132">
        <f>IF(SER_hh_fec!F25=0,0,11630*1000*SER_hh_fec!F25/SER_hh_num!F25)</f>
        <v>30266.837139216626</v>
      </c>
      <c r="G25" s="132">
        <f>IF(SER_hh_fec!G25=0,0,11630*1000*SER_hh_fec!G25/SER_hh_num!G25)</f>
        <v>29926.676231500274</v>
      </c>
      <c r="H25" s="132">
        <f>IF(SER_hh_fec!H25=0,0,11630*1000*SER_hh_fec!H25/SER_hh_num!H25)</f>
        <v>30125.389267126331</v>
      </c>
      <c r="I25" s="132">
        <f>IF(SER_hh_fec!I25=0,0,11630*1000*SER_hh_fec!I25/SER_hh_num!I25)</f>
        <v>30440.323097595308</v>
      </c>
      <c r="J25" s="132">
        <f>IF(SER_hh_fec!J25=0,0,11630*1000*SER_hh_fec!J25/SER_hh_num!J25)</f>
        <v>29476.369239948963</v>
      </c>
      <c r="K25" s="132">
        <f>IF(SER_hh_fec!K25=0,0,11630*1000*SER_hh_fec!K25/SER_hh_num!K25)</f>
        <v>30277.913755582089</v>
      </c>
      <c r="L25" s="132">
        <f>IF(SER_hh_fec!L25=0,0,11630*1000*SER_hh_fec!L25/SER_hh_num!L25)</f>
        <v>30142.855832820962</v>
      </c>
      <c r="M25" s="132">
        <f>IF(SER_hh_fec!M25=0,0,11630*1000*SER_hh_fec!M25/SER_hh_num!M25)</f>
        <v>30708.16844472802</v>
      </c>
      <c r="N25" s="132">
        <f>IF(SER_hh_fec!N25=0,0,11630*1000*SER_hh_fec!N25/SER_hh_num!N25)</f>
        <v>30391.483374025545</v>
      </c>
      <c r="O25" s="132">
        <f>IF(SER_hh_fec!O25=0,0,11630*1000*SER_hh_fec!O25/SER_hh_num!O25)</f>
        <v>30401.516612496525</v>
      </c>
      <c r="P25" s="132">
        <f>IF(SER_hh_fec!P25=0,0,11630*1000*SER_hh_fec!P25/SER_hh_num!P25)</f>
        <v>29670.058684204108</v>
      </c>
      <c r="Q25" s="132">
        <f>IF(SER_hh_fec!Q25=0,0,11630*1000*SER_hh_fec!Q25/SER_hh_num!Q25)</f>
        <v>30810.295965756337</v>
      </c>
      <c r="R25" s="132">
        <f>IF(SER_hh_fec!R25=0,0,11630*1000*SER_hh_fec!R25/SER_hh_num!R25)</f>
        <v>30864.322828897377</v>
      </c>
      <c r="S25" s="132">
        <f>IF(SER_hh_fec!S25=0,0,11630*1000*SER_hh_fec!S25/SER_hh_num!S25)</f>
        <v>31059.669255239158</v>
      </c>
      <c r="T25" s="132">
        <f>IF(SER_hh_fec!T25=0,0,11630*1000*SER_hh_fec!T25/SER_hh_num!T25)</f>
        <v>29972.951694195599</v>
      </c>
      <c r="U25" s="132">
        <f>IF(SER_hh_fec!U25=0,0,11630*1000*SER_hh_fec!U25/SER_hh_num!U25)</f>
        <v>29804.197316289359</v>
      </c>
      <c r="V25" s="132">
        <f>IF(SER_hh_fec!V25=0,0,11630*1000*SER_hh_fec!V25/SER_hh_num!V25)</f>
        <v>27335.783588471899</v>
      </c>
      <c r="W25" s="132">
        <f>IF(SER_hh_fec!W25=0,0,11630*1000*SER_hh_fec!W25/SER_hh_num!W25)</f>
        <v>29358.162356317156</v>
      </c>
      <c r="X25" s="132">
        <f>IF(SER_hh_fec!X25=0,0,11630*1000*SER_hh_fec!X25/SER_hh_num!X25)</f>
        <v>30793.543511802251</v>
      </c>
      <c r="Y25" s="132">
        <f>IF(SER_hh_fec!Y25=0,0,11630*1000*SER_hh_fec!Y25/SER_hh_num!Y25)</f>
        <v>28906.763194255018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34112.330166418767</v>
      </c>
      <c r="C26" s="65">
        <f>IF(SER_hh_fec!C26=0,0,11630*1000*SER_hh_fec!C26/SER_hh_num!C26)</f>
        <v>38767.291399619236</v>
      </c>
      <c r="D26" s="65">
        <f>IF(SER_hh_fec!D26=0,0,11630*1000*SER_hh_fec!D26/SER_hh_num!D26)</f>
        <v>35430.308124051597</v>
      </c>
      <c r="E26" s="65">
        <f>IF(SER_hh_fec!E26=0,0,11630*1000*SER_hh_fec!E26/SER_hh_num!E26)</f>
        <v>35581.70911501049</v>
      </c>
      <c r="F26" s="65">
        <f>IF(SER_hh_fec!F26=0,0,11630*1000*SER_hh_fec!F26/SER_hh_num!F26)</f>
        <v>36566.119914021168</v>
      </c>
      <c r="G26" s="65">
        <f>IF(SER_hh_fec!G26=0,0,11630*1000*SER_hh_fec!G26/SER_hh_num!G26)</f>
        <v>35347.633916419851</v>
      </c>
      <c r="H26" s="65">
        <f>IF(SER_hh_fec!H26=0,0,11630*1000*SER_hh_fec!H26/SER_hh_num!H26)</f>
        <v>36059.519931856419</v>
      </c>
      <c r="I26" s="65">
        <f>IF(SER_hh_fec!I26=0,0,11630*1000*SER_hh_fec!I26/SER_hh_num!I26)</f>
        <v>35751.38164011878</v>
      </c>
      <c r="J26" s="65">
        <f>IF(SER_hh_fec!J26=0,0,11630*1000*SER_hh_fec!J26/SER_hh_num!J26)</f>
        <v>34737.1237069696</v>
      </c>
      <c r="K26" s="65">
        <f>IF(SER_hh_fec!K26=0,0,11630*1000*SER_hh_fec!K26/SER_hh_num!K26)</f>
        <v>37357.966920503866</v>
      </c>
      <c r="L26" s="65">
        <f>IF(SER_hh_fec!L26=0,0,11630*1000*SER_hh_fec!L26/SER_hh_num!L26)</f>
        <v>36552.898745981925</v>
      </c>
      <c r="M26" s="65">
        <f>IF(SER_hh_fec!M26=0,0,11630*1000*SER_hh_fec!M26/SER_hh_num!M26)</f>
        <v>37246.098770722987</v>
      </c>
      <c r="N26" s="65">
        <f>IF(SER_hh_fec!N26=0,0,11630*1000*SER_hh_fec!N26/SER_hh_num!N26)</f>
        <v>35309.614511479063</v>
      </c>
      <c r="O26" s="65">
        <f>IF(SER_hh_fec!O26=0,0,11630*1000*SER_hh_fec!O26/SER_hh_num!O26)</f>
        <v>37135.724002988391</v>
      </c>
      <c r="P26" s="65">
        <f>IF(SER_hh_fec!P26=0,0,11630*1000*SER_hh_fec!P26/SER_hh_num!P26)</f>
        <v>36278.459667188625</v>
      </c>
      <c r="Q26" s="65">
        <f>IF(SER_hh_fec!Q26=0,0,11630*1000*SER_hh_fec!Q26/SER_hh_num!Q26)</f>
        <v>35102.710805367213</v>
      </c>
      <c r="R26" s="65">
        <f>IF(SER_hh_fec!R26=0,0,11630*1000*SER_hh_fec!R26/SER_hh_num!R26)</f>
        <v>35674.902314252846</v>
      </c>
      <c r="S26" s="65">
        <f>IF(SER_hh_fec!S26=0,0,11630*1000*SER_hh_fec!S26/SER_hh_num!S26)</f>
        <v>35092.370767018001</v>
      </c>
      <c r="T26" s="65">
        <f>IF(SER_hh_fec!T26=0,0,11630*1000*SER_hh_fec!T26/SER_hh_num!T26)</f>
        <v>35401.358381963306</v>
      </c>
      <c r="U26" s="65">
        <f>IF(SER_hh_fec!U26=0,0,11630*1000*SER_hh_fec!U26/SER_hh_num!U26)</f>
        <v>34178.151242614265</v>
      </c>
      <c r="V26" s="65">
        <f>IF(SER_hh_fec!V26=0,0,11630*1000*SER_hh_fec!V26/SER_hh_num!V26)</f>
        <v>29496.066177312885</v>
      </c>
      <c r="W26" s="65">
        <f>IF(SER_hh_fec!W26=0,0,11630*1000*SER_hh_fec!W26/SER_hh_num!W26)</f>
        <v>30959.423348081022</v>
      </c>
      <c r="X26" s="65">
        <f>IF(SER_hh_fec!X26=0,0,11630*1000*SER_hh_fec!X26/SER_hh_num!X26)</f>
        <v>29684.386390035041</v>
      </c>
      <c r="Y26" s="65">
        <f>IF(SER_hh_fec!Y26=0,0,11630*1000*SER_hh_fec!Y26/SER_hh_num!Y26)</f>
        <v>31444.702939073773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0</v>
      </c>
      <c r="C27" s="145">
        <f>IF(SER_hh_fec!C27=0,0,11630*1000*SER_hh_fec!C27/SER_hh_num!C19)</f>
        <v>0</v>
      </c>
      <c r="D27" s="145">
        <f>IF(SER_hh_fec!D27=0,0,11630*1000*SER_hh_fec!D27/SER_hh_num!D19)</f>
        <v>0</v>
      </c>
      <c r="E27" s="145">
        <f>IF(SER_hh_fec!E27=0,0,11630*1000*SER_hh_fec!E27/SER_hh_num!E19)</f>
        <v>0</v>
      </c>
      <c r="F27" s="145">
        <f>IF(SER_hh_fec!F27=0,0,11630*1000*SER_hh_fec!F27/SER_hh_num!F19)</f>
        <v>0</v>
      </c>
      <c r="G27" s="145">
        <f>IF(SER_hh_fec!G27=0,0,11630*1000*SER_hh_fec!G27/SER_hh_num!G19)</f>
        <v>0</v>
      </c>
      <c r="H27" s="145">
        <f>IF(SER_hh_fec!H27=0,0,11630*1000*SER_hh_fec!H27/SER_hh_num!H19)</f>
        <v>0</v>
      </c>
      <c r="I27" s="145">
        <f>IF(SER_hh_fec!I27=0,0,11630*1000*SER_hh_fec!I27/SER_hh_num!I19)</f>
        <v>0</v>
      </c>
      <c r="J27" s="145">
        <f>IF(SER_hh_fec!J27=0,0,11630*1000*SER_hh_fec!J27/SER_hh_num!J19)</f>
        <v>0</v>
      </c>
      <c r="K27" s="145">
        <f>IF(SER_hh_fec!K27=0,0,11630*1000*SER_hh_fec!K27/SER_hh_num!K19)</f>
        <v>0</v>
      </c>
      <c r="L27" s="145">
        <f>IF(SER_hh_fec!L27=0,0,11630*1000*SER_hh_fec!L27/SER_hh_num!L19)</f>
        <v>0</v>
      </c>
      <c r="M27" s="145">
        <f>IF(SER_hh_fec!M27=0,0,11630*1000*SER_hh_fec!M27/SER_hh_num!M19)</f>
        <v>0</v>
      </c>
      <c r="N27" s="145">
        <f>IF(SER_hh_fec!N27=0,0,11630*1000*SER_hh_fec!N27/SER_hh_num!N19)</f>
        <v>0</v>
      </c>
      <c r="O27" s="145">
        <f>IF(SER_hh_fec!O27=0,0,11630*1000*SER_hh_fec!O27/SER_hh_num!O19)</f>
        <v>0</v>
      </c>
      <c r="P27" s="145">
        <f>IF(SER_hh_fec!P27=0,0,11630*1000*SER_hh_fec!P27/SER_hh_num!P19)</f>
        <v>0</v>
      </c>
      <c r="Q27" s="145">
        <f>IF(SER_hh_fec!Q27=0,0,11630*1000*SER_hh_fec!Q27/SER_hh_num!Q19)</f>
        <v>0</v>
      </c>
      <c r="R27" s="145">
        <f>IF(SER_hh_fec!R27=0,0,11630*1000*SER_hh_fec!R27/SER_hh_num!R19)</f>
        <v>0</v>
      </c>
      <c r="S27" s="145">
        <f>IF(SER_hh_fec!S27=0,0,11630*1000*SER_hh_fec!S27/SER_hh_num!S19)</f>
        <v>0</v>
      </c>
      <c r="T27" s="145">
        <f>IF(SER_hh_fec!T27=0,0,11630*1000*SER_hh_fec!T27/SER_hh_num!T19)</f>
        <v>0</v>
      </c>
      <c r="U27" s="145">
        <f>IF(SER_hh_fec!U27=0,0,11630*1000*SER_hh_fec!U27/SER_hh_num!U19)</f>
        <v>0</v>
      </c>
      <c r="V27" s="145">
        <f>IF(SER_hh_fec!V27=0,0,11630*1000*SER_hh_fec!V27/SER_hh_num!V19)</f>
        <v>0</v>
      </c>
      <c r="W27" s="145">
        <f>IF(SER_hh_fec!W27=0,0,11630*1000*SER_hh_fec!W27/SER_hh_num!W19)</f>
        <v>0</v>
      </c>
      <c r="X27" s="145">
        <f>IF(SER_hh_fec!X27=0,0,11630*1000*SER_hh_fec!X27/SER_hh_num!X19)</f>
        <v>0</v>
      </c>
      <c r="Y27" s="145">
        <f>IF(SER_hh_fec!Y27=0,0,11630*1000*SER_hh_fec!Y27/SER_hh_num!Y19)</f>
        <v>0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0</v>
      </c>
      <c r="C28" s="146">
        <f>IF(SER_hh_fec!C27=0,0,11630*1000*SER_hh_fec!C27/SER_hh_num!C27)</f>
        <v>0</v>
      </c>
      <c r="D28" s="146">
        <f>IF(SER_hh_fec!D27=0,0,11630*1000*SER_hh_fec!D27/SER_hh_num!D27)</f>
        <v>0</v>
      </c>
      <c r="E28" s="146">
        <f>IF(SER_hh_fec!E27=0,0,11630*1000*SER_hh_fec!E27/SER_hh_num!E27)</f>
        <v>0</v>
      </c>
      <c r="F28" s="146">
        <f>IF(SER_hh_fec!F27=0,0,11630*1000*SER_hh_fec!F27/SER_hh_num!F27)</f>
        <v>0</v>
      </c>
      <c r="G28" s="146">
        <f>IF(SER_hh_fec!G27=0,0,11630*1000*SER_hh_fec!G27/SER_hh_num!G27)</f>
        <v>0</v>
      </c>
      <c r="H28" s="146">
        <f>IF(SER_hh_fec!H27=0,0,11630*1000*SER_hh_fec!H27/SER_hh_num!H27)</f>
        <v>0</v>
      </c>
      <c r="I28" s="146">
        <f>IF(SER_hh_fec!I27=0,0,11630*1000*SER_hh_fec!I27/SER_hh_num!I27)</f>
        <v>0</v>
      </c>
      <c r="J28" s="146">
        <f>IF(SER_hh_fec!J27=0,0,11630*1000*SER_hh_fec!J27/SER_hh_num!J27)</f>
        <v>0</v>
      </c>
      <c r="K28" s="146">
        <f>IF(SER_hh_fec!K27=0,0,11630*1000*SER_hh_fec!K27/SER_hh_num!K27)</f>
        <v>0</v>
      </c>
      <c r="L28" s="146">
        <f>IF(SER_hh_fec!L27=0,0,11630*1000*SER_hh_fec!L27/SER_hh_num!L27)</f>
        <v>0</v>
      </c>
      <c r="M28" s="146">
        <f>IF(SER_hh_fec!M27=0,0,11630*1000*SER_hh_fec!M27/SER_hh_num!M27)</f>
        <v>0</v>
      </c>
      <c r="N28" s="146">
        <f>IF(SER_hh_fec!N27=0,0,11630*1000*SER_hh_fec!N27/SER_hh_num!N27)</f>
        <v>0</v>
      </c>
      <c r="O28" s="146">
        <f>IF(SER_hh_fec!O27=0,0,11630*1000*SER_hh_fec!O27/SER_hh_num!O27)</f>
        <v>0</v>
      </c>
      <c r="P28" s="146">
        <f>IF(SER_hh_fec!P27=0,0,11630*1000*SER_hh_fec!P27/SER_hh_num!P27)</f>
        <v>0</v>
      </c>
      <c r="Q28" s="146">
        <f>IF(SER_hh_fec!Q27=0,0,11630*1000*SER_hh_fec!Q27/SER_hh_num!Q27)</f>
        <v>0</v>
      </c>
      <c r="R28" s="146">
        <f>IF(SER_hh_fec!R27=0,0,11630*1000*SER_hh_fec!R27/SER_hh_num!R27)</f>
        <v>0</v>
      </c>
      <c r="S28" s="146">
        <f>IF(SER_hh_fec!S27=0,0,11630*1000*SER_hh_fec!S27/SER_hh_num!S27)</f>
        <v>0</v>
      </c>
      <c r="T28" s="146">
        <f>IF(SER_hh_fec!T27=0,0,11630*1000*SER_hh_fec!T27/SER_hh_num!T27)</f>
        <v>0</v>
      </c>
      <c r="U28" s="146">
        <f>IF(SER_hh_fec!U27=0,0,11630*1000*SER_hh_fec!U27/SER_hh_num!U27)</f>
        <v>0</v>
      </c>
      <c r="V28" s="146">
        <f>IF(SER_hh_fec!V27=0,0,11630*1000*SER_hh_fec!V27/SER_hh_num!V27)</f>
        <v>0</v>
      </c>
      <c r="W28" s="146">
        <f>IF(SER_hh_fec!W27=0,0,11630*1000*SER_hh_fec!W27/SER_hh_num!W27)</f>
        <v>0</v>
      </c>
      <c r="X28" s="146">
        <f>IF(SER_hh_fec!X27=0,0,11630*1000*SER_hh_fec!X27/SER_hh_num!X27)</f>
        <v>0</v>
      </c>
      <c r="Y28" s="146">
        <f>IF(SER_hh_fec!Y27=0,0,11630*1000*SER_hh_fec!Y27/SER_hh_num!Y27)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42199.625760650662</v>
      </c>
      <c r="C29" s="130">
        <f>IF(SER_hh_fec!C29=0,0,11630*1000*SER_hh_fec!C29/SER_hh_num!C29)</f>
        <v>42941.88442224676</v>
      </c>
      <c r="D29" s="130">
        <f>IF(SER_hh_fec!D29=0,0,11630*1000*SER_hh_fec!D29/SER_hh_num!D29)</f>
        <v>40975.153867621033</v>
      </c>
      <c r="E29" s="130">
        <f>IF(SER_hh_fec!E29=0,0,11630*1000*SER_hh_fec!E29/SER_hh_num!E29)</f>
        <v>40352.464441945922</v>
      </c>
      <c r="F29" s="130">
        <f>IF(SER_hh_fec!F29=0,0,11630*1000*SER_hh_fec!F29/SER_hh_num!F29)</f>
        <v>40519.418793729063</v>
      </c>
      <c r="G29" s="130">
        <f>IF(SER_hh_fec!G29=0,0,11630*1000*SER_hh_fec!G29/SER_hh_num!G29)</f>
        <v>41146.828456818199</v>
      </c>
      <c r="H29" s="130">
        <f>IF(SER_hh_fec!H29=0,0,11630*1000*SER_hh_fec!H29/SER_hh_num!H29)</f>
        <v>40844.945504803436</v>
      </c>
      <c r="I29" s="130">
        <f>IF(SER_hh_fec!I29=0,0,11630*1000*SER_hh_fec!I29/SER_hh_num!I29)</f>
        <v>39117.832564239543</v>
      </c>
      <c r="J29" s="130">
        <f>IF(SER_hh_fec!J29=0,0,11630*1000*SER_hh_fec!J29/SER_hh_num!J29)</f>
        <v>39653.885757314602</v>
      </c>
      <c r="K29" s="130">
        <f>IF(SER_hh_fec!K29=0,0,11630*1000*SER_hh_fec!K29/SER_hh_num!K29)</f>
        <v>41023.075538025754</v>
      </c>
      <c r="L29" s="130">
        <f>IF(SER_hh_fec!L29=0,0,11630*1000*SER_hh_fec!L29/SER_hh_num!L29)</f>
        <v>40413.88776597265</v>
      </c>
      <c r="M29" s="130">
        <f>IF(SER_hh_fec!M29=0,0,11630*1000*SER_hh_fec!M29/SER_hh_num!M29)</f>
        <v>40136.743604509349</v>
      </c>
      <c r="N29" s="130">
        <f>IF(SER_hh_fec!N29=0,0,11630*1000*SER_hh_fec!N29/SER_hh_num!N29)</f>
        <v>39791.732477252895</v>
      </c>
      <c r="O29" s="130">
        <f>IF(SER_hh_fec!O29=0,0,11630*1000*SER_hh_fec!O29/SER_hh_num!O29)</f>
        <v>40268.782206625416</v>
      </c>
      <c r="P29" s="130">
        <f>IF(SER_hh_fec!P29=0,0,11630*1000*SER_hh_fec!P29/SER_hh_num!P29)</f>
        <v>39793.581102321165</v>
      </c>
      <c r="Q29" s="130">
        <f>IF(SER_hh_fec!Q29=0,0,11630*1000*SER_hh_fec!Q29/SER_hh_num!Q29)</f>
        <v>39463.694881390125</v>
      </c>
      <c r="R29" s="130">
        <f>IF(SER_hh_fec!R29=0,0,11630*1000*SER_hh_fec!R29/SER_hh_num!R29)</f>
        <v>38873.554658354158</v>
      </c>
      <c r="S29" s="130">
        <f>IF(SER_hh_fec!S29=0,0,11630*1000*SER_hh_fec!S29/SER_hh_num!S29)</f>
        <v>39161.606063806743</v>
      </c>
      <c r="T29" s="130">
        <f>IF(SER_hh_fec!T29=0,0,11630*1000*SER_hh_fec!T29/SER_hh_num!T29)</f>
        <v>38688.046381906715</v>
      </c>
      <c r="U29" s="130">
        <f>IF(SER_hh_fec!U29=0,0,11630*1000*SER_hh_fec!U29/SER_hh_num!U29)</f>
        <v>38563.275546742341</v>
      </c>
      <c r="V29" s="130">
        <f>IF(SER_hh_fec!V29=0,0,11630*1000*SER_hh_fec!V29/SER_hh_num!V29)</f>
        <v>35704.684581713227</v>
      </c>
      <c r="W29" s="130">
        <f>IF(SER_hh_fec!W29=0,0,11630*1000*SER_hh_fec!W29/SER_hh_num!W29)</f>
        <v>36731.691209658398</v>
      </c>
      <c r="X29" s="130">
        <f>IF(SER_hh_fec!X29=0,0,11630*1000*SER_hh_fec!X29/SER_hh_num!X29)</f>
        <v>37628.57394239409</v>
      </c>
      <c r="Y29" s="130">
        <f>IF(SER_hh_fec!Y29=0,0,11630*1000*SER_hh_fec!Y29/SER_hh_num!Y29)</f>
        <v>36865.389685585629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0</v>
      </c>
      <c r="C30" s="132">
        <f>IF(SER_hh_fec!C30=0,0,11630*1000*SER_hh_fec!C30/SER_hh_num!C30)</f>
        <v>80258.667733977578</v>
      </c>
      <c r="D30" s="132">
        <f>IF(SER_hh_fec!D30=0,0,11630*1000*SER_hh_fec!D30/SER_hh_num!D30)</f>
        <v>25261.781312295989</v>
      </c>
      <c r="E30" s="132">
        <f>IF(SER_hh_fec!E30=0,0,11630*1000*SER_hh_fec!E30/SER_hh_num!E30)</f>
        <v>65502.655173174782</v>
      </c>
      <c r="F30" s="132">
        <f>IF(SER_hh_fec!F30=0,0,11630*1000*SER_hh_fec!F30/SER_hh_num!F30)</f>
        <v>47562.745417015081</v>
      </c>
      <c r="G30" s="132">
        <f>IF(SER_hh_fec!G30=0,0,11630*1000*SER_hh_fec!G30/SER_hh_num!G30)</f>
        <v>46215.393728273069</v>
      </c>
      <c r="H30" s="132">
        <f>IF(SER_hh_fec!H30=0,0,11630*1000*SER_hh_fec!H30/SER_hh_num!H30)</f>
        <v>49327.355510683898</v>
      </c>
      <c r="I30" s="132">
        <f>IF(SER_hh_fec!I30=0,0,11630*1000*SER_hh_fec!I30/SER_hh_num!I30)</f>
        <v>52464.467545174608</v>
      </c>
      <c r="J30" s="132">
        <f>IF(SER_hh_fec!J30=0,0,11630*1000*SER_hh_fec!J30/SER_hh_num!J30)</f>
        <v>41204.144458642928</v>
      </c>
      <c r="K30" s="132">
        <f>IF(SER_hh_fec!K30=0,0,11630*1000*SER_hh_fec!K30/SER_hh_num!K30)</f>
        <v>47888.19707074653</v>
      </c>
      <c r="L30" s="132">
        <f>IF(SER_hh_fec!L30=0,0,11630*1000*SER_hh_fec!L30/SER_hh_num!L30)</f>
        <v>53555.923218834076</v>
      </c>
      <c r="M30" s="132">
        <f>IF(SER_hh_fec!M30=0,0,11630*1000*SER_hh_fec!M30/SER_hh_num!M30)</f>
        <v>30263.437254780438</v>
      </c>
      <c r="N30" s="132">
        <f>IF(SER_hh_fec!N30=0,0,11630*1000*SER_hh_fec!N30/SER_hh_num!N30)</f>
        <v>51036.315628309421</v>
      </c>
      <c r="O30" s="132">
        <f>IF(SER_hh_fec!O30=0,0,11630*1000*SER_hh_fec!O30/SER_hh_num!O30)</f>
        <v>44255.462243543523</v>
      </c>
      <c r="P30" s="132">
        <f>IF(SER_hh_fec!P30=0,0,11630*1000*SER_hh_fec!P30/SER_hh_num!P30)</f>
        <v>49944.084585831537</v>
      </c>
      <c r="Q30" s="132">
        <f>IF(SER_hh_fec!Q30=0,0,11630*1000*SER_hh_fec!Q30/SER_hh_num!Q30)</f>
        <v>38446.47409527807</v>
      </c>
      <c r="R30" s="132">
        <f>IF(SER_hh_fec!R30=0,0,11630*1000*SER_hh_fec!R30/SER_hh_num!R30)</f>
        <v>47505.405030135822</v>
      </c>
      <c r="S30" s="132">
        <f>IF(SER_hh_fec!S30=0,0,11630*1000*SER_hh_fec!S30/SER_hh_num!S30)</f>
        <v>57783.892976936113</v>
      </c>
      <c r="T30" s="132">
        <f>IF(SER_hh_fec!T30=0,0,11630*1000*SER_hh_fec!T30/SER_hh_num!T30)</f>
        <v>48951.706588078523</v>
      </c>
      <c r="U30" s="132">
        <f>IF(SER_hh_fec!U30=0,0,11630*1000*SER_hh_fec!U30/SER_hh_num!U30)</f>
        <v>41331.226938562606</v>
      </c>
      <c r="V30" s="132">
        <f>IF(SER_hh_fec!V30=0,0,11630*1000*SER_hh_fec!V30/SER_hh_num!V30)</f>
        <v>40060.124720402142</v>
      </c>
      <c r="W30" s="132">
        <f>IF(SER_hh_fec!W30=0,0,11630*1000*SER_hh_fec!W30/SER_hh_num!W30)</f>
        <v>40986.956960790158</v>
      </c>
      <c r="X30" s="132">
        <f>IF(SER_hh_fec!X30=0,0,11630*1000*SER_hh_fec!X30/SER_hh_num!X30)</f>
        <v>58969.086350304249</v>
      </c>
      <c r="Y30" s="132">
        <f>IF(SER_hh_fec!Y30=0,0,11630*1000*SER_hh_fec!Y30/SER_hh_num!Y30)</f>
        <v>40312.088764380918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42956.253421243397</v>
      </c>
      <c r="C31" s="132">
        <f>IF(SER_hh_fec!C31=0,0,11630*1000*SER_hh_fec!C31/SER_hh_num!C31)</f>
        <v>54326.28682711436</v>
      </c>
      <c r="D31" s="132">
        <f>IF(SER_hh_fec!D31=0,0,11630*1000*SER_hh_fec!D31/SER_hh_num!D31)</f>
        <v>55015.347898305896</v>
      </c>
      <c r="E31" s="132">
        <f>IF(SER_hh_fec!E31=0,0,11630*1000*SER_hh_fec!E31/SER_hh_num!E31)</f>
        <v>48779.288746176302</v>
      </c>
      <c r="F31" s="132">
        <f>IF(SER_hh_fec!F31=0,0,11630*1000*SER_hh_fec!F31/SER_hh_num!F31)</f>
        <v>50447.413969130183</v>
      </c>
      <c r="G31" s="132">
        <f>IF(SER_hh_fec!G31=0,0,11630*1000*SER_hh_fec!G31/SER_hh_num!G31)</f>
        <v>49676.14788487232</v>
      </c>
      <c r="H31" s="132">
        <f>IF(SER_hh_fec!H31=0,0,11630*1000*SER_hh_fec!H31/SER_hh_num!H31)</f>
        <v>48258.375392787086</v>
      </c>
      <c r="I31" s="132">
        <f>IF(SER_hh_fec!I31=0,0,11630*1000*SER_hh_fec!I31/SER_hh_num!I31)</f>
        <v>48149.940376377206</v>
      </c>
      <c r="J31" s="132">
        <f>IF(SER_hh_fec!J31=0,0,11630*1000*SER_hh_fec!J31/SER_hh_num!J31)</f>
        <v>49822.437620792487</v>
      </c>
      <c r="K31" s="132">
        <f>IF(SER_hh_fec!K31=0,0,11630*1000*SER_hh_fec!K31/SER_hh_num!K31)</f>
        <v>51570.886052512695</v>
      </c>
      <c r="L31" s="132">
        <f>IF(SER_hh_fec!L31=0,0,11630*1000*SER_hh_fec!L31/SER_hh_num!L31)</f>
        <v>51147.291545137748</v>
      </c>
      <c r="M31" s="132">
        <f>IF(SER_hh_fec!M31=0,0,11630*1000*SER_hh_fec!M31/SER_hh_num!M31)</f>
        <v>52417.293327980136</v>
      </c>
      <c r="N31" s="132">
        <f>IF(SER_hh_fec!N31=0,0,11630*1000*SER_hh_fec!N31/SER_hh_num!N31)</f>
        <v>47556.69500284997</v>
      </c>
      <c r="O31" s="132">
        <f>IF(SER_hh_fec!O31=0,0,11630*1000*SER_hh_fec!O31/SER_hh_num!O31)</f>
        <v>46774.533069644072</v>
      </c>
      <c r="P31" s="132">
        <f>IF(SER_hh_fec!P31=0,0,11630*1000*SER_hh_fec!P31/SER_hh_num!P31)</f>
        <v>49066.542095162789</v>
      </c>
      <c r="Q31" s="132">
        <f>IF(SER_hh_fec!Q31=0,0,11630*1000*SER_hh_fec!Q31/SER_hh_num!Q31)</f>
        <v>45855.928015057652</v>
      </c>
      <c r="R31" s="132">
        <f>IF(SER_hh_fec!R31=0,0,11630*1000*SER_hh_fec!R31/SER_hh_num!R31)</f>
        <v>48301.401286756438</v>
      </c>
      <c r="S31" s="132">
        <f>IF(SER_hh_fec!S31=0,0,11630*1000*SER_hh_fec!S31/SER_hh_num!S31)</f>
        <v>48166.112259183843</v>
      </c>
      <c r="T31" s="132">
        <f>IF(SER_hh_fec!T31=0,0,11630*1000*SER_hh_fec!T31/SER_hh_num!T31)</f>
        <v>47246.986495298814</v>
      </c>
      <c r="U31" s="132">
        <f>IF(SER_hh_fec!U31=0,0,11630*1000*SER_hh_fec!U31/SER_hh_num!U31)</f>
        <v>46832.374516407501</v>
      </c>
      <c r="V31" s="132">
        <f>IF(SER_hh_fec!V31=0,0,11630*1000*SER_hh_fec!V31/SER_hh_num!V31)</f>
        <v>46332.897502760708</v>
      </c>
      <c r="W31" s="132">
        <f>IF(SER_hh_fec!W31=0,0,11630*1000*SER_hh_fec!W31/SER_hh_num!W31)</f>
        <v>46220.474412203315</v>
      </c>
      <c r="X31" s="132">
        <f>IF(SER_hh_fec!X31=0,0,11630*1000*SER_hh_fec!X31/SER_hh_num!X31)</f>
        <v>43883.265298862869</v>
      </c>
      <c r="Y31" s="132">
        <f>IF(SER_hh_fec!Y31=0,0,11630*1000*SER_hh_fec!Y31/SER_hh_num!Y31)</f>
        <v>46847.556832289811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42095.445088052969</v>
      </c>
      <c r="C33" s="68">
        <f>IF(SER_hh_fec!C33=0,0,11630*1000*SER_hh_fec!C33/SER_hh_num!C33)</f>
        <v>39667.536795305583</v>
      </c>
      <c r="D33" s="68">
        <f>IF(SER_hh_fec!D33=0,0,11630*1000*SER_hh_fec!D33/SER_hh_num!D33)</f>
        <v>38348.345424083236</v>
      </c>
      <c r="E33" s="68">
        <f>IF(SER_hh_fec!E33=0,0,11630*1000*SER_hh_fec!E33/SER_hh_num!E33)</f>
        <v>36349.880913962676</v>
      </c>
      <c r="F33" s="68">
        <f>IF(SER_hh_fec!F33=0,0,11630*1000*SER_hh_fec!F33/SER_hh_num!F33)</f>
        <v>37372.104766589218</v>
      </c>
      <c r="G33" s="68">
        <f>IF(SER_hh_fec!G33=0,0,11630*1000*SER_hh_fec!G33/SER_hh_num!G33)</f>
        <v>38532.917887941789</v>
      </c>
      <c r="H33" s="68">
        <f>IF(SER_hh_fec!H33=0,0,11630*1000*SER_hh_fec!H33/SER_hh_num!H33)</f>
        <v>38408.98662365265</v>
      </c>
      <c r="I33" s="68">
        <f>IF(SER_hh_fec!I33=0,0,11630*1000*SER_hh_fec!I33/SER_hh_num!I33)</f>
        <v>36059.913307894982</v>
      </c>
      <c r="J33" s="68">
        <f>IF(SER_hh_fec!J33=0,0,11630*1000*SER_hh_fec!J33/SER_hh_num!J33)</f>
        <v>36881.059931793767</v>
      </c>
      <c r="K33" s="68">
        <f>IF(SER_hh_fec!K33=0,0,11630*1000*SER_hh_fec!K33/SER_hh_num!K33)</f>
        <v>37897.905083102618</v>
      </c>
      <c r="L33" s="68">
        <f>IF(SER_hh_fec!L33=0,0,11630*1000*SER_hh_fec!L33/SER_hh_num!L33)</f>
        <v>37147.61519872908</v>
      </c>
      <c r="M33" s="68">
        <f>IF(SER_hh_fec!M33=0,0,11630*1000*SER_hh_fec!M33/SER_hh_num!M33)</f>
        <v>37535.178055060627</v>
      </c>
      <c r="N33" s="68">
        <f>IF(SER_hh_fec!N33=0,0,11630*1000*SER_hh_fec!N33/SER_hh_num!N33)</f>
        <v>37844.851729826492</v>
      </c>
      <c r="O33" s="68">
        <f>IF(SER_hh_fec!O33=0,0,11630*1000*SER_hh_fec!O33/SER_hh_num!O33)</f>
        <v>38965.456319002573</v>
      </c>
      <c r="P33" s="68">
        <f>IF(SER_hh_fec!P33=0,0,11630*1000*SER_hh_fec!P33/SER_hh_num!P33)</f>
        <v>37702.498983148194</v>
      </c>
      <c r="Q33" s="68">
        <f>IF(SER_hh_fec!Q33=0,0,11630*1000*SER_hh_fec!Q33/SER_hh_num!Q33)</f>
        <v>38376.653480535337</v>
      </c>
      <c r="R33" s="68">
        <f>IF(SER_hh_fec!R33=0,0,11630*1000*SER_hh_fec!R33/SER_hh_num!R33)</f>
        <v>36126.90698598227</v>
      </c>
      <c r="S33" s="68">
        <f>IF(SER_hh_fec!S33=0,0,11630*1000*SER_hh_fec!S33/SER_hh_num!S33)</f>
        <v>34955.031082560272</v>
      </c>
      <c r="T33" s="68">
        <f>IF(SER_hh_fec!T33=0,0,11630*1000*SER_hh_fec!T33/SER_hh_num!T33)</f>
        <v>35197.136964505749</v>
      </c>
      <c r="U33" s="68">
        <f>IF(SER_hh_fec!U33=0,0,11630*1000*SER_hh_fec!U33/SER_hh_num!U33)</f>
        <v>35782.409900162558</v>
      </c>
      <c r="V33" s="68">
        <f>IF(SER_hh_fec!V33=0,0,11630*1000*SER_hh_fec!V33/SER_hh_num!V33)</f>
        <v>31778.129151533598</v>
      </c>
      <c r="W33" s="68">
        <f>IF(SER_hh_fec!W33=0,0,11630*1000*SER_hh_fec!W33/SER_hh_num!W33)</f>
        <v>33150.259801862841</v>
      </c>
      <c r="X33" s="68">
        <f>IF(SER_hh_fec!X33=0,0,11630*1000*SER_hh_fec!X33/SER_hh_num!X33)</f>
        <v>32770.393721892251</v>
      </c>
      <c r="Y33" s="68">
        <f>IF(SER_hh_fec!Y33=0,0,11630*1000*SER_hh_fec!Y33/SER_hh_num!Y33)</f>
        <v>33174.792352968499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233891.93950059079</v>
      </c>
      <c r="C3" s="125">
        <f>IF(SER_hh_tes!C3=0,0,11630*1000*SER_hh_tes!C3/SER_hh_num!C3)</f>
        <v>238948.22261524995</v>
      </c>
      <c r="D3" s="125">
        <f>IF(SER_hh_tes!D3=0,0,11630*1000*SER_hh_tes!D3/SER_hh_num!D3)</f>
        <v>243853.95968214393</v>
      </c>
      <c r="E3" s="125">
        <f>IF(SER_hh_tes!E3=0,0,11630*1000*SER_hh_tes!E3/SER_hh_num!E3)</f>
        <v>246865.28973978461</v>
      </c>
      <c r="F3" s="125">
        <f>IF(SER_hh_tes!F3=0,0,11630*1000*SER_hh_tes!F3/SER_hh_num!F3)</f>
        <v>244992.81979931489</v>
      </c>
      <c r="G3" s="125">
        <f>IF(SER_hh_tes!G3=0,0,11630*1000*SER_hh_tes!G3/SER_hh_num!G3)</f>
        <v>235884.66577493338</v>
      </c>
      <c r="H3" s="125">
        <f>IF(SER_hh_tes!H3=0,0,11630*1000*SER_hh_tes!H3/SER_hh_num!H3)</f>
        <v>238778.96157858259</v>
      </c>
      <c r="I3" s="125">
        <f>IF(SER_hh_tes!I3=0,0,11630*1000*SER_hh_tes!I3/SER_hh_num!I3)</f>
        <v>242701.06002624281</v>
      </c>
      <c r="J3" s="125">
        <f>IF(SER_hh_tes!J3=0,0,11630*1000*SER_hh_tes!J3/SER_hh_num!J3)</f>
        <v>209794.19109139615</v>
      </c>
      <c r="K3" s="125">
        <f>IF(SER_hh_tes!K3=0,0,11630*1000*SER_hh_tes!K3/SER_hh_num!K3)</f>
        <v>193182.87624688182</v>
      </c>
      <c r="L3" s="125">
        <f>IF(SER_hh_tes!L3=0,0,11630*1000*SER_hh_tes!L3/SER_hh_num!L3)</f>
        <v>205766.8312136264</v>
      </c>
      <c r="M3" s="125">
        <f>IF(SER_hh_tes!M3=0,0,11630*1000*SER_hh_tes!M3/SER_hh_num!M3)</f>
        <v>187301.9822721144</v>
      </c>
      <c r="N3" s="125">
        <f>IF(SER_hh_tes!N3=0,0,11630*1000*SER_hh_tes!N3/SER_hh_num!N3)</f>
        <v>217634.79760623304</v>
      </c>
      <c r="O3" s="125">
        <f>IF(SER_hh_tes!O3=0,0,11630*1000*SER_hh_tes!O3/SER_hh_num!O3)</f>
        <v>207380.46440081683</v>
      </c>
      <c r="P3" s="125">
        <f>IF(SER_hh_tes!P3=0,0,11630*1000*SER_hh_tes!P3/SER_hh_num!P3)</f>
        <v>208695.44400648316</v>
      </c>
      <c r="Q3" s="125">
        <f>IF(SER_hh_tes!Q3=0,0,11630*1000*SER_hh_tes!Q3/SER_hh_num!Q3)</f>
        <v>195420.03990672005</v>
      </c>
      <c r="R3" s="125">
        <f>IF(SER_hh_tes!R3=0,0,11630*1000*SER_hh_tes!R3/SER_hh_num!R3)</f>
        <v>201191.22630135974</v>
      </c>
      <c r="S3" s="125">
        <f>IF(SER_hh_tes!S3=0,0,11630*1000*SER_hh_tes!S3/SER_hh_num!S3)</f>
        <v>206841.77268948179</v>
      </c>
      <c r="T3" s="125">
        <f>IF(SER_hh_tes!T3=0,0,11630*1000*SER_hh_tes!T3/SER_hh_num!T3)</f>
        <v>203428.32616812951</v>
      </c>
      <c r="U3" s="125">
        <f>IF(SER_hh_tes!U3=0,0,11630*1000*SER_hh_tes!U3/SER_hh_num!U3)</f>
        <v>197072.50904287261</v>
      </c>
      <c r="V3" s="125">
        <f>IF(SER_hh_tes!V3=0,0,11630*1000*SER_hh_tes!V3/SER_hh_num!V3)</f>
        <v>191762.21511766533</v>
      </c>
      <c r="W3" s="125">
        <f>IF(SER_hh_tes!W3=0,0,11630*1000*SER_hh_tes!W3/SER_hh_num!W3)</f>
        <v>215517.11847863515</v>
      </c>
      <c r="X3" s="125">
        <f>IF(SER_hh_tes!X3=0,0,11630*1000*SER_hh_tes!X3/SER_hh_num!X3)</f>
        <v>201833.85657424331</v>
      </c>
      <c r="Y3" s="125">
        <f>IF(SER_hh_tes!Y3=0,0,11630*1000*SER_hh_tes!Y3/SER_hh_num!Y3)</f>
        <v>189267.42679671527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179175.26358874486</v>
      </c>
      <c r="C4" s="130">
        <f>IF(SER_hh_tes!C4=0,0,11630*1000*SER_hh_tes!C4/SER_hh_num!C4)</f>
        <v>183931.64207698722</v>
      </c>
      <c r="D4" s="130">
        <f>IF(SER_hh_tes!D4=0,0,11630*1000*SER_hh_tes!D4/SER_hh_num!D4)</f>
        <v>190945.22516652942</v>
      </c>
      <c r="E4" s="130">
        <f>IF(SER_hh_tes!E4=0,0,11630*1000*SER_hh_tes!E4/SER_hh_num!E4)</f>
        <v>194646.87369071029</v>
      </c>
      <c r="F4" s="130">
        <f>IF(SER_hh_tes!F4=0,0,11630*1000*SER_hh_tes!F4/SER_hh_num!F4)</f>
        <v>192160.26141178893</v>
      </c>
      <c r="G4" s="130">
        <f>IF(SER_hh_tes!G4=0,0,11630*1000*SER_hh_tes!G4/SER_hh_num!G4)</f>
        <v>182553.03469116942</v>
      </c>
      <c r="H4" s="130">
        <f>IF(SER_hh_tes!H4=0,0,11630*1000*SER_hh_tes!H4/SER_hh_num!H4)</f>
        <v>185056.01851700133</v>
      </c>
      <c r="I4" s="130">
        <f>IF(SER_hh_tes!I4=0,0,11630*1000*SER_hh_tes!I4/SER_hh_num!I4)</f>
        <v>190153.21966897772</v>
      </c>
      <c r="J4" s="130">
        <f>IF(SER_hh_tes!J4=0,0,11630*1000*SER_hh_tes!J4/SER_hh_num!J4)</f>
        <v>156882.68564804984</v>
      </c>
      <c r="K4" s="130">
        <f>IF(SER_hh_tes!K4=0,0,11630*1000*SER_hh_tes!K4/SER_hh_num!K4)</f>
        <v>138059.07124107328</v>
      </c>
      <c r="L4" s="130">
        <f>IF(SER_hh_tes!L4=0,0,11630*1000*SER_hh_tes!L4/SER_hh_num!L4)</f>
        <v>150669.43603071626</v>
      </c>
      <c r="M4" s="130">
        <f>IF(SER_hh_tes!M4=0,0,11630*1000*SER_hh_tes!M4/SER_hh_num!M4)</f>
        <v>131895.58141193268</v>
      </c>
      <c r="N4" s="130">
        <f>IF(SER_hh_tes!N4=0,0,11630*1000*SER_hh_tes!N4/SER_hh_num!N4)</f>
        <v>162565.03414322095</v>
      </c>
      <c r="O4" s="130">
        <f>IF(SER_hh_tes!O4=0,0,11630*1000*SER_hh_tes!O4/SER_hh_num!O4)</f>
        <v>150933.23068789026</v>
      </c>
      <c r="P4" s="130">
        <f>IF(SER_hh_tes!P4=0,0,11630*1000*SER_hh_tes!P4/SER_hh_num!P4)</f>
        <v>152774.66757425899</v>
      </c>
      <c r="Q4" s="130">
        <f>IF(SER_hh_tes!Q4=0,0,11630*1000*SER_hh_tes!Q4/SER_hh_num!Q4)</f>
        <v>139315.79311039779</v>
      </c>
      <c r="R4" s="130">
        <f>IF(SER_hh_tes!R4=0,0,11630*1000*SER_hh_tes!R4/SER_hh_num!R4)</f>
        <v>145412.99263276099</v>
      </c>
      <c r="S4" s="130">
        <f>IF(SER_hh_tes!S4=0,0,11630*1000*SER_hh_tes!S4/SER_hh_num!S4)</f>
        <v>150335.13964423025</v>
      </c>
      <c r="T4" s="130">
        <f>IF(SER_hh_tes!T4=0,0,11630*1000*SER_hh_tes!T4/SER_hh_num!T4)</f>
        <v>147061.32653833812</v>
      </c>
      <c r="U4" s="130">
        <f>IF(SER_hh_tes!U4=0,0,11630*1000*SER_hh_tes!U4/SER_hh_num!U4)</f>
        <v>140825.16094719936</v>
      </c>
      <c r="V4" s="130">
        <f>IF(SER_hh_tes!V4=0,0,11630*1000*SER_hh_tes!V4/SER_hh_num!V4)</f>
        <v>139609.59950656505</v>
      </c>
      <c r="W4" s="130">
        <f>IF(SER_hh_tes!W4=0,0,11630*1000*SER_hh_tes!W4/SER_hh_num!W4)</f>
        <v>160101.0514672132</v>
      </c>
      <c r="X4" s="130">
        <f>IF(SER_hh_tes!X4=0,0,11630*1000*SER_hh_tes!X4/SER_hh_num!X4)</f>
        <v>145416.82187018031</v>
      </c>
      <c r="Y4" s="130">
        <f>IF(SER_hh_tes!Y4=0,0,11630*1000*SER_hh_tes!Y4/SER_hh_num!Y4)</f>
        <v>132808.44795193285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179269.23711880649</v>
      </c>
      <c r="C5" s="132">
        <f>IF(SER_hh_tes!C5=0,0,11630*1000*SER_hh_tes!C5/SER_hh_num!C5)</f>
        <v>185406.46945509259</v>
      </c>
      <c r="D5" s="132">
        <f>IF(SER_hh_tes!D5=0,0,11630*1000*SER_hh_tes!D5/SER_hh_num!D5)</f>
        <v>187780.73523921598</v>
      </c>
      <c r="E5" s="132">
        <f>IF(SER_hh_tes!E5=0,0,11630*1000*SER_hh_tes!E5/SER_hh_num!E5)</f>
        <v>188624.68447858887</v>
      </c>
      <c r="F5" s="132">
        <f>IF(SER_hh_tes!F5=0,0,11630*1000*SER_hh_tes!F5/SER_hh_num!F5)</f>
        <v>195015.61482188859</v>
      </c>
      <c r="G5" s="132">
        <f>IF(SER_hh_tes!G5=0,0,11630*1000*SER_hh_tes!G5/SER_hh_num!G5)</f>
        <v>170429.54714578451</v>
      </c>
      <c r="H5" s="132">
        <f>IF(SER_hh_tes!H5=0,0,11630*1000*SER_hh_tes!H5/SER_hh_num!H5)</f>
        <v>181854.31136189387</v>
      </c>
      <c r="I5" s="132">
        <f>IF(SER_hh_tes!I5=0,0,11630*1000*SER_hh_tes!I5/SER_hh_num!I5)</f>
        <v>185653.21767466725</v>
      </c>
      <c r="J5" s="132">
        <f>IF(SER_hh_tes!J5=0,0,11630*1000*SER_hh_tes!J5/SER_hh_num!J5)</f>
        <v>160004.42611014948</v>
      </c>
      <c r="K5" s="132">
        <f>IF(SER_hh_tes!K5=0,0,11630*1000*SER_hh_tes!K5/SER_hh_num!K5)</f>
        <v>120957.81513656452</v>
      </c>
      <c r="L5" s="132">
        <f>IF(SER_hh_tes!L5=0,0,11630*1000*SER_hh_tes!L5/SER_hh_num!L5)</f>
        <v>167751.98793420734</v>
      </c>
      <c r="M5" s="132">
        <f>IF(SER_hh_tes!M5=0,0,11630*1000*SER_hh_tes!M5/SER_hh_num!M5)</f>
        <v>161401.28885200949</v>
      </c>
      <c r="N5" s="132">
        <f>IF(SER_hh_tes!N5=0,0,11630*1000*SER_hh_tes!N5/SER_hh_num!N5)</f>
        <v>115786.57616559719</v>
      </c>
      <c r="O5" s="132">
        <f>IF(SER_hh_tes!O5=0,0,11630*1000*SER_hh_tes!O5/SER_hh_num!O5)</f>
        <v>154544.89449375312</v>
      </c>
      <c r="P5" s="132">
        <f>IF(SER_hh_tes!P5=0,0,11630*1000*SER_hh_tes!P5/SER_hh_num!P5)</f>
        <v>149233.33435444365</v>
      </c>
      <c r="Q5" s="132">
        <f>IF(SER_hh_tes!Q5=0,0,11630*1000*SER_hh_tes!Q5/SER_hh_num!Q5)</f>
        <v>133540.80375237661</v>
      </c>
      <c r="R5" s="132">
        <f>IF(SER_hh_tes!R5=0,0,11630*1000*SER_hh_tes!R5/SER_hh_num!R5)</f>
        <v>150431.24227209273</v>
      </c>
      <c r="S5" s="132">
        <f>IF(SER_hh_tes!S5=0,0,11630*1000*SER_hh_tes!S5/SER_hh_num!S5)</f>
        <v>129856.91412966767</v>
      </c>
      <c r="T5" s="132">
        <f>IF(SER_hh_tes!T5=0,0,11630*1000*SER_hh_tes!T5/SER_hh_num!T5)</f>
        <v>151662.54636880834</v>
      </c>
      <c r="U5" s="132">
        <f>IF(SER_hh_tes!U5=0,0,11630*1000*SER_hh_tes!U5/SER_hh_num!U5)</f>
        <v>142960.65380673276</v>
      </c>
      <c r="V5" s="132">
        <f>IF(SER_hh_tes!V5=0,0,11630*1000*SER_hh_tes!V5/SER_hh_num!V5)</f>
        <v>99824.694250332614</v>
      </c>
      <c r="W5" s="132">
        <f>IF(SER_hh_tes!W5=0,0,11630*1000*SER_hh_tes!W5/SER_hh_num!W5)</f>
        <v>135199.74623708514</v>
      </c>
      <c r="X5" s="132">
        <f>IF(SER_hh_tes!X5=0,0,11630*1000*SER_hh_tes!X5/SER_hh_num!X5)</f>
        <v>79507.567086050316</v>
      </c>
      <c r="Y5" s="132">
        <f>IF(SER_hh_tes!Y5=0,0,11630*1000*SER_hh_tes!Y5/SER_hh_num!Y5)</f>
        <v>163231.92504304418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168843.9166347048</v>
      </c>
      <c r="C7" s="132">
        <f>IF(SER_hh_tes!C7=0,0,11630*1000*SER_hh_tes!C7/SER_hh_num!C7)</f>
        <v>186566.75617927895</v>
      </c>
      <c r="D7" s="132">
        <f>IF(SER_hh_tes!D7=0,0,11630*1000*SER_hh_tes!D7/SER_hh_num!D7)</f>
        <v>180875.82639754642</v>
      </c>
      <c r="E7" s="132">
        <f>IF(SER_hh_tes!E7=0,0,11630*1000*SER_hh_tes!E7/SER_hh_num!E7)</f>
        <v>195467.37904962664</v>
      </c>
      <c r="F7" s="132">
        <f>IF(SER_hh_tes!F7=0,0,11630*1000*SER_hh_tes!F7/SER_hh_num!F7)</f>
        <v>198883.65439305487</v>
      </c>
      <c r="G7" s="132">
        <f>IF(SER_hh_tes!G7=0,0,11630*1000*SER_hh_tes!G7/SER_hh_num!G7)</f>
        <v>159916.46333600662</v>
      </c>
      <c r="H7" s="132">
        <f>IF(SER_hh_tes!H7=0,0,11630*1000*SER_hh_tes!H7/SER_hh_num!H7)</f>
        <v>208145.80053657087</v>
      </c>
      <c r="I7" s="132">
        <f>IF(SER_hh_tes!I7=0,0,11630*1000*SER_hh_tes!I7/SER_hh_num!I7)</f>
        <v>173733.73162753382</v>
      </c>
      <c r="J7" s="132">
        <f>IF(SER_hh_tes!J7=0,0,11630*1000*SER_hh_tes!J7/SER_hh_num!J7)</f>
        <v>148191.80151411236</v>
      </c>
      <c r="K7" s="132">
        <f>IF(SER_hh_tes!K7=0,0,11630*1000*SER_hh_tes!K7/SER_hh_num!K7)</f>
        <v>142220.28844197391</v>
      </c>
      <c r="L7" s="132">
        <f>IF(SER_hh_tes!L7=0,0,11630*1000*SER_hh_tes!L7/SER_hh_num!L7)</f>
        <v>143224.00753943957</v>
      </c>
      <c r="M7" s="132">
        <f>IF(SER_hh_tes!M7=0,0,11630*1000*SER_hh_tes!M7/SER_hh_num!M7)</f>
        <v>120145.81411358219</v>
      </c>
      <c r="N7" s="132">
        <f>IF(SER_hh_tes!N7=0,0,11630*1000*SER_hh_tes!N7/SER_hh_num!N7)</f>
        <v>157528.09828123738</v>
      </c>
      <c r="O7" s="132">
        <f>IF(SER_hh_tes!O7=0,0,11630*1000*SER_hh_tes!O7/SER_hh_num!O7)</f>
        <v>150964.92064593936</v>
      </c>
      <c r="P7" s="132">
        <f>IF(SER_hh_tes!P7=0,0,11630*1000*SER_hh_tes!P7/SER_hh_num!P7)</f>
        <v>155661.64441924344</v>
      </c>
      <c r="Q7" s="132">
        <f>IF(SER_hh_tes!Q7=0,0,11630*1000*SER_hh_tes!Q7/SER_hh_num!Q7)</f>
        <v>164688.03903910183</v>
      </c>
      <c r="R7" s="132">
        <f>IF(SER_hh_tes!R7=0,0,11630*1000*SER_hh_tes!R7/SER_hh_num!R7)</f>
        <v>118493.97877906467</v>
      </c>
      <c r="S7" s="132">
        <f>IF(SER_hh_tes!S7=0,0,11630*1000*SER_hh_tes!S7/SER_hh_num!S7)</f>
        <v>135195.22783509106</v>
      </c>
      <c r="T7" s="132">
        <f>IF(SER_hh_tes!T7=0,0,11630*1000*SER_hh_tes!T7/SER_hh_num!T7)</f>
        <v>155698.6788508505</v>
      </c>
      <c r="U7" s="132">
        <f>IF(SER_hh_tes!U7=0,0,11630*1000*SER_hh_tes!U7/SER_hh_num!U7)</f>
        <v>119062.29010052228</v>
      </c>
      <c r="V7" s="132">
        <f>IF(SER_hh_tes!V7=0,0,11630*1000*SER_hh_tes!V7/SER_hh_num!V7)</f>
        <v>129095.44072038008</v>
      </c>
      <c r="W7" s="132">
        <f>IF(SER_hh_tes!W7=0,0,11630*1000*SER_hh_tes!W7/SER_hh_num!W7)</f>
        <v>165643.59271483132</v>
      </c>
      <c r="X7" s="132">
        <f>IF(SER_hh_tes!X7=0,0,11630*1000*SER_hh_tes!X7/SER_hh_num!X7)</f>
        <v>129738.11385484993</v>
      </c>
      <c r="Y7" s="132">
        <f>IF(SER_hh_tes!Y7=0,0,11630*1000*SER_hh_tes!Y7/SER_hh_num!Y7)</f>
        <v>141729.97926475244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177975.99257564492</v>
      </c>
      <c r="C9" s="132">
        <f>IF(SER_hh_tes!C9=0,0,11630*1000*SER_hh_tes!C9/SER_hh_num!C9)</f>
        <v>157239.83416596358</v>
      </c>
      <c r="D9" s="132">
        <f>IF(SER_hh_tes!D9=0,0,11630*1000*SER_hh_tes!D9/SER_hh_num!D9)</f>
        <v>194470.34803210228</v>
      </c>
      <c r="E9" s="132">
        <f>IF(SER_hh_tes!E9=0,0,11630*1000*SER_hh_tes!E9/SER_hh_num!E9)</f>
        <v>185187.42246989135</v>
      </c>
      <c r="F9" s="132">
        <f>IF(SER_hh_tes!F9=0,0,11630*1000*SER_hh_tes!F9/SER_hh_num!F9)</f>
        <v>195712.11031492357</v>
      </c>
      <c r="G9" s="132">
        <f>IF(SER_hh_tes!G9=0,0,11630*1000*SER_hh_tes!G9/SER_hh_num!G9)</f>
        <v>179793.94350295363</v>
      </c>
      <c r="H9" s="132">
        <f>IF(SER_hh_tes!H9=0,0,11630*1000*SER_hh_tes!H9/SER_hh_num!H9)</f>
        <v>177793.79886437379</v>
      </c>
      <c r="I9" s="132">
        <f>IF(SER_hh_tes!I9=0,0,11630*1000*SER_hh_tes!I9/SER_hh_num!I9)</f>
        <v>181050.93460778621</v>
      </c>
      <c r="J9" s="132">
        <f>IF(SER_hh_tes!J9=0,0,11630*1000*SER_hh_tes!J9/SER_hh_num!J9)</f>
        <v>159957.24777053349</v>
      </c>
      <c r="K9" s="132">
        <f>IF(SER_hh_tes!K9=0,0,11630*1000*SER_hh_tes!K9/SER_hh_num!K9)</f>
        <v>142314.60040717036</v>
      </c>
      <c r="L9" s="132">
        <f>IF(SER_hh_tes!L9=0,0,11630*1000*SER_hh_tes!L9/SER_hh_num!L9)</f>
        <v>150759.07147352464</v>
      </c>
      <c r="M9" s="132">
        <f>IF(SER_hh_tes!M9=0,0,11630*1000*SER_hh_tes!M9/SER_hh_num!M9)</f>
        <v>140017.41419367259</v>
      </c>
      <c r="N9" s="132">
        <f>IF(SER_hh_tes!N9=0,0,11630*1000*SER_hh_tes!N9/SER_hh_num!N9)</f>
        <v>150785.38622325513</v>
      </c>
      <c r="O9" s="132">
        <f>IF(SER_hh_tes!O9=0,0,11630*1000*SER_hh_tes!O9/SER_hh_num!O9)</f>
        <v>135345.56454585327</v>
      </c>
      <c r="P9" s="132">
        <f>IF(SER_hh_tes!P9=0,0,11630*1000*SER_hh_tes!P9/SER_hh_num!P9)</f>
        <v>149509.42461547322</v>
      </c>
      <c r="Q9" s="132">
        <f>IF(SER_hh_tes!Q9=0,0,11630*1000*SER_hh_tes!Q9/SER_hh_num!Q9)</f>
        <v>135494.05161408705</v>
      </c>
      <c r="R9" s="132">
        <f>IF(SER_hh_tes!R9=0,0,11630*1000*SER_hh_tes!R9/SER_hh_num!R9)</f>
        <v>141843.79871932894</v>
      </c>
      <c r="S9" s="132">
        <f>IF(SER_hh_tes!S9=0,0,11630*1000*SER_hh_tes!S9/SER_hh_num!S9)</f>
        <v>145413.58161747869</v>
      </c>
      <c r="T9" s="132">
        <f>IF(SER_hh_tes!T9=0,0,11630*1000*SER_hh_tes!T9/SER_hh_num!T9)</f>
        <v>143738.11023970609</v>
      </c>
      <c r="U9" s="132">
        <f>IF(SER_hh_tes!U9=0,0,11630*1000*SER_hh_tes!U9/SER_hh_num!U9)</f>
        <v>143639.99531074704</v>
      </c>
      <c r="V9" s="132">
        <f>IF(SER_hh_tes!V9=0,0,11630*1000*SER_hh_tes!V9/SER_hh_num!V9)</f>
        <v>141370.02521954261</v>
      </c>
      <c r="W9" s="132">
        <f>IF(SER_hh_tes!W9=0,0,11630*1000*SER_hh_tes!W9/SER_hh_num!W9)</f>
        <v>146856.00464183907</v>
      </c>
      <c r="X9" s="132">
        <f>IF(SER_hh_tes!X9=0,0,11630*1000*SER_hh_tes!X9/SER_hh_num!X9)</f>
        <v>141770.77238665332</v>
      </c>
      <c r="Y9" s="132">
        <f>IF(SER_hh_tes!Y9=0,0,11630*1000*SER_hh_tes!Y9/SER_hh_num!Y9)</f>
        <v>131816.38768311028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168187.23397879311</v>
      </c>
      <c r="C10" s="132">
        <f>IF(SER_hh_tes!C10=0,0,11630*1000*SER_hh_tes!C10/SER_hh_num!C10)</f>
        <v>190481.0197221452</v>
      </c>
      <c r="D10" s="132">
        <f>IF(SER_hh_tes!D10=0,0,11630*1000*SER_hh_tes!D10/SER_hh_num!D10)</f>
        <v>184721.93626928184</v>
      </c>
      <c r="E10" s="132">
        <f>IF(SER_hh_tes!E10=0,0,11630*1000*SER_hh_tes!E10/SER_hh_num!E10)</f>
        <v>180972.95861165266</v>
      </c>
      <c r="F10" s="132">
        <f>IF(SER_hh_tes!F10=0,0,11630*1000*SER_hh_tes!F10/SER_hh_num!F10)</f>
        <v>196454.74476562318</v>
      </c>
      <c r="G10" s="132">
        <f>IF(SER_hh_tes!G10=0,0,11630*1000*SER_hh_tes!G10/SER_hh_num!G10)</f>
        <v>180387.00927980212</v>
      </c>
      <c r="H10" s="132">
        <f>IF(SER_hh_tes!H10=0,0,11630*1000*SER_hh_tes!H10/SER_hh_num!H10)</f>
        <v>184982.98080549133</v>
      </c>
      <c r="I10" s="132">
        <f>IF(SER_hh_tes!I10=0,0,11630*1000*SER_hh_tes!I10/SER_hh_num!I10)</f>
        <v>216863.06563010029</v>
      </c>
      <c r="J10" s="132">
        <f>IF(SER_hh_tes!J10=0,0,11630*1000*SER_hh_tes!J10/SER_hh_num!J10)</f>
        <v>134961.80381177668</v>
      </c>
      <c r="K10" s="132">
        <f>IF(SER_hh_tes!K10=0,0,11630*1000*SER_hh_tes!K10/SER_hh_num!K10)</f>
        <v>137866.33432291681</v>
      </c>
      <c r="L10" s="132">
        <f>IF(SER_hh_tes!L10=0,0,11630*1000*SER_hh_tes!L10/SER_hh_num!L10)</f>
        <v>148884.09961479774</v>
      </c>
      <c r="M10" s="132">
        <f>IF(SER_hh_tes!M10=0,0,11630*1000*SER_hh_tes!M10/SER_hh_num!M10)</f>
        <v>121462.95047570004</v>
      </c>
      <c r="N10" s="132">
        <f>IF(SER_hh_tes!N10=0,0,11630*1000*SER_hh_tes!N10/SER_hh_num!N10)</f>
        <v>165331.78222817206</v>
      </c>
      <c r="O10" s="132">
        <f>IF(SER_hh_tes!O10=0,0,11630*1000*SER_hh_tes!O10/SER_hh_num!O10)</f>
        <v>161462.38411205189</v>
      </c>
      <c r="P10" s="132">
        <f>IF(SER_hh_tes!P10=0,0,11630*1000*SER_hh_tes!P10/SER_hh_num!P10)</f>
        <v>146145.09651466369</v>
      </c>
      <c r="Q10" s="132">
        <f>IF(SER_hh_tes!Q10=0,0,11630*1000*SER_hh_tes!Q10/SER_hh_num!Q10)</f>
        <v>140896.12360140242</v>
      </c>
      <c r="R10" s="132">
        <f>IF(SER_hh_tes!R10=0,0,11630*1000*SER_hh_tes!R10/SER_hh_num!R10)</f>
        <v>142668.84515748781</v>
      </c>
      <c r="S10" s="132">
        <f>IF(SER_hh_tes!S10=0,0,11630*1000*SER_hh_tes!S10/SER_hh_num!S10)</f>
        <v>159079.25096536998</v>
      </c>
      <c r="T10" s="132">
        <f>IF(SER_hh_tes!T10=0,0,11630*1000*SER_hh_tes!T10/SER_hh_num!T10)</f>
        <v>146447.90294998317</v>
      </c>
      <c r="U10" s="132">
        <f>IF(SER_hh_tes!U10=0,0,11630*1000*SER_hh_tes!U10/SER_hh_num!U10)</f>
        <v>138565.09209251509</v>
      </c>
      <c r="V10" s="132">
        <f>IF(SER_hh_tes!V10=0,0,11630*1000*SER_hh_tes!V10/SER_hh_num!V10)</f>
        <v>127209.74009147174</v>
      </c>
      <c r="W10" s="132">
        <f>IF(SER_hh_tes!W10=0,0,11630*1000*SER_hh_tes!W10/SER_hh_num!W10)</f>
        <v>145183.94379087232</v>
      </c>
      <c r="X10" s="132">
        <f>IF(SER_hh_tes!X10=0,0,11630*1000*SER_hh_tes!X10/SER_hh_num!X10)</f>
        <v>170477.30234473318</v>
      </c>
      <c r="Y10" s="132">
        <f>IF(SER_hh_tes!Y10=0,0,11630*1000*SER_hh_tes!Y10/SER_hh_num!Y10)</f>
        <v>120045.18774408472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0</v>
      </c>
      <c r="J11" s="132">
        <f>IF(SER_hh_tes!J11=0,0,11630*1000*SER_hh_tes!J11/SER_hh_num!J11)</f>
        <v>0</v>
      </c>
      <c r="K11" s="132">
        <f>IF(SER_hh_tes!K11=0,0,11630*1000*SER_hh_tes!K11/SER_hh_num!K11)</f>
        <v>0</v>
      </c>
      <c r="L11" s="132">
        <f>IF(SER_hh_tes!L11=0,0,11630*1000*SER_hh_tes!L11/SER_hh_num!L11)</f>
        <v>0</v>
      </c>
      <c r="M11" s="132">
        <f>IF(SER_hh_tes!M11=0,0,11630*1000*SER_hh_tes!M11/SER_hh_num!M11)</f>
        <v>0</v>
      </c>
      <c r="N11" s="132">
        <f>IF(SER_hh_tes!N11=0,0,11630*1000*SER_hh_tes!N11/SER_hh_num!N11)</f>
        <v>0</v>
      </c>
      <c r="O11" s="132">
        <f>IF(SER_hh_tes!O11=0,0,11630*1000*SER_hh_tes!O11/SER_hh_num!O11)</f>
        <v>0</v>
      </c>
      <c r="P11" s="132">
        <f>IF(SER_hh_tes!P11=0,0,11630*1000*SER_hh_tes!P11/SER_hh_num!P11)</f>
        <v>0</v>
      </c>
      <c r="Q11" s="132">
        <f>IF(SER_hh_tes!Q11=0,0,11630*1000*SER_hh_tes!Q11/SER_hh_num!Q11)</f>
        <v>0</v>
      </c>
      <c r="R11" s="132">
        <f>IF(SER_hh_tes!R11=0,0,11630*1000*SER_hh_tes!R11/SER_hh_num!R11)</f>
        <v>0</v>
      </c>
      <c r="S11" s="132">
        <f>IF(SER_hh_tes!S11=0,0,11630*1000*SER_hh_tes!S11/SER_hh_num!S11)</f>
        <v>0</v>
      </c>
      <c r="T11" s="132">
        <f>IF(SER_hh_tes!T11=0,0,11630*1000*SER_hh_tes!T11/SER_hh_num!T11)</f>
        <v>0</v>
      </c>
      <c r="U11" s="132">
        <f>IF(SER_hh_tes!U11=0,0,11630*1000*SER_hh_tes!U11/SER_hh_num!U11)</f>
        <v>0</v>
      </c>
      <c r="V11" s="132">
        <f>IF(SER_hh_tes!V11=0,0,11630*1000*SER_hh_tes!V11/SER_hh_num!V11)</f>
        <v>0</v>
      </c>
      <c r="W11" s="132">
        <f>IF(SER_hh_tes!W11=0,0,11630*1000*SER_hh_tes!W11/SER_hh_num!W11)</f>
        <v>0</v>
      </c>
      <c r="X11" s="132">
        <f>IF(SER_hh_tes!X11=0,0,11630*1000*SER_hh_tes!X11/SER_hh_num!X11)</f>
        <v>0</v>
      </c>
      <c r="Y11" s="132">
        <f>IF(SER_hh_tes!Y11=0,0,11630*1000*SER_hh_tes!Y11/SER_hh_num!Y11)</f>
        <v>0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175278.2307259095</v>
      </c>
      <c r="C12" s="132">
        <f>IF(SER_hh_tes!C12=0,0,11630*1000*SER_hh_tes!C12/SER_hh_num!C12)</f>
        <v>191634.00228750834</v>
      </c>
      <c r="D12" s="132">
        <f>IF(SER_hh_tes!D12=0,0,11630*1000*SER_hh_tes!D12/SER_hh_num!D12)</f>
        <v>187948.73121863717</v>
      </c>
      <c r="E12" s="132">
        <f>IF(SER_hh_tes!E12=0,0,11630*1000*SER_hh_tes!E12/SER_hh_num!E12)</f>
        <v>195987.20915792653</v>
      </c>
      <c r="F12" s="132">
        <f>IF(SER_hh_tes!F12=0,0,11630*1000*SER_hh_tes!F12/SER_hh_num!F12)</f>
        <v>185077.39250561653</v>
      </c>
      <c r="G12" s="132">
        <f>IF(SER_hh_tes!G12=0,0,11630*1000*SER_hh_tes!G12/SER_hh_num!G12)</f>
        <v>188755.39346927145</v>
      </c>
      <c r="H12" s="132">
        <f>IF(SER_hh_tes!H12=0,0,11630*1000*SER_hh_tes!H12/SER_hh_num!H12)</f>
        <v>185322.54163562795</v>
      </c>
      <c r="I12" s="132">
        <f>IF(SER_hh_tes!I12=0,0,11630*1000*SER_hh_tes!I12/SER_hh_num!I12)</f>
        <v>168283.86746814163</v>
      </c>
      <c r="J12" s="132">
        <f>IF(SER_hh_tes!J12=0,0,11630*1000*SER_hh_tes!J12/SER_hh_num!J12)</f>
        <v>151350.72608515472</v>
      </c>
      <c r="K12" s="132">
        <f>IF(SER_hh_tes!K12=0,0,11630*1000*SER_hh_tes!K12/SER_hh_num!K12)</f>
        <v>144705.29709245733</v>
      </c>
      <c r="L12" s="132">
        <f>IF(SER_hh_tes!L12=0,0,11630*1000*SER_hh_tes!L12/SER_hh_num!L12)</f>
        <v>153836.10444447922</v>
      </c>
      <c r="M12" s="132">
        <f>IF(SER_hh_tes!M12=0,0,11630*1000*SER_hh_tes!M12/SER_hh_num!M12)</f>
        <v>129476.91186058272</v>
      </c>
      <c r="N12" s="132">
        <f>IF(SER_hh_tes!N12=0,0,11630*1000*SER_hh_tes!N12/SER_hh_num!N12)</f>
        <v>160109.86973133983</v>
      </c>
      <c r="O12" s="132">
        <f>IF(SER_hh_tes!O12=0,0,11630*1000*SER_hh_tes!O12/SER_hh_num!O12)</f>
        <v>154313.65002117623</v>
      </c>
      <c r="P12" s="132">
        <f>IF(SER_hh_tes!P12=0,0,11630*1000*SER_hh_tes!P12/SER_hh_num!P12)</f>
        <v>144830.66434082433</v>
      </c>
      <c r="Q12" s="132">
        <f>IF(SER_hh_tes!Q12=0,0,11630*1000*SER_hh_tes!Q12/SER_hh_num!Q12)</f>
        <v>135813.27806731366</v>
      </c>
      <c r="R12" s="132">
        <f>IF(SER_hh_tes!R12=0,0,11630*1000*SER_hh_tes!R12/SER_hh_num!R12)</f>
        <v>153050.95578948018</v>
      </c>
      <c r="S12" s="132">
        <f>IF(SER_hh_tes!S12=0,0,11630*1000*SER_hh_tes!S12/SER_hh_num!S12)</f>
        <v>153414.82312411294</v>
      </c>
      <c r="T12" s="132">
        <f>IF(SER_hh_tes!T12=0,0,11630*1000*SER_hh_tes!T12/SER_hh_num!T12)</f>
        <v>141298.7538239026</v>
      </c>
      <c r="U12" s="132">
        <f>IF(SER_hh_tes!U12=0,0,11630*1000*SER_hh_tes!U12/SER_hh_num!U12)</f>
        <v>136514.14724783803</v>
      </c>
      <c r="V12" s="132">
        <f>IF(SER_hh_tes!V12=0,0,11630*1000*SER_hh_tes!V12/SER_hh_num!V12)</f>
        <v>142285.20933734169</v>
      </c>
      <c r="W12" s="132">
        <f>IF(SER_hh_tes!W12=0,0,11630*1000*SER_hh_tes!W12/SER_hh_num!W12)</f>
        <v>170960.55837049946</v>
      </c>
      <c r="X12" s="132">
        <f>IF(SER_hh_tes!X12=0,0,11630*1000*SER_hh_tes!X12/SER_hh_num!X12)</f>
        <v>143318.48505205533</v>
      </c>
      <c r="Y12" s="132">
        <f>IF(SER_hh_tes!Y12=0,0,11630*1000*SER_hh_tes!Y12/SER_hh_num!Y12)</f>
        <v>131818.66828988545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135547.91856658985</v>
      </c>
      <c r="C13" s="132">
        <f>IF(SER_hh_tes!C13=0,0,11630*1000*SER_hh_tes!C13/SER_hh_num!C13)</f>
        <v>63997.63624229472</v>
      </c>
      <c r="D13" s="132">
        <f>IF(SER_hh_tes!D13=0,0,11630*1000*SER_hh_tes!D13/SER_hh_num!D13)</f>
        <v>150596.49823202123</v>
      </c>
      <c r="E13" s="132">
        <f>IF(SER_hh_tes!E13=0,0,11630*1000*SER_hh_tes!E13/SER_hh_num!E13)</f>
        <v>139009.43917304892</v>
      </c>
      <c r="F13" s="132">
        <f>IF(SER_hh_tes!F13=0,0,11630*1000*SER_hh_tes!F13/SER_hh_num!F13)</f>
        <v>136365.82502269853</v>
      </c>
      <c r="G13" s="132">
        <f>IF(SER_hh_tes!G13=0,0,11630*1000*SER_hh_tes!G13/SER_hh_num!G13)</f>
        <v>134736.23940763605</v>
      </c>
      <c r="H13" s="132">
        <f>IF(SER_hh_tes!H13=0,0,11630*1000*SER_hh_tes!H13/SER_hh_num!H13)</f>
        <v>128826.29657662436</v>
      </c>
      <c r="I13" s="132">
        <f>IF(SER_hh_tes!I13=0,0,11630*1000*SER_hh_tes!I13/SER_hh_num!I13)</f>
        <v>118278.88172116262</v>
      </c>
      <c r="J13" s="132">
        <f>IF(SER_hh_tes!J13=0,0,11630*1000*SER_hh_tes!J13/SER_hh_num!J13)</f>
        <v>109333.01921493773</v>
      </c>
      <c r="K13" s="132">
        <f>IF(SER_hh_tes!K13=0,0,11630*1000*SER_hh_tes!K13/SER_hh_num!K13)</f>
        <v>102899.614983846</v>
      </c>
      <c r="L13" s="132">
        <f>IF(SER_hh_tes!L13=0,0,11630*1000*SER_hh_tes!L13/SER_hh_num!L13)</f>
        <v>112209.99719666872</v>
      </c>
      <c r="M13" s="132">
        <f>IF(SER_hh_tes!M13=0,0,11630*1000*SER_hh_tes!M13/SER_hh_num!M13)</f>
        <v>124768.88418283654</v>
      </c>
      <c r="N13" s="132">
        <f>IF(SER_hh_tes!N13=0,0,11630*1000*SER_hh_tes!N13/SER_hh_num!N13)</f>
        <v>128304.73544731464</v>
      </c>
      <c r="O13" s="132">
        <f>IF(SER_hh_tes!O13=0,0,11630*1000*SER_hh_tes!O13/SER_hh_num!O13)</f>
        <v>146509.86473765899</v>
      </c>
      <c r="P13" s="132">
        <f>IF(SER_hh_tes!P13=0,0,11630*1000*SER_hh_tes!P13/SER_hh_num!P13)</f>
        <v>148637.85529190858</v>
      </c>
      <c r="Q13" s="132">
        <f>IF(SER_hh_tes!Q13=0,0,11630*1000*SER_hh_tes!Q13/SER_hh_num!Q13)</f>
        <v>148699.87218676149</v>
      </c>
      <c r="R13" s="132">
        <f>IF(SER_hh_tes!R13=0,0,11630*1000*SER_hh_tes!R13/SER_hh_num!R13)</f>
        <v>148847.71725578883</v>
      </c>
      <c r="S13" s="132">
        <f>IF(SER_hh_tes!S13=0,0,11630*1000*SER_hh_tes!S13/SER_hh_num!S13)</f>
        <v>155476.0791668859</v>
      </c>
      <c r="T13" s="132">
        <f>IF(SER_hh_tes!T13=0,0,11630*1000*SER_hh_tes!T13/SER_hh_num!T13)</f>
        <v>147368.48358057288</v>
      </c>
      <c r="U13" s="132">
        <f>IF(SER_hh_tes!U13=0,0,11630*1000*SER_hh_tes!U13/SER_hh_num!U13)</f>
        <v>148056.34749695426</v>
      </c>
      <c r="V13" s="132">
        <f>IF(SER_hh_tes!V13=0,0,11630*1000*SER_hh_tes!V13/SER_hh_num!V13)</f>
        <v>157075.16154357194</v>
      </c>
      <c r="W13" s="132">
        <f>IF(SER_hh_tes!W13=0,0,11630*1000*SER_hh_tes!W13/SER_hh_num!W13)</f>
        <v>117949.29458662984</v>
      </c>
      <c r="X13" s="132">
        <f>IF(SER_hh_tes!X13=0,0,11630*1000*SER_hh_tes!X13/SER_hh_num!X13)</f>
        <v>128689.32440059773</v>
      </c>
      <c r="Y13" s="132">
        <f>IF(SER_hh_tes!Y13=0,0,11630*1000*SER_hh_tes!Y13/SER_hh_num!Y13)</f>
        <v>136994.84559845662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229217.47404164262</v>
      </c>
      <c r="C14" s="65">
        <f>IF(SER_hh_tes!C14=0,0,11630*1000*SER_hh_tes!C14/SER_hh_num!C14)</f>
        <v>125029.35899104903</v>
      </c>
      <c r="D14" s="65">
        <f>IF(SER_hh_tes!D14=0,0,11630*1000*SER_hh_tes!D14/SER_hh_num!D14)</f>
        <v>206133.81638198666</v>
      </c>
      <c r="E14" s="65">
        <f>IF(SER_hh_tes!E14=0,0,11630*1000*SER_hh_tes!E14/SER_hh_num!E14)</f>
        <v>209163.67167210023</v>
      </c>
      <c r="F14" s="65">
        <f>IF(SER_hh_tes!F14=0,0,11630*1000*SER_hh_tes!F14/SER_hh_num!F14)</f>
        <v>186471.80994061092</v>
      </c>
      <c r="G14" s="65">
        <f>IF(SER_hh_tes!G14=0,0,11630*1000*SER_hh_tes!G14/SER_hh_num!G14)</f>
        <v>178497.64527715807</v>
      </c>
      <c r="H14" s="65">
        <f>IF(SER_hh_tes!H14=0,0,11630*1000*SER_hh_tes!H14/SER_hh_num!H14)</f>
        <v>172083.33075764345</v>
      </c>
      <c r="I14" s="65">
        <f>IF(SER_hh_tes!I14=0,0,11630*1000*SER_hh_tes!I14/SER_hh_num!I14)</f>
        <v>220574.22843620199</v>
      </c>
      <c r="J14" s="65">
        <f>IF(SER_hh_tes!J14=0,0,11630*1000*SER_hh_tes!J14/SER_hh_num!J14)</f>
        <v>184347.26947531378</v>
      </c>
      <c r="K14" s="65">
        <f>IF(SER_hh_tes!K14=0,0,11630*1000*SER_hh_tes!K14/SER_hh_num!K14)</f>
        <v>106020.3242010135</v>
      </c>
      <c r="L14" s="65">
        <f>IF(SER_hh_tes!L14=0,0,11630*1000*SER_hh_tes!L14/SER_hh_num!L14)</f>
        <v>131189.37017901544</v>
      </c>
      <c r="M14" s="65">
        <f>IF(SER_hh_tes!M14=0,0,11630*1000*SER_hh_tes!M14/SER_hh_num!M14)</f>
        <v>127998.26013994294</v>
      </c>
      <c r="N14" s="65">
        <f>IF(SER_hh_tes!N14=0,0,11630*1000*SER_hh_tes!N14/SER_hh_num!N14)</f>
        <v>183609.46732266361</v>
      </c>
      <c r="O14" s="65">
        <f>IF(SER_hh_tes!O14=0,0,11630*1000*SER_hh_tes!O14/SER_hh_num!O14)</f>
        <v>140964.20591745991</v>
      </c>
      <c r="P14" s="65">
        <f>IF(SER_hh_tes!P14=0,0,11630*1000*SER_hh_tes!P14/SER_hh_num!P14)</f>
        <v>172088.59873112355</v>
      </c>
      <c r="Q14" s="65">
        <f>IF(SER_hh_tes!Q14=0,0,11630*1000*SER_hh_tes!Q14/SER_hh_num!Q14)</f>
        <v>129585.68178309187</v>
      </c>
      <c r="R14" s="65">
        <f>IF(SER_hh_tes!R14=0,0,11630*1000*SER_hh_tes!R14/SER_hh_num!R14)</f>
        <v>139874.51617471434</v>
      </c>
      <c r="S14" s="65">
        <f>IF(SER_hh_tes!S14=0,0,11630*1000*SER_hh_tes!S14/SER_hh_num!S14)</f>
        <v>142885.41622370254</v>
      </c>
      <c r="T14" s="65">
        <f>IF(SER_hh_tes!T14=0,0,11630*1000*SER_hh_tes!T14/SER_hh_num!T14)</f>
        <v>154161.22544623449</v>
      </c>
      <c r="U14" s="65">
        <f>IF(SER_hh_tes!U14=0,0,11630*1000*SER_hh_tes!U14/SER_hh_num!U14)</f>
        <v>151166.88148844996</v>
      </c>
      <c r="V14" s="65">
        <f>IF(SER_hh_tes!V14=0,0,11630*1000*SER_hh_tes!V14/SER_hh_num!V14)</f>
        <v>138440.93680469488</v>
      </c>
      <c r="W14" s="65">
        <f>IF(SER_hh_tes!W14=0,0,11630*1000*SER_hh_tes!W14/SER_hh_num!W14)</f>
        <v>154819.19160483373</v>
      </c>
      <c r="X14" s="65">
        <f>IF(SER_hh_tes!X14=0,0,11630*1000*SER_hh_tes!X14/SER_hh_num!X14)</f>
        <v>151615.53683389723</v>
      </c>
      <c r="Y14" s="65">
        <f>IF(SER_hh_tes!Y14=0,0,11630*1000*SER_hh_tes!Y14/SER_hh_num!Y14)</f>
        <v>126287.86977429605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1583.2648840260185</v>
      </c>
      <c r="C15" s="134">
        <f>IF(SER_hh_tes!C15=0,0,11630*1000*SER_hh_tes!C15/SER_hh_num!C15)</f>
        <v>1649.0039344886284</v>
      </c>
      <c r="D15" s="134">
        <f>IF(SER_hh_tes!D15=0,0,11630*1000*SER_hh_tes!D15/SER_hh_num!D15)</f>
        <v>1738.9207732337652</v>
      </c>
      <c r="E15" s="134">
        <f>IF(SER_hh_tes!E15=0,0,11630*1000*SER_hh_tes!E15/SER_hh_num!E15)</f>
        <v>1777.6437099936884</v>
      </c>
      <c r="F15" s="134">
        <f>IF(SER_hh_tes!F15=0,0,11630*1000*SER_hh_tes!F15/SER_hh_num!F15)</f>
        <v>1849.4018203740266</v>
      </c>
      <c r="G15" s="134">
        <f>IF(SER_hh_tes!G15=0,0,11630*1000*SER_hh_tes!G15/SER_hh_num!G15)</f>
        <v>1704.0917109269326</v>
      </c>
      <c r="H15" s="134">
        <f>IF(SER_hh_tes!H15=0,0,11630*1000*SER_hh_tes!H15/SER_hh_num!H15)</f>
        <v>1786.7691349257348</v>
      </c>
      <c r="I15" s="134">
        <f>IF(SER_hh_tes!I15=0,0,11630*1000*SER_hh_tes!I15/SER_hh_num!I15)</f>
        <v>1748.8544303697172</v>
      </c>
      <c r="J15" s="134">
        <f>IF(SER_hh_tes!J15=0,0,11630*1000*SER_hh_tes!J15/SER_hh_num!J15)</f>
        <v>1430.3680539663192</v>
      </c>
      <c r="K15" s="134">
        <f>IF(SER_hh_tes!K15=0,0,11630*1000*SER_hh_tes!K15/SER_hh_num!K15)</f>
        <v>1318.0022439581796</v>
      </c>
      <c r="L15" s="134">
        <f>IF(SER_hh_tes!L15=0,0,11630*1000*SER_hh_tes!L15/SER_hh_num!L15)</f>
        <v>1398.1335646660905</v>
      </c>
      <c r="M15" s="134">
        <f>IF(SER_hh_tes!M15=0,0,11630*1000*SER_hh_tes!M15/SER_hh_num!M15)</f>
        <v>1204.8374636823301</v>
      </c>
      <c r="N15" s="134">
        <f>IF(SER_hh_tes!N15=0,0,11630*1000*SER_hh_tes!N15/SER_hh_num!N15)</f>
        <v>1394.2236734112969</v>
      </c>
      <c r="O15" s="134">
        <f>IF(SER_hh_tes!O15=0,0,11630*1000*SER_hh_tes!O15/SER_hh_num!O15)</f>
        <v>1314.5847118548406</v>
      </c>
      <c r="P15" s="134">
        <f>IF(SER_hh_tes!P15=0,0,11630*1000*SER_hh_tes!P15/SER_hh_num!P15)</f>
        <v>1321.6351223663964</v>
      </c>
      <c r="Q15" s="134">
        <f>IF(SER_hh_tes!Q15=0,0,11630*1000*SER_hh_tes!Q15/SER_hh_num!Q15)</f>
        <v>1250.9252813632179</v>
      </c>
      <c r="R15" s="134">
        <f>IF(SER_hh_tes!R15=0,0,11630*1000*SER_hh_tes!R15/SER_hh_num!R15)</f>
        <v>1219.7682646340763</v>
      </c>
      <c r="S15" s="134">
        <f>IF(SER_hh_tes!S15=0,0,11630*1000*SER_hh_tes!S15/SER_hh_num!S15)</f>
        <v>1288.2589371201523</v>
      </c>
      <c r="T15" s="134">
        <f>IF(SER_hh_tes!T15=0,0,11630*1000*SER_hh_tes!T15/SER_hh_num!T15)</f>
        <v>1301.9317107002291</v>
      </c>
      <c r="U15" s="134">
        <f>IF(SER_hh_tes!U15=0,0,11630*1000*SER_hh_tes!U15/SER_hh_num!U15)</f>
        <v>1255.5549141317729</v>
      </c>
      <c r="V15" s="134">
        <f>IF(SER_hh_tes!V15=0,0,11630*1000*SER_hh_tes!V15/SER_hh_num!V15)</f>
        <v>1282.5072870132783</v>
      </c>
      <c r="W15" s="134">
        <f>IF(SER_hh_tes!W15=0,0,11630*1000*SER_hh_tes!W15/SER_hh_num!W15)</f>
        <v>1500.2597738378877</v>
      </c>
      <c r="X15" s="134">
        <f>IF(SER_hh_tes!X15=0,0,11630*1000*SER_hh_tes!X15/SER_hh_num!X15)</f>
        <v>1397.3120384913034</v>
      </c>
      <c r="Y15" s="134">
        <f>IF(SER_hh_tes!Y15=0,0,11630*1000*SER_hh_tes!Y15/SER_hh_num!Y15)</f>
        <v>1341.3555827920775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19018.126336451027</v>
      </c>
      <c r="C16" s="130">
        <f>IF(SER_hh_tes!C16=0,0,11630*1000*SER_hh_tes!C16/SER_hh_num!C16)</f>
        <v>19770.566873017247</v>
      </c>
      <c r="D16" s="130">
        <f>IF(SER_hh_tes!D16=0,0,11630*1000*SER_hh_tes!D16/SER_hh_num!D16)</f>
        <v>20509.769461474527</v>
      </c>
      <c r="E16" s="130">
        <f>IF(SER_hh_tes!E16=0,0,11630*1000*SER_hh_tes!E16/SER_hh_num!E16)</f>
        <v>19756.439707743481</v>
      </c>
      <c r="F16" s="130">
        <f>IF(SER_hh_tes!F16=0,0,11630*1000*SER_hh_tes!F16/SER_hh_num!F16)</f>
        <v>19233.731127548515</v>
      </c>
      <c r="G16" s="130">
        <f>IF(SER_hh_tes!G16=0,0,11630*1000*SER_hh_tes!G16/SER_hh_num!G16)</f>
        <v>19258.966942329265</v>
      </c>
      <c r="H16" s="130">
        <f>IF(SER_hh_tes!H16=0,0,11630*1000*SER_hh_tes!H16/SER_hh_num!H16)</f>
        <v>20511.502057276335</v>
      </c>
      <c r="I16" s="130">
        <f>IF(SER_hh_tes!I16=0,0,11630*1000*SER_hh_tes!I16/SER_hh_num!I16)</f>
        <v>19379.812048369186</v>
      </c>
      <c r="J16" s="130">
        <f>IF(SER_hh_tes!J16=0,0,11630*1000*SER_hh_tes!J16/SER_hh_num!J16)</f>
        <v>19360.35105416059</v>
      </c>
      <c r="K16" s="130">
        <f>IF(SER_hh_tes!K16=0,0,11630*1000*SER_hh_tes!K16/SER_hh_num!K16)</f>
        <v>19375.721257507346</v>
      </c>
      <c r="L16" s="130">
        <f>IF(SER_hh_tes!L16=0,0,11630*1000*SER_hh_tes!L16/SER_hh_num!L16)</f>
        <v>23560.325722730733</v>
      </c>
      <c r="M16" s="130">
        <f>IF(SER_hh_tes!M16=0,0,11630*1000*SER_hh_tes!M16/SER_hh_num!M16)</f>
        <v>19801.416112396451</v>
      </c>
      <c r="N16" s="130">
        <f>IF(SER_hh_tes!N16=0,0,11630*1000*SER_hh_tes!N16/SER_hh_num!N16)</f>
        <v>19962.754222188614</v>
      </c>
      <c r="O16" s="130">
        <f>IF(SER_hh_tes!O16=0,0,11630*1000*SER_hh_tes!O16/SER_hh_num!O16)</f>
        <v>19634.921571381627</v>
      </c>
      <c r="P16" s="130">
        <f>IF(SER_hh_tes!P16=0,0,11630*1000*SER_hh_tes!P16/SER_hh_num!P16)</f>
        <v>20760.664553578416</v>
      </c>
      <c r="Q16" s="130">
        <f>IF(SER_hh_tes!Q16=0,0,11630*1000*SER_hh_tes!Q16/SER_hh_num!Q16)</f>
        <v>19658.869980094994</v>
      </c>
      <c r="R16" s="130">
        <f>IF(SER_hh_tes!R16=0,0,11630*1000*SER_hh_tes!R16/SER_hh_num!R16)</f>
        <v>19812.741847420952</v>
      </c>
      <c r="S16" s="130">
        <f>IF(SER_hh_tes!S16=0,0,11630*1000*SER_hh_tes!S16/SER_hh_num!S16)</f>
        <v>19886.605297511556</v>
      </c>
      <c r="T16" s="130">
        <f>IF(SER_hh_tes!T16=0,0,11630*1000*SER_hh_tes!T16/SER_hh_num!T16)</f>
        <v>21260.615170668156</v>
      </c>
      <c r="U16" s="130">
        <f>IF(SER_hh_tes!U16=0,0,11630*1000*SER_hh_tes!U16/SER_hh_num!U16)</f>
        <v>20066.401239755221</v>
      </c>
      <c r="V16" s="130">
        <f>IF(SER_hh_tes!V16=0,0,11630*1000*SER_hh_tes!V16/SER_hh_num!V16)</f>
        <v>20085.973697179965</v>
      </c>
      <c r="W16" s="130">
        <f>IF(SER_hh_tes!W16=0,0,11630*1000*SER_hh_tes!W16/SER_hh_num!W16)</f>
        <v>23151.652934069021</v>
      </c>
      <c r="X16" s="130">
        <f>IF(SER_hh_tes!X16=0,0,11630*1000*SER_hh_tes!X16/SER_hh_num!X16)</f>
        <v>19863.5366814634</v>
      </c>
      <c r="Y16" s="130">
        <f>IF(SER_hh_tes!Y16=0,0,11630*1000*SER_hh_tes!Y16/SER_hh_num!Y16)</f>
        <v>19977.723988974118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0</v>
      </c>
      <c r="C17" s="132">
        <f>IF(SER_hh_tes!C17=0,0,11630*1000*SER_hh_tes!C17/SER_hh_num!C17)</f>
        <v>0</v>
      </c>
      <c r="D17" s="132">
        <f>IF(SER_hh_tes!D17=0,0,11630*1000*SER_hh_tes!D17/SER_hh_num!D17)</f>
        <v>0</v>
      </c>
      <c r="E17" s="132">
        <f>IF(SER_hh_tes!E17=0,0,11630*1000*SER_hh_tes!E17/SER_hh_num!E17)</f>
        <v>0</v>
      </c>
      <c r="F17" s="132">
        <f>IF(SER_hh_tes!F17=0,0,11630*1000*SER_hh_tes!F17/SER_hh_num!F17)</f>
        <v>0</v>
      </c>
      <c r="G17" s="132">
        <f>IF(SER_hh_tes!G17=0,0,11630*1000*SER_hh_tes!G17/SER_hh_num!G17)</f>
        <v>0</v>
      </c>
      <c r="H17" s="132">
        <f>IF(SER_hh_tes!H17=0,0,11630*1000*SER_hh_tes!H17/SER_hh_num!H17)</f>
        <v>0</v>
      </c>
      <c r="I17" s="132">
        <f>IF(SER_hh_tes!I17=0,0,11630*1000*SER_hh_tes!I17/SER_hh_num!I17)</f>
        <v>0</v>
      </c>
      <c r="J17" s="132">
        <f>IF(SER_hh_tes!J17=0,0,11630*1000*SER_hh_tes!J17/SER_hh_num!J17)</f>
        <v>0</v>
      </c>
      <c r="K17" s="132">
        <f>IF(SER_hh_tes!K17=0,0,11630*1000*SER_hh_tes!K17/SER_hh_num!K17)</f>
        <v>0</v>
      </c>
      <c r="L17" s="132">
        <f>IF(SER_hh_tes!L17=0,0,11630*1000*SER_hh_tes!L17/SER_hh_num!L17)</f>
        <v>0</v>
      </c>
      <c r="M17" s="132">
        <f>IF(SER_hh_tes!M17=0,0,11630*1000*SER_hh_tes!M17/SER_hh_num!M17)</f>
        <v>0</v>
      </c>
      <c r="N17" s="132">
        <f>IF(SER_hh_tes!N17=0,0,11630*1000*SER_hh_tes!N17/SER_hh_num!N17)</f>
        <v>0</v>
      </c>
      <c r="O17" s="132">
        <f>IF(SER_hh_tes!O17=0,0,11630*1000*SER_hh_tes!O17/SER_hh_num!O17)</f>
        <v>0</v>
      </c>
      <c r="P17" s="132">
        <f>IF(SER_hh_tes!P17=0,0,11630*1000*SER_hh_tes!P17/SER_hh_num!P17)</f>
        <v>0</v>
      </c>
      <c r="Q17" s="132">
        <f>IF(SER_hh_tes!Q17=0,0,11630*1000*SER_hh_tes!Q17/SER_hh_num!Q17)</f>
        <v>0</v>
      </c>
      <c r="R17" s="132">
        <f>IF(SER_hh_tes!R17=0,0,11630*1000*SER_hh_tes!R17/SER_hh_num!R17)</f>
        <v>0</v>
      </c>
      <c r="S17" s="132">
        <f>IF(SER_hh_tes!S17=0,0,11630*1000*SER_hh_tes!S17/SER_hh_num!S17)</f>
        <v>0</v>
      </c>
      <c r="T17" s="132">
        <f>IF(SER_hh_tes!T17=0,0,11630*1000*SER_hh_tes!T17/SER_hh_num!T17)</f>
        <v>0</v>
      </c>
      <c r="U17" s="132">
        <f>IF(SER_hh_tes!U17=0,0,11630*1000*SER_hh_tes!U17/SER_hh_num!U17)</f>
        <v>0</v>
      </c>
      <c r="V17" s="132">
        <f>IF(SER_hh_tes!V17=0,0,11630*1000*SER_hh_tes!V17/SER_hh_num!V17)</f>
        <v>0</v>
      </c>
      <c r="W17" s="132">
        <f>IF(SER_hh_tes!W17=0,0,11630*1000*SER_hh_tes!W17/SER_hh_num!W17)</f>
        <v>0</v>
      </c>
      <c r="X17" s="132">
        <f>IF(SER_hh_tes!X17=0,0,11630*1000*SER_hh_tes!X17/SER_hh_num!X17)</f>
        <v>0</v>
      </c>
      <c r="Y17" s="132">
        <f>IF(SER_hh_tes!Y17=0,0,11630*1000*SER_hh_tes!Y17/SER_hh_num!Y17)</f>
        <v>0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19018.126336451027</v>
      </c>
      <c r="C18" s="132">
        <f>IF(SER_hh_tes!C18=0,0,11630*1000*SER_hh_tes!C18/SER_hh_num!C18)</f>
        <v>19770.566873017247</v>
      </c>
      <c r="D18" s="132">
        <f>IF(SER_hh_tes!D18=0,0,11630*1000*SER_hh_tes!D18/SER_hh_num!D18)</f>
        <v>20509.769461474527</v>
      </c>
      <c r="E18" s="132">
        <f>IF(SER_hh_tes!E18=0,0,11630*1000*SER_hh_tes!E18/SER_hh_num!E18)</f>
        <v>19756.439707743481</v>
      </c>
      <c r="F18" s="132">
        <f>IF(SER_hh_tes!F18=0,0,11630*1000*SER_hh_tes!F18/SER_hh_num!F18)</f>
        <v>19233.731127548515</v>
      </c>
      <c r="G18" s="132">
        <f>IF(SER_hh_tes!G18=0,0,11630*1000*SER_hh_tes!G18/SER_hh_num!G18)</f>
        <v>19258.966942329265</v>
      </c>
      <c r="H18" s="132">
        <f>IF(SER_hh_tes!H18=0,0,11630*1000*SER_hh_tes!H18/SER_hh_num!H18)</f>
        <v>20511.502057276335</v>
      </c>
      <c r="I18" s="132">
        <f>IF(SER_hh_tes!I18=0,0,11630*1000*SER_hh_tes!I18/SER_hh_num!I18)</f>
        <v>19379.812048369186</v>
      </c>
      <c r="J18" s="132">
        <f>IF(SER_hh_tes!J18=0,0,11630*1000*SER_hh_tes!J18/SER_hh_num!J18)</f>
        <v>19360.35105416059</v>
      </c>
      <c r="K18" s="132">
        <f>IF(SER_hh_tes!K18=0,0,11630*1000*SER_hh_tes!K18/SER_hh_num!K18)</f>
        <v>19375.721257507346</v>
      </c>
      <c r="L18" s="132">
        <f>IF(SER_hh_tes!L18=0,0,11630*1000*SER_hh_tes!L18/SER_hh_num!L18)</f>
        <v>23560.325722730733</v>
      </c>
      <c r="M18" s="132">
        <f>IF(SER_hh_tes!M18=0,0,11630*1000*SER_hh_tes!M18/SER_hh_num!M18)</f>
        <v>19801.416112396451</v>
      </c>
      <c r="N18" s="132">
        <f>IF(SER_hh_tes!N18=0,0,11630*1000*SER_hh_tes!N18/SER_hh_num!N18)</f>
        <v>19962.754222188614</v>
      </c>
      <c r="O18" s="132">
        <f>IF(SER_hh_tes!O18=0,0,11630*1000*SER_hh_tes!O18/SER_hh_num!O18)</f>
        <v>19634.921571381627</v>
      </c>
      <c r="P18" s="132">
        <f>IF(SER_hh_tes!P18=0,0,11630*1000*SER_hh_tes!P18/SER_hh_num!P18)</f>
        <v>20760.664553578416</v>
      </c>
      <c r="Q18" s="132">
        <f>IF(SER_hh_tes!Q18=0,0,11630*1000*SER_hh_tes!Q18/SER_hh_num!Q18)</f>
        <v>19658.869980094994</v>
      </c>
      <c r="R18" s="132">
        <f>IF(SER_hh_tes!R18=0,0,11630*1000*SER_hh_tes!R18/SER_hh_num!R18)</f>
        <v>19812.741847420952</v>
      </c>
      <c r="S18" s="132">
        <f>IF(SER_hh_tes!S18=0,0,11630*1000*SER_hh_tes!S18/SER_hh_num!S18)</f>
        <v>19886.605297511556</v>
      </c>
      <c r="T18" s="132">
        <f>IF(SER_hh_tes!T18=0,0,11630*1000*SER_hh_tes!T18/SER_hh_num!T18)</f>
        <v>21260.615170668156</v>
      </c>
      <c r="U18" s="132">
        <f>IF(SER_hh_tes!U18=0,0,11630*1000*SER_hh_tes!U18/SER_hh_num!U18)</f>
        <v>20066.401239755221</v>
      </c>
      <c r="V18" s="132">
        <f>IF(SER_hh_tes!V18=0,0,11630*1000*SER_hh_tes!V18/SER_hh_num!V18)</f>
        <v>20085.973697179965</v>
      </c>
      <c r="W18" s="132">
        <f>IF(SER_hh_tes!W18=0,0,11630*1000*SER_hh_tes!W18/SER_hh_num!W18)</f>
        <v>23151.652934069021</v>
      </c>
      <c r="X18" s="132">
        <f>IF(SER_hh_tes!X18=0,0,11630*1000*SER_hh_tes!X18/SER_hh_num!X18)</f>
        <v>19863.5366814634</v>
      </c>
      <c r="Y18" s="132">
        <f>IF(SER_hh_tes!Y18=0,0,11630*1000*SER_hh_tes!Y18/SER_hh_num!Y18)</f>
        <v>19977.723988974118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23241.302067268341</v>
      </c>
      <c r="C19" s="130">
        <f>IF(SER_hh_tes!C19=0,0,11630*1000*SER_hh_tes!C19/SER_hh_num!C19)</f>
        <v>23723.748787202974</v>
      </c>
      <c r="D19" s="130">
        <f>IF(SER_hh_tes!D19=0,0,11630*1000*SER_hh_tes!D19/SER_hh_num!D19)</f>
        <v>23044.76363905265</v>
      </c>
      <c r="E19" s="130">
        <f>IF(SER_hh_tes!E19=0,0,11630*1000*SER_hh_tes!E19/SER_hh_num!E19)</f>
        <v>23000.806320528693</v>
      </c>
      <c r="F19" s="130">
        <f>IF(SER_hh_tes!F19=0,0,11630*1000*SER_hh_tes!F19/SER_hh_num!F19)</f>
        <v>23325.834861910094</v>
      </c>
      <c r="G19" s="130">
        <f>IF(SER_hh_tes!G19=0,0,11630*1000*SER_hh_tes!G19/SER_hh_num!G19)</f>
        <v>23115.970251107334</v>
      </c>
      <c r="H19" s="130">
        <f>IF(SER_hh_tes!H19=0,0,11630*1000*SER_hh_tes!H19/SER_hh_num!H19)</f>
        <v>23384.473978322134</v>
      </c>
      <c r="I19" s="130">
        <f>IF(SER_hh_tes!I19=0,0,11630*1000*SER_hh_tes!I19/SER_hh_num!I19)</f>
        <v>23395.17660101927</v>
      </c>
      <c r="J19" s="130">
        <f>IF(SER_hh_tes!J19=0,0,11630*1000*SER_hh_tes!J19/SER_hh_num!J19)</f>
        <v>23141.953678827391</v>
      </c>
      <c r="K19" s="130">
        <f>IF(SER_hh_tes!K19=0,0,11630*1000*SER_hh_tes!K19/SER_hh_num!K19)</f>
        <v>24191.263342677874</v>
      </c>
      <c r="L19" s="130">
        <f>IF(SER_hh_tes!L19=0,0,11630*1000*SER_hh_tes!L19/SER_hh_num!L19)</f>
        <v>23973.209117714872</v>
      </c>
      <c r="M19" s="130">
        <f>IF(SER_hh_tes!M19=0,0,11630*1000*SER_hh_tes!M19/SER_hh_num!M19)</f>
        <v>24527.447526404365</v>
      </c>
      <c r="N19" s="130">
        <f>IF(SER_hh_tes!N19=0,0,11630*1000*SER_hh_tes!N19/SER_hh_num!N19)</f>
        <v>24068.891988887801</v>
      </c>
      <c r="O19" s="130">
        <f>IF(SER_hh_tes!O19=0,0,11630*1000*SER_hh_tes!O19/SER_hh_num!O19)</f>
        <v>24782.024774291276</v>
      </c>
      <c r="P19" s="130">
        <f>IF(SER_hh_tes!P19=0,0,11630*1000*SER_hh_tes!P19/SER_hh_num!P19)</f>
        <v>24446.370708689501</v>
      </c>
      <c r="Q19" s="130">
        <f>IF(SER_hh_tes!Q19=0,0,11630*1000*SER_hh_tes!Q19/SER_hh_num!Q19)</f>
        <v>24756.6183833918</v>
      </c>
      <c r="R19" s="130">
        <f>IF(SER_hh_tes!R19=0,0,11630*1000*SER_hh_tes!R19/SER_hh_num!R19)</f>
        <v>25105.900627283147</v>
      </c>
      <c r="S19" s="130">
        <f>IF(SER_hh_tes!S19=0,0,11630*1000*SER_hh_tes!S19/SER_hh_num!S19)</f>
        <v>25749.868846230616</v>
      </c>
      <c r="T19" s="130">
        <f>IF(SER_hh_tes!T19=0,0,11630*1000*SER_hh_tes!T19/SER_hh_num!T19)</f>
        <v>25487.867022975359</v>
      </c>
      <c r="U19" s="130">
        <f>IF(SER_hh_tes!U19=0,0,11630*1000*SER_hh_tes!U19/SER_hh_num!U19)</f>
        <v>25202.068211383052</v>
      </c>
      <c r="V19" s="130">
        <f>IF(SER_hh_tes!V19=0,0,11630*1000*SER_hh_tes!V19/SER_hh_num!V19)</f>
        <v>23153.261438827238</v>
      </c>
      <c r="W19" s="130">
        <f>IF(SER_hh_tes!W19=0,0,11630*1000*SER_hh_tes!W19/SER_hh_num!W19)</f>
        <v>24812.873569644107</v>
      </c>
      <c r="X19" s="130">
        <f>IF(SER_hh_tes!X19=0,0,11630*1000*SER_hh_tes!X19/SER_hh_num!X19)</f>
        <v>25544.304613301087</v>
      </c>
      <c r="Y19" s="130">
        <f>IF(SER_hh_tes!Y19=0,0,11630*1000*SER_hh_tes!Y19/SER_hh_num!Y19)</f>
        <v>25633.348403317956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0</v>
      </c>
      <c r="C21" s="132">
        <f>IF(SER_hh_tes!C21=0,0,11630*1000*SER_hh_tes!C21/SER_hh_num!C21)</f>
        <v>0</v>
      </c>
      <c r="D21" s="132">
        <f>IF(SER_hh_tes!D21=0,0,11630*1000*SER_hh_tes!D21/SER_hh_num!D21)</f>
        <v>0</v>
      </c>
      <c r="E21" s="132">
        <f>IF(SER_hh_tes!E21=0,0,11630*1000*SER_hh_tes!E21/SER_hh_num!E21)</f>
        <v>0</v>
      </c>
      <c r="F21" s="132">
        <f>IF(SER_hh_tes!F21=0,0,11630*1000*SER_hh_tes!F21/SER_hh_num!F21)</f>
        <v>0</v>
      </c>
      <c r="G21" s="132">
        <f>IF(SER_hh_tes!G21=0,0,11630*1000*SER_hh_tes!G21/SER_hh_num!G21)</f>
        <v>0</v>
      </c>
      <c r="H21" s="132">
        <f>IF(SER_hh_tes!H21=0,0,11630*1000*SER_hh_tes!H21/SER_hh_num!H21)</f>
        <v>0</v>
      </c>
      <c r="I21" s="132">
        <f>IF(SER_hh_tes!I21=0,0,11630*1000*SER_hh_tes!I21/SER_hh_num!I21)</f>
        <v>0</v>
      </c>
      <c r="J21" s="132">
        <f>IF(SER_hh_tes!J21=0,0,11630*1000*SER_hh_tes!J21/SER_hh_num!J21)</f>
        <v>0</v>
      </c>
      <c r="K21" s="132">
        <f>IF(SER_hh_tes!K21=0,0,11630*1000*SER_hh_tes!K21/SER_hh_num!K21)</f>
        <v>0</v>
      </c>
      <c r="L21" s="132">
        <f>IF(SER_hh_tes!L21=0,0,11630*1000*SER_hh_tes!L21/SER_hh_num!L21)</f>
        <v>0</v>
      </c>
      <c r="M21" s="132">
        <f>IF(SER_hh_tes!M21=0,0,11630*1000*SER_hh_tes!M21/SER_hh_num!M21)</f>
        <v>0</v>
      </c>
      <c r="N21" s="132">
        <f>IF(SER_hh_tes!N21=0,0,11630*1000*SER_hh_tes!N21/SER_hh_num!N21)</f>
        <v>0</v>
      </c>
      <c r="O21" s="132">
        <f>IF(SER_hh_tes!O21=0,0,11630*1000*SER_hh_tes!O21/SER_hh_num!O21)</f>
        <v>0</v>
      </c>
      <c r="P21" s="132">
        <f>IF(SER_hh_tes!P21=0,0,11630*1000*SER_hh_tes!P21/SER_hh_num!P21)</f>
        <v>0</v>
      </c>
      <c r="Q21" s="132">
        <f>IF(SER_hh_tes!Q21=0,0,11630*1000*SER_hh_tes!Q21/SER_hh_num!Q21)</f>
        <v>0</v>
      </c>
      <c r="R21" s="132">
        <f>IF(SER_hh_tes!R21=0,0,11630*1000*SER_hh_tes!R21/SER_hh_num!R21)</f>
        <v>0</v>
      </c>
      <c r="S21" s="132">
        <f>IF(SER_hh_tes!S21=0,0,11630*1000*SER_hh_tes!S21/SER_hh_num!S21)</f>
        <v>0</v>
      </c>
      <c r="T21" s="132">
        <f>IF(SER_hh_tes!T21=0,0,11630*1000*SER_hh_tes!T21/SER_hh_num!T21)</f>
        <v>0</v>
      </c>
      <c r="U21" s="132">
        <f>IF(SER_hh_tes!U21=0,0,11630*1000*SER_hh_tes!U21/SER_hh_num!U21)</f>
        <v>0</v>
      </c>
      <c r="V21" s="132">
        <f>IF(SER_hh_tes!V21=0,0,11630*1000*SER_hh_tes!V21/SER_hh_num!V21)</f>
        <v>0</v>
      </c>
      <c r="W21" s="132">
        <f>IF(SER_hh_tes!W21=0,0,11630*1000*SER_hh_tes!W21/SER_hh_num!W21)</f>
        <v>0</v>
      </c>
      <c r="X21" s="132">
        <f>IF(SER_hh_tes!X21=0,0,11630*1000*SER_hh_tes!X21/SER_hh_num!X21)</f>
        <v>0</v>
      </c>
      <c r="Y21" s="132">
        <f>IF(SER_hh_tes!Y21=0,0,11630*1000*SER_hh_tes!Y21/SER_hh_num!Y21)</f>
        <v>0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23155.484712596302</v>
      </c>
      <c r="C22" s="132">
        <f>IF(SER_hh_tes!C22=0,0,11630*1000*SER_hh_tes!C22/SER_hh_num!C22)</f>
        <v>23465.723541555486</v>
      </c>
      <c r="D22" s="132">
        <f>IF(SER_hh_tes!D22=0,0,11630*1000*SER_hh_tes!D22/SER_hh_num!D22)</f>
        <v>23286.629146295007</v>
      </c>
      <c r="E22" s="132">
        <f>IF(SER_hh_tes!E22=0,0,11630*1000*SER_hh_tes!E22/SER_hh_num!E22)</f>
        <v>23282.57631235306</v>
      </c>
      <c r="F22" s="132">
        <f>IF(SER_hh_tes!F22=0,0,11630*1000*SER_hh_tes!F22/SER_hh_num!F22)</f>
        <v>23088.008753054768</v>
      </c>
      <c r="G22" s="132">
        <f>IF(SER_hh_tes!G22=0,0,11630*1000*SER_hh_tes!G22/SER_hh_num!G22)</f>
        <v>23072.464145441045</v>
      </c>
      <c r="H22" s="132">
        <f>IF(SER_hh_tes!H22=0,0,11630*1000*SER_hh_tes!H22/SER_hh_num!H22)</f>
        <v>23708.687681642437</v>
      </c>
      <c r="I22" s="132">
        <f>IF(SER_hh_tes!I22=0,0,11630*1000*SER_hh_tes!I22/SER_hh_num!I22)</f>
        <v>23166.045045884282</v>
      </c>
      <c r="J22" s="132">
        <f>IF(SER_hh_tes!J22=0,0,11630*1000*SER_hh_tes!J22/SER_hh_num!J22)</f>
        <v>23788.687754336748</v>
      </c>
      <c r="K22" s="132">
        <f>IF(SER_hh_tes!K22=0,0,11630*1000*SER_hh_tes!K22/SER_hh_num!K22)</f>
        <v>23682.356302290071</v>
      </c>
      <c r="L22" s="132">
        <f>IF(SER_hh_tes!L22=0,0,11630*1000*SER_hh_tes!L22/SER_hh_num!L22)</f>
        <v>23739.233545003597</v>
      </c>
      <c r="M22" s="132">
        <f>IF(SER_hh_tes!M22=0,0,11630*1000*SER_hh_tes!M22/SER_hh_num!M22)</f>
        <v>24168.050827464955</v>
      </c>
      <c r="N22" s="132">
        <f>IF(SER_hh_tes!N22=0,0,11630*1000*SER_hh_tes!N22/SER_hh_num!N22)</f>
        <v>24419.773761627275</v>
      </c>
      <c r="O22" s="132">
        <f>IF(SER_hh_tes!O22=0,0,11630*1000*SER_hh_tes!O22/SER_hh_num!O22)</f>
        <v>24788.993591247949</v>
      </c>
      <c r="P22" s="132">
        <f>IF(SER_hh_tes!P22=0,0,11630*1000*SER_hh_tes!P22/SER_hh_num!P22)</f>
        <v>24767.843565717354</v>
      </c>
      <c r="Q22" s="132">
        <f>IF(SER_hh_tes!Q22=0,0,11630*1000*SER_hh_tes!Q22/SER_hh_num!Q22)</f>
        <v>25169.487833359926</v>
      </c>
      <c r="R22" s="132">
        <f>IF(SER_hh_tes!R22=0,0,11630*1000*SER_hh_tes!R22/SER_hh_num!R22)</f>
        <v>25347.597146846521</v>
      </c>
      <c r="S22" s="132">
        <f>IF(SER_hh_tes!S22=0,0,11630*1000*SER_hh_tes!S22/SER_hh_num!S22)</f>
        <v>25719.841859928012</v>
      </c>
      <c r="T22" s="132">
        <f>IF(SER_hh_tes!T22=0,0,11630*1000*SER_hh_tes!T22/SER_hh_num!T22)</f>
        <v>25706.285587289669</v>
      </c>
      <c r="U22" s="132">
        <f>IF(SER_hh_tes!U22=0,0,11630*1000*SER_hh_tes!U22/SER_hh_num!U22)</f>
        <v>24974.024327178213</v>
      </c>
      <c r="V22" s="132">
        <f>IF(SER_hh_tes!V22=0,0,11630*1000*SER_hh_tes!V22/SER_hh_num!V22)</f>
        <v>22896.739236223082</v>
      </c>
      <c r="W22" s="132">
        <f>IF(SER_hh_tes!W22=0,0,11630*1000*SER_hh_tes!W22/SER_hh_num!W22)</f>
        <v>24678.937669723247</v>
      </c>
      <c r="X22" s="132">
        <f>IF(SER_hh_tes!X22=0,0,11630*1000*SER_hh_tes!X22/SER_hh_num!X22)</f>
        <v>24930.42241379006</v>
      </c>
      <c r="Y22" s="132">
        <f>IF(SER_hh_tes!Y22=0,0,11630*1000*SER_hh_tes!Y22/SER_hh_num!Y22)</f>
        <v>25989.45453712995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22911.350185246996</v>
      </c>
      <c r="C23" s="132">
        <f>IF(SER_hh_tes!C23=0,0,11630*1000*SER_hh_tes!C23/SER_hh_num!C23)</f>
        <v>22590.858936254237</v>
      </c>
      <c r="D23" s="132">
        <f>IF(SER_hh_tes!D23=0,0,11630*1000*SER_hh_tes!D23/SER_hh_num!D23)</f>
        <v>23560.16930054584</v>
      </c>
      <c r="E23" s="132">
        <f>IF(SER_hh_tes!E23=0,0,11630*1000*SER_hh_tes!E23/SER_hh_num!E23)</f>
        <v>23153.663481328018</v>
      </c>
      <c r="F23" s="132">
        <f>IF(SER_hh_tes!F23=0,0,11630*1000*SER_hh_tes!F23/SER_hh_num!F23)</f>
        <v>22990.433774492867</v>
      </c>
      <c r="G23" s="132">
        <f>IF(SER_hh_tes!G23=0,0,11630*1000*SER_hh_tes!G23/SER_hh_num!G23)</f>
        <v>23533.713144797435</v>
      </c>
      <c r="H23" s="132">
        <f>IF(SER_hh_tes!H23=0,0,11630*1000*SER_hh_tes!H23/SER_hh_num!H23)</f>
        <v>22919.878995027306</v>
      </c>
      <c r="I23" s="132">
        <f>IF(SER_hh_tes!I23=0,0,11630*1000*SER_hh_tes!I23/SER_hh_num!I23)</f>
        <v>22559.958497634409</v>
      </c>
      <c r="J23" s="132">
        <f>IF(SER_hh_tes!J23=0,0,11630*1000*SER_hh_tes!J23/SER_hh_num!J23)</f>
        <v>24105.616959154966</v>
      </c>
      <c r="K23" s="132">
        <f>IF(SER_hh_tes!K23=0,0,11630*1000*SER_hh_tes!K23/SER_hh_num!K23)</f>
        <v>24576.600749615129</v>
      </c>
      <c r="L23" s="132">
        <f>IF(SER_hh_tes!L23=0,0,11630*1000*SER_hh_tes!L23/SER_hh_num!L23)</f>
        <v>24026.19683747688</v>
      </c>
      <c r="M23" s="132">
        <f>IF(SER_hh_tes!M23=0,0,11630*1000*SER_hh_tes!M23/SER_hh_num!M23)</f>
        <v>24343.44873256917</v>
      </c>
      <c r="N23" s="132">
        <f>IF(SER_hh_tes!N23=0,0,11630*1000*SER_hh_tes!N23/SER_hh_num!N23)</f>
        <v>24398.40732878678</v>
      </c>
      <c r="O23" s="132">
        <f>IF(SER_hh_tes!O23=0,0,11630*1000*SER_hh_tes!O23/SER_hh_num!O23)</f>
        <v>24672.582412981334</v>
      </c>
      <c r="P23" s="132">
        <f>IF(SER_hh_tes!P23=0,0,11630*1000*SER_hh_tes!P23/SER_hh_num!P23)</f>
        <v>24477.924614202781</v>
      </c>
      <c r="Q23" s="132">
        <f>IF(SER_hh_tes!Q23=0,0,11630*1000*SER_hh_tes!Q23/SER_hh_num!Q23)</f>
        <v>24864.773035238672</v>
      </c>
      <c r="R23" s="132">
        <f>IF(SER_hh_tes!R23=0,0,11630*1000*SER_hh_tes!R23/SER_hh_num!R23)</f>
        <v>25136.103714370169</v>
      </c>
      <c r="S23" s="132">
        <f>IF(SER_hh_tes!S23=0,0,11630*1000*SER_hh_tes!S23/SER_hh_num!S23)</f>
        <v>25676.741741657414</v>
      </c>
      <c r="T23" s="132">
        <f>IF(SER_hh_tes!T23=0,0,11630*1000*SER_hh_tes!T23/SER_hh_num!T23)</f>
        <v>24962.684085641216</v>
      </c>
      <c r="U23" s="132">
        <f>IF(SER_hh_tes!U23=0,0,11630*1000*SER_hh_tes!U23/SER_hh_num!U23)</f>
        <v>24663.645921222771</v>
      </c>
      <c r="V23" s="132">
        <f>IF(SER_hh_tes!V23=0,0,11630*1000*SER_hh_tes!V23/SER_hh_num!V23)</f>
        <v>24353.636373359805</v>
      </c>
      <c r="W23" s="132">
        <f>IF(SER_hh_tes!W23=0,0,11630*1000*SER_hh_tes!W23/SER_hh_num!W23)</f>
        <v>25176.495229256481</v>
      </c>
      <c r="X23" s="132">
        <f>IF(SER_hh_tes!X23=0,0,11630*1000*SER_hh_tes!X23/SER_hh_num!X23)</f>
        <v>25820.827631482494</v>
      </c>
      <c r="Y23" s="132">
        <f>IF(SER_hh_tes!Y23=0,0,11630*1000*SER_hh_tes!Y23/SER_hh_num!Y23)</f>
        <v>25043.333006888184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25640.140327273242</v>
      </c>
      <c r="C24" s="132">
        <f>IF(SER_hh_tes!C24=0,0,11630*1000*SER_hh_tes!C24/SER_hh_num!C24)</f>
        <v>22681.633669761486</v>
      </c>
      <c r="D24" s="132">
        <f>IF(SER_hh_tes!D24=0,0,11630*1000*SER_hh_tes!D24/SER_hh_num!D24)</f>
        <v>22708.133896021787</v>
      </c>
      <c r="E24" s="132">
        <f>IF(SER_hh_tes!E24=0,0,11630*1000*SER_hh_tes!E24/SER_hh_num!E24)</f>
        <v>22366.754760318559</v>
      </c>
      <c r="F24" s="132">
        <f>IF(SER_hh_tes!F24=0,0,11630*1000*SER_hh_tes!F24/SER_hh_num!F24)</f>
        <v>23296.56001546076</v>
      </c>
      <c r="G24" s="132">
        <f>IF(SER_hh_tes!G24=0,0,11630*1000*SER_hh_tes!G24/SER_hh_num!G24)</f>
        <v>23647.638918144563</v>
      </c>
      <c r="H24" s="132">
        <f>IF(SER_hh_tes!H24=0,0,11630*1000*SER_hh_tes!H24/SER_hh_num!H24)</f>
        <v>23549.205089599694</v>
      </c>
      <c r="I24" s="132">
        <f>IF(SER_hh_tes!I24=0,0,11630*1000*SER_hh_tes!I24/SER_hh_num!I24)</f>
        <v>23660.822648783625</v>
      </c>
      <c r="J24" s="132">
        <f>IF(SER_hh_tes!J24=0,0,11630*1000*SER_hh_tes!J24/SER_hh_num!J24)</f>
        <v>23261.053837472202</v>
      </c>
      <c r="K24" s="132">
        <f>IF(SER_hh_tes!K24=0,0,11630*1000*SER_hh_tes!K24/SER_hh_num!K24)</f>
        <v>23656.964382210663</v>
      </c>
      <c r="L24" s="132">
        <f>IF(SER_hh_tes!L24=0,0,11630*1000*SER_hh_tes!L24/SER_hh_num!L24)</f>
        <v>23911.952422251419</v>
      </c>
      <c r="M24" s="132">
        <f>IF(SER_hh_tes!M24=0,0,11630*1000*SER_hh_tes!M24/SER_hh_num!M24)</f>
        <v>24525.577103010601</v>
      </c>
      <c r="N24" s="132">
        <f>IF(SER_hh_tes!N24=0,0,11630*1000*SER_hh_tes!N24/SER_hh_num!N24)</f>
        <v>24331.87625520875</v>
      </c>
      <c r="O24" s="132">
        <f>IF(SER_hh_tes!O24=0,0,11630*1000*SER_hh_tes!O24/SER_hh_num!O24)</f>
        <v>24796.845652829015</v>
      </c>
      <c r="P24" s="132">
        <f>IF(SER_hh_tes!P24=0,0,11630*1000*SER_hh_tes!P24/SER_hh_num!P24)</f>
        <v>24703.58704085424</v>
      </c>
      <c r="Q24" s="132">
        <f>IF(SER_hh_tes!Q24=0,0,11630*1000*SER_hh_tes!Q24/SER_hh_num!Q24)</f>
        <v>25312.885747024466</v>
      </c>
      <c r="R24" s="132">
        <f>IF(SER_hh_tes!R24=0,0,11630*1000*SER_hh_tes!R24/SER_hh_num!R24)</f>
        <v>24915.252168184696</v>
      </c>
      <c r="S24" s="132">
        <f>IF(SER_hh_tes!S24=0,0,11630*1000*SER_hh_tes!S24/SER_hh_num!S24)</f>
        <v>27650.756386495905</v>
      </c>
      <c r="T24" s="132">
        <f>IF(SER_hh_tes!T24=0,0,11630*1000*SER_hh_tes!T24/SER_hh_num!T24)</f>
        <v>25119.234933335472</v>
      </c>
      <c r="U24" s="132">
        <f>IF(SER_hh_tes!U24=0,0,11630*1000*SER_hh_tes!U24/SER_hh_num!U24)</f>
        <v>23647.591915581026</v>
      </c>
      <c r="V24" s="132">
        <f>IF(SER_hh_tes!V24=0,0,11630*1000*SER_hh_tes!V24/SER_hh_num!V24)</f>
        <v>21965.061840423383</v>
      </c>
      <c r="W24" s="132">
        <f>IF(SER_hh_tes!W24=0,0,11630*1000*SER_hh_tes!W24/SER_hh_num!W24)</f>
        <v>23696.078519498362</v>
      </c>
      <c r="X24" s="132">
        <f>IF(SER_hh_tes!X24=0,0,11630*1000*SER_hh_tes!X24/SER_hh_num!X24)</f>
        <v>26977.314929033233</v>
      </c>
      <c r="Y24" s="132">
        <f>IF(SER_hh_tes!Y24=0,0,11630*1000*SER_hh_tes!Y24/SER_hh_num!Y24)</f>
        <v>25075.092719381788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24072.708007620276</v>
      </c>
      <c r="C25" s="132">
        <f>IF(SER_hh_tes!C25=0,0,11630*1000*SER_hh_tes!C25/SER_hh_num!C25)</f>
        <v>23603.754247563411</v>
      </c>
      <c r="D25" s="132">
        <f>IF(SER_hh_tes!D25=0,0,11630*1000*SER_hh_tes!D25/SER_hh_num!D25)</f>
        <v>23437.30650521944</v>
      </c>
      <c r="E25" s="132">
        <f>IF(SER_hh_tes!E25=0,0,11630*1000*SER_hh_tes!E25/SER_hh_num!E25)</f>
        <v>23353.082696151803</v>
      </c>
      <c r="F25" s="132">
        <f>IF(SER_hh_tes!F25=0,0,11630*1000*SER_hh_tes!F25/SER_hh_num!F25)</f>
        <v>23302.01789988864</v>
      </c>
      <c r="G25" s="132">
        <f>IF(SER_hh_tes!G25=0,0,11630*1000*SER_hh_tes!G25/SER_hh_num!G25)</f>
        <v>23123.008847077086</v>
      </c>
      <c r="H25" s="132">
        <f>IF(SER_hh_tes!H25=0,0,11630*1000*SER_hh_tes!H25/SER_hh_num!H25)</f>
        <v>23364.829425458185</v>
      </c>
      <c r="I25" s="132">
        <f>IF(SER_hh_tes!I25=0,0,11630*1000*SER_hh_tes!I25/SER_hh_num!I25)</f>
        <v>23705.489982568539</v>
      </c>
      <c r="J25" s="132">
        <f>IF(SER_hh_tes!J25=0,0,11630*1000*SER_hh_tes!J25/SER_hh_num!J25)</f>
        <v>23052.489742189875</v>
      </c>
      <c r="K25" s="132">
        <f>IF(SER_hh_tes!K25=0,0,11630*1000*SER_hh_tes!K25/SER_hh_num!K25)</f>
        <v>23796.416646221307</v>
      </c>
      <c r="L25" s="132">
        <f>IF(SER_hh_tes!L25=0,0,11630*1000*SER_hh_tes!L25/SER_hh_num!L25)</f>
        <v>23832.056922084248</v>
      </c>
      <c r="M25" s="132">
        <f>IF(SER_hh_tes!M25=0,0,11630*1000*SER_hh_tes!M25/SER_hh_num!M25)</f>
        <v>24447.35906476411</v>
      </c>
      <c r="N25" s="132">
        <f>IF(SER_hh_tes!N25=0,0,11630*1000*SER_hh_tes!N25/SER_hh_num!N25)</f>
        <v>24391.280448293059</v>
      </c>
      <c r="O25" s="132">
        <f>IF(SER_hh_tes!O25=0,0,11630*1000*SER_hh_tes!O25/SER_hh_num!O25)</f>
        <v>24593.9999369621</v>
      </c>
      <c r="P25" s="132">
        <f>IF(SER_hh_tes!P25=0,0,11630*1000*SER_hh_tes!P25/SER_hh_num!P25)</f>
        <v>24093.398284258456</v>
      </c>
      <c r="Q25" s="132">
        <f>IF(SER_hh_tes!Q25=0,0,11630*1000*SER_hh_tes!Q25/SER_hh_num!Q25)</f>
        <v>25155.030931932662</v>
      </c>
      <c r="R25" s="132">
        <f>IF(SER_hh_tes!R25=0,0,11630*1000*SER_hh_tes!R25/SER_hh_num!R25)</f>
        <v>25356.550257420698</v>
      </c>
      <c r="S25" s="132">
        <f>IF(SER_hh_tes!S25=0,0,11630*1000*SER_hh_tes!S25/SER_hh_num!S25)</f>
        <v>25711.622501011945</v>
      </c>
      <c r="T25" s="132">
        <f>IF(SER_hh_tes!T25=0,0,11630*1000*SER_hh_tes!T25/SER_hh_num!T25)</f>
        <v>24997.211804368671</v>
      </c>
      <c r="U25" s="132">
        <f>IF(SER_hh_tes!U25=0,0,11630*1000*SER_hh_tes!U25/SER_hh_num!U25)</f>
        <v>25066.599044909799</v>
      </c>
      <c r="V25" s="132">
        <f>IF(SER_hh_tes!V25=0,0,11630*1000*SER_hh_tes!V25/SER_hh_num!V25)</f>
        <v>23193.880977656481</v>
      </c>
      <c r="W25" s="132">
        <f>IF(SER_hh_tes!W25=0,0,11630*1000*SER_hh_tes!W25/SER_hh_num!W25)</f>
        <v>25115.56246706636</v>
      </c>
      <c r="X25" s="132">
        <f>IF(SER_hh_tes!X25=0,0,11630*1000*SER_hh_tes!X25/SER_hh_num!X25)</f>
        <v>26530.715621249718</v>
      </c>
      <c r="Y25" s="132">
        <f>IF(SER_hh_tes!Y25=0,0,11630*1000*SER_hh_tes!Y25/SER_hh_num!Y25)</f>
        <v>25078.43723015214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21531.981996227969</v>
      </c>
      <c r="C26" s="65">
        <f>IF(SER_hh_tes!C26=0,0,11630*1000*SER_hh_tes!C26/SER_hh_num!C26)</f>
        <v>24559.628521602361</v>
      </c>
      <c r="D26" s="65">
        <f>IF(SER_hh_tes!D26=0,0,11630*1000*SER_hh_tes!D26/SER_hh_num!D26)</f>
        <v>22544.626511365903</v>
      </c>
      <c r="E26" s="65">
        <f>IF(SER_hh_tes!E26=0,0,11630*1000*SER_hh_tes!E26/SER_hh_num!E26)</f>
        <v>22750.384468892895</v>
      </c>
      <c r="F26" s="65">
        <f>IF(SER_hh_tes!F26=0,0,11630*1000*SER_hh_tes!F26/SER_hh_num!F26)</f>
        <v>23499.121460123428</v>
      </c>
      <c r="G26" s="65">
        <f>IF(SER_hh_tes!G26=0,0,11630*1000*SER_hh_tes!G26/SER_hh_num!G26)</f>
        <v>22816.906422350319</v>
      </c>
      <c r="H26" s="65">
        <f>IF(SER_hh_tes!H26=0,0,11630*1000*SER_hh_tes!H26/SER_hh_num!H26)</f>
        <v>23416.271435288509</v>
      </c>
      <c r="I26" s="65">
        <f>IF(SER_hh_tes!I26=0,0,11630*1000*SER_hh_tes!I26/SER_hh_num!I26)</f>
        <v>23354.245059513887</v>
      </c>
      <c r="J26" s="65">
        <f>IF(SER_hh_tes!J26=0,0,11630*1000*SER_hh_tes!J26/SER_hh_num!J26)</f>
        <v>22790.267127342388</v>
      </c>
      <c r="K26" s="65">
        <f>IF(SER_hh_tes!K26=0,0,11630*1000*SER_hh_tes!K26/SER_hh_num!K26)</f>
        <v>24584.671412042098</v>
      </c>
      <c r="L26" s="65">
        <f>IF(SER_hh_tes!L26=0,0,11630*1000*SER_hh_tes!L26/SER_hh_num!L26)</f>
        <v>24116.816908056157</v>
      </c>
      <c r="M26" s="65">
        <f>IF(SER_hh_tes!M26=0,0,11630*1000*SER_hh_tes!M26/SER_hh_num!M26)</f>
        <v>24711.746331187711</v>
      </c>
      <c r="N26" s="65">
        <f>IF(SER_hh_tes!N26=0,0,11630*1000*SER_hh_tes!N26/SER_hh_num!N26)</f>
        <v>23522.003933899556</v>
      </c>
      <c r="O26" s="65">
        <f>IF(SER_hh_tes!O26=0,0,11630*1000*SER_hh_tes!O26/SER_hh_num!O26)</f>
        <v>24972.774580780217</v>
      </c>
      <c r="P26" s="65">
        <f>IF(SER_hh_tes!P26=0,0,11630*1000*SER_hh_tes!P26/SER_hh_num!P26)</f>
        <v>24569.29162438729</v>
      </c>
      <c r="Q26" s="65">
        <f>IF(SER_hh_tes!Q26=0,0,11630*1000*SER_hh_tes!Q26/SER_hh_num!Q26)</f>
        <v>24080.676223552455</v>
      </c>
      <c r="R26" s="65">
        <f>IF(SER_hh_tes!R26=0,0,11630*1000*SER_hh_tes!R26/SER_hh_num!R26)</f>
        <v>24906.307407375145</v>
      </c>
      <c r="S26" s="65">
        <f>IF(SER_hh_tes!S26=0,0,11630*1000*SER_hh_tes!S26/SER_hh_num!S26)</f>
        <v>25177.243999198447</v>
      </c>
      <c r="T26" s="65">
        <f>IF(SER_hh_tes!T26=0,0,11630*1000*SER_hh_tes!T26/SER_hh_num!T26)</f>
        <v>26154.46931904248</v>
      </c>
      <c r="U26" s="65">
        <f>IF(SER_hh_tes!U26=0,0,11630*1000*SER_hh_tes!U26/SER_hh_num!U26)</f>
        <v>25942.125824305142</v>
      </c>
      <c r="V26" s="65">
        <f>IF(SER_hh_tes!V26=0,0,11630*1000*SER_hh_tes!V26/SER_hh_num!V26)</f>
        <v>22933.790833228264</v>
      </c>
      <c r="W26" s="65">
        <f>IF(SER_hh_tes!W26=0,0,11630*1000*SER_hh_tes!W26/SER_hh_num!W26)</f>
        <v>24686.314957437651</v>
      </c>
      <c r="X26" s="65">
        <f>IF(SER_hh_tes!X26=0,0,11630*1000*SER_hh_tes!X26/SER_hh_num!X26)</f>
        <v>24316.093276857846</v>
      </c>
      <c r="Y26" s="65">
        <f>IF(SER_hh_tes!Y26=0,0,11630*1000*SER_hh_tes!Y26/SER_hh_num!Y26)</f>
        <v>26405.693948604534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0</v>
      </c>
      <c r="C27" s="145">
        <f>IF(SER_hh_tes!C27=0,0,11630*1000*SER_hh_tes!C27/SER_hh_num!C19)</f>
        <v>0</v>
      </c>
      <c r="D27" s="145">
        <f>IF(SER_hh_tes!D27=0,0,11630*1000*SER_hh_tes!D27/SER_hh_num!D19)</f>
        <v>0</v>
      </c>
      <c r="E27" s="145">
        <f>IF(SER_hh_tes!E27=0,0,11630*1000*SER_hh_tes!E27/SER_hh_num!E19)</f>
        <v>0</v>
      </c>
      <c r="F27" s="145">
        <f>IF(SER_hh_tes!F27=0,0,11630*1000*SER_hh_tes!F27/SER_hh_num!F19)</f>
        <v>0</v>
      </c>
      <c r="G27" s="145">
        <f>IF(SER_hh_tes!G27=0,0,11630*1000*SER_hh_tes!G27/SER_hh_num!G19)</f>
        <v>0</v>
      </c>
      <c r="H27" s="145">
        <f>IF(SER_hh_tes!H27=0,0,11630*1000*SER_hh_tes!H27/SER_hh_num!H19)</f>
        <v>0</v>
      </c>
      <c r="I27" s="145">
        <f>IF(SER_hh_tes!I27=0,0,11630*1000*SER_hh_tes!I27/SER_hh_num!I19)</f>
        <v>0</v>
      </c>
      <c r="J27" s="145">
        <f>IF(SER_hh_tes!J27=0,0,11630*1000*SER_hh_tes!J27/SER_hh_num!J19)</f>
        <v>0</v>
      </c>
      <c r="K27" s="145">
        <f>IF(SER_hh_tes!K27=0,0,11630*1000*SER_hh_tes!K27/SER_hh_num!K19)</f>
        <v>0</v>
      </c>
      <c r="L27" s="145">
        <f>IF(SER_hh_tes!L27=0,0,11630*1000*SER_hh_tes!L27/SER_hh_num!L19)</f>
        <v>0</v>
      </c>
      <c r="M27" s="145">
        <f>IF(SER_hh_tes!M27=0,0,11630*1000*SER_hh_tes!M27/SER_hh_num!M19)</f>
        <v>0</v>
      </c>
      <c r="N27" s="145">
        <f>IF(SER_hh_tes!N27=0,0,11630*1000*SER_hh_tes!N27/SER_hh_num!N19)</f>
        <v>0</v>
      </c>
      <c r="O27" s="145">
        <f>IF(SER_hh_tes!O27=0,0,11630*1000*SER_hh_tes!O27/SER_hh_num!O19)</f>
        <v>0</v>
      </c>
      <c r="P27" s="145">
        <f>IF(SER_hh_tes!P27=0,0,11630*1000*SER_hh_tes!P27/SER_hh_num!P19)</f>
        <v>0</v>
      </c>
      <c r="Q27" s="145">
        <f>IF(SER_hh_tes!Q27=0,0,11630*1000*SER_hh_tes!Q27/SER_hh_num!Q19)</f>
        <v>0</v>
      </c>
      <c r="R27" s="145">
        <f>IF(SER_hh_tes!R27=0,0,11630*1000*SER_hh_tes!R27/SER_hh_num!R19)</f>
        <v>0</v>
      </c>
      <c r="S27" s="145">
        <f>IF(SER_hh_tes!S27=0,0,11630*1000*SER_hh_tes!S27/SER_hh_num!S19)</f>
        <v>0</v>
      </c>
      <c r="T27" s="145">
        <f>IF(SER_hh_tes!T27=0,0,11630*1000*SER_hh_tes!T27/SER_hh_num!T19)</f>
        <v>0</v>
      </c>
      <c r="U27" s="145">
        <f>IF(SER_hh_tes!U27=0,0,11630*1000*SER_hh_tes!U27/SER_hh_num!U19)</f>
        <v>0</v>
      </c>
      <c r="V27" s="145">
        <f>IF(SER_hh_tes!V27=0,0,11630*1000*SER_hh_tes!V27/SER_hh_num!V19)</f>
        <v>0</v>
      </c>
      <c r="W27" s="145">
        <f>IF(SER_hh_tes!W27=0,0,11630*1000*SER_hh_tes!W27/SER_hh_num!W19)</f>
        <v>0</v>
      </c>
      <c r="X27" s="145">
        <f>IF(SER_hh_tes!X27=0,0,11630*1000*SER_hh_tes!X27/SER_hh_num!X19)</f>
        <v>0</v>
      </c>
      <c r="Y27" s="145">
        <f>IF(SER_hh_tes!Y27=0,0,11630*1000*SER_hh_tes!Y27/SER_hh_num!Y19)</f>
        <v>0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0</v>
      </c>
      <c r="C28" s="146">
        <f>IF(SER_hh_tes!C27=0,0,11630*1000*SER_hh_tes!C27/SER_hh_num!C27)</f>
        <v>0</v>
      </c>
      <c r="D28" s="146">
        <f>IF(SER_hh_tes!D27=0,0,11630*1000*SER_hh_tes!D27/SER_hh_num!D27)</f>
        <v>0</v>
      </c>
      <c r="E28" s="146">
        <f>IF(SER_hh_tes!E27=0,0,11630*1000*SER_hh_tes!E27/SER_hh_num!E27)</f>
        <v>0</v>
      </c>
      <c r="F28" s="146">
        <f>IF(SER_hh_tes!F27=0,0,11630*1000*SER_hh_tes!F27/SER_hh_num!F27)</f>
        <v>0</v>
      </c>
      <c r="G28" s="146">
        <f>IF(SER_hh_tes!G27=0,0,11630*1000*SER_hh_tes!G27/SER_hh_num!G27)</f>
        <v>0</v>
      </c>
      <c r="H28" s="146">
        <f>IF(SER_hh_tes!H27=0,0,11630*1000*SER_hh_tes!H27/SER_hh_num!H27)</f>
        <v>0</v>
      </c>
      <c r="I28" s="146">
        <f>IF(SER_hh_tes!I27=0,0,11630*1000*SER_hh_tes!I27/SER_hh_num!I27)</f>
        <v>0</v>
      </c>
      <c r="J28" s="146">
        <f>IF(SER_hh_tes!J27=0,0,11630*1000*SER_hh_tes!J27/SER_hh_num!J27)</f>
        <v>0</v>
      </c>
      <c r="K28" s="146">
        <f>IF(SER_hh_tes!K27=0,0,11630*1000*SER_hh_tes!K27/SER_hh_num!K27)</f>
        <v>0</v>
      </c>
      <c r="L28" s="146">
        <f>IF(SER_hh_tes!L27=0,0,11630*1000*SER_hh_tes!L27/SER_hh_num!L27)</f>
        <v>0</v>
      </c>
      <c r="M28" s="146">
        <f>IF(SER_hh_tes!M27=0,0,11630*1000*SER_hh_tes!M27/SER_hh_num!M27)</f>
        <v>0</v>
      </c>
      <c r="N28" s="146">
        <f>IF(SER_hh_tes!N27=0,0,11630*1000*SER_hh_tes!N27/SER_hh_num!N27)</f>
        <v>0</v>
      </c>
      <c r="O28" s="146">
        <f>IF(SER_hh_tes!O27=0,0,11630*1000*SER_hh_tes!O27/SER_hh_num!O27)</f>
        <v>0</v>
      </c>
      <c r="P28" s="146">
        <f>IF(SER_hh_tes!P27=0,0,11630*1000*SER_hh_tes!P27/SER_hh_num!P27)</f>
        <v>0</v>
      </c>
      <c r="Q28" s="146">
        <f>IF(SER_hh_tes!Q27=0,0,11630*1000*SER_hh_tes!Q27/SER_hh_num!Q27)</f>
        <v>0</v>
      </c>
      <c r="R28" s="146">
        <f>IF(SER_hh_tes!R27=0,0,11630*1000*SER_hh_tes!R27/SER_hh_num!R27)</f>
        <v>0</v>
      </c>
      <c r="S28" s="146">
        <f>IF(SER_hh_tes!S27=0,0,11630*1000*SER_hh_tes!S27/SER_hh_num!S27)</f>
        <v>0</v>
      </c>
      <c r="T28" s="146">
        <f>IF(SER_hh_tes!T27=0,0,11630*1000*SER_hh_tes!T27/SER_hh_num!T27)</f>
        <v>0</v>
      </c>
      <c r="U28" s="146">
        <f>IF(SER_hh_tes!U27=0,0,11630*1000*SER_hh_tes!U27/SER_hh_num!U27)</f>
        <v>0</v>
      </c>
      <c r="V28" s="146">
        <f>IF(SER_hh_tes!V27=0,0,11630*1000*SER_hh_tes!V27/SER_hh_num!V27)</f>
        <v>0</v>
      </c>
      <c r="W28" s="146">
        <f>IF(SER_hh_tes!W27=0,0,11630*1000*SER_hh_tes!W27/SER_hh_num!W27)</f>
        <v>0</v>
      </c>
      <c r="X28" s="146">
        <f>IF(SER_hh_tes!X27=0,0,11630*1000*SER_hh_tes!X27/SER_hh_num!X27)</f>
        <v>0</v>
      </c>
      <c r="Y28" s="146">
        <f>IF(SER_hh_tes!Y27=0,0,11630*1000*SER_hh_tes!Y27/SER_hh_num!Y27)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30462.549558805516</v>
      </c>
      <c r="C29" s="130">
        <f>IF(SER_hh_tes!C29=0,0,11630*1000*SER_hh_tes!C29/SER_hh_num!C29)</f>
        <v>30194.514058052246</v>
      </c>
      <c r="D29" s="130">
        <f>IF(SER_hh_tes!D29=0,0,11630*1000*SER_hh_tes!D29/SER_hh_num!D29)</f>
        <v>28650.062776184252</v>
      </c>
      <c r="E29" s="130">
        <f>IF(SER_hh_tes!E29=0,0,11630*1000*SER_hh_tes!E29/SER_hh_num!E29)</f>
        <v>27956.467372676441</v>
      </c>
      <c r="F29" s="130">
        <f>IF(SER_hh_tes!F29=0,0,11630*1000*SER_hh_tes!F29/SER_hh_num!F29)</f>
        <v>28227.795341216264</v>
      </c>
      <c r="G29" s="130">
        <f>IF(SER_hh_tes!G29=0,0,11630*1000*SER_hh_tes!G29/SER_hh_num!G29)</f>
        <v>28821.749074764732</v>
      </c>
      <c r="H29" s="130">
        <f>IF(SER_hh_tes!H29=0,0,11630*1000*SER_hh_tes!H29/SER_hh_num!H29)</f>
        <v>28765.090721459321</v>
      </c>
      <c r="I29" s="130">
        <f>IF(SER_hh_tes!I29=0,0,11630*1000*SER_hh_tes!I29/SER_hh_num!I29)</f>
        <v>27551.127049319421</v>
      </c>
      <c r="J29" s="130">
        <f>IF(SER_hh_tes!J29=0,0,11630*1000*SER_hh_tes!J29/SER_hh_num!J29)</f>
        <v>28049.022819795515</v>
      </c>
      <c r="K29" s="130">
        <f>IF(SER_hh_tes!K29=0,0,11630*1000*SER_hh_tes!K29/SER_hh_num!K29)</f>
        <v>29057.613582691738</v>
      </c>
      <c r="L29" s="130">
        <f>IF(SER_hh_tes!L29=0,0,11630*1000*SER_hh_tes!L29/SER_hh_num!L29)</f>
        <v>28707.150416815392</v>
      </c>
      <c r="M29" s="130">
        <f>IF(SER_hh_tes!M29=0,0,11630*1000*SER_hh_tes!M29/SER_hh_num!M29)</f>
        <v>28769.913387025375</v>
      </c>
      <c r="N29" s="130">
        <f>IF(SER_hh_tes!N29=0,0,11630*1000*SER_hh_tes!N29/SER_hh_num!N29)</f>
        <v>28789.771514315009</v>
      </c>
      <c r="O29" s="130">
        <f>IF(SER_hh_tes!O29=0,0,11630*1000*SER_hh_tes!O29/SER_hh_num!O29)</f>
        <v>29420.377269369958</v>
      </c>
      <c r="P29" s="130">
        <f>IF(SER_hh_tes!P29=0,0,11630*1000*SER_hh_tes!P29/SER_hh_num!P29)</f>
        <v>29024.759691639527</v>
      </c>
      <c r="Q29" s="130">
        <f>IF(SER_hh_tes!Q29=0,0,11630*1000*SER_hh_tes!Q29/SER_hh_num!Q29)</f>
        <v>28951.51219459407</v>
      </c>
      <c r="R29" s="130">
        <f>IF(SER_hh_tes!R29=0,0,11630*1000*SER_hh_tes!R29/SER_hh_num!R29)</f>
        <v>28178.226294435452</v>
      </c>
      <c r="S29" s="130">
        <f>IF(SER_hh_tes!S29=0,0,11630*1000*SER_hh_tes!S29/SER_hh_num!S29)</f>
        <v>28181.395131561323</v>
      </c>
      <c r="T29" s="130">
        <f>IF(SER_hh_tes!T29=0,0,11630*1000*SER_hh_tes!T29/SER_hh_num!T29)</f>
        <v>28050.642457589944</v>
      </c>
      <c r="U29" s="130">
        <f>IF(SER_hh_tes!U29=0,0,11630*1000*SER_hh_tes!U29/SER_hh_num!U29)</f>
        <v>28287.784234369694</v>
      </c>
      <c r="V29" s="130">
        <f>IF(SER_hh_tes!V29=0,0,11630*1000*SER_hh_tes!V29/SER_hh_num!V29)</f>
        <v>26167.510609862362</v>
      </c>
      <c r="W29" s="130">
        <f>IF(SER_hh_tes!W29=0,0,11630*1000*SER_hh_tes!W29/SER_hh_num!W29)</f>
        <v>27245.367618257336</v>
      </c>
      <c r="X29" s="130">
        <f>IF(SER_hh_tes!X29=0,0,11630*1000*SER_hh_tes!X29/SER_hh_num!X29)</f>
        <v>27934.54636161435</v>
      </c>
      <c r="Y29" s="130">
        <f>IF(SER_hh_tes!Y29=0,0,11630*1000*SER_hh_tes!Y29/SER_hh_num!Y29)</f>
        <v>27800.837817077638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0</v>
      </c>
      <c r="C30" s="132">
        <f>IF(SER_hh_tes!C30=0,0,11630*1000*SER_hh_tes!C30/SER_hh_num!C30)</f>
        <v>47794.065643984643</v>
      </c>
      <c r="D30" s="132">
        <f>IF(SER_hh_tes!D30=0,0,11630*1000*SER_hh_tes!D30/SER_hh_num!D30)</f>
        <v>15046.186036100835</v>
      </c>
      <c r="E30" s="132">
        <f>IF(SER_hh_tes!E30=0,0,11630*1000*SER_hh_tes!E30/SER_hh_num!E30)</f>
        <v>39025.308819450613</v>
      </c>
      <c r="F30" s="132">
        <f>IF(SER_hh_tes!F30=0,0,11630*1000*SER_hh_tes!F30/SER_hh_num!F30)</f>
        <v>28338.169754371564</v>
      </c>
      <c r="G30" s="132">
        <f>IF(SER_hh_tes!G30=0,0,11630*1000*SER_hh_tes!G30/SER_hh_num!G30)</f>
        <v>27537.157110722681</v>
      </c>
      <c r="H30" s="132">
        <f>IF(SER_hh_tes!H30=0,0,11630*1000*SER_hh_tes!H30/SER_hh_num!H30)</f>
        <v>29391.595063774075</v>
      </c>
      <c r="I30" s="132">
        <f>IF(SER_hh_tes!I30=0,0,11630*1000*SER_hh_tes!I30/SER_hh_num!I30)</f>
        <v>31260.940681056967</v>
      </c>
      <c r="J30" s="132">
        <f>IF(SER_hh_tes!J30=0,0,11630*1000*SER_hh_tes!J30/SER_hh_num!J30)</f>
        <v>24551.644157701918</v>
      </c>
      <c r="K30" s="132">
        <f>IF(SER_hh_tes!K30=0,0,11630*1000*SER_hh_tes!K30/SER_hh_num!K30)</f>
        <v>28534.361998826836</v>
      </c>
      <c r="L30" s="132">
        <f>IF(SER_hh_tes!L30=0,0,11630*1000*SER_hh_tes!L30/SER_hh_num!L30)</f>
        <v>31911.656876361496</v>
      </c>
      <c r="M30" s="132">
        <f>IF(SER_hh_tes!M30=0,0,11630*1000*SER_hh_tes!M30/SER_hh_num!M30)</f>
        <v>18033.447288533323</v>
      </c>
      <c r="N30" s="132">
        <f>IF(SER_hh_tes!N30=0,0,11630*1000*SER_hh_tes!N30/SER_hh_num!N30)</f>
        <v>30456.120305588123</v>
      </c>
      <c r="O30" s="132">
        <f>IF(SER_hh_tes!O30=0,0,11630*1000*SER_hh_tes!O30/SER_hh_num!O30)</f>
        <v>26453.235901525863</v>
      </c>
      <c r="P30" s="132">
        <f>IF(SER_hh_tes!P30=0,0,11630*1000*SER_hh_tes!P30/SER_hh_num!P30)</f>
        <v>29885.466496001842</v>
      </c>
      <c r="Q30" s="132">
        <f>IF(SER_hh_tes!Q30=0,0,11630*1000*SER_hh_tes!Q30/SER_hh_num!Q30)</f>
        <v>23027.21767644291</v>
      </c>
      <c r="R30" s="132">
        <f>IF(SER_hh_tes!R30=0,0,11630*1000*SER_hh_tes!R30/SER_hh_num!R30)</f>
        <v>28492.940294373147</v>
      </c>
      <c r="S30" s="132">
        <f>IF(SER_hh_tes!S30=0,0,11630*1000*SER_hh_tes!S30/SER_hh_num!S30)</f>
        <v>34713.295517074286</v>
      </c>
      <c r="T30" s="132">
        <f>IF(SER_hh_tes!T30=0,0,11630*1000*SER_hh_tes!T30/SER_hh_num!T30)</f>
        <v>29413.288333532204</v>
      </c>
      <c r="U30" s="132">
        <f>IF(SER_hh_tes!U30=0,0,11630*1000*SER_hh_tes!U30/SER_hh_num!U30)</f>
        <v>24836.37827081357</v>
      </c>
      <c r="V30" s="132">
        <f>IF(SER_hh_tes!V30=0,0,11630*1000*SER_hh_tes!V30/SER_hh_num!V30)</f>
        <v>24091.151045699586</v>
      </c>
      <c r="W30" s="132">
        <f>IF(SER_hh_tes!W30=0,0,11630*1000*SER_hh_tes!W30/SER_hh_num!W30)</f>
        <v>24698.860785458754</v>
      </c>
      <c r="X30" s="132">
        <f>IF(SER_hh_tes!X30=0,0,11630*1000*SER_hh_tes!X30/SER_hh_num!X30)</f>
        <v>35731.381223780743</v>
      </c>
      <c r="Y30" s="132">
        <f>IF(SER_hh_tes!Y30=0,0,11630*1000*SER_hh_tes!Y30/SER_hh_num!Y30)</f>
        <v>24494.794556536195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24431.599846037614</v>
      </c>
      <c r="C31" s="132">
        <f>IF(SER_hh_tes!C31=0,0,11630*1000*SER_hh_tes!C31/SER_hh_num!C31)</f>
        <v>31018.697814180785</v>
      </c>
      <c r="D31" s="132">
        <f>IF(SER_hh_tes!D31=0,0,11630*1000*SER_hh_tes!D31/SER_hh_num!D31)</f>
        <v>31490.305241064762</v>
      </c>
      <c r="E31" s="132">
        <f>IF(SER_hh_tes!E31=0,0,11630*1000*SER_hh_tes!E31/SER_hh_num!E31)</f>
        <v>27966.06415772764</v>
      </c>
      <c r="F31" s="132">
        <f>IF(SER_hh_tes!F31=0,0,11630*1000*SER_hh_tes!F31/SER_hh_num!F31)</f>
        <v>28960.347693645581</v>
      </c>
      <c r="G31" s="132">
        <f>IF(SER_hh_tes!G31=0,0,11630*1000*SER_hh_tes!G31/SER_hh_num!G31)</f>
        <v>28550.710025575878</v>
      </c>
      <c r="H31" s="132">
        <f>IF(SER_hh_tes!H31=0,0,11630*1000*SER_hh_tes!H31/SER_hh_num!H31)</f>
        <v>27772.941944477378</v>
      </c>
      <c r="I31" s="132">
        <f>IF(SER_hh_tes!I31=0,0,11630*1000*SER_hh_tes!I31/SER_hh_num!I31)</f>
        <v>27753.425782165348</v>
      </c>
      <c r="J31" s="132">
        <f>IF(SER_hh_tes!J31=0,0,11630*1000*SER_hh_tes!J31/SER_hh_num!J31)</f>
        <v>28762.75199239856</v>
      </c>
      <c r="K31" s="132">
        <f>IF(SER_hh_tes!K31=0,0,11630*1000*SER_hh_tes!K31/SER_hh_num!K31)</f>
        <v>29818.004898333686</v>
      </c>
      <c r="L31" s="132">
        <f>IF(SER_hh_tes!L31=0,0,11630*1000*SER_hh_tes!L31/SER_hh_num!L31)</f>
        <v>29604.824196789072</v>
      </c>
      <c r="M31" s="132">
        <f>IF(SER_hh_tes!M31=0,0,11630*1000*SER_hh_tes!M31/SER_hh_num!M31)</f>
        <v>30353.003479710438</v>
      </c>
      <c r="N31" s="132">
        <f>IF(SER_hh_tes!N31=0,0,11630*1000*SER_hh_tes!N31/SER_hh_num!N31)</f>
        <v>27553.07087466048</v>
      </c>
      <c r="O31" s="132">
        <f>IF(SER_hh_tes!O31=0,0,11630*1000*SER_hh_tes!O31/SER_hh_num!O31)</f>
        <v>27136.328211601216</v>
      </c>
      <c r="P31" s="132">
        <f>IF(SER_hh_tes!P31=0,0,11630*1000*SER_hh_tes!P31/SER_hh_num!P31)</f>
        <v>28513.859582433466</v>
      </c>
      <c r="Q31" s="132">
        <f>IF(SER_hh_tes!Q31=0,0,11630*1000*SER_hh_tes!Q31/SER_hh_num!Q31)</f>
        <v>26706.499210918781</v>
      </c>
      <c r="R31" s="132">
        <f>IF(SER_hh_tes!R31=0,0,11630*1000*SER_hh_tes!R31/SER_hh_num!R31)</f>
        <v>28253.896667585403</v>
      </c>
      <c r="S31" s="132">
        <f>IF(SER_hh_tes!S31=0,0,11630*1000*SER_hh_tes!S31/SER_hh_num!S31)</f>
        <v>28352.779772812708</v>
      </c>
      <c r="T31" s="132">
        <f>IF(SER_hh_tes!T31=0,0,11630*1000*SER_hh_tes!T31/SER_hh_num!T31)</f>
        <v>28041.951976198859</v>
      </c>
      <c r="U31" s="132">
        <f>IF(SER_hh_tes!U31=0,0,11630*1000*SER_hh_tes!U31/SER_hh_num!U31)</f>
        <v>28030.211570910105</v>
      </c>
      <c r="V31" s="132">
        <f>IF(SER_hh_tes!V31=0,0,11630*1000*SER_hh_tes!V31/SER_hh_num!V31)</f>
        <v>27934.631858056076</v>
      </c>
      <c r="W31" s="132">
        <f>IF(SER_hh_tes!W31=0,0,11630*1000*SER_hh_tes!W31/SER_hh_num!W31)</f>
        <v>27991.291986805372</v>
      </c>
      <c r="X31" s="132">
        <f>IF(SER_hh_tes!X31=0,0,11630*1000*SER_hh_tes!X31/SER_hh_num!X31)</f>
        <v>26637.984246320924</v>
      </c>
      <c r="Y31" s="132">
        <f>IF(SER_hh_tes!Y31=0,0,11630*1000*SER_hh_tes!Y31/SER_hh_num!Y31)</f>
        <v>28542.611818538808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31292.955887047301</v>
      </c>
      <c r="C33" s="68">
        <f>IF(SER_hh_tes!C33=0,0,11630*1000*SER_hh_tes!C33/SER_hh_num!C33)</f>
        <v>29526.504082941054</v>
      </c>
      <c r="D33" s="68">
        <f>IF(SER_hh_tes!D33=0,0,11630*1000*SER_hh_tes!D33/SER_hh_num!D33)</f>
        <v>28599.8206693217</v>
      </c>
      <c r="E33" s="68">
        <f>IF(SER_hh_tes!E33=0,0,11630*1000*SER_hh_tes!E33/SER_hh_num!E33)</f>
        <v>27172.805770258143</v>
      </c>
      <c r="F33" s="68">
        <f>IF(SER_hh_tes!F33=0,0,11630*1000*SER_hh_tes!F33/SER_hh_num!F33)</f>
        <v>28023.894832802969</v>
      </c>
      <c r="G33" s="68">
        <f>IF(SER_hh_tes!G33=0,0,11630*1000*SER_hh_tes!G33/SER_hh_num!G33)</f>
        <v>28981.505919484127</v>
      </c>
      <c r="H33" s="68">
        <f>IF(SER_hh_tes!H33=0,0,11630*1000*SER_hh_tes!H33/SER_hh_num!H33)</f>
        <v>28985.91017248635</v>
      </c>
      <c r="I33" s="68">
        <f>IF(SER_hh_tes!I33=0,0,11630*1000*SER_hh_tes!I33/SER_hh_num!I33)</f>
        <v>27302.845201111519</v>
      </c>
      <c r="J33" s="68">
        <f>IF(SER_hh_tes!J33=0,0,11630*1000*SER_hh_tes!J33/SER_hh_num!J33)</f>
        <v>28010.446086082542</v>
      </c>
      <c r="K33" s="68">
        <f>IF(SER_hh_tes!K33=0,0,11630*1000*SER_hh_tes!K33/SER_hh_num!K33)</f>
        <v>28870.155488675722</v>
      </c>
      <c r="L33" s="68">
        <f>IF(SER_hh_tes!L33=0,0,11630*1000*SER_hh_tes!L33/SER_hh_num!L33)</f>
        <v>28364.344530718579</v>
      </c>
      <c r="M33" s="68">
        <f>IF(SER_hh_tes!M33=0,0,11630*1000*SER_hh_tes!M33/SER_hh_num!M33)</f>
        <v>28699.833934607424</v>
      </c>
      <c r="N33" s="68">
        <f>IF(SER_hh_tes!N33=0,0,11630*1000*SER_hh_tes!N33/SER_hh_num!N33)</f>
        <v>28986.803159155632</v>
      </c>
      <c r="O33" s="68">
        <f>IF(SER_hh_tes!O33=0,0,11630*1000*SER_hh_tes!O33/SER_hh_num!O33)</f>
        <v>29935.442346483345</v>
      </c>
      <c r="P33" s="68">
        <f>IF(SER_hh_tes!P33=0,0,11630*1000*SER_hh_tes!P33/SER_hh_num!P33)</f>
        <v>29071.148830738875</v>
      </c>
      <c r="Q33" s="68">
        <f>IF(SER_hh_tes!Q33=0,0,11630*1000*SER_hh_tes!Q33/SER_hh_num!Q33)</f>
        <v>29730.58987940507</v>
      </c>
      <c r="R33" s="68">
        <f>IF(SER_hh_tes!R33=0,0,11630*1000*SER_hh_tes!R33/SER_hh_num!R33)</f>
        <v>28134.403574614309</v>
      </c>
      <c r="S33" s="68">
        <f>IF(SER_hh_tes!S33=0,0,11630*1000*SER_hh_tes!S33/SER_hh_num!S33)</f>
        <v>27427.841640486342</v>
      </c>
      <c r="T33" s="68">
        <f>IF(SER_hh_tes!T33=0,0,11630*1000*SER_hh_tes!T33/SER_hh_num!T33)</f>
        <v>27902.586389131982</v>
      </c>
      <c r="U33" s="68">
        <f>IF(SER_hh_tes!U33=0,0,11630*1000*SER_hh_tes!U33/SER_hh_num!U33)</f>
        <v>28717.186038156186</v>
      </c>
      <c r="V33" s="68">
        <f>IF(SER_hh_tes!V33=0,0,11630*1000*SER_hh_tes!V33/SER_hh_num!V33)</f>
        <v>25811.020915200548</v>
      </c>
      <c r="W33" s="68">
        <f>IF(SER_hh_tes!W33=0,0,11630*1000*SER_hh_tes!W33/SER_hh_num!W33)</f>
        <v>27278.793327518382</v>
      </c>
      <c r="X33" s="68">
        <f>IF(SER_hh_tes!X33=0,0,11630*1000*SER_hh_tes!X33/SER_hh_num!X33)</f>
        <v>27306.799164953612</v>
      </c>
      <c r="Y33" s="68">
        <f>IF(SER_hh_tes!Y33=0,0,11630*1000*SER_hh_tes!Y33/SER_hh_num!Y33)</f>
        <v>28018.137577139441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28611.816413701788</v>
      </c>
      <c r="C3" s="125">
        <f>IF(SER_hh_emi!C3=0,0,1000000*SER_hh_emi!C3/SER_hh_num!C3)</f>
        <v>29529.581381390064</v>
      </c>
      <c r="D3" s="125">
        <f>IF(SER_hh_emi!D3=0,0,1000000*SER_hh_emi!D3/SER_hh_num!D3)</f>
        <v>31062.940104434736</v>
      </c>
      <c r="E3" s="125">
        <f>IF(SER_hh_emi!E3=0,0,1000000*SER_hh_emi!E3/SER_hh_num!E3)</f>
        <v>31523.978577889138</v>
      </c>
      <c r="F3" s="125">
        <f>IF(SER_hh_emi!F3=0,0,1000000*SER_hh_emi!F3/SER_hh_num!F3)</f>
        <v>32067.120289387381</v>
      </c>
      <c r="G3" s="125">
        <f>IF(SER_hh_emi!G3=0,0,1000000*SER_hh_emi!G3/SER_hh_num!G3)</f>
        <v>28073.214470704272</v>
      </c>
      <c r="H3" s="125">
        <f>IF(SER_hh_emi!H3=0,0,1000000*SER_hh_emi!H3/SER_hh_num!H3)</f>
        <v>30017.145043854696</v>
      </c>
      <c r="I3" s="125">
        <f>IF(SER_hh_emi!I3=0,0,1000000*SER_hh_emi!I3/SER_hh_num!I3)</f>
        <v>27994.120763697701</v>
      </c>
      <c r="J3" s="125">
        <f>IF(SER_hh_emi!J3=0,0,1000000*SER_hh_emi!J3/SER_hh_num!J3)</f>
        <v>25436.701372472671</v>
      </c>
      <c r="K3" s="125">
        <f>IF(SER_hh_emi!K3=0,0,1000000*SER_hh_emi!K3/SER_hh_num!K3)</f>
        <v>23548.950880904718</v>
      </c>
      <c r="L3" s="125">
        <f>IF(SER_hh_emi!L3=0,0,1000000*SER_hh_emi!L3/SER_hh_num!L3)</f>
        <v>25438.200372879757</v>
      </c>
      <c r="M3" s="125">
        <f>IF(SER_hh_emi!M3=0,0,1000000*SER_hh_emi!M3/SER_hh_num!M3)</f>
        <v>22288.228231372552</v>
      </c>
      <c r="N3" s="125">
        <f>IF(SER_hh_emi!N3=0,0,1000000*SER_hh_emi!N3/SER_hh_num!N3)</f>
        <v>21781.70676027903</v>
      </c>
      <c r="O3" s="125">
        <f>IF(SER_hh_emi!O3=0,0,1000000*SER_hh_emi!O3/SER_hh_num!O3)</f>
        <v>20319.316889099089</v>
      </c>
      <c r="P3" s="125">
        <f>IF(SER_hh_emi!P3=0,0,1000000*SER_hh_emi!P3/SER_hh_num!P3)</f>
        <v>21056.986908804731</v>
      </c>
      <c r="Q3" s="125">
        <f>IF(SER_hh_emi!Q3=0,0,1000000*SER_hh_emi!Q3/SER_hh_num!Q3)</f>
        <v>20057.400337460578</v>
      </c>
      <c r="R3" s="125">
        <f>IF(SER_hh_emi!R3=0,0,1000000*SER_hh_emi!R3/SER_hh_num!R3)</f>
        <v>18443.119527594394</v>
      </c>
      <c r="S3" s="125">
        <f>IF(SER_hh_emi!S3=0,0,1000000*SER_hh_emi!S3/SER_hh_num!S3)</f>
        <v>19240.333808567229</v>
      </c>
      <c r="T3" s="125">
        <f>IF(SER_hh_emi!T3=0,0,1000000*SER_hh_emi!T3/SER_hh_num!T3)</f>
        <v>19961.755695745131</v>
      </c>
      <c r="U3" s="125">
        <f>IF(SER_hh_emi!U3=0,0,1000000*SER_hh_emi!U3/SER_hh_num!U3)</f>
        <v>18864.771741950484</v>
      </c>
      <c r="V3" s="125">
        <f>IF(SER_hh_emi!V3=0,0,1000000*SER_hh_emi!V3/SER_hh_num!V3)</f>
        <v>19478.63873800997</v>
      </c>
      <c r="W3" s="125">
        <f>IF(SER_hh_emi!W3=0,0,1000000*SER_hh_emi!W3/SER_hh_num!W3)</f>
        <v>22797.868288706668</v>
      </c>
      <c r="X3" s="125">
        <f>IF(SER_hh_emi!X3=0,0,1000000*SER_hh_emi!X3/SER_hh_num!X3)</f>
        <v>21766.454762770471</v>
      </c>
      <c r="Y3" s="125">
        <f>IF(SER_hh_emi!Y3=0,0,1000000*SER_hh_emi!Y3/SER_hh_num!Y3)</f>
        <v>22027.65063185187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25831.025722394417</v>
      </c>
      <c r="C4" s="130">
        <f>IF(SER_hh_emi!C4=0,0,1000000*SER_hh_emi!C4/SER_hh_num!C4)</f>
        <v>25644.134780382043</v>
      </c>
      <c r="D4" s="130">
        <f>IF(SER_hh_emi!D4=0,0,1000000*SER_hh_emi!D4/SER_hh_num!D4)</f>
        <v>27009.214776526922</v>
      </c>
      <c r="E4" s="130">
        <f>IF(SER_hh_emi!E4=0,0,1000000*SER_hh_emi!E4/SER_hh_num!E4)</f>
        <v>27076.499675900366</v>
      </c>
      <c r="F4" s="130">
        <f>IF(SER_hh_emi!F4=0,0,1000000*SER_hh_emi!F4/SER_hh_num!F4)</f>
        <v>27812.245623302315</v>
      </c>
      <c r="G4" s="130">
        <f>IF(SER_hh_emi!G4=0,0,1000000*SER_hh_emi!G4/SER_hh_num!G4)</f>
        <v>23811.793976256333</v>
      </c>
      <c r="H4" s="130">
        <f>IF(SER_hh_emi!H4=0,0,1000000*SER_hh_emi!H4/SER_hh_num!H4)</f>
        <v>25893.326176175306</v>
      </c>
      <c r="I4" s="130">
        <f>IF(SER_hh_emi!I4=0,0,1000000*SER_hh_emi!I4/SER_hh_num!I4)</f>
        <v>23950.382153799575</v>
      </c>
      <c r="J4" s="130">
        <f>IF(SER_hh_emi!J4=0,0,1000000*SER_hh_emi!J4/SER_hh_num!J4)</f>
        <v>21331.16571953044</v>
      </c>
      <c r="K4" s="130">
        <f>IF(SER_hh_emi!K4=0,0,1000000*SER_hh_emi!K4/SER_hh_num!K4)</f>
        <v>19288.394593190627</v>
      </c>
      <c r="L4" s="130">
        <f>IF(SER_hh_emi!L4=0,0,1000000*SER_hh_emi!L4/SER_hh_num!L4)</f>
        <v>21228.308905574337</v>
      </c>
      <c r="M4" s="130">
        <f>IF(SER_hh_emi!M4=0,0,1000000*SER_hh_emi!M4/SER_hh_num!M4)</f>
        <v>18354.747262680106</v>
      </c>
      <c r="N4" s="130">
        <f>IF(SER_hh_emi!N4=0,0,1000000*SER_hh_emi!N4/SER_hh_num!N4)</f>
        <v>18035.35287377951</v>
      </c>
      <c r="O4" s="130">
        <f>IF(SER_hh_emi!O4=0,0,1000000*SER_hh_emi!O4/SER_hh_num!O4)</f>
        <v>16770.357391053964</v>
      </c>
      <c r="P4" s="130">
        <f>IF(SER_hh_emi!P4=0,0,1000000*SER_hh_emi!P4/SER_hh_num!P4)</f>
        <v>17360.272783755554</v>
      </c>
      <c r="Q4" s="130">
        <f>IF(SER_hh_emi!Q4=0,0,1000000*SER_hh_emi!Q4/SER_hh_num!Q4)</f>
        <v>16433.047799150936</v>
      </c>
      <c r="R4" s="130">
        <f>IF(SER_hh_emi!R4=0,0,1000000*SER_hh_emi!R4/SER_hh_num!R4)</f>
        <v>14309.023804208011</v>
      </c>
      <c r="S4" s="130">
        <f>IF(SER_hh_emi!S4=0,0,1000000*SER_hh_emi!S4/SER_hh_num!S4)</f>
        <v>14664.748281706008</v>
      </c>
      <c r="T4" s="130">
        <f>IF(SER_hh_emi!T4=0,0,1000000*SER_hh_emi!T4/SER_hh_num!T4)</f>
        <v>15506.813993568057</v>
      </c>
      <c r="U4" s="130">
        <f>IF(SER_hh_emi!U4=0,0,1000000*SER_hh_emi!U4/SER_hh_num!U4)</f>
        <v>14551.533205317352</v>
      </c>
      <c r="V4" s="130">
        <f>IF(SER_hh_emi!V4=0,0,1000000*SER_hh_emi!V4/SER_hh_num!V4)</f>
        <v>15171.619550684851</v>
      </c>
      <c r="W4" s="130">
        <f>IF(SER_hh_emi!W4=0,0,1000000*SER_hh_emi!W4/SER_hh_num!W4)</f>
        <v>18444.796654865644</v>
      </c>
      <c r="X4" s="130">
        <f>IF(SER_hh_emi!X4=0,0,1000000*SER_hh_emi!X4/SER_hh_num!X4)</f>
        <v>17115.579754921597</v>
      </c>
      <c r="Y4" s="130">
        <f>IF(SER_hh_emi!Y4=0,0,1000000*SER_hh_emi!Y4/SER_hh_num!Y4)</f>
        <v>17697.880998936631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115193.25821098244</v>
      </c>
      <c r="C5" s="132">
        <f>IF(SER_hh_emi!C5=0,0,1000000*SER_hh_emi!C5/SER_hh_num!C5)</f>
        <v>118334.47785221197</v>
      </c>
      <c r="D5" s="132">
        <f>IF(SER_hh_emi!D5=0,0,1000000*SER_hh_emi!D5/SER_hh_num!D5)</f>
        <v>119576.63467641869</v>
      </c>
      <c r="E5" s="132">
        <f>IF(SER_hh_emi!E5=0,0,1000000*SER_hh_emi!E5/SER_hh_num!E5)</f>
        <v>123160.44584449867</v>
      </c>
      <c r="F5" s="132">
        <f>IF(SER_hh_emi!F5=0,0,1000000*SER_hh_emi!F5/SER_hh_num!F5)</f>
        <v>126685.8767837201</v>
      </c>
      <c r="G5" s="132">
        <f>IF(SER_hh_emi!G5=0,0,1000000*SER_hh_emi!G5/SER_hh_num!G5)</f>
        <v>110035.40562038601</v>
      </c>
      <c r="H5" s="132">
        <f>IF(SER_hh_emi!H5=0,0,1000000*SER_hh_emi!H5/SER_hh_num!H5)</f>
        <v>115522.19934517602</v>
      </c>
      <c r="I5" s="132">
        <f>IF(SER_hh_emi!I5=0,0,1000000*SER_hh_emi!I5/SER_hh_num!I5)</f>
        <v>115901.25065127679</v>
      </c>
      <c r="J5" s="132">
        <f>IF(SER_hh_emi!J5=0,0,1000000*SER_hh_emi!J5/SER_hh_num!J5)</f>
        <v>97220.604449746097</v>
      </c>
      <c r="K5" s="132">
        <f>IF(SER_hh_emi!K5=0,0,1000000*SER_hh_emi!K5/SER_hh_num!K5)</f>
        <v>71529.702556963704</v>
      </c>
      <c r="L5" s="132">
        <f>IF(SER_hh_emi!L5=0,0,1000000*SER_hh_emi!L5/SER_hh_num!L5)</f>
        <v>96119.054092658887</v>
      </c>
      <c r="M5" s="132">
        <f>IF(SER_hh_emi!M5=0,0,1000000*SER_hh_emi!M5/SER_hh_num!M5)</f>
        <v>90421.815319556408</v>
      </c>
      <c r="N5" s="132">
        <f>IF(SER_hh_emi!N5=0,0,1000000*SER_hh_emi!N5/SER_hh_num!N5)</f>
        <v>63942.615369164378</v>
      </c>
      <c r="O5" s="132">
        <f>IF(SER_hh_emi!O5=0,0,1000000*SER_hh_emi!O5/SER_hh_num!O5)</f>
        <v>84720.922955226561</v>
      </c>
      <c r="P5" s="132">
        <f>IF(SER_hh_emi!P5=0,0,1000000*SER_hh_emi!P5/SER_hh_num!P5)</f>
        <v>81966.841405768355</v>
      </c>
      <c r="Q5" s="132">
        <f>IF(SER_hh_emi!Q5=0,0,1000000*SER_hh_emi!Q5/SER_hh_num!Q5)</f>
        <v>73141.668466607705</v>
      </c>
      <c r="R5" s="132">
        <f>IF(SER_hh_emi!R5=0,0,1000000*SER_hh_emi!R5/SER_hh_num!R5)</f>
        <v>82456.036971752808</v>
      </c>
      <c r="S5" s="132">
        <f>IF(SER_hh_emi!S5=0,0,1000000*SER_hh_emi!S5/SER_hh_num!S5)</f>
        <v>71347.183129279845</v>
      </c>
      <c r="T5" s="132">
        <f>IF(SER_hh_emi!T5=0,0,1000000*SER_hh_emi!T5/SER_hh_num!T5)</f>
        <v>84055.806608859886</v>
      </c>
      <c r="U5" s="132">
        <f>IF(SER_hh_emi!U5=0,0,1000000*SER_hh_emi!U5/SER_hh_num!U5)</f>
        <v>78875.339983560232</v>
      </c>
      <c r="V5" s="132">
        <f>IF(SER_hh_emi!V5=0,0,1000000*SER_hh_emi!V5/SER_hh_num!V5)</f>
        <v>55399.66644793711</v>
      </c>
      <c r="W5" s="132">
        <f>IF(SER_hh_emi!W5=0,0,1000000*SER_hh_emi!W5/SER_hh_num!W5)</f>
        <v>74783.105109285665</v>
      </c>
      <c r="X5" s="132">
        <f>IF(SER_hh_emi!X5=0,0,1000000*SER_hh_emi!X5/SER_hh_num!X5)</f>
        <v>43415.987190118562</v>
      </c>
      <c r="Y5" s="132">
        <f>IF(SER_hh_emi!Y5=0,0,1000000*SER_hh_emi!Y5/SER_hh_num!Y5)</f>
        <v>87173.154711928393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102758.22982736342</v>
      </c>
      <c r="C7" s="132">
        <f>IF(SER_hh_emi!C7=0,0,1000000*SER_hh_emi!C7/SER_hh_num!C7)</f>
        <v>112185.90034862969</v>
      </c>
      <c r="D7" s="132">
        <f>IF(SER_hh_emi!D7=0,0,1000000*SER_hh_emi!D7/SER_hh_num!D7)</f>
        <v>106970.06491908751</v>
      </c>
      <c r="E7" s="132">
        <f>IF(SER_hh_emi!E7=0,0,1000000*SER_hh_emi!E7/SER_hh_num!E7)</f>
        <v>113966.96674351869</v>
      </c>
      <c r="F7" s="132">
        <f>IF(SER_hh_emi!F7=0,0,1000000*SER_hh_emi!F7/SER_hh_num!F7)</f>
        <v>114320.28518211587</v>
      </c>
      <c r="G7" s="132">
        <f>IF(SER_hh_emi!G7=0,0,1000000*SER_hh_emi!G7/SER_hh_num!G7)</f>
        <v>91605.542334765676</v>
      </c>
      <c r="H7" s="132">
        <f>IF(SER_hh_emi!H7=0,0,1000000*SER_hh_emi!H7/SER_hh_num!H7)</f>
        <v>117225.87896039958</v>
      </c>
      <c r="I7" s="132">
        <f>IF(SER_hh_emi!I7=0,0,1000000*SER_hh_emi!I7/SER_hh_num!I7)</f>
        <v>96609.793344448699</v>
      </c>
      <c r="J7" s="132">
        <f>IF(SER_hh_emi!J7=0,0,1000000*SER_hh_emi!J7/SER_hh_num!J7)</f>
        <v>81418.869441226474</v>
      </c>
      <c r="K7" s="132">
        <f>IF(SER_hh_emi!K7=0,0,1000000*SER_hh_emi!K7/SER_hh_num!K7)</f>
        <v>76957.339132517111</v>
      </c>
      <c r="L7" s="132">
        <f>IF(SER_hh_emi!L7=0,0,1000000*SER_hh_emi!L7/SER_hh_num!L7)</f>
        <v>75894.653910506051</v>
      </c>
      <c r="M7" s="132">
        <f>IF(SER_hh_emi!M7=0,0,1000000*SER_hh_emi!M7/SER_hh_num!M7)</f>
        <v>62053.016293990178</v>
      </c>
      <c r="N7" s="132">
        <f>IF(SER_hh_emi!N7=0,0,1000000*SER_hh_emi!N7/SER_hh_num!N7)</f>
        <v>78728.074702051934</v>
      </c>
      <c r="O7" s="132">
        <f>IF(SER_hh_emi!O7=0,0,1000000*SER_hh_emi!O7/SER_hh_num!O7)</f>
        <v>72475.200373586238</v>
      </c>
      <c r="P7" s="132">
        <f>IF(SER_hh_emi!P7=0,0,1000000*SER_hh_emi!P7/SER_hh_num!P7)</f>
        <v>73509.327742738111</v>
      </c>
      <c r="Q7" s="132">
        <f>IF(SER_hh_emi!Q7=0,0,1000000*SER_hh_emi!Q7/SER_hh_num!Q7)</f>
        <v>76791.843439224365</v>
      </c>
      <c r="R7" s="132">
        <f>IF(SER_hh_emi!R7=0,0,1000000*SER_hh_emi!R7/SER_hh_num!R7)</f>
        <v>54784.344339049981</v>
      </c>
      <c r="S7" s="132">
        <f>IF(SER_hh_emi!S7=0,0,1000000*SER_hh_emi!S7/SER_hh_num!S7)</f>
        <v>62059.165947519214</v>
      </c>
      <c r="T7" s="132">
        <f>IF(SER_hh_emi!T7=0,0,1000000*SER_hh_emi!T7/SER_hh_num!T7)</f>
        <v>70117.344865512452</v>
      </c>
      <c r="U7" s="132">
        <f>IF(SER_hh_emi!U7=0,0,1000000*SER_hh_emi!U7/SER_hh_num!U7)</f>
        <v>52102.002394869683</v>
      </c>
      <c r="V7" s="132">
        <f>IF(SER_hh_emi!V7=0,0,1000000*SER_hh_emi!V7/SER_hh_num!V7)</f>
        <v>54538.749638382542</v>
      </c>
      <c r="W7" s="132">
        <f>IF(SER_hh_emi!W7=0,0,1000000*SER_hh_emi!W7/SER_hh_num!W7)</f>
        <v>67690.135073568177</v>
      </c>
      <c r="X7" s="132">
        <f>IF(SER_hh_emi!X7=0,0,1000000*SER_hh_emi!X7/SER_hh_num!X7)</f>
        <v>51475.180072359028</v>
      </c>
      <c r="Y7" s="132">
        <f>IF(SER_hh_emi!Y7=0,0,1000000*SER_hh_emi!Y7/SER_hh_num!Y7)</f>
        <v>55480.946838614153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75188.9213669249</v>
      </c>
      <c r="C9" s="132">
        <f>IF(SER_hh_emi!C9=0,0,1000000*SER_hh_emi!C9/SER_hh_num!C9)</f>
        <v>65364.180050709947</v>
      </c>
      <c r="D9" s="132">
        <f>IF(SER_hh_emi!D9=0,0,1000000*SER_hh_emi!D9/SER_hh_num!D9)</f>
        <v>78834.25532581337</v>
      </c>
      <c r="E9" s="132">
        <f>IF(SER_hh_emi!E9=0,0,1000000*SER_hh_emi!E9/SER_hh_num!E9)</f>
        <v>72002.612232305488</v>
      </c>
      <c r="F9" s="132">
        <f>IF(SER_hh_emi!F9=0,0,1000000*SER_hh_emi!F9/SER_hh_num!F9)</f>
        <v>74358.833556187354</v>
      </c>
      <c r="G9" s="132">
        <f>IF(SER_hh_emi!G9=0,0,1000000*SER_hh_emi!G9/SER_hh_num!G9)</f>
        <v>68573.377327492795</v>
      </c>
      <c r="H9" s="132">
        <f>IF(SER_hh_emi!H9=0,0,1000000*SER_hh_emi!H9/SER_hh_num!H9)</f>
        <v>67031.774556054341</v>
      </c>
      <c r="I9" s="132">
        <f>IF(SER_hh_emi!I9=0,0,1000000*SER_hh_emi!I9/SER_hh_num!I9)</f>
        <v>67770.273979354737</v>
      </c>
      <c r="J9" s="132">
        <f>IF(SER_hh_emi!J9=0,0,1000000*SER_hh_emi!J9/SER_hh_num!J9)</f>
        <v>59356.316444315169</v>
      </c>
      <c r="K9" s="132">
        <f>IF(SER_hh_emi!K9=0,0,1000000*SER_hh_emi!K9/SER_hh_num!K9)</f>
        <v>52127.583689108389</v>
      </c>
      <c r="L9" s="132">
        <f>IF(SER_hh_emi!L9=0,0,1000000*SER_hh_emi!L9/SER_hh_num!L9)</f>
        <v>54725.621143189128</v>
      </c>
      <c r="M9" s="132">
        <f>IF(SER_hh_emi!M9=0,0,1000000*SER_hh_emi!M9/SER_hh_num!M9)</f>
        <v>50573.85862664679</v>
      </c>
      <c r="N9" s="132">
        <f>IF(SER_hh_emi!N9=0,0,1000000*SER_hh_emi!N9/SER_hh_num!N9)</f>
        <v>53916.812755416424</v>
      </c>
      <c r="O9" s="132">
        <f>IF(SER_hh_emi!O9=0,0,1000000*SER_hh_emi!O9/SER_hh_num!O9)</f>
        <v>47959.747958179913</v>
      </c>
      <c r="P9" s="132">
        <f>IF(SER_hh_emi!P9=0,0,1000000*SER_hh_emi!P9/SER_hh_num!P9)</f>
        <v>52620.987422812141</v>
      </c>
      <c r="Q9" s="132">
        <f>IF(SER_hh_emi!Q9=0,0,1000000*SER_hh_emi!Q9/SER_hh_num!Q9)</f>
        <v>46502.177548195468</v>
      </c>
      <c r="R9" s="132">
        <f>IF(SER_hh_emi!R9=0,0,1000000*SER_hh_emi!R9/SER_hh_num!R9)</f>
        <v>47265.956073588291</v>
      </c>
      <c r="S9" s="132">
        <f>IF(SER_hh_emi!S9=0,0,1000000*SER_hh_emi!S9/SER_hh_num!S9)</f>
        <v>46539.54008518911</v>
      </c>
      <c r="T9" s="132">
        <f>IF(SER_hh_emi!T9=0,0,1000000*SER_hh_emi!T9/SER_hh_num!T9)</f>
        <v>43983.45320789636</v>
      </c>
      <c r="U9" s="132">
        <f>IF(SER_hh_emi!U9=0,0,1000000*SER_hh_emi!U9/SER_hh_num!U9)</f>
        <v>42519.433357405891</v>
      </c>
      <c r="V9" s="132">
        <f>IF(SER_hh_emi!V9=0,0,1000000*SER_hh_emi!V9/SER_hh_num!V9)</f>
        <v>40666.072348560687</v>
      </c>
      <c r="W9" s="132">
        <f>IF(SER_hh_emi!W9=0,0,1000000*SER_hh_emi!W9/SER_hh_num!W9)</f>
        <v>41166.279264432647</v>
      </c>
      <c r="X9" s="132">
        <f>IF(SER_hh_emi!X9=0,0,1000000*SER_hh_emi!X9/SER_hh_num!X9)</f>
        <v>38954.137009060621</v>
      </c>
      <c r="Y9" s="132">
        <f>IF(SER_hh_emi!Y9=0,0,1000000*SER_hh_emi!Y9/SER_hh_num!Y9)</f>
        <v>35608.025717132652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0</v>
      </c>
      <c r="C16" s="130">
        <f>IF(SER_hh_emi!C16=0,0,1000000*SER_hh_emi!C16/SER_hh_num!C16)</f>
        <v>0</v>
      </c>
      <c r="D16" s="130">
        <f>IF(SER_hh_emi!D16=0,0,1000000*SER_hh_emi!D16/SER_hh_num!D16)</f>
        <v>0</v>
      </c>
      <c r="E16" s="130">
        <f>IF(SER_hh_emi!E16=0,0,1000000*SER_hh_emi!E16/SER_hh_num!E16)</f>
        <v>0</v>
      </c>
      <c r="F16" s="130">
        <f>IF(SER_hh_emi!F16=0,0,1000000*SER_hh_emi!F16/SER_hh_num!F16)</f>
        <v>0</v>
      </c>
      <c r="G16" s="130">
        <f>IF(SER_hh_emi!G16=0,0,1000000*SER_hh_emi!G16/SER_hh_num!G16)</f>
        <v>0</v>
      </c>
      <c r="H16" s="130">
        <f>IF(SER_hh_emi!H16=0,0,1000000*SER_hh_emi!H16/SER_hh_num!H16)</f>
        <v>0</v>
      </c>
      <c r="I16" s="130">
        <f>IF(SER_hh_emi!I16=0,0,1000000*SER_hh_emi!I16/SER_hh_num!I16)</f>
        <v>0</v>
      </c>
      <c r="J16" s="130">
        <f>IF(SER_hh_emi!J16=0,0,1000000*SER_hh_emi!J16/SER_hh_num!J16)</f>
        <v>0</v>
      </c>
      <c r="K16" s="130">
        <f>IF(SER_hh_emi!K16=0,0,1000000*SER_hh_emi!K16/SER_hh_num!K16)</f>
        <v>0</v>
      </c>
      <c r="L16" s="130">
        <f>IF(SER_hh_emi!L16=0,0,1000000*SER_hh_emi!L16/SER_hh_num!L16)</f>
        <v>0</v>
      </c>
      <c r="M16" s="130">
        <f>IF(SER_hh_emi!M16=0,0,1000000*SER_hh_emi!M16/SER_hh_num!M16)</f>
        <v>0</v>
      </c>
      <c r="N16" s="130">
        <f>IF(SER_hh_emi!N16=0,0,1000000*SER_hh_emi!N16/SER_hh_num!N16)</f>
        <v>0</v>
      </c>
      <c r="O16" s="130">
        <f>IF(SER_hh_emi!O16=0,0,1000000*SER_hh_emi!O16/SER_hh_num!O16)</f>
        <v>0</v>
      </c>
      <c r="P16" s="130">
        <f>IF(SER_hh_emi!P16=0,0,1000000*SER_hh_emi!P16/SER_hh_num!P16)</f>
        <v>0</v>
      </c>
      <c r="Q16" s="130">
        <f>IF(SER_hh_emi!Q16=0,0,1000000*SER_hh_emi!Q16/SER_hh_num!Q16)</f>
        <v>0</v>
      </c>
      <c r="R16" s="130">
        <f>IF(SER_hh_emi!R16=0,0,1000000*SER_hh_emi!R16/SER_hh_num!R16)</f>
        <v>0</v>
      </c>
      <c r="S16" s="130">
        <f>IF(SER_hh_emi!S16=0,0,1000000*SER_hh_emi!S16/SER_hh_num!S16)</f>
        <v>0</v>
      </c>
      <c r="T16" s="130">
        <f>IF(SER_hh_emi!T16=0,0,1000000*SER_hh_emi!T16/SER_hh_num!T16)</f>
        <v>0</v>
      </c>
      <c r="U16" s="130">
        <f>IF(SER_hh_emi!U16=0,0,1000000*SER_hh_emi!U16/SER_hh_num!U16)</f>
        <v>0</v>
      </c>
      <c r="V16" s="130">
        <f>IF(SER_hh_emi!V16=0,0,1000000*SER_hh_emi!V16/SER_hh_num!V16)</f>
        <v>0</v>
      </c>
      <c r="W16" s="130">
        <f>IF(SER_hh_emi!W16=0,0,1000000*SER_hh_emi!W16/SER_hh_num!W16)</f>
        <v>0</v>
      </c>
      <c r="X16" s="130">
        <f>IF(SER_hh_emi!X16=0,0,1000000*SER_hh_emi!X16/SER_hh_num!X16)</f>
        <v>0</v>
      </c>
      <c r="Y16" s="130">
        <f>IF(SER_hh_emi!Y16=0,0,1000000*SER_hh_emi!Y16/SER_hh_num!Y16)</f>
        <v>0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0</v>
      </c>
      <c r="C17" s="132">
        <f>IF(SER_hh_emi!C17=0,0,1000000*SER_hh_emi!C17/SER_hh_num!C17)</f>
        <v>0</v>
      </c>
      <c r="D17" s="132">
        <f>IF(SER_hh_emi!D17=0,0,1000000*SER_hh_emi!D17/SER_hh_num!D17)</f>
        <v>0</v>
      </c>
      <c r="E17" s="132">
        <f>IF(SER_hh_emi!E17=0,0,1000000*SER_hh_emi!E17/SER_hh_num!E17)</f>
        <v>0</v>
      </c>
      <c r="F17" s="132">
        <f>IF(SER_hh_emi!F17=0,0,1000000*SER_hh_emi!F17/SER_hh_num!F17)</f>
        <v>0</v>
      </c>
      <c r="G17" s="132">
        <f>IF(SER_hh_emi!G17=0,0,1000000*SER_hh_emi!G17/SER_hh_num!G17)</f>
        <v>0</v>
      </c>
      <c r="H17" s="132">
        <f>IF(SER_hh_emi!H17=0,0,1000000*SER_hh_emi!H17/SER_hh_num!H17)</f>
        <v>0</v>
      </c>
      <c r="I17" s="132">
        <f>IF(SER_hh_emi!I17=0,0,1000000*SER_hh_emi!I17/SER_hh_num!I17)</f>
        <v>0</v>
      </c>
      <c r="J17" s="132">
        <f>IF(SER_hh_emi!J17=0,0,1000000*SER_hh_emi!J17/SER_hh_num!J17)</f>
        <v>0</v>
      </c>
      <c r="K17" s="132">
        <f>IF(SER_hh_emi!K17=0,0,1000000*SER_hh_emi!K17/SER_hh_num!K17)</f>
        <v>0</v>
      </c>
      <c r="L17" s="132">
        <f>IF(SER_hh_emi!L17=0,0,1000000*SER_hh_emi!L17/SER_hh_num!L17)</f>
        <v>0</v>
      </c>
      <c r="M17" s="132">
        <f>IF(SER_hh_emi!M17=0,0,1000000*SER_hh_emi!M17/SER_hh_num!M17)</f>
        <v>0</v>
      </c>
      <c r="N17" s="132">
        <f>IF(SER_hh_emi!N17=0,0,1000000*SER_hh_emi!N17/SER_hh_num!N17)</f>
        <v>0</v>
      </c>
      <c r="O17" s="132">
        <f>IF(SER_hh_emi!O17=0,0,1000000*SER_hh_emi!O17/SER_hh_num!O17)</f>
        <v>0</v>
      </c>
      <c r="P17" s="132">
        <f>IF(SER_hh_emi!P17=0,0,1000000*SER_hh_emi!P17/SER_hh_num!P17)</f>
        <v>0</v>
      </c>
      <c r="Q17" s="132">
        <f>IF(SER_hh_emi!Q17=0,0,1000000*SER_hh_emi!Q17/SER_hh_num!Q17)</f>
        <v>0</v>
      </c>
      <c r="R17" s="132">
        <f>IF(SER_hh_emi!R17=0,0,1000000*SER_hh_emi!R17/SER_hh_num!R17)</f>
        <v>0</v>
      </c>
      <c r="S17" s="132">
        <f>IF(SER_hh_emi!S17=0,0,1000000*SER_hh_emi!S17/SER_hh_num!S17)</f>
        <v>0</v>
      </c>
      <c r="T17" s="132">
        <f>IF(SER_hh_emi!T17=0,0,1000000*SER_hh_emi!T17/SER_hh_num!T17)</f>
        <v>0</v>
      </c>
      <c r="U17" s="132">
        <f>IF(SER_hh_emi!U17=0,0,1000000*SER_hh_emi!U17/SER_hh_num!U17)</f>
        <v>0</v>
      </c>
      <c r="V17" s="132">
        <f>IF(SER_hh_emi!V17=0,0,1000000*SER_hh_emi!V17/SER_hh_num!V17)</f>
        <v>0</v>
      </c>
      <c r="W17" s="132">
        <f>IF(SER_hh_emi!W17=0,0,1000000*SER_hh_emi!W17/SER_hh_num!W17)</f>
        <v>0</v>
      </c>
      <c r="X17" s="132">
        <f>IF(SER_hh_emi!X17=0,0,1000000*SER_hh_emi!X17/SER_hh_num!X17)</f>
        <v>0</v>
      </c>
      <c r="Y17" s="132">
        <f>IF(SER_hh_emi!Y17=0,0,1000000*SER_hh_emi!Y17/SER_hh_num!Y17)</f>
        <v>0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1730.8314214162344</v>
      </c>
      <c r="C19" s="130">
        <f>IF(SER_hh_emi!C19=0,0,1000000*SER_hh_emi!C19/SER_hh_num!C19)</f>
        <v>1722.3548607536063</v>
      </c>
      <c r="D19" s="130">
        <f>IF(SER_hh_emi!D19=0,0,1000000*SER_hh_emi!D19/SER_hh_num!D19)</f>
        <v>1783.1091692881751</v>
      </c>
      <c r="E19" s="130">
        <f>IF(SER_hh_emi!E19=0,0,1000000*SER_hh_emi!E19/SER_hh_num!E19)</f>
        <v>1758.6123541519898</v>
      </c>
      <c r="F19" s="130">
        <f>IF(SER_hh_emi!F19=0,0,1000000*SER_hh_emi!F19/SER_hh_num!F19)</f>
        <v>1722.0013068451683</v>
      </c>
      <c r="G19" s="130">
        <f>IF(SER_hh_emi!G19=0,0,1000000*SER_hh_emi!G19/SER_hh_num!G19)</f>
        <v>1762.7793453858296</v>
      </c>
      <c r="H19" s="130">
        <f>IF(SER_hh_emi!H19=0,0,1000000*SER_hh_emi!H19/SER_hh_num!H19)</f>
        <v>1734.1163376166901</v>
      </c>
      <c r="I19" s="130">
        <f>IF(SER_hh_emi!I19=0,0,1000000*SER_hh_emi!I19/SER_hh_num!I19)</f>
        <v>1669.0744623266837</v>
      </c>
      <c r="J19" s="130">
        <f>IF(SER_hh_emi!J19=0,0,1000000*SER_hh_emi!J19/SER_hh_num!J19)</f>
        <v>1784.2941983575242</v>
      </c>
      <c r="K19" s="130">
        <f>IF(SER_hh_emi!K19=0,0,1000000*SER_hh_emi!K19/SER_hh_num!K19)</f>
        <v>1831.681013879939</v>
      </c>
      <c r="L19" s="130">
        <f>IF(SER_hh_emi!L19=0,0,1000000*SER_hh_emi!L19/SER_hh_num!L19)</f>
        <v>1848.801433491233</v>
      </c>
      <c r="M19" s="130">
        <f>IF(SER_hh_emi!M19=0,0,1000000*SER_hh_emi!M19/SER_hh_num!M19)</f>
        <v>1865.3324721738968</v>
      </c>
      <c r="N19" s="130">
        <f>IF(SER_hh_emi!N19=0,0,1000000*SER_hh_emi!N19/SER_hh_num!N19)</f>
        <v>1909.0247228910141</v>
      </c>
      <c r="O19" s="130">
        <f>IF(SER_hh_emi!O19=0,0,1000000*SER_hh_emi!O19/SER_hh_num!O19)</f>
        <v>1912.9795655462674</v>
      </c>
      <c r="P19" s="130">
        <f>IF(SER_hh_emi!P19=0,0,1000000*SER_hh_emi!P19/SER_hh_num!P19)</f>
        <v>1896.8125844017466</v>
      </c>
      <c r="Q19" s="130">
        <f>IF(SER_hh_emi!Q19=0,0,1000000*SER_hh_emi!Q19/SER_hh_num!Q19)</f>
        <v>1886.5007490612461</v>
      </c>
      <c r="R19" s="130">
        <f>IF(SER_hh_emi!R19=0,0,1000000*SER_hh_emi!R19/SER_hh_num!R19)</f>
        <v>1864.8017301711116</v>
      </c>
      <c r="S19" s="130">
        <f>IF(SER_hh_emi!S19=0,0,1000000*SER_hh_emi!S19/SER_hh_num!S19)</f>
        <v>1823.5305953601141</v>
      </c>
      <c r="T19" s="130">
        <f>IF(SER_hh_emi!T19=0,0,1000000*SER_hh_emi!T19/SER_hh_num!T19)</f>
        <v>1728.7264619716152</v>
      </c>
      <c r="U19" s="130">
        <f>IF(SER_hh_emi!U19=0,0,1000000*SER_hh_emi!U19/SER_hh_num!U19)</f>
        <v>1651.2480610126286</v>
      </c>
      <c r="V19" s="130">
        <f>IF(SER_hh_emi!V19=0,0,1000000*SER_hh_emi!V19/SER_hh_num!V19)</f>
        <v>1559.797519410293</v>
      </c>
      <c r="W19" s="130">
        <f>IF(SER_hh_emi!W19=0,0,1000000*SER_hh_emi!W19/SER_hh_num!W19)</f>
        <v>1568.1289871114718</v>
      </c>
      <c r="X19" s="130">
        <f>IF(SER_hh_emi!X19=0,0,1000000*SER_hh_emi!X19/SER_hh_num!X19)</f>
        <v>1517.5191410481264</v>
      </c>
      <c r="Y19" s="130">
        <f>IF(SER_hh_emi!Y19=0,0,1000000*SER_hh_emi!Y19/SER_hh_num!Y19)</f>
        <v>1431.5886997524804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0</v>
      </c>
      <c r="C21" s="132">
        <f>IF(SER_hh_emi!C21=0,0,1000000*SER_hh_emi!C21/SER_hh_num!C21)</f>
        <v>0</v>
      </c>
      <c r="D21" s="132">
        <f>IF(SER_hh_emi!D21=0,0,1000000*SER_hh_emi!D21/SER_hh_num!D21)</f>
        <v>0</v>
      </c>
      <c r="E21" s="132">
        <f>IF(SER_hh_emi!E21=0,0,1000000*SER_hh_emi!E21/SER_hh_num!E21)</f>
        <v>0</v>
      </c>
      <c r="F21" s="132">
        <f>IF(SER_hh_emi!F21=0,0,1000000*SER_hh_emi!F21/SER_hh_num!F21)</f>
        <v>0</v>
      </c>
      <c r="G21" s="132">
        <f>IF(SER_hh_emi!G21=0,0,1000000*SER_hh_emi!G21/SER_hh_num!G21)</f>
        <v>0</v>
      </c>
      <c r="H21" s="132">
        <f>IF(SER_hh_emi!H21=0,0,1000000*SER_hh_emi!H21/SER_hh_num!H21)</f>
        <v>0</v>
      </c>
      <c r="I21" s="132">
        <f>IF(SER_hh_emi!I21=0,0,1000000*SER_hh_emi!I21/SER_hh_num!I21)</f>
        <v>0</v>
      </c>
      <c r="J21" s="132">
        <f>IF(SER_hh_emi!J21=0,0,1000000*SER_hh_emi!J21/SER_hh_num!J21)</f>
        <v>0</v>
      </c>
      <c r="K21" s="132">
        <f>IF(SER_hh_emi!K21=0,0,1000000*SER_hh_emi!K21/SER_hh_num!K21)</f>
        <v>0</v>
      </c>
      <c r="L21" s="132">
        <f>IF(SER_hh_emi!L21=0,0,1000000*SER_hh_emi!L21/SER_hh_num!L21)</f>
        <v>0</v>
      </c>
      <c r="M21" s="132">
        <f>IF(SER_hh_emi!M21=0,0,1000000*SER_hh_emi!M21/SER_hh_num!M21)</f>
        <v>0</v>
      </c>
      <c r="N21" s="132">
        <f>IF(SER_hh_emi!N21=0,0,1000000*SER_hh_emi!N21/SER_hh_num!N21)</f>
        <v>0</v>
      </c>
      <c r="O21" s="132">
        <f>IF(SER_hh_emi!O21=0,0,1000000*SER_hh_emi!O21/SER_hh_num!O21)</f>
        <v>0</v>
      </c>
      <c r="P21" s="132">
        <f>IF(SER_hh_emi!P21=0,0,1000000*SER_hh_emi!P21/SER_hh_num!P21)</f>
        <v>0</v>
      </c>
      <c r="Q21" s="132">
        <f>IF(SER_hh_emi!Q21=0,0,1000000*SER_hh_emi!Q21/SER_hh_num!Q21)</f>
        <v>0</v>
      </c>
      <c r="R21" s="132">
        <f>IF(SER_hh_emi!R21=0,0,1000000*SER_hh_emi!R21/SER_hh_num!R21)</f>
        <v>0</v>
      </c>
      <c r="S21" s="132">
        <f>IF(SER_hh_emi!S21=0,0,1000000*SER_hh_emi!S21/SER_hh_num!S21)</f>
        <v>0</v>
      </c>
      <c r="T21" s="132">
        <f>IF(SER_hh_emi!T21=0,0,1000000*SER_hh_emi!T21/SER_hh_num!T21)</f>
        <v>0</v>
      </c>
      <c r="U21" s="132">
        <f>IF(SER_hh_emi!U21=0,0,1000000*SER_hh_emi!U21/SER_hh_num!U21)</f>
        <v>0</v>
      </c>
      <c r="V21" s="132">
        <f>IF(SER_hh_emi!V21=0,0,1000000*SER_hh_emi!V21/SER_hh_num!V21)</f>
        <v>0</v>
      </c>
      <c r="W21" s="132">
        <f>IF(SER_hh_emi!W21=0,0,1000000*SER_hh_emi!W21/SER_hh_num!W21)</f>
        <v>0</v>
      </c>
      <c r="X21" s="132">
        <f>IF(SER_hh_emi!X21=0,0,1000000*SER_hh_emi!X21/SER_hh_num!X21)</f>
        <v>0</v>
      </c>
      <c r="Y21" s="132">
        <f>IF(SER_hh_emi!Y21=0,0,1000000*SER_hh_emi!Y21/SER_hh_num!Y21)</f>
        <v>0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12529.12817633614</v>
      </c>
      <c r="C22" s="132">
        <f>IF(SER_hh_emi!C22=0,0,1000000*SER_hh_emi!C22/SER_hh_num!C22)</f>
        <v>12649.568562770699</v>
      </c>
      <c r="D22" s="132">
        <f>IF(SER_hh_emi!D22=0,0,1000000*SER_hh_emi!D22/SER_hh_num!D22)</f>
        <v>12446.915519636463</v>
      </c>
      <c r="E22" s="132">
        <f>IF(SER_hh_emi!E22=0,0,1000000*SER_hh_emi!E22/SER_hh_num!E22)</f>
        <v>12371.540334123099</v>
      </c>
      <c r="F22" s="132">
        <f>IF(SER_hh_emi!F22=0,0,1000000*SER_hh_emi!F22/SER_hh_num!F22)</f>
        <v>12196.263354005714</v>
      </c>
      <c r="G22" s="132">
        <f>IF(SER_hh_emi!G22=0,0,1000000*SER_hh_emi!G22/SER_hh_num!G22)</f>
        <v>12189.72224076376</v>
      </c>
      <c r="H22" s="132">
        <f>IF(SER_hh_emi!H22=0,0,1000000*SER_hh_emi!H22/SER_hh_num!H22)</f>
        <v>12421.265516580392</v>
      </c>
      <c r="I22" s="132">
        <f>IF(SER_hh_emi!I22=0,0,1000000*SER_hh_emi!I22/SER_hh_num!I22)</f>
        <v>11999.734454567515</v>
      </c>
      <c r="J22" s="132">
        <f>IF(SER_hh_emi!J22=0,0,1000000*SER_hh_emi!J22/SER_hh_num!J22)</f>
        <v>12255.813582744035</v>
      </c>
      <c r="K22" s="132">
        <f>IF(SER_hh_emi!K22=0,0,1000000*SER_hh_emi!K22/SER_hh_num!K22)</f>
        <v>12122.804338672911</v>
      </c>
      <c r="L22" s="132">
        <f>IF(SER_hh_emi!L22=0,0,1000000*SER_hh_emi!L22/SER_hh_num!L22)</f>
        <v>12014.991647008574</v>
      </c>
      <c r="M22" s="132">
        <f>IF(SER_hh_emi!M22=0,0,1000000*SER_hh_emi!M22/SER_hh_num!M22)</f>
        <v>12082.092459272215</v>
      </c>
      <c r="N22" s="132">
        <f>IF(SER_hh_emi!N22=0,0,1000000*SER_hh_emi!N22/SER_hh_num!N22)</f>
        <v>12026.429582475414</v>
      </c>
      <c r="O22" s="132">
        <f>IF(SER_hh_emi!O22=0,0,1000000*SER_hh_emi!O22/SER_hh_num!O22)</f>
        <v>11960.319275859678</v>
      </c>
      <c r="P22" s="132">
        <f>IF(SER_hh_emi!P22=0,0,1000000*SER_hh_emi!P22/SER_hh_num!P22)</f>
        <v>11838.254159807118</v>
      </c>
      <c r="Q22" s="132">
        <f>IF(SER_hh_emi!Q22=0,0,1000000*SER_hh_emi!Q22/SER_hh_num!Q22)</f>
        <v>11894.846035262868</v>
      </c>
      <c r="R22" s="132">
        <f>IF(SER_hh_emi!R22=0,0,1000000*SER_hh_emi!R22/SER_hh_num!R22)</f>
        <v>11799.870633988008</v>
      </c>
      <c r="S22" s="132">
        <f>IF(SER_hh_emi!S22=0,0,1000000*SER_hh_emi!S22/SER_hh_num!S22)</f>
        <v>11776.686871647267</v>
      </c>
      <c r="T22" s="132">
        <f>IF(SER_hh_emi!T22=0,0,1000000*SER_hh_emi!T22/SER_hh_num!T22)</f>
        <v>11578.731107644831</v>
      </c>
      <c r="U22" s="132">
        <f>IF(SER_hh_emi!U22=0,0,1000000*SER_hh_emi!U22/SER_hh_num!U22)</f>
        <v>11057.474729296564</v>
      </c>
      <c r="V22" s="132">
        <f>IF(SER_hh_emi!V22=0,0,1000000*SER_hh_emi!V22/SER_hh_num!V22)</f>
        <v>9947.3107740387004</v>
      </c>
      <c r="W22" s="132">
        <f>IF(SER_hh_emi!W22=0,0,1000000*SER_hh_emi!W22/SER_hh_num!W22)</f>
        <v>10452.433221179017</v>
      </c>
      <c r="X22" s="132">
        <f>IF(SER_hh_emi!X22=0,0,1000000*SER_hh_emi!X22/SER_hh_num!X22)</f>
        <v>10244.353846884607</v>
      </c>
      <c r="Y22" s="132">
        <f>IF(SER_hh_emi!Y22=0,0,1000000*SER_hh_emi!Y22/SER_hh_num!Y22)</f>
        <v>10329.146476630127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9097.3039983525559</v>
      </c>
      <c r="C23" s="132">
        <f>IF(SER_hh_emi!C23=0,0,1000000*SER_hh_emi!C23/SER_hh_num!C23)</f>
        <v>8846.5237520830615</v>
      </c>
      <c r="D23" s="132">
        <f>IF(SER_hh_emi!D23=0,0,1000000*SER_hh_emi!D23/SER_hh_num!D23)</f>
        <v>9050.4674926507469</v>
      </c>
      <c r="E23" s="132">
        <f>IF(SER_hh_emi!E23=0,0,1000000*SER_hh_emi!E23/SER_hh_num!E23)</f>
        <v>8536.2689846018711</v>
      </c>
      <c r="F23" s="132">
        <f>IF(SER_hh_emi!F23=0,0,1000000*SER_hh_emi!F23/SER_hh_num!F23)</f>
        <v>8283.9427236513257</v>
      </c>
      <c r="G23" s="132">
        <f>IF(SER_hh_emi!G23=0,0,1000000*SER_hh_emi!G23/SER_hh_num!G23)</f>
        <v>8486.5590897502407</v>
      </c>
      <c r="H23" s="132">
        <f>IF(SER_hh_emi!H23=0,0,1000000*SER_hh_emi!H23/SER_hh_num!H23)</f>
        <v>8144.936207591094</v>
      </c>
      <c r="I23" s="132">
        <f>IF(SER_hh_emi!I23=0,0,1000000*SER_hh_emi!I23/SER_hh_num!I23)</f>
        <v>7929.0587179807135</v>
      </c>
      <c r="J23" s="132">
        <f>IF(SER_hh_emi!J23=0,0,1000000*SER_hh_emi!J23/SER_hh_num!J23)</f>
        <v>8361.9168435726733</v>
      </c>
      <c r="K23" s="132">
        <f>IF(SER_hh_emi!K23=0,0,1000000*SER_hh_emi!K23/SER_hh_num!K23)</f>
        <v>8383.2789389869904</v>
      </c>
      <c r="L23" s="132">
        <f>IF(SER_hh_emi!L23=0,0,1000000*SER_hh_emi!L23/SER_hh_num!L23)</f>
        <v>8071.2368336836944</v>
      </c>
      <c r="M23" s="132">
        <f>IF(SER_hh_emi!M23=0,0,1000000*SER_hh_emi!M23/SER_hh_num!M23)</f>
        <v>8068.2703025413111</v>
      </c>
      <c r="N23" s="132">
        <f>IF(SER_hh_emi!N23=0,0,1000000*SER_hh_emi!N23/SER_hh_num!N23)</f>
        <v>7917.4161070549671</v>
      </c>
      <c r="O23" s="132">
        <f>IF(SER_hh_emi!O23=0,0,1000000*SER_hh_emi!O23/SER_hh_num!O23)</f>
        <v>7836.592689827582</v>
      </c>
      <c r="P23" s="132">
        <f>IF(SER_hh_emi!P23=0,0,1000000*SER_hh_emi!P23/SER_hh_num!P23)</f>
        <v>7687.6984703822072</v>
      </c>
      <c r="Q23" s="132">
        <f>IF(SER_hh_emi!Q23=0,0,1000000*SER_hh_emi!Q23/SER_hh_num!Q23)</f>
        <v>7687.3067848456885</v>
      </c>
      <c r="R23" s="132">
        <f>IF(SER_hh_emi!R23=0,0,1000000*SER_hh_emi!R23/SER_hh_num!R23)</f>
        <v>7674.2883318140421</v>
      </c>
      <c r="S23" s="132">
        <f>IF(SER_hh_emi!S23=0,0,1000000*SER_hh_emi!S23/SER_hh_num!S23)</f>
        <v>7662.8957620460078</v>
      </c>
      <c r="T23" s="132">
        <f>IF(SER_hh_emi!T23=0,0,1000000*SER_hh_emi!T23/SER_hh_num!T23)</f>
        <v>7227.6961604903627</v>
      </c>
      <c r="U23" s="132">
        <f>IF(SER_hh_emi!U23=0,0,1000000*SER_hh_emi!U23/SER_hh_num!U23)</f>
        <v>6957.4706215457763</v>
      </c>
      <c r="V23" s="132">
        <f>IF(SER_hh_emi!V23=0,0,1000000*SER_hh_emi!V23/SER_hh_num!V23)</f>
        <v>6680.2638713224669</v>
      </c>
      <c r="W23" s="132">
        <f>IF(SER_hh_emi!W23=0,0,1000000*SER_hh_emi!W23/SER_hh_num!W23)</f>
        <v>6759.9364521458347</v>
      </c>
      <c r="X23" s="132">
        <f>IF(SER_hh_emi!X23=0,0,1000000*SER_hh_emi!X23/SER_hh_num!X23)</f>
        <v>6798.9235085301907</v>
      </c>
      <c r="Y23" s="132">
        <f>IF(SER_hh_emi!Y23=0,0,1000000*SER_hh_emi!Y23/SER_hh_num!Y23)</f>
        <v>6480.7268465014513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1049.9592698911363</v>
      </c>
      <c r="C29" s="130">
        <f>IF(SER_hh_emi!C29=0,0,1000000*SER_hh_emi!C29/SER_hh_num!C29)</f>
        <v>2163.0917402544192</v>
      </c>
      <c r="D29" s="130">
        <f>IF(SER_hh_emi!D29=0,0,1000000*SER_hh_emi!D29/SER_hh_num!D29)</f>
        <v>2270.616158619639</v>
      </c>
      <c r="E29" s="130">
        <f>IF(SER_hh_emi!E29=0,0,1000000*SER_hh_emi!E29/SER_hh_num!E29)</f>
        <v>2688.8665478367807</v>
      </c>
      <c r="F29" s="130">
        <f>IF(SER_hh_emi!F29=0,0,1000000*SER_hh_emi!F29/SER_hh_num!F29)</f>
        <v>2532.8733592399003</v>
      </c>
      <c r="G29" s="130">
        <f>IF(SER_hh_emi!G29=0,0,1000000*SER_hh_emi!G29/SER_hh_num!G29)</f>
        <v>2498.6411490621094</v>
      </c>
      <c r="H29" s="130">
        <f>IF(SER_hh_emi!H29=0,0,1000000*SER_hh_emi!H29/SER_hh_num!H29)</f>
        <v>2389.702530062697</v>
      </c>
      <c r="I29" s="130">
        <f>IF(SER_hh_emi!I29=0,0,1000000*SER_hh_emi!I29/SER_hh_num!I29)</f>
        <v>2374.66414757144</v>
      </c>
      <c r="J29" s="130">
        <f>IF(SER_hh_emi!J29=0,0,1000000*SER_hh_emi!J29/SER_hh_num!J29)</f>
        <v>2321.2414545847091</v>
      </c>
      <c r="K29" s="130">
        <f>IF(SER_hh_emi!K29=0,0,1000000*SER_hh_emi!K29/SER_hh_num!K29)</f>
        <v>2428.875273834155</v>
      </c>
      <c r="L29" s="130">
        <f>IF(SER_hh_emi!L29=0,0,1000000*SER_hh_emi!L29/SER_hh_num!L29)</f>
        <v>2361.0900338141892</v>
      </c>
      <c r="M29" s="130">
        <f>IF(SER_hh_emi!M29=0,0,1000000*SER_hh_emi!M29/SER_hh_num!M29)</f>
        <v>2068.1484965185423</v>
      </c>
      <c r="N29" s="130">
        <f>IF(SER_hh_emi!N29=0,0,1000000*SER_hh_emi!N29/SER_hh_num!N29)</f>
        <v>1837.329163608511</v>
      </c>
      <c r="O29" s="130">
        <f>IF(SER_hh_emi!O29=0,0,1000000*SER_hh_emi!O29/SER_hh_num!O29)</f>
        <v>1635.9799324988576</v>
      </c>
      <c r="P29" s="130">
        <f>IF(SER_hh_emi!P29=0,0,1000000*SER_hh_emi!P29/SER_hh_num!P29)</f>
        <v>1799.9015406474282</v>
      </c>
      <c r="Q29" s="130">
        <f>IF(SER_hh_emi!Q29=0,0,1000000*SER_hh_emi!Q29/SER_hh_num!Q29)</f>
        <v>1737.8517892483978</v>
      </c>
      <c r="R29" s="130">
        <f>IF(SER_hh_emi!R29=0,0,1000000*SER_hh_emi!R29/SER_hh_num!R29)</f>
        <v>2269.2939932152731</v>
      </c>
      <c r="S29" s="130">
        <f>IF(SER_hh_emi!S29=0,0,1000000*SER_hh_emi!S29/SER_hh_num!S29)</f>
        <v>2752.054931501104</v>
      </c>
      <c r="T29" s="130">
        <f>IF(SER_hh_emi!T29=0,0,1000000*SER_hh_emi!T29/SER_hh_num!T29)</f>
        <v>2726.215240205458</v>
      </c>
      <c r="U29" s="130">
        <f>IF(SER_hh_emi!U29=0,0,1000000*SER_hh_emi!U29/SER_hh_num!U29)</f>
        <v>2661.9904756205106</v>
      </c>
      <c r="V29" s="130">
        <f>IF(SER_hh_emi!V29=0,0,1000000*SER_hh_emi!V29/SER_hh_num!V29)</f>
        <v>2747.2216679148282</v>
      </c>
      <c r="W29" s="130">
        <f>IF(SER_hh_emi!W29=0,0,1000000*SER_hh_emi!W29/SER_hh_num!W29)</f>
        <v>2784.942646729553</v>
      </c>
      <c r="X29" s="130">
        <f>IF(SER_hh_emi!X29=0,0,1000000*SER_hh_emi!X29/SER_hh_num!X29)</f>
        <v>3133.3558668007472</v>
      </c>
      <c r="Y29" s="130">
        <f>IF(SER_hh_emi!Y29=0,0,1000000*SER_hh_emi!Y29/SER_hh_num!Y29)</f>
        <v>2898.1809331627596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0</v>
      </c>
      <c r="C30" s="132">
        <f>IF(SER_hh_emi!C30=0,0,1000000*SER_hh_emi!C30/SER_hh_num!C30)</f>
        <v>18231.558962450345</v>
      </c>
      <c r="D30" s="132">
        <f>IF(SER_hh_emi!D30=0,0,1000000*SER_hh_emi!D30/SER_hh_num!D30)</f>
        <v>5738.4662429011578</v>
      </c>
      <c r="E30" s="132">
        <f>IF(SER_hh_emi!E30=0,0,1000000*SER_hh_emi!E30/SER_hh_num!E30)</f>
        <v>14879.583149138387</v>
      </c>
      <c r="F30" s="132">
        <f>IF(SER_hh_emi!F30=0,0,1000000*SER_hh_emi!F30/SER_hh_num!F30)</f>
        <v>10804.353248929147</v>
      </c>
      <c r="G30" s="132">
        <f>IF(SER_hh_emi!G30=0,0,1000000*SER_hh_emi!G30/SER_hh_num!G30)</f>
        <v>10498.288839314513</v>
      </c>
      <c r="H30" s="132">
        <f>IF(SER_hh_emi!H30=0,0,1000000*SER_hh_emi!H30/SER_hh_num!H30)</f>
        <v>11205.202077806955</v>
      </c>
      <c r="I30" s="132">
        <f>IF(SER_hh_emi!I30=0,0,1000000*SER_hh_emi!I30/SER_hh_num!I30)</f>
        <v>11917.828447561866</v>
      </c>
      <c r="J30" s="132">
        <f>IF(SER_hh_emi!J30=0,0,1000000*SER_hh_emi!J30/SER_hh_num!J30)</f>
        <v>9359.9334552253295</v>
      </c>
      <c r="K30" s="132">
        <f>IF(SER_hh_emi!K30=0,0,1000000*SER_hh_emi!K30/SER_hh_num!K30)</f>
        <v>10878.282846590782</v>
      </c>
      <c r="L30" s="132">
        <f>IF(SER_hh_emi!L30=0,0,1000000*SER_hh_emi!L30/SER_hh_num!L30)</f>
        <v>12165.763518390351</v>
      </c>
      <c r="M30" s="132">
        <f>IF(SER_hh_emi!M30=0,0,1000000*SER_hh_emi!M30/SER_hh_num!M30)</f>
        <v>6874.6424067959251</v>
      </c>
      <c r="N30" s="132">
        <f>IF(SER_hh_emi!N30=0,0,1000000*SER_hh_emi!N30/SER_hh_num!N30)</f>
        <v>11593.409458126769</v>
      </c>
      <c r="O30" s="132">
        <f>IF(SER_hh_emi!O30=0,0,1000000*SER_hh_emi!O30/SER_hh_num!O30)</f>
        <v>10053.070803243349</v>
      </c>
      <c r="P30" s="132">
        <f>IF(SER_hh_emi!P30=0,0,1000000*SER_hh_emi!P30/SER_hh_num!P30)</f>
        <v>11345.298254517495</v>
      </c>
      <c r="Q30" s="132">
        <f>IF(SER_hh_emi!Q30=0,0,1000000*SER_hh_emi!Q30/SER_hh_num!Q30)</f>
        <v>8733.5010554833698</v>
      </c>
      <c r="R30" s="132">
        <f>IF(SER_hh_emi!R30=0,0,1000000*SER_hh_emi!R30/SER_hh_num!R30)</f>
        <v>10791.327806645657</v>
      </c>
      <c r="S30" s="132">
        <f>IF(SER_hh_emi!S30=0,0,1000000*SER_hh_emi!S30/SER_hh_num!S30)</f>
        <v>13126.189128640808</v>
      </c>
      <c r="T30" s="132">
        <f>IF(SER_hh_emi!T30=0,0,1000000*SER_hh_emi!T30/SER_hh_num!T30)</f>
        <v>11119.869668547921</v>
      </c>
      <c r="U30" s="132">
        <f>IF(SER_hh_emi!U30=0,0,1000000*SER_hh_emi!U30/SER_hh_num!U30)</f>
        <v>9388.801511363883</v>
      </c>
      <c r="V30" s="132">
        <f>IF(SER_hh_emi!V30=0,0,1000000*SER_hh_emi!V30/SER_hh_num!V30)</f>
        <v>9100.0579314865518</v>
      </c>
      <c r="W30" s="132">
        <f>IF(SER_hh_emi!W30=0,0,1000000*SER_hh_emi!W30/SER_hh_num!W30)</f>
        <v>9310.5971432130937</v>
      </c>
      <c r="X30" s="132">
        <f>IF(SER_hh_emi!X30=0,0,1000000*SER_hh_emi!X30/SER_hh_num!X30)</f>
        <v>13395.417655335115</v>
      </c>
      <c r="Y30" s="132">
        <f>IF(SER_hh_emi!Y30=0,0,1000000*SER_hh_emi!Y30/SER_hh_num!Y30)</f>
        <v>9157.2940837167698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8675.4449409543176</v>
      </c>
      <c r="C31" s="132">
        <f>IF(SER_hh_emi!C31=0,0,1000000*SER_hh_emi!C31/SER_hh_num!C31)</f>
        <v>10971.736887604016</v>
      </c>
      <c r="D31" s="132">
        <f>IF(SER_hh_emi!D31=0,0,1000000*SER_hh_emi!D31/SER_hh_num!D31)</f>
        <v>11110.89966154186</v>
      </c>
      <c r="E31" s="132">
        <f>IF(SER_hh_emi!E31=0,0,1000000*SER_hh_emi!E31/SER_hh_num!E31)</f>
        <v>9605.7568066793156</v>
      </c>
      <c r="F31" s="132">
        <f>IF(SER_hh_emi!F31=0,0,1000000*SER_hh_emi!F31/SER_hh_num!F31)</f>
        <v>9850.1925865665489</v>
      </c>
      <c r="G31" s="132">
        <f>IF(SER_hh_emi!G31=0,0,1000000*SER_hh_emi!G31/SER_hh_num!G31)</f>
        <v>9841.9765093167189</v>
      </c>
      <c r="H31" s="132">
        <f>IF(SER_hh_emi!H31=0,0,1000000*SER_hh_emi!H31/SER_hh_num!H31)</f>
        <v>9548.9949549825997</v>
      </c>
      <c r="I31" s="132">
        <f>IF(SER_hh_emi!I31=0,0,1000000*SER_hh_emi!I31/SER_hh_num!I31)</f>
        <v>9554.7401762319296</v>
      </c>
      <c r="J31" s="132">
        <f>IF(SER_hh_emi!J31=0,0,1000000*SER_hh_emi!J31/SER_hh_num!J31)</f>
        <v>9900.1346145120624</v>
      </c>
      <c r="K31" s="132">
        <f>IF(SER_hh_emi!K31=0,0,1000000*SER_hh_emi!K31/SER_hh_num!K31)</f>
        <v>10201.351890539796</v>
      </c>
      <c r="L31" s="132">
        <f>IF(SER_hh_emi!L31=0,0,1000000*SER_hh_emi!L31/SER_hh_num!L31)</f>
        <v>10081.744103807609</v>
      </c>
      <c r="M31" s="132">
        <f>IF(SER_hh_emi!M31=0,0,1000000*SER_hh_emi!M31/SER_hh_num!M31)</f>
        <v>10317.131216292932</v>
      </c>
      <c r="N31" s="132">
        <f>IF(SER_hh_emi!N31=0,0,1000000*SER_hh_emi!N31/SER_hh_num!N31)</f>
        <v>9302.9373815521813</v>
      </c>
      <c r="O31" s="132">
        <f>IF(SER_hh_emi!O31=0,0,1000000*SER_hh_emi!O31/SER_hh_num!O31)</f>
        <v>9098.4356652506285</v>
      </c>
      <c r="P31" s="132">
        <f>IF(SER_hh_emi!P31=0,0,1000000*SER_hh_emi!P31/SER_hh_num!P31)</f>
        <v>9554.4328533354801</v>
      </c>
      <c r="Q31" s="132">
        <f>IF(SER_hh_emi!Q31=0,0,1000000*SER_hh_emi!Q31/SER_hh_num!Q31)</f>
        <v>8929.5938279208367</v>
      </c>
      <c r="R31" s="132">
        <f>IF(SER_hh_emi!R31=0,0,1000000*SER_hh_emi!R31/SER_hh_num!R31)</f>
        <v>9471.428343179854</v>
      </c>
      <c r="S31" s="132">
        <f>IF(SER_hh_emi!S31=0,0,1000000*SER_hh_emi!S31/SER_hh_num!S31)</f>
        <v>9459.0938324757735</v>
      </c>
      <c r="T31" s="132">
        <f>IF(SER_hh_emi!T31=0,0,1000000*SER_hh_emi!T31/SER_hh_num!T31)</f>
        <v>9258.674596844503</v>
      </c>
      <c r="U31" s="132">
        <f>IF(SER_hh_emi!U31=0,0,1000000*SER_hh_emi!U31/SER_hh_num!U31)</f>
        <v>9203.3305559639193</v>
      </c>
      <c r="V31" s="132">
        <f>IF(SER_hh_emi!V31=0,0,1000000*SER_hh_emi!V31/SER_hh_num!V31)</f>
        <v>9110.4913774341203</v>
      </c>
      <c r="W31" s="132">
        <f>IF(SER_hh_emi!W31=0,0,1000000*SER_hh_emi!W31/SER_hh_num!W31)</f>
        <v>9092.6619698284539</v>
      </c>
      <c r="X31" s="132">
        <f>IF(SER_hh_emi!X31=0,0,1000000*SER_hh_emi!X31/SER_hh_num!X31)</f>
        <v>8630.0045601420225</v>
      </c>
      <c r="Y31" s="132">
        <f>IF(SER_hh_emi!Y31=0,0,1000000*SER_hh_emi!Y31/SER_hh_num!Y31)</f>
        <v>9215.0112453454785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424.79058929415595</v>
      </c>
      <c r="C3" s="125">
        <f>IF(SER_hh_fech!C3=0,0,SER_hh_fech!C3/SER_summary!C$26)</f>
        <v>432.90642044430632</v>
      </c>
      <c r="D3" s="125">
        <f>IF(SER_hh_fech!D3=0,0,SER_hh_fech!D3/SER_summary!D$26)</f>
        <v>440.88718689098863</v>
      </c>
      <c r="E3" s="125">
        <f>IF(SER_hh_fech!E3=0,0,SER_hh_fech!E3/SER_summary!E$26)</f>
        <v>443.39180035604534</v>
      </c>
      <c r="F3" s="125">
        <f>IF(SER_hh_fech!F3=0,0,SER_hh_fech!F3/SER_summary!F$26)</f>
        <v>442.67316688456009</v>
      </c>
      <c r="G3" s="125">
        <f>IF(SER_hh_fech!G3=0,0,SER_hh_fech!G3/SER_summary!G$26)</f>
        <v>419.2753945438933</v>
      </c>
      <c r="H3" s="125">
        <f>IF(SER_hh_fech!H3=0,0,SER_hh_fech!H3/SER_summary!H$26)</f>
        <v>423.98014163620957</v>
      </c>
      <c r="I3" s="125">
        <f>IF(SER_hh_fech!I3=0,0,SER_hh_fech!I3/SER_summary!I$26)</f>
        <v>428.34178434174385</v>
      </c>
      <c r="J3" s="125">
        <f>IF(SER_hh_fech!J3=0,0,SER_hh_fech!J3/SER_summary!J$26)</f>
        <v>360.51647245850972</v>
      </c>
      <c r="K3" s="125">
        <f>IF(SER_hh_fech!K3=0,0,SER_hh_fech!K3/SER_summary!K$26)</f>
        <v>330.60244554892688</v>
      </c>
      <c r="L3" s="125">
        <f>IF(SER_hh_fech!L3=0,0,SER_hh_fech!L3/SER_summary!L$26)</f>
        <v>349.22934032928225</v>
      </c>
      <c r="M3" s="125">
        <f>IF(SER_hh_fech!M3=0,0,SER_hh_fech!M3/SER_summary!M$26)</f>
        <v>314.05377744359288</v>
      </c>
      <c r="N3" s="125">
        <f>IF(SER_hh_fech!N3=0,0,SER_hh_fech!N3/SER_summary!N$26)</f>
        <v>361.43397927034999</v>
      </c>
      <c r="O3" s="125">
        <f>IF(SER_hh_fech!O3=0,0,SER_hh_fech!O3/SER_summary!O$26)</f>
        <v>340.90527559868036</v>
      </c>
      <c r="P3" s="125">
        <f>IF(SER_hh_fech!P3=0,0,SER_hh_fech!P3/SER_summary!P$26)</f>
        <v>341.01939179585611</v>
      </c>
      <c r="Q3" s="125">
        <f>IF(SER_hh_fech!Q3=0,0,SER_hh_fech!Q3/SER_summary!Q$26)</f>
        <v>316.89229312078527</v>
      </c>
      <c r="R3" s="125">
        <f>IF(SER_hh_fech!R3=0,0,SER_hh_fech!R3/SER_summary!R$26)</f>
        <v>319.78517554464628</v>
      </c>
      <c r="S3" s="125">
        <f>IF(SER_hh_fech!S3=0,0,SER_hh_fech!S3/SER_summary!S$26)</f>
        <v>326.12917939589596</v>
      </c>
      <c r="T3" s="125">
        <f>IF(SER_hh_fech!T3=0,0,SER_hh_fech!T3/SER_summary!T$26)</f>
        <v>315.18692193642448</v>
      </c>
      <c r="U3" s="125">
        <f>IF(SER_hh_fech!U3=0,0,SER_hh_fech!U3/SER_summary!U$26)</f>
        <v>298.72972906620697</v>
      </c>
      <c r="V3" s="125">
        <f>IF(SER_hh_fech!V3=0,0,SER_hh_fech!V3/SER_summary!V$26)</f>
        <v>285.56144803843057</v>
      </c>
      <c r="W3" s="125">
        <f>IF(SER_hh_fech!W3=0,0,SER_hh_fech!W3/SER_summary!W$26)</f>
        <v>316.840038363487</v>
      </c>
      <c r="X3" s="125">
        <f>IF(SER_hh_fech!X3=0,0,SER_hh_fech!X3/SER_summary!X$26)</f>
        <v>296.00724602203479</v>
      </c>
      <c r="Y3" s="125">
        <f>IF(SER_hh_fech!Y3=0,0,SER_hh_fech!Y3/SER_summary!Y$26)</f>
        <v>272.8856129622767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335.04483394745068</v>
      </c>
      <c r="C4" s="130">
        <f>IF(SER_hh_fech!C4=0,0,SER_hh_fech!C4/SER_summary!C$26)</f>
        <v>342.04914976941438</v>
      </c>
      <c r="D4" s="130">
        <f>IF(SER_hh_fech!D4=0,0,SER_hh_fech!D4/SER_summary!D$26)</f>
        <v>353.58573169929946</v>
      </c>
      <c r="E4" s="130">
        <f>IF(SER_hh_fech!E4=0,0,SER_hh_fech!E4/SER_summary!E$26)</f>
        <v>357.15925707806502</v>
      </c>
      <c r="F4" s="130">
        <f>IF(SER_hh_fech!F4=0,0,SER_hh_fech!F4/SER_summary!F$26)</f>
        <v>355.92902229402551</v>
      </c>
      <c r="G4" s="130">
        <f>IF(SER_hh_fech!G4=0,0,SER_hh_fech!G4/SER_summary!G$26)</f>
        <v>332.37143788445616</v>
      </c>
      <c r="H4" s="130">
        <f>IF(SER_hh_fech!H4=0,0,SER_hh_fech!H4/SER_summary!H$26)</f>
        <v>337.23382891361865</v>
      </c>
      <c r="I4" s="130">
        <f>IF(SER_hh_fech!I4=0,0,SER_hh_fech!I4/SER_summary!I$26)</f>
        <v>343.88193660111557</v>
      </c>
      <c r="J4" s="130">
        <f>IF(SER_hh_fech!J4=0,0,SER_hh_fech!J4/SER_summary!J$26)</f>
        <v>276.04339351874182</v>
      </c>
      <c r="K4" s="130">
        <f>IF(SER_hh_fech!K4=0,0,SER_hh_fech!K4/SER_summary!K$26)</f>
        <v>243.10188080236412</v>
      </c>
      <c r="L4" s="130">
        <f>IF(SER_hh_fech!L4=0,0,SER_hh_fech!L4/SER_summary!L$26)</f>
        <v>262.94329628277148</v>
      </c>
      <c r="M4" s="130">
        <f>IF(SER_hh_fech!M4=0,0,SER_hh_fech!M4/SER_summary!M$26)</f>
        <v>227.71439195529564</v>
      </c>
      <c r="N4" s="130">
        <f>IF(SER_hh_fech!N4=0,0,SER_hh_fech!N4/SER_summary!N$26)</f>
        <v>276.69735157500838</v>
      </c>
      <c r="O4" s="130">
        <f>IF(SER_hh_fech!O4=0,0,SER_hh_fech!O4/SER_summary!O$26)</f>
        <v>255.00381076581078</v>
      </c>
      <c r="P4" s="130">
        <f>IF(SER_hh_fech!P4=0,0,SER_hh_fech!P4/SER_summary!P$26)</f>
        <v>256.44963138086723</v>
      </c>
      <c r="Q4" s="130">
        <f>IF(SER_hh_fech!Q4=0,0,SER_hh_fech!Q4/SER_summary!Q$26)</f>
        <v>232.75466171956501</v>
      </c>
      <c r="R4" s="130">
        <f>IF(SER_hh_fech!R4=0,0,SER_hh_fech!R4/SER_summary!R$26)</f>
        <v>236.33251283435104</v>
      </c>
      <c r="S4" s="130">
        <f>IF(SER_hh_fech!S4=0,0,SER_hh_fech!S4/SER_summary!S$26)</f>
        <v>242.09548998205176</v>
      </c>
      <c r="T4" s="130">
        <f>IF(SER_hh_fech!T4=0,0,SER_hh_fech!T4/SER_summary!T$26)</f>
        <v>232.92501794301339</v>
      </c>
      <c r="U4" s="130">
        <f>IF(SER_hh_fech!U4=0,0,SER_hh_fech!U4/SER_summary!U$26)</f>
        <v>217.96348646940575</v>
      </c>
      <c r="V4" s="130">
        <f>IF(SER_hh_fech!V4=0,0,SER_hh_fech!V4/SER_summary!V$26)</f>
        <v>211.68706344608373</v>
      </c>
      <c r="W4" s="130">
        <f>IF(SER_hh_fech!W4=0,0,SER_hh_fech!W4/SER_summary!W$26)</f>
        <v>240.06980386288194</v>
      </c>
      <c r="X4" s="130">
        <f>IF(SER_hh_fech!X4=0,0,SER_hh_fech!X4/SER_summary!X$26)</f>
        <v>217.98450871843241</v>
      </c>
      <c r="Y4" s="130">
        <f>IF(SER_hh_fech!Y4=0,0,SER_hh_fech!Y4/SER_summary!Y$26)</f>
        <v>196.25070390995654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386.59657553477803</v>
      </c>
      <c r="C5" s="132">
        <f>IF(SER_hh_fech!C5=0,0,SER_hh_fech!C5/SER_summary!C$26)</f>
        <v>397.77735373468226</v>
      </c>
      <c r="D5" s="132">
        <f>IF(SER_hh_fech!D5=0,0,SER_hh_fech!D5/SER_summary!D$26)</f>
        <v>402.61493157043321</v>
      </c>
      <c r="E5" s="132">
        <f>IF(SER_hh_fech!E5=0,0,SER_hh_fech!E5/SER_summary!E$26)</f>
        <v>403.77868730416077</v>
      </c>
      <c r="F5" s="132">
        <f>IF(SER_hh_fech!F5=0,0,SER_hh_fech!F5/SER_summary!F$26)</f>
        <v>415.33673150463073</v>
      </c>
      <c r="G5" s="132">
        <f>IF(SER_hh_fech!G5=0,0,SER_hh_fech!G5/SER_summary!G$26)</f>
        <v>360.74854498722107</v>
      </c>
      <c r="H5" s="132">
        <f>IF(SER_hh_fech!H5=0,0,SER_hh_fech!H5/SER_summary!H$26)</f>
        <v>378.73687194165274</v>
      </c>
      <c r="I5" s="132">
        <f>IF(SER_hh_fech!I5=0,0,SER_hh_fech!I5/SER_summary!I$26)</f>
        <v>379.48815673433904</v>
      </c>
      <c r="J5" s="132">
        <f>IF(SER_hh_fech!J5=0,0,SER_hh_fech!J5/SER_summary!J$26)</f>
        <v>318.26626659469241</v>
      </c>
      <c r="K5" s="132">
        <f>IF(SER_hh_fech!K5=0,0,SER_hh_fech!K5/SER_summary!K$26)</f>
        <v>234.05763044767949</v>
      </c>
      <c r="L5" s="132">
        <f>IF(SER_hh_fech!L5=0,0,SER_hh_fech!L5/SER_summary!L$26)</f>
        <v>315.12410677250745</v>
      </c>
      <c r="M5" s="132">
        <f>IF(SER_hh_fech!M5=0,0,SER_hh_fech!M5/SER_summary!M$26)</f>
        <v>296.44584057033586</v>
      </c>
      <c r="N5" s="132">
        <f>IF(SER_hh_fech!N5=0,0,SER_hh_fech!N5/SER_summary!N$26)</f>
        <v>207.77977442054745</v>
      </c>
      <c r="O5" s="132">
        <f>IF(SER_hh_fech!O5=0,0,SER_hh_fech!O5/SER_summary!O$26)</f>
        <v>270.65593510180042</v>
      </c>
      <c r="P5" s="132">
        <f>IF(SER_hh_fech!P5=0,0,SER_hh_fech!P5/SER_summary!P$26)</f>
        <v>261.21539721429252</v>
      </c>
      <c r="Q5" s="132">
        <f>IF(SER_hh_fech!Q5=0,0,SER_hh_fech!Q5/SER_summary!Q$26)</f>
        <v>233.66396379082786</v>
      </c>
      <c r="R5" s="132">
        <f>IF(SER_hh_fech!R5=0,0,SER_hh_fech!R5/SER_summary!R$26)</f>
        <v>262.90742847100267</v>
      </c>
      <c r="S5" s="132">
        <f>IF(SER_hh_fech!S5=0,0,SER_hh_fech!S5/SER_summary!S$26)</f>
        <v>226.46023492849912</v>
      </c>
      <c r="T5" s="132">
        <f>IF(SER_hh_fech!T5=0,0,SER_hh_fech!T5/SER_summary!T$26)</f>
        <v>264.42342013014911</v>
      </c>
      <c r="U5" s="132">
        <f>IF(SER_hh_fech!U5=0,0,SER_hh_fech!U5/SER_summary!U$26)</f>
        <v>249.01579523238868</v>
      </c>
      <c r="V5" s="132">
        <f>IF(SER_hh_fech!V5=0,0,SER_hh_fech!V5/SER_summary!V$26)</f>
        <v>173.60059208658959</v>
      </c>
      <c r="W5" s="132">
        <f>IF(SER_hh_fech!W5=0,0,SER_hh_fech!W5/SER_summary!W$26)</f>
        <v>234.74411570182662</v>
      </c>
      <c r="X5" s="132">
        <f>IF(SER_hh_fech!X5=0,0,SER_hh_fech!X5/SER_summary!X$26)</f>
        <v>135.30858377802213</v>
      </c>
      <c r="Y5" s="132">
        <f>IF(SER_hh_fech!Y5=0,0,SER_hh_fech!Y5/SER_summary!Y$26)</f>
        <v>269.98461790704675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424.18298683212203</v>
      </c>
      <c r="C7" s="132">
        <f>IF(SER_hh_fech!C7=0,0,SER_hh_fech!C7/SER_summary!C$26)</f>
        <v>463.12626017485837</v>
      </c>
      <c r="D7" s="132">
        <f>IF(SER_hh_fech!D7=0,0,SER_hh_fech!D7/SER_summary!D$26)</f>
        <v>443.35338244967153</v>
      </c>
      <c r="E7" s="132">
        <f>IF(SER_hh_fech!E7=0,0,SER_hh_fech!E7/SER_summary!E$26)</f>
        <v>473.03536957297757</v>
      </c>
      <c r="F7" s="132">
        <f>IF(SER_hh_fech!F7=0,0,SER_hh_fech!F7/SER_summary!F$26)</f>
        <v>475.13603938029837</v>
      </c>
      <c r="G7" s="132">
        <f>IF(SER_hh_fech!G7=0,0,SER_hh_fech!G7/SER_summary!G$26)</f>
        <v>378.7964907247997</v>
      </c>
      <c r="H7" s="132">
        <f>IF(SER_hh_fech!H7=0,0,SER_hh_fech!H7/SER_summary!H$26)</f>
        <v>486.12615481277805</v>
      </c>
      <c r="I7" s="132">
        <f>IF(SER_hh_fech!I7=0,0,SER_hh_fech!I7/SER_summary!I$26)</f>
        <v>403.00563591720345</v>
      </c>
      <c r="J7" s="132">
        <f>IF(SER_hh_fech!J7=0,0,SER_hh_fech!J7/SER_summary!J$26)</f>
        <v>339.32684073575143</v>
      </c>
      <c r="K7" s="132">
        <f>IF(SER_hh_fech!K7=0,0,SER_hh_fech!K7/SER_summary!K$26)</f>
        <v>320.76780456644116</v>
      </c>
      <c r="L7" s="132">
        <f>IF(SER_hh_fech!L7=0,0,SER_hh_fech!L7/SER_summary!L$26)</f>
        <v>317.19323594289671</v>
      </c>
      <c r="M7" s="132">
        <f>IF(SER_hh_fech!M7=0,0,SER_hh_fech!M7/SER_summary!M$26)</f>
        <v>259.583898869824</v>
      </c>
      <c r="N7" s="132">
        <f>IF(SER_hh_fech!N7=0,0,SER_hh_fech!N7/SER_summary!N$26)</f>
        <v>328.67880773937878</v>
      </c>
      <c r="O7" s="132">
        <f>IF(SER_hh_fech!O7=0,0,SER_hh_fech!O7/SER_summary!O$26)</f>
        <v>303.00330058586616</v>
      </c>
      <c r="P7" s="132">
        <f>IF(SER_hh_fech!P7=0,0,SER_hh_fech!P7/SER_summary!P$26)</f>
        <v>306.81570373006525</v>
      </c>
      <c r="Q7" s="132">
        <f>IF(SER_hh_fech!Q7=0,0,SER_hh_fech!Q7/SER_summary!Q$26)</f>
        <v>320.29192758722309</v>
      </c>
      <c r="R7" s="132">
        <f>IF(SER_hh_fech!R7=0,0,SER_hh_fech!R7/SER_summary!R$26)</f>
        <v>228.88253774421287</v>
      </c>
      <c r="S7" s="132">
        <f>IF(SER_hh_fech!S7=0,0,SER_hh_fech!S7/SER_summary!S$26)</f>
        <v>259.3989244118863</v>
      </c>
      <c r="T7" s="132">
        <f>IF(SER_hh_fech!T7=0,0,SER_hh_fech!T7/SER_summary!T$26)</f>
        <v>292.90588573933093</v>
      </c>
      <c r="U7" s="132">
        <f>IF(SER_hh_fech!U7=0,0,SER_hh_fech!U7/SER_summary!U$26)</f>
        <v>217.70056372937964</v>
      </c>
      <c r="V7" s="132">
        <f>IF(SER_hh_fech!V7=0,0,SER_hh_fech!V7/SER_summary!V$26)</f>
        <v>227.60969509723333</v>
      </c>
      <c r="W7" s="132">
        <f>IF(SER_hh_fech!W7=0,0,SER_hh_fech!W7/SER_summary!W$26)</f>
        <v>282.44486030932507</v>
      </c>
      <c r="X7" s="132">
        <f>IF(SER_hh_fech!X7=0,0,SER_hh_fech!X7/SER_summary!X$26)</f>
        <v>215.21306008781582</v>
      </c>
      <c r="Y7" s="132">
        <f>IF(SER_hh_fech!Y7=0,0,SER_hh_fech!Y7/SER_summary!Y$26)</f>
        <v>231.6294631158793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413.66233889507765</v>
      </c>
      <c r="C9" s="132">
        <f>IF(SER_hh_fech!C9=0,0,SER_hh_fech!C9/SER_summary!C$26)</f>
        <v>359.61015410482781</v>
      </c>
      <c r="D9" s="132">
        <f>IF(SER_hh_fech!D9=0,0,SER_hh_fech!D9/SER_summary!D$26)</f>
        <v>433.71765215231494</v>
      </c>
      <c r="E9" s="132">
        <f>IF(SER_hh_fech!E9=0,0,SER_hh_fech!E9/SER_summary!E$26)</f>
        <v>406.26519691890252</v>
      </c>
      <c r="F9" s="132">
        <f>IF(SER_hh_fech!F9=0,0,SER_hh_fech!F9/SER_summary!F$26)</f>
        <v>423.14015980497925</v>
      </c>
      <c r="G9" s="132">
        <f>IF(SER_hh_fech!G9=0,0,SER_hh_fech!G9/SER_summary!G$26)</f>
        <v>384.57284693453619</v>
      </c>
      <c r="H9" s="132">
        <f>IF(SER_hh_fech!H9=0,0,SER_hh_fech!H9/SER_summary!H$26)</f>
        <v>376.40314271827293</v>
      </c>
      <c r="I9" s="132">
        <f>IF(SER_hh_fech!I9=0,0,SER_hh_fech!I9/SER_summary!I$26)</f>
        <v>379.4666418284948</v>
      </c>
      <c r="J9" s="132">
        <f>IF(SER_hh_fech!J9=0,0,SER_hh_fech!J9/SER_summary!J$26)</f>
        <v>331.90080388873389</v>
      </c>
      <c r="K9" s="132">
        <f>IF(SER_hh_fech!K9=0,0,SER_hh_fech!K9/SER_summary!K$26)</f>
        <v>292.80059125374743</v>
      </c>
      <c r="L9" s="132">
        <f>IF(SER_hh_fech!L9=0,0,SER_hh_fech!L9/SER_summary!L$26)</f>
        <v>308.48578830305041</v>
      </c>
      <c r="M9" s="132">
        <f>IF(SER_hh_fech!M9=0,0,SER_hh_fech!M9/SER_summary!M$26)</f>
        <v>285.49546776835507</v>
      </c>
      <c r="N9" s="132">
        <f>IF(SER_hh_fech!N9=0,0,SER_hh_fech!N9/SER_summary!N$26)</f>
        <v>306.24800588011129</v>
      </c>
      <c r="O9" s="132">
        <f>IF(SER_hh_fech!O9=0,0,SER_hh_fech!O9/SER_summary!O$26)</f>
        <v>273.95366503001384</v>
      </c>
      <c r="P9" s="132">
        <f>IF(SER_hh_fech!P9=0,0,SER_hh_fech!P9/SER_summary!P$26)</f>
        <v>300.25968447248431</v>
      </c>
      <c r="Q9" s="132">
        <f>IF(SER_hh_fech!Q9=0,0,SER_hh_fech!Q9/SER_summary!Q$26)</f>
        <v>265.33501315167996</v>
      </c>
      <c r="R9" s="132">
        <f>IF(SER_hh_fech!R9=0,0,SER_hh_fech!R9/SER_summary!R$26)</f>
        <v>267.82443046272505</v>
      </c>
      <c r="S9" s="132">
        <f>IF(SER_hh_fech!S9=0,0,SER_hh_fech!S9/SER_summary!S$26)</f>
        <v>263.31259772448971</v>
      </c>
      <c r="T9" s="132">
        <f>IF(SER_hh_fech!T9=0,0,SER_hh_fech!T9/SER_summary!T$26)</f>
        <v>249.38602148403135</v>
      </c>
      <c r="U9" s="132">
        <f>IF(SER_hh_fech!U9=0,0,SER_hh_fech!U9/SER_summary!U$26)</f>
        <v>240.40645033770764</v>
      </c>
      <c r="V9" s="132">
        <f>IF(SER_hh_fech!V9=0,0,SER_hh_fech!V9/SER_summary!V$26)</f>
        <v>229.79330872593428</v>
      </c>
      <c r="W9" s="132">
        <f>IF(SER_hh_fech!W9=0,0,SER_hh_fech!W9/SER_summary!W$26)</f>
        <v>232.51044067806237</v>
      </c>
      <c r="X9" s="132">
        <f>IF(SER_hh_fech!X9=0,0,SER_hh_fech!X9/SER_summary!X$26)</f>
        <v>220.08932993203527</v>
      </c>
      <c r="Y9" s="132">
        <f>IF(SER_hh_fech!Y9=0,0,SER_hh_fech!Y9/SER_summary!Y$26)</f>
        <v>201.13908154318361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428.75307565097717</v>
      </c>
      <c r="C10" s="132">
        <f>IF(SER_hh_fech!C10=0,0,SER_hh_fech!C10/SER_summary!C$26)</f>
        <v>474.6441575969356</v>
      </c>
      <c r="D10" s="132">
        <f>IF(SER_hh_fech!D10=0,0,SER_hh_fech!D10/SER_summary!D$26)</f>
        <v>451.86930853001468</v>
      </c>
      <c r="E10" s="132">
        <f>IF(SER_hh_fech!E10=0,0,SER_hh_fech!E10/SER_summary!E$26)</f>
        <v>433.36045802196696</v>
      </c>
      <c r="F10" s="132">
        <f>IF(SER_hh_fech!F10=0,0,SER_hh_fech!F10/SER_summary!F$26)</f>
        <v>459.73574776073309</v>
      </c>
      <c r="G10" s="132">
        <f>IF(SER_hh_fech!G10=0,0,SER_hh_fech!G10/SER_summary!G$26)</f>
        <v>413.80009762254508</v>
      </c>
      <c r="H10" s="132">
        <f>IF(SER_hh_fech!H10=0,0,SER_hh_fech!H10/SER_summary!H$26)</f>
        <v>418.17786022442323</v>
      </c>
      <c r="I10" s="132">
        <f>IF(SER_hh_fech!I10=0,0,SER_hh_fech!I10/SER_summary!I$26)</f>
        <v>484.29261125699475</v>
      </c>
      <c r="J10" s="132">
        <f>IF(SER_hh_fech!J10=0,0,SER_hh_fech!J10/SER_summary!J$26)</f>
        <v>299.12310897730066</v>
      </c>
      <c r="K10" s="132">
        <f>IF(SER_hh_fech!K10=0,0,SER_hh_fech!K10/SER_summary!K$26)</f>
        <v>302.65409619626746</v>
      </c>
      <c r="L10" s="132">
        <f>IF(SER_hh_fech!L10=0,0,SER_hh_fech!L10/SER_summary!L$26)</f>
        <v>322.89407658537067</v>
      </c>
      <c r="M10" s="132">
        <f>IF(SER_hh_fech!M10=0,0,SER_hh_fech!M10/SER_summary!M$26)</f>
        <v>259.71596497075609</v>
      </c>
      <c r="N10" s="132">
        <f>IF(SER_hh_fech!N10=0,0,SER_hh_fech!N10/SER_summary!N$26)</f>
        <v>348.64309490526597</v>
      </c>
      <c r="O10" s="132">
        <f>IF(SER_hh_fech!O10=0,0,SER_hh_fech!O10/SER_summary!O$26)</f>
        <v>337.0300471032067</v>
      </c>
      <c r="P10" s="132">
        <f>IF(SER_hh_fech!P10=0,0,SER_hh_fech!P10/SER_summary!P$26)</f>
        <v>304.99934066706936</v>
      </c>
      <c r="Q10" s="132">
        <f>IF(SER_hh_fech!Q10=0,0,SER_hh_fech!Q10/SER_summary!Q$26)</f>
        <v>293.96314022553304</v>
      </c>
      <c r="R10" s="132">
        <f>IF(SER_hh_fech!R10=0,0,SER_hh_fech!R10/SER_summary!R$26)</f>
        <v>297.57627658592691</v>
      </c>
      <c r="S10" s="132">
        <f>IF(SER_hh_fech!S10=0,0,SER_hh_fech!S10/SER_summary!S$26)</f>
        <v>331.66195274723549</v>
      </c>
      <c r="T10" s="132">
        <f>IF(SER_hh_fech!T10=0,0,SER_hh_fech!T10/SER_summary!T$26)</f>
        <v>305.24482347010724</v>
      </c>
      <c r="U10" s="132">
        <f>IF(SER_hh_fech!U10=0,0,SER_hh_fech!U10/SER_summary!U$26)</f>
        <v>288.73099335547681</v>
      </c>
      <c r="V10" s="132">
        <f>IF(SER_hh_fech!V10=0,0,SER_hh_fech!V10/SER_summary!V$26)</f>
        <v>264.99302891935622</v>
      </c>
      <c r="W10" s="132">
        <f>IF(SER_hh_fech!W10=0,0,SER_hh_fech!W10/SER_summary!W$26)</f>
        <v>302.33474214179819</v>
      </c>
      <c r="X10" s="132">
        <f>IF(SER_hh_fech!X10=0,0,SER_hh_fech!X10/SER_summary!X$26)</f>
        <v>354.64172838397246</v>
      </c>
      <c r="Y10" s="132">
        <f>IF(SER_hh_fech!Y10=0,0,SER_hh_fech!Y10/SER_summary!Y$26)</f>
        <v>249.14232912351477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0</v>
      </c>
      <c r="J11" s="132">
        <f>IF(SER_hh_fech!J11=0,0,SER_hh_fech!J11/SER_summary!J$26)</f>
        <v>0</v>
      </c>
      <c r="K11" s="132">
        <f>IF(SER_hh_fech!K11=0,0,SER_hh_fech!K11/SER_summary!K$26)</f>
        <v>0</v>
      </c>
      <c r="L11" s="132">
        <f>IF(SER_hh_fech!L11=0,0,SER_hh_fech!L11/SER_summary!L$26)</f>
        <v>0</v>
      </c>
      <c r="M11" s="132">
        <f>IF(SER_hh_fech!M11=0,0,SER_hh_fech!M11/SER_summary!M$26)</f>
        <v>0</v>
      </c>
      <c r="N11" s="132">
        <f>IF(SER_hh_fech!N11=0,0,SER_hh_fech!N11/SER_summary!N$26)</f>
        <v>0</v>
      </c>
      <c r="O11" s="132">
        <f>IF(SER_hh_fech!O11=0,0,SER_hh_fech!O11/SER_summary!O$26)</f>
        <v>0</v>
      </c>
      <c r="P11" s="132">
        <f>IF(SER_hh_fech!P11=0,0,SER_hh_fech!P11/SER_summary!P$26)</f>
        <v>0</v>
      </c>
      <c r="Q11" s="132">
        <f>IF(SER_hh_fech!Q11=0,0,SER_hh_fech!Q11/SER_summary!Q$26)</f>
        <v>0</v>
      </c>
      <c r="R11" s="132">
        <f>IF(SER_hh_fech!R11=0,0,SER_hh_fech!R11/SER_summary!R$26)</f>
        <v>0</v>
      </c>
      <c r="S11" s="132">
        <f>IF(SER_hh_fech!S11=0,0,SER_hh_fech!S11/SER_summary!S$26)</f>
        <v>0</v>
      </c>
      <c r="T11" s="132">
        <f>IF(SER_hh_fech!T11=0,0,SER_hh_fech!T11/SER_summary!T$26)</f>
        <v>0</v>
      </c>
      <c r="U11" s="132">
        <f>IF(SER_hh_fech!U11=0,0,SER_hh_fech!U11/SER_summary!U$26)</f>
        <v>0</v>
      </c>
      <c r="V11" s="132">
        <f>IF(SER_hh_fech!V11=0,0,SER_hh_fech!V11/SER_summary!V$26)</f>
        <v>0</v>
      </c>
      <c r="W11" s="132">
        <f>IF(SER_hh_fech!W11=0,0,SER_hh_fech!W11/SER_summary!W$26)</f>
        <v>0</v>
      </c>
      <c r="X11" s="132">
        <f>IF(SER_hh_fech!X11=0,0,SER_hh_fech!X11/SER_summary!X$26)</f>
        <v>0</v>
      </c>
      <c r="Y11" s="132">
        <f>IF(SER_hh_fech!Y11=0,0,SER_hh_fech!Y11/SER_summary!Y$26)</f>
        <v>0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257.1933932676971</v>
      </c>
      <c r="C12" s="132">
        <f>IF(SER_hh_fech!C12=0,0,SER_hh_fech!C12/SER_summary!C$26)</f>
        <v>280.2826704675162</v>
      </c>
      <c r="D12" s="132">
        <f>IF(SER_hh_fech!D12=0,0,SER_hh_fech!D12/SER_summary!D$26)</f>
        <v>274.40163860164211</v>
      </c>
      <c r="E12" s="132">
        <f>IF(SER_hh_fech!E12=0,0,SER_hh_fech!E12/SER_summary!E$26)</f>
        <v>285.34368780506662</v>
      </c>
      <c r="F12" s="132">
        <f>IF(SER_hh_fech!F12=0,0,SER_hh_fech!F12/SER_summary!F$26)</f>
        <v>268.62555363412224</v>
      </c>
      <c r="G12" s="132">
        <f>IF(SER_hh_fech!G12=0,0,SER_hh_fech!G12/SER_summary!G$26)</f>
        <v>273.12340701926291</v>
      </c>
      <c r="H12" s="132">
        <f>IF(SER_hh_fech!H12=0,0,SER_hh_fech!H12/SER_summary!H$26)</f>
        <v>266.88708057955881</v>
      </c>
      <c r="I12" s="132">
        <f>IF(SER_hh_fech!I12=0,0,SER_hh_fech!I12/SER_summary!I$26)</f>
        <v>240.89336834477618</v>
      </c>
      <c r="J12" s="132">
        <f>IF(SER_hh_fech!J12=0,0,SER_hh_fech!J12/SER_summary!J$26)</f>
        <v>215.2764605430412</v>
      </c>
      <c r="K12" s="132">
        <f>IF(SER_hh_fech!K12=0,0,SER_hh_fech!K12/SER_summary!K$26)</f>
        <v>204.71790279977245</v>
      </c>
      <c r="L12" s="132">
        <f>IF(SER_hh_fech!L12=0,0,SER_hh_fech!L12/SER_summary!L$26)</f>
        <v>216.62313572984201</v>
      </c>
      <c r="M12" s="132">
        <f>IF(SER_hh_fech!M12=0,0,SER_hh_fech!M12/SER_summary!M$26)</f>
        <v>181.24564976117182</v>
      </c>
      <c r="N12" s="132">
        <f>IF(SER_hh_fech!N12=0,0,SER_hh_fech!N12/SER_summary!N$26)</f>
        <v>222.96382610215048</v>
      </c>
      <c r="O12" s="132">
        <f>IF(SER_hh_fech!O12=0,0,SER_hh_fech!O12/SER_summary!O$26)</f>
        <v>213.44398413701546</v>
      </c>
      <c r="P12" s="132">
        <f>IF(SER_hh_fech!P12=0,0,SER_hh_fech!P12/SER_summary!P$26)</f>
        <v>199.82513050963379</v>
      </c>
      <c r="Q12" s="132">
        <f>IF(SER_hh_fech!Q12=0,0,SER_hh_fech!Q12/SER_summary!Q$26)</f>
        <v>186.41221162937418</v>
      </c>
      <c r="R12" s="132">
        <f>IF(SER_hh_fech!R12=0,0,SER_hh_fech!R12/SER_summary!R$26)</f>
        <v>208.91649624332007</v>
      </c>
      <c r="S12" s="132">
        <f>IF(SER_hh_fech!S12=0,0,SER_hh_fech!S12/SER_summary!S$26)</f>
        <v>208.17552565981413</v>
      </c>
      <c r="T12" s="132">
        <f>IF(SER_hh_fech!T12=0,0,SER_hh_fech!T12/SER_summary!T$26)</f>
        <v>190.85753318630989</v>
      </c>
      <c r="U12" s="132">
        <f>IF(SER_hh_fech!U12=0,0,SER_hh_fech!U12/SER_summary!U$26)</f>
        <v>183.21336060857689</v>
      </c>
      <c r="V12" s="132">
        <f>IF(SER_hh_fech!V12=0,0,SER_hh_fech!V12/SER_summary!V$26)</f>
        <v>189.49707419188829</v>
      </c>
      <c r="W12" s="132">
        <f>IF(SER_hh_fech!W12=0,0,SER_hh_fech!W12/SER_summary!W$26)</f>
        <v>226.20568102695401</v>
      </c>
      <c r="X12" s="132">
        <f>IF(SER_hh_fech!X12=0,0,SER_hh_fech!X12/SER_summary!X$26)</f>
        <v>188.12177502924231</v>
      </c>
      <c r="Y12" s="132">
        <f>IF(SER_hh_fech!Y12=0,0,SER_hh_fech!Y12/SER_summary!Y$26)</f>
        <v>171.41868045938719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101.73655941243346</v>
      </c>
      <c r="C13" s="132">
        <f>IF(SER_hh_fech!C13=0,0,SER_hh_fech!C13/SER_summary!C$26)</f>
        <v>47.736908784333487</v>
      </c>
      <c r="D13" s="132">
        <f>IF(SER_hh_fech!D13=0,0,SER_hh_fech!D13/SER_summary!D$26)</f>
        <v>107.63237189700696</v>
      </c>
      <c r="E13" s="132">
        <f>IF(SER_hh_fech!E13=0,0,SER_hh_fech!E13/SER_summary!E$26)</f>
        <v>95.720381710097399</v>
      </c>
      <c r="F13" s="132">
        <f>IF(SER_hh_fech!F13=0,0,SER_hh_fech!F13/SER_summary!F$26)</f>
        <v>89.94673093008457</v>
      </c>
      <c r="G13" s="132">
        <f>IF(SER_hh_fech!G13=0,0,SER_hh_fech!G13/SER_summary!G$26)</f>
        <v>84.931306959649334</v>
      </c>
      <c r="H13" s="132">
        <f>IF(SER_hh_fech!H13=0,0,SER_hh_fech!H13/SER_summary!H$26)</f>
        <v>77.381906718169759</v>
      </c>
      <c r="I13" s="132">
        <f>IF(SER_hh_fech!I13=0,0,SER_hh_fech!I13/SER_summary!I$26)</f>
        <v>67.6594251802927</v>
      </c>
      <c r="J13" s="132">
        <f>IF(SER_hh_fech!J13=0,0,SER_hh_fech!J13/SER_summary!J$26)</f>
        <v>59.741539215587871</v>
      </c>
      <c r="K13" s="132">
        <f>IF(SER_hh_fech!K13=0,0,SER_hh_fech!K13/SER_summary!K$26)</f>
        <v>53.684907028275468</v>
      </c>
      <c r="L13" s="132">
        <f>IF(SER_hh_fech!L13=0,0,SER_hh_fech!L13/SER_summary!L$26)</f>
        <v>56.331571609764246</v>
      </c>
      <c r="M13" s="132">
        <f>IF(SER_hh_fech!M13=0,0,SER_hh_fech!M13/SER_summary!M$26)</f>
        <v>59.978905362701738</v>
      </c>
      <c r="N13" s="132">
        <f>IF(SER_hh_fech!N13=0,0,SER_hh_fech!N13/SER_summary!N$26)</f>
        <v>59.076977378989007</v>
      </c>
      <c r="O13" s="132">
        <f>IF(SER_hh_fech!O13=0,0,SER_hh_fech!O13/SER_summary!O$26)</f>
        <v>64.123105296192378</v>
      </c>
      <c r="P13" s="132">
        <f>IF(SER_hh_fech!P13=0,0,SER_hh_fech!P13/SER_summary!P$26)</f>
        <v>62.329044611716114</v>
      </c>
      <c r="Q13" s="132">
        <f>IF(SER_hh_fech!Q13=0,0,SER_hh_fech!Q13/SER_summary!Q$26)</f>
        <v>60.097153781666591</v>
      </c>
      <c r="R13" s="132">
        <f>IF(SER_hh_fech!R13=0,0,SER_hh_fech!R13/SER_summary!R$26)</f>
        <v>58.657739528629136</v>
      </c>
      <c r="S13" s="132">
        <f>IF(SER_hh_fech!S13=0,0,SER_hh_fech!S13/SER_summary!S$26)</f>
        <v>60.16372892682125</v>
      </c>
      <c r="T13" s="132">
        <f>IF(SER_hh_fech!T13=0,0,SER_hh_fech!T13/SER_summary!T$26)</f>
        <v>56.388055633584969</v>
      </c>
      <c r="U13" s="132">
        <f>IF(SER_hh_fech!U13=0,0,SER_hh_fech!U13/SER_summary!U$26)</f>
        <v>56.39684433771356</v>
      </c>
      <c r="V13" s="132">
        <f>IF(SER_hh_fech!V13=0,0,SER_hh_fech!V13/SER_summary!V$26)</f>
        <v>59.632711510251418</v>
      </c>
      <c r="W13" s="132">
        <f>IF(SER_hh_fech!W13=0,0,SER_hh_fech!W13/SER_summary!W$26)</f>
        <v>44.637182862659465</v>
      </c>
      <c r="X13" s="132">
        <f>IF(SER_hh_fech!X13=0,0,SER_hh_fech!X13/SER_summary!X$26)</f>
        <v>48.461521442221951</v>
      </c>
      <c r="Y13" s="132">
        <f>IF(SER_hh_fech!Y13=0,0,SER_hh_fech!Y13/SER_summary!Y$26)</f>
        <v>51.333306785358999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380.44412578737507</v>
      </c>
      <c r="C14" s="65">
        <f>IF(SER_hh_fech!C14=0,0,SER_hh_fech!C14/SER_summary!C$26)</f>
        <v>204.99556434108811</v>
      </c>
      <c r="D14" s="65">
        <f>IF(SER_hh_fech!D14=0,0,SER_hh_fech!D14/SER_summary!D$26)</f>
        <v>331.8516685671442</v>
      </c>
      <c r="E14" s="65">
        <f>IF(SER_hh_fech!E14=0,0,SER_hh_fech!E14/SER_summary!E$26)</f>
        <v>333.57838411229255</v>
      </c>
      <c r="F14" s="65">
        <f>IF(SER_hh_fech!F14=0,0,SER_hh_fech!F14/SER_summary!F$26)</f>
        <v>295.31787366369656</v>
      </c>
      <c r="G14" s="65">
        <f>IF(SER_hh_fech!G14=0,0,SER_hh_fech!G14/SER_summary!G$26)</f>
        <v>280.80896058307616</v>
      </c>
      <c r="H14" s="65">
        <f>IF(SER_hh_fech!H14=0,0,SER_hh_fech!H14/SER_summary!H$26)</f>
        <v>269.06590783121288</v>
      </c>
      <c r="I14" s="65">
        <f>IF(SER_hh_fech!I14=0,0,SER_hh_fech!I14/SER_summary!I$26)</f>
        <v>343.10786963816008</v>
      </c>
      <c r="J14" s="65">
        <f>IF(SER_hh_fech!J14=0,0,SER_hh_fech!J14/SER_summary!J$26)</f>
        <v>286.28753371484822</v>
      </c>
      <c r="K14" s="65">
        <f>IF(SER_hh_fech!K14=0,0,SER_hh_fech!K14/SER_summary!K$26)</f>
        <v>164.37017773776111</v>
      </c>
      <c r="L14" s="65">
        <f>IF(SER_hh_fech!L14=0,0,SER_hh_fech!L14/SER_summary!L$26)</f>
        <v>203.13272736116846</v>
      </c>
      <c r="M14" s="65">
        <f>IF(SER_hh_fech!M14=0,0,SER_hh_fech!M14/SER_summary!M$26)</f>
        <v>196.96552821873257</v>
      </c>
      <c r="N14" s="65">
        <f>IF(SER_hh_fech!N14=0,0,SER_hh_fech!N14/SER_summary!N$26)</f>
        <v>279.98520262791988</v>
      </c>
      <c r="O14" s="65">
        <f>IF(SER_hh_fech!O14=0,0,SER_hh_fech!O14/SER_summary!O$26)</f>
        <v>213.98137502845327</v>
      </c>
      <c r="P14" s="65">
        <f>IF(SER_hh_fech!P14=0,0,SER_hh_fech!P14/SER_summary!P$26)</f>
        <v>260.33030912920424</v>
      </c>
      <c r="Q14" s="65">
        <f>IF(SER_hh_fech!Q14=0,0,SER_hh_fech!Q14/SER_summary!Q$26)</f>
        <v>195.7169750178484</v>
      </c>
      <c r="R14" s="65">
        <f>IF(SER_hh_fech!R14=0,0,SER_hh_fech!R14/SER_summary!R$26)</f>
        <v>209.81538976278668</v>
      </c>
      <c r="S14" s="65">
        <f>IF(SER_hh_fech!S14=0,0,SER_hh_fech!S14/SER_summary!S$26)</f>
        <v>211.79139092419797</v>
      </c>
      <c r="T14" s="65">
        <f>IF(SER_hh_fech!T14=0,0,SER_hh_fech!T14/SER_summary!T$26)</f>
        <v>224.33416459483414</v>
      </c>
      <c r="U14" s="65">
        <f>IF(SER_hh_fech!U14=0,0,SER_hh_fech!U14/SER_summary!U$26)</f>
        <v>216.82814825170544</v>
      </c>
      <c r="V14" s="65">
        <f>IF(SER_hh_fech!V14=0,0,SER_hh_fech!V14/SER_summary!V$26)</f>
        <v>196.70961161987663</v>
      </c>
      <c r="W14" s="65">
        <f>IF(SER_hh_fech!W14=0,0,SER_hh_fech!W14/SER_summary!W$26)</f>
        <v>218.45691818633696</v>
      </c>
      <c r="X14" s="65">
        <f>IF(SER_hh_fech!X14=0,0,SER_hh_fech!X14/SER_summary!X$26)</f>
        <v>212.24404733086112</v>
      </c>
      <c r="Y14" s="65">
        <f>IF(SER_hh_fech!Y14=0,0,SER_hh_fech!Y14/SER_summary!Y$26)</f>
        <v>175.76822065737127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1.7591832044733537</v>
      </c>
      <c r="C15" s="134">
        <f>IF(SER_hh_fech!C15=0,0,SER_hh_fech!C15/SER_summary!C$26)</f>
        <v>1.8322265938762534</v>
      </c>
      <c r="D15" s="134">
        <f>IF(SER_hh_fech!D15=0,0,SER_hh_fech!D15/SER_summary!D$26)</f>
        <v>1.9321341924819615</v>
      </c>
      <c r="E15" s="134">
        <f>IF(SER_hh_fech!E15=0,0,SER_hh_fech!E15/SER_summary!E$26)</f>
        <v>1.975159677770765</v>
      </c>
      <c r="F15" s="134">
        <f>IF(SER_hh_fech!F15=0,0,SER_hh_fech!F15/SER_summary!F$26)</f>
        <v>2.0548909115266962</v>
      </c>
      <c r="G15" s="134">
        <f>IF(SER_hh_fech!G15=0,0,SER_hh_fech!G15/SER_summary!G$26)</f>
        <v>1.8934352343632581</v>
      </c>
      <c r="H15" s="134">
        <f>IF(SER_hh_fech!H15=0,0,SER_hh_fech!H15/SER_summary!H$26)</f>
        <v>1.985299038806372</v>
      </c>
      <c r="I15" s="134">
        <f>IF(SER_hh_fech!I15=0,0,SER_hh_fech!I15/SER_summary!I$26)</f>
        <v>1.9431715892996855</v>
      </c>
      <c r="J15" s="134">
        <f>IF(SER_hh_fech!J15=0,0,SER_hh_fech!J15/SER_summary!J$26)</f>
        <v>1.5892978377403546</v>
      </c>
      <c r="K15" s="134">
        <f>IF(SER_hh_fech!K15=0,0,SER_hh_fech!K15/SER_summary!K$26)</f>
        <v>1.4644469377313107</v>
      </c>
      <c r="L15" s="134">
        <f>IF(SER_hh_fech!L15=0,0,SER_hh_fech!L15/SER_summary!L$26)</f>
        <v>1.5534817385178783</v>
      </c>
      <c r="M15" s="134">
        <f>IF(SER_hh_fech!M15=0,0,SER_hh_fech!M15/SER_summary!M$26)</f>
        <v>1.3387082929803666</v>
      </c>
      <c r="N15" s="134">
        <f>IF(SER_hh_fech!N15=0,0,SER_hh_fech!N15/SER_summary!N$26)</f>
        <v>1.5491374149014412</v>
      </c>
      <c r="O15" s="134">
        <f>IF(SER_hh_fech!O15=0,0,SER_hh_fech!O15/SER_summary!O$26)</f>
        <v>1.4606496798387119</v>
      </c>
      <c r="P15" s="134">
        <f>IF(SER_hh_fech!P15=0,0,SER_hh_fech!P15/SER_summary!P$26)</f>
        <v>1.4684834692959963</v>
      </c>
      <c r="Q15" s="134">
        <f>IF(SER_hh_fech!Q15=0,0,SER_hh_fech!Q15/SER_summary!Q$26)</f>
        <v>1.3899169792924646</v>
      </c>
      <c r="R15" s="134">
        <f>IF(SER_hh_fech!R15=0,0,SER_hh_fech!R15/SER_summary!R$26)</f>
        <v>1.3552980718156404</v>
      </c>
      <c r="S15" s="134">
        <f>IF(SER_hh_fech!S15=0,0,SER_hh_fech!S15/SER_summary!S$26)</f>
        <v>1.4313988190223914</v>
      </c>
      <c r="T15" s="134">
        <f>IF(SER_hh_fech!T15=0,0,SER_hh_fech!T15/SER_summary!T$26)</f>
        <v>1.4465907896669212</v>
      </c>
      <c r="U15" s="134">
        <f>IF(SER_hh_fech!U15=0,0,SER_hh_fech!U15/SER_summary!U$26)</f>
        <v>1.3950610157019698</v>
      </c>
      <c r="V15" s="134">
        <f>IF(SER_hh_fech!V15=0,0,SER_hh_fech!V15/SER_summary!V$26)</f>
        <v>1.4250080966814203</v>
      </c>
      <c r="W15" s="134">
        <f>IF(SER_hh_fech!W15=0,0,SER_hh_fech!W15/SER_summary!W$26)</f>
        <v>1.6669553042643195</v>
      </c>
      <c r="X15" s="134">
        <f>IF(SER_hh_fech!X15=0,0,SER_hh_fech!X15/SER_summary!X$26)</f>
        <v>1.5525689316570037</v>
      </c>
      <c r="Y15" s="134">
        <f>IF(SER_hh_fech!Y15=0,0,SER_hh_fech!Y15/SER_summary!Y$26)</f>
        <v>1.4903950919911972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10.411697268690325</v>
      </c>
      <c r="C16" s="130">
        <f>IF(SER_hh_fech!C16=0,0,SER_hh_fech!C16/SER_summary!C$26)</f>
        <v>10.303892760872477</v>
      </c>
      <c r="D16" s="130">
        <f>IF(SER_hh_fech!D16=0,0,SER_hh_fech!D16/SER_summary!D$26)</f>
        <v>10.098311761758007</v>
      </c>
      <c r="E16" s="130">
        <f>IF(SER_hh_fech!E16=0,0,SER_hh_fech!E16/SER_summary!E$26)</f>
        <v>9.1612053623643597</v>
      </c>
      <c r="F16" s="130">
        <f>IF(SER_hh_fech!F16=0,0,SER_hh_fech!F16/SER_summary!F$26)</f>
        <v>8.4446674739168426</v>
      </c>
      <c r="G16" s="130">
        <f>IF(SER_hh_fech!G16=0,0,SER_hh_fech!G16/SER_summary!G$26)</f>
        <v>7.9576389227759696</v>
      </c>
      <c r="H16" s="130">
        <f>IF(SER_hh_fech!H16=0,0,SER_hh_fech!H16/SER_summary!H$26)</f>
        <v>7.9889182140624131</v>
      </c>
      <c r="I16" s="130">
        <f>IF(SER_hh_fech!I16=0,0,SER_hh_fech!I16/SER_summary!I$26)</f>
        <v>7.0951828381785527</v>
      </c>
      <c r="J16" s="130">
        <f>IF(SER_hh_fech!J16=0,0,SER_hh_fech!J16/SER_summary!J$26)</f>
        <v>6.679284268311104</v>
      </c>
      <c r="K16" s="130">
        <f>IF(SER_hh_fech!K16=0,0,SER_hh_fech!K16/SER_summary!K$26)</f>
        <v>6.5251660645979683</v>
      </c>
      <c r="L16" s="130">
        <f>IF(SER_hh_fech!L16=0,0,SER_hh_fech!L16/SER_summary!L$26)</f>
        <v>7.7216148460439831</v>
      </c>
      <c r="M16" s="130">
        <f>IF(SER_hh_fech!M16=0,0,SER_hh_fech!M16/SER_summary!M$26)</f>
        <v>6.25633292265662</v>
      </c>
      <c r="N16" s="130">
        <f>IF(SER_hh_fech!N16=0,0,SER_hh_fech!N16/SER_summary!N$26)</f>
        <v>6.077513997664389</v>
      </c>
      <c r="O16" s="130">
        <f>IF(SER_hh_fech!O16=0,0,SER_hh_fech!O16/SER_summary!O$26)</f>
        <v>5.7451162687487622</v>
      </c>
      <c r="P16" s="130">
        <f>IF(SER_hh_fech!P16=0,0,SER_hh_fech!P16/SER_summary!P$26)</f>
        <v>5.8284247423646534</v>
      </c>
      <c r="Q16" s="130">
        <f>IF(SER_hh_fech!Q16=0,0,SER_hh_fech!Q16/SER_summary!Q$26)</f>
        <v>5.283383260411096</v>
      </c>
      <c r="R16" s="130">
        <f>IF(SER_hh_fech!R16=0,0,SER_hh_fech!R16/SER_summary!R$26)</f>
        <v>5.097430631329714</v>
      </c>
      <c r="S16" s="130">
        <f>IF(SER_hh_fech!S16=0,0,SER_hh_fech!S16/SER_summary!S$26)</f>
        <v>4.9170469773066889</v>
      </c>
      <c r="T16" s="130">
        <f>IF(SER_hh_fech!T16=0,0,SER_hh_fech!T16/SER_summary!T$26)</f>
        <v>5.0821779696615916</v>
      </c>
      <c r="U16" s="130">
        <f>IF(SER_hh_fech!U16=0,0,SER_hh_fech!U16/SER_summary!U$26)</f>
        <v>4.6658771949176892</v>
      </c>
      <c r="V16" s="130">
        <f>IF(SER_hh_fech!V16=0,0,SER_hh_fech!V16/SER_summary!V$26)</f>
        <v>4.5619044247993514</v>
      </c>
      <c r="W16" s="130">
        <f>IF(SER_hh_fech!W16=0,0,SER_hh_fech!W16/SER_summary!W$26)</f>
        <v>5.1502542360287524</v>
      </c>
      <c r="X16" s="130">
        <f>IF(SER_hh_fech!X16=0,0,SER_hh_fech!X16/SER_summary!X$26)</f>
        <v>4.3491760159890376</v>
      </c>
      <c r="Y16" s="130">
        <f>IF(SER_hh_fech!Y16=0,0,SER_hh_fech!Y16/SER_summary!Y$26)</f>
        <v>4.3184817701255973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0</v>
      </c>
      <c r="C17" s="132">
        <f>IF(SER_hh_fech!C17=0,0,SER_hh_fech!C17/SER_summary!C$26)</f>
        <v>0</v>
      </c>
      <c r="D17" s="132">
        <f>IF(SER_hh_fech!D17=0,0,SER_hh_fech!D17/SER_summary!D$26)</f>
        <v>0</v>
      </c>
      <c r="E17" s="132">
        <f>IF(SER_hh_fech!E17=0,0,SER_hh_fech!E17/SER_summary!E$26)</f>
        <v>0</v>
      </c>
      <c r="F17" s="132">
        <f>IF(SER_hh_fech!F17=0,0,SER_hh_fech!F17/SER_summary!F$26)</f>
        <v>0</v>
      </c>
      <c r="G17" s="132">
        <f>IF(SER_hh_fech!G17=0,0,SER_hh_fech!G17/SER_summary!G$26)</f>
        <v>0</v>
      </c>
      <c r="H17" s="132">
        <f>IF(SER_hh_fech!H17=0,0,SER_hh_fech!H17/SER_summary!H$26)</f>
        <v>0</v>
      </c>
      <c r="I17" s="132">
        <f>IF(SER_hh_fech!I17=0,0,SER_hh_fech!I17/SER_summary!I$26)</f>
        <v>0</v>
      </c>
      <c r="J17" s="132">
        <f>IF(SER_hh_fech!J17=0,0,SER_hh_fech!J17/SER_summary!J$26)</f>
        <v>0</v>
      </c>
      <c r="K17" s="132">
        <f>IF(SER_hh_fech!K17=0,0,SER_hh_fech!K17/SER_summary!K$26)</f>
        <v>0</v>
      </c>
      <c r="L17" s="132">
        <f>IF(SER_hh_fech!L17=0,0,SER_hh_fech!L17/SER_summary!L$26)</f>
        <v>0</v>
      </c>
      <c r="M17" s="132">
        <f>IF(SER_hh_fech!M17=0,0,SER_hh_fech!M17/SER_summary!M$26)</f>
        <v>0</v>
      </c>
      <c r="N17" s="132">
        <f>IF(SER_hh_fech!N17=0,0,SER_hh_fech!N17/SER_summary!N$26)</f>
        <v>0</v>
      </c>
      <c r="O17" s="132">
        <f>IF(SER_hh_fech!O17=0,0,SER_hh_fech!O17/SER_summary!O$26)</f>
        <v>0</v>
      </c>
      <c r="P17" s="132">
        <f>IF(SER_hh_fech!P17=0,0,SER_hh_fech!P17/SER_summary!P$26)</f>
        <v>0</v>
      </c>
      <c r="Q17" s="132">
        <f>IF(SER_hh_fech!Q17=0,0,SER_hh_fech!Q17/SER_summary!Q$26)</f>
        <v>0</v>
      </c>
      <c r="R17" s="132">
        <f>IF(SER_hh_fech!R17=0,0,SER_hh_fech!R17/SER_summary!R$26)</f>
        <v>0</v>
      </c>
      <c r="S17" s="132">
        <f>IF(SER_hh_fech!S17=0,0,SER_hh_fech!S17/SER_summary!S$26)</f>
        <v>0</v>
      </c>
      <c r="T17" s="132">
        <f>IF(SER_hh_fech!T17=0,0,SER_hh_fech!T17/SER_summary!T$26)</f>
        <v>0</v>
      </c>
      <c r="U17" s="132">
        <f>IF(SER_hh_fech!U17=0,0,SER_hh_fech!U17/SER_summary!U$26)</f>
        <v>0</v>
      </c>
      <c r="V17" s="132">
        <f>IF(SER_hh_fech!V17=0,0,SER_hh_fech!V17/SER_summary!V$26)</f>
        <v>0</v>
      </c>
      <c r="W17" s="132">
        <f>IF(SER_hh_fech!W17=0,0,SER_hh_fech!W17/SER_summary!W$26)</f>
        <v>0</v>
      </c>
      <c r="X17" s="132">
        <f>IF(SER_hh_fech!X17=0,0,SER_hh_fech!X17/SER_summary!X$26)</f>
        <v>0</v>
      </c>
      <c r="Y17" s="132">
        <f>IF(SER_hh_fech!Y17=0,0,SER_hh_fech!Y17/SER_summary!Y$26)</f>
        <v>0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10.411697268690325</v>
      </c>
      <c r="C18" s="132">
        <f>IF(SER_hh_fech!C18=0,0,SER_hh_fech!C18/SER_summary!C$26)</f>
        <v>10.303892760872477</v>
      </c>
      <c r="D18" s="132">
        <f>IF(SER_hh_fech!D18=0,0,SER_hh_fech!D18/SER_summary!D$26)</f>
        <v>10.098311761758007</v>
      </c>
      <c r="E18" s="132">
        <f>IF(SER_hh_fech!E18=0,0,SER_hh_fech!E18/SER_summary!E$26)</f>
        <v>9.1612053623643597</v>
      </c>
      <c r="F18" s="132">
        <f>IF(SER_hh_fech!F18=0,0,SER_hh_fech!F18/SER_summary!F$26)</f>
        <v>8.4446674739168426</v>
      </c>
      <c r="G18" s="132">
        <f>IF(SER_hh_fech!G18=0,0,SER_hh_fech!G18/SER_summary!G$26)</f>
        <v>7.9576389227759696</v>
      </c>
      <c r="H18" s="132">
        <f>IF(SER_hh_fech!H18=0,0,SER_hh_fech!H18/SER_summary!H$26)</f>
        <v>7.9889182140624131</v>
      </c>
      <c r="I18" s="132">
        <f>IF(SER_hh_fech!I18=0,0,SER_hh_fech!I18/SER_summary!I$26)</f>
        <v>7.0951828381785527</v>
      </c>
      <c r="J18" s="132">
        <f>IF(SER_hh_fech!J18=0,0,SER_hh_fech!J18/SER_summary!J$26)</f>
        <v>6.679284268311104</v>
      </c>
      <c r="K18" s="132">
        <f>IF(SER_hh_fech!K18=0,0,SER_hh_fech!K18/SER_summary!K$26)</f>
        <v>6.5251660645979683</v>
      </c>
      <c r="L18" s="132">
        <f>IF(SER_hh_fech!L18=0,0,SER_hh_fech!L18/SER_summary!L$26)</f>
        <v>7.7216148460439831</v>
      </c>
      <c r="M18" s="132">
        <f>IF(SER_hh_fech!M18=0,0,SER_hh_fech!M18/SER_summary!M$26)</f>
        <v>6.25633292265662</v>
      </c>
      <c r="N18" s="132">
        <f>IF(SER_hh_fech!N18=0,0,SER_hh_fech!N18/SER_summary!N$26)</f>
        <v>6.077513997664389</v>
      </c>
      <c r="O18" s="132">
        <f>IF(SER_hh_fech!O18=0,0,SER_hh_fech!O18/SER_summary!O$26)</f>
        <v>5.7451162687487622</v>
      </c>
      <c r="P18" s="132">
        <f>IF(SER_hh_fech!P18=0,0,SER_hh_fech!P18/SER_summary!P$26)</f>
        <v>5.8284247423646534</v>
      </c>
      <c r="Q18" s="132">
        <f>IF(SER_hh_fech!Q18=0,0,SER_hh_fech!Q18/SER_summary!Q$26)</f>
        <v>5.283383260411096</v>
      </c>
      <c r="R18" s="132">
        <f>IF(SER_hh_fech!R18=0,0,SER_hh_fech!R18/SER_summary!R$26)</f>
        <v>5.097430631329714</v>
      </c>
      <c r="S18" s="132">
        <f>IF(SER_hh_fech!S18=0,0,SER_hh_fech!S18/SER_summary!S$26)</f>
        <v>4.9170469773066889</v>
      </c>
      <c r="T18" s="132">
        <f>IF(SER_hh_fech!T18=0,0,SER_hh_fech!T18/SER_summary!T$26)</f>
        <v>5.0821779696615916</v>
      </c>
      <c r="U18" s="132">
        <f>IF(SER_hh_fech!U18=0,0,SER_hh_fech!U18/SER_summary!U$26)</f>
        <v>4.6658771949176892</v>
      </c>
      <c r="V18" s="132">
        <f>IF(SER_hh_fech!V18=0,0,SER_hh_fech!V18/SER_summary!V$26)</f>
        <v>4.5619044247993514</v>
      </c>
      <c r="W18" s="132">
        <f>IF(SER_hh_fech!W18=0,0,SER_hh_fech!W18/SER_summary!W$26)</f>
        <v>5.1502542360287524</v>
      </c>
      <c r="X18" s="132">
        <f>IF(SER_hh_fech!X18=0,0,SER_hh_fech!X18/SER_summary!X$26)</f>
        <v>4.3491760159890376</v>
      </c>
      <c r="Y18" s="132">
        <f>IF(SER_hh_fech!Y18=0,0,SER_hh_fech!Y18/SER_summary!Y$26)</f>
        <v>4.3184817701255973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42.302799694476242</v>
      </c>
      <c r="C19" s="130">
        <f>IF(SER_hh_fech!C19=0,0,SER_hh_fech!C19/SER_summary!C$26)</f>
        <v>42.571651839174528</v>
      </c>
      <c r="D19" s="130">
        <f>IF(SER_hh_fech!D19=0,0,SER_hh_fech!D19/SER_summary!D$26)</f>
        <v>41.175819456342566</v>
      </c>
      <c r="E19" s="130">
        <f>IF(SER_hh_fech!E19=0,0,SER_hh_fech!E19/SER_summary!E$26)</f>
        <v>40.811670756006436</v>
      </c>
      <c r="F19" s="130">
        <f>IF(SER_hh_fech!F19=0,0,SER_hh_fech!F19/SER_summary!F$26)</f>
        <v>41.161048229094391</v>
      </c>
      <c r="G19" s="130">
        <f>IF(SER_hh_fech!G19=0,0,SER_hh_fech!G19/SER_summary!G$26)</f>
        <v>40.609306066115501</v>
      </c>
      <c r="H19" s="130">
        <f>IF(SER_hh_fech!H19=0,0,SER_hh_fech!H19/SER_summary!H$26)</f>
        <v>40.750232987693721</v>
      </c>
      <c r="I19" s="130">
        <f>IF(SER_hh_fech!I19=0,0,SER_hh_fech!I19/SER_summary!I$26)</f>
        <v>40.409247439033635</v>
      </c>
      <c r="J19" s="130">
        <f>IF(SER_hh_fech!J19=0,0,SER_hh_fech!J19/SER_summary!J$26)</f>
        <v>39.819626664555457</v>
      </c>
      <c r="K19" s="130">
        <f>IF(SER_hh_fech!K19=0,0,SER_hh_fech!K19/SER_summary!K$26)</f>
        <v>41.287949747271526</v>
      </c>
      <c r="L19" s="130">
        <f>IF(SER_hh_fech!L19=0,0,SER_hh_fech!L19/SER_summary!L$26)</f>
        <v>40.589569793671195</v>
      </c>
      <c r="M19" s="130">
        <f>IF(SER_hh_fech!M19=0,0,SER_hh_fech!M19/SER_summary!M$26)</f>
        <v>41.076644492654481</v>
      </c>
      <c r="N19" s="130">
        <f>IF(SER_hh_fech!N19=0,0,SER_hh_fech!N19/SER_summary!N$26)</f>
        <v>39.850438456066939</v>
      </c>
      <c r="O19" s="130">
        <f>IF(SER_hh_fech!O19=0,0,SER_hh_fech!O19/SER_summary!O$26)</f>
        <v>40.501542809311317</v>
      </c>
      <c r="P19" s="130">
        <f>IF(SER_hh_fech!P19=0,0,SER_hh_fech!P19/SER_summary!P$26)</f>
        <v>39.666947733194682</v>
      </c>
      <c r="Q19" s="130">
        <f>IF(SER_hh_fech!Q19=0,0,SER_hh_fech!Q19/SER_summary!Q$26)</f>
        <v>39.645117748174151</v>
      </c>
      <c r="R19" s="130">
        <f>IF(SER_hh_fech!R19=0,0,SER_hh_fech!R19/SER_summary!R$26)</f>
        <v>39.618139358639098</v>
      </c>
      <c r="S19" s="130">
        <f>IF(SER_hh_fech!S19=0,0,SER_hh_fech!S19/SER_summary!S$26)</f>
        <v>39.884022930870756</v>
      </c>
      <c r="T19" s="130">
        <f>IF(SER_hh_fech!T19=0,0,SER_hh_fech!T19/SER_summary!T$26)</f>
        <v>38.599058115380537</v>
      </c>
      <c r="U19" s="130">
        <f>IF(SER_hh_fech!U19=0,0,SER_hh_fech!U19/SER_summary!U$26)</f>
        <v>37.276980603453531</v>
      </c>
      <c r="V19" s="130">
        <f>IF(SER_hh_fech!V19=0,0,SER_hh_fech!V19/SER_summary!V$26)</f>
        <v>33.559347615592678</v>
      </c>
      <c r="W19" s="130">
        <f>IF(SER_hh_fech!W19=0,0,SER_hh_fech!W19/SER_summary!W$26)</f>
        <v>35.210271396181469</v>
      </c>
      <c r="X19" s="130">
        <f>IF(SER_hh_fech!X19=0,0,SER_hh_fech!X19/SER_summary!X$26)</f>
        <v>35.569887288284292</v>
      </c>
      <c r="Y19" s="130">
        <f>IF(SER_hh_fech!Y19=0,0,SER_hh_fech!Y19/SER_summary!Y$26)</f>
        <v>35.019511104101703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0</v>
      </c>
      <c r="C21" s="132">
        <f>IF(SER_hh_fech!C21=0,0,SER_hh_fech!C21/SER_summary!C$26)</f>
        <v>0</v>
      </c>
      <c r="D21" s="132">
        <f>IF(SER_hh_fech!D21=0,0,SER_hh_fech!D21/SER_summary!D$26)</f>
        <v>0</v>
      </c>
      <c r="E21" s="132">
        <f>IF(SER_hh_fech!E21=0,0,SER_hh_fech!E21/SER_summary!E$26)</f>
        <v>0</v>
      </c>
      <c r="F21" s="132">
        <f>IF(SER_hh_fech!F21=0,0,SER_hh_fech!F21/SER_summary!F$26)</f>
        <v>0</v>
      </c>
      <c r="G21" s="132">
        <f>IF(SER_hh_fech!G21=0,0,SER_hh_fech!G21/SER_summary!G$26)</f>
        <v>0</v>
      </c>
      <c r="H21" s="132">
        <f>IF(SER_hh_fech!H21=0,0,SER_hh_fech!H21/SER_summary!H$26)</f>
        <v>0</v>
      </c>
      <c r="I21" s="132">
        <f>IF(SER_hh_fech!I21=0,0,SER_hh_fech!I21/SER_summary!I$26)</f>
        <v>0</v>
      </c>
      <c r="J21" s="132">
        <f>IF(SER_hh_fech!J21=0,0,SER_hh_fech!J21/SER_summary!J$26)</f>
        <v>0</v>
      </c>
      <c r="K21" s="132">
        <f>IF(SER_hh_fech!K21=0,0,SER_hh_fech!K21/SER_summary!K$26)</f>
        <v>0</v>
      </c>
      <c r="L21" s="132">
        <f>IF(SER_hh_fech!L21=0,0,SER_hh_fech!L21/SER_summary!L$26)</f>
        <v>0</v>
      </c>
      <c r="M21" s="132">
        <f>IF(SER_hh_fech!M21=0,0,SER_hh_fech!M21/SER_summary!M$26)</f>
        <v>0</v>
      </c>
      <c r="N21" s="132">
        <f>IF(SER_hh_fech!N21=0,0,SER_hh_fech!N21/SER_summary!N$26)</f>
        <v>0</v>
      </c>
      <c r="O21" s="132">
        <f>IF(SER_hh_fech!O21=0,0,SER_hh_fech!O21/SER_summary!O$26)</f>
        <v>0</v>
      </c>
      <c r="P21" s="132">
        <f>IF(SER_hh_fech!P21=0,0,SER_hh_fech!P21/SER_summary!P$26)</f>
        <v>0</v>
      </c>
      <c r="Q21" s="132">
        <f>IF(SER_hh_fech!Q21=0,0,SER_hh_fech!Q21/SER_summary!Q$26)</f>
        <v>0</v>
      </c>
      <c r="R21" s="132">
        <f>IF(SER_hh_fech!R21=0,0,SER_hh_fech!R21/SER_summary!R$26)</f>
        <v>0</v>
      </c>
      <c r="S21" s="132">
        <f>IF(SER_hh_fech!S21=0,0,SER_hh_fech!S21/SER_summary!S$26)</f>
        <v>0</v>
      </c>
      <c r="T21" s="132">
        <f>IF(SER_hh_fech!T21=0,0,SER_hh_fech!T21/SER_summary!T$26)</f>
        <v>0</v>
      </c>
      <c r="U21" s="132">
        <f>IF(SER_hh_fech!U21=0,0,SER_hh_fech!U21/SER_summary!U$26)</f>
        <v>0</v>
      </c>
      <c r="V21" s="132">
        <f>IF(SER_hh_fech!V21=0,0,SER_hh_fech!V21/SER_summary!V$26)</f>
        <v>0</v>
      </c>
      <c r="W21" s="132">
        <f>IF(SER_hh_fech!W21=0,0,SER_hh_fech!W21/SER_summary!W$26)</f>
        <v>0</v>
      </c>
      <c r="X21" s="132">
        <f>IF(SER_hh_fech!X21=0,0,SER_hh_fech!X21/SER_summary!X$26)</f>
        <v>0</v>
      </c>
      <c r="Y21" s="132">
        <f>IF(SER_hh_fech!Y21=0,0,SER_hh_fech!Y21/SER_summary!Y$26)</f>
        <v>0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51.719877047021008</v>
      </c>
      <c r="C22" s="132">
        <f>IF(SER_hh_fech!C22=0,0,SER_hh_fech!C22/SER_summary!C$26)</f>
        <v>52.219997014740812</v>
      </c>
      <c r="D22" s="132">
        <f>IF(SER_hh_fech!D22=0,0,SER_hh_fech!D22/SER_summary!D$26)</f>
        <v>51.588097108011091</v>
      </c>
      <c r="E22" s="132">
        <f>IF(SER_hh_fech!E22=0,0,SER_hh_fech!E22/SER_summary!E$26)</f>
        <v>51.349757928621308</v>
      </c>
      <c r="F22" s="132">
        <f>IF(SER_hh_fech!F22=0,0,SER_hh_fech!F22/SER_summary!F$26)</f>
        <v>50.689903861155649</v>
      </c>
      <c r="G22" s="132">
        <f>IF(SER_hh_fech!G22=0,0,SER_hh_fech!G22/SER_summary!G$26)</f>
        <v>50.405509208572994</v>
      </c>
      <c r="H22" s="132">
        <f>IF(SER_hh_fech!H22=0,0,SER_hh_fech!H22/SER_summary!H$26)</f>
        <v>51.509974563923713</v>
      </c>
      <c r="I22" s="132">
        <f>IF(SER_hh_fech!I22=0,0,SER_hh_fech!I22/SER_summary!I$26)</f>
        <v>50.056629325958866</v>
      </c>
      <c r="J22" s="132">
        <f>IF(SER_hh_fech!J22=0,0,SER_hh_fech!J22/SER_summary!J$26)</f>
        <v>51.078165690827831</v>
      </c>
      <c r="K22" s="132">
        <f>IF(SER_hh_fech!K22=0,0,SER_hh_fech!K22/SER_summary!K$26)</f>
        <v>50.529363108678069</v>
      </c>
      <c r="L22" s="132">
        <f>IF(SER_hh_fech!L22=0,0,SER_hh_fech!L22/SER_summary!L$26)</f>
        <v>50.215316678767529</v>
      </c>
      <c r="M22" s="132">
        <f>IF(SER_hh_fech!M22=0,0,SER_hh_fech!M22/SER_summary!M$26)</f>
        <v>50.542533697710574</v>
      </c>
      <c r="N22" s="132">
        <f>IF(SER_hh_fech!N22=0,0,SER_hh_fech!N22/SER_summary!N$26)</f>
        <v>50.208677799999457</v>
      </c>
      <c r="O22" s="132">
        <f>IF(SER_hh_fech!O22=0,0,SER_hh_fech!O22/SER_summary!O$26)</f>
        <v>50.00353497424782</v>
      </c>
      <c r="P22" s="132">
        <f>IF(SER_hh_fech!P22=0,0,SER_hh_fech!P22/SER_summary!P$26)</f>
        <v>49.41090324874326</v>
      </c>
      <c r="Q22" s="132">
        <f>IF(SER_hh_fech!Q22=0,0,SER_hh_fech!Q22/SER_summary!Q$26)</f>
        <v>49.612341550347111</v>
      </c>
      <c r="R22" s="132">
        <f>IF(SER_hh_fech!R22=0,0,SER_hh_fech!R22/SER_summary!R$26)</f>
        <v>49.298469632965663</v>
      </c>
      <c r="S22" s="132">
        <f>IF(SER_hh_fech!S22=0,0,SER_hh_fech!S22/SER_summary!S$26)</f>
        <v>49.224959133744207</v>
      </c>
      <c r="T22" s="132">
        <f>IF(SER_hh_fech!T22=0,0,SER_hh_fech!T22/SER_summary!T$26)</f>
        <v>48.36860975450837</v>
      </c>
      <c r="U22" s="132">
        <f>IF(SER_hh_fech!U22=0,0,SER_hh_fech!U22/SER_summary!U$26)</f>
        <v>46.202033920835689</v>
      </c>
      <c r="V22" s="132">
        <f>IF(SER_hh_fech!V22=0,0,SER_hh_fech!V22/SER_summary!V$26)</f>
        <v>41.513683157909647</v>
      </c>
      <c r="W22" s="132">
        <f>IF(SER_hh_fech!W22=0,0,SER_hh_fech!W22/SER_summary!W$26)</f>
        <v>43.613977691725026</v>
      </c>
      <c r="X22" s="132">
        <f>IF(SER_hh_fech!X22=0,0,SER_hh_fech!X22/SER_summary!X$26)</f>
        <v>42.830714470765045</v>
      </c>
      <c r="Y22" s="132">
        <f>IF(SER_hh_fech!Y22=0,0,SER_hh_fech!Y22/SER_summary!Y$26)</f>
        <v>43.123536802402484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50.050086916840264</v>
      </c>
      <c r="C23" s="132">
        <f>IF(SER_hh_fech!C23=0,0,SER_hh_fech!C23/SER_summary!C$26)</f>
        <v>48.670384411011305</v>
      </c>
      <c r="D23" s="132">
        <f>IF(SER_hh_fech!D23=0,0,SER_hh_fech!D23/SER_summary!D$26)</f>
        <v>49.792409347564686</v>
      </c>
      <c r="E23" s="132">
        <f>IF(SER_hh_fech!E23=0,0,SER_hh_fech!E23/SER_summary!E$26)</f>
        <v>48.164766422543941</v>
      </c>
      <c r="F23" s="132">
        <f>IF(SER_hh_fech!F23=0,0,SER_hh_fech!F23/SER_summary!F$26)</f>
        <v>47.139911699293265</v>
      </c>
      <c r="G23" s="132">
        <f>IF(SER_hh_fech!G23=0,0,SER_hh_fech!G23/SER_summary!G$26)</f>
        <v>47.594275169452892</v>
      </c>
      <c r="H23" s="132">
        <f>IF(SER_hh_fech!H23=0,0,SER_hh_fech!H23/SER_summary!H$26)</f>
        <v>45.736213998234895</v>
      </c>
      <c r="I23" s="132">
        <f>IF(SER_hh_fech!I23=0,0,SER_hh_fech!I23/SER_summary!I$26)</f>
        <v>44.397242447178002</v>
      </c>
      <c r="J23" s="132">
        <f>IF(SER_hh_fech!J23=0,0,SER_hh_fech!J23/SER_summary!J$26)</f>
        <v>46.757061230984135</v>
      </c>
      <c r="K23" s="132">
        <f>IF(SER_hh_fech!K23=0,0,SER_hh_fech!K23/SER_summary!K$26)</f>
        <v>47.08887034971761</v>
      </c>
      <c r="L23" s="132">
        <f>IF(SER_hh_fech!L23=0,0,SER_hh_fech!L23/SER_summary!L$26)</f>
        <v>45.497187701256564</v>
      </c>
      <c r="M23" s="132">
        <f>IF(SER_hh_fech!M23=0,0,SER_hh_fech!M23/SER_summary!M$26)</f>
        <v>45.546348778930138</v>
      </c>
      <c r="N23" s="132">
        <f>IF(SER_hh_fech!N23=0,0,SER_hh_fech!N23/SER_summary!N$26)</f>
        <v>44.970998295240953</v>
      </c>
      <c r="O23" s="132">
        <f>IF(SER_hh_fech!O23=0,0,SER_hh_fech!O23/SER_summary!O$26)</f>
        <v>44.763856778348966</v>
      </c>
      <c r="P23" s="132">
        <f>IF(SER_hh_fech!P23=0,0,SER_hh_fech!P23/SER_summary!P$26)</f>
        <v>43.86664010101547</v>
      </c>
      <c r="Q23" s="132">
        <f>IF(SER_hh_fech!Q23=0,0,SER_hh_fech!Q23/SER_summary!Q$26)</f>
        <v>43.862712552418536</v>
      </c>
      <c r="R23" s="132">
        <f>IF(SER_hh_fech!R23=0,0,SER_hh_fech!R23/SER_summary!R$26)</f>
        <v>43.485038120774341</v>
      </c>
      <c r="S23" s="132">
        <f>IF(SER_hh_fech!S23=0,0,SER_hh_fech!S23/SER_summary!S$26)</f>
        <v>43.355327222892946</v>
      </c>
      <c r="T23" s="132">
        <f>IF(SER_hh_fech!T23=0,0,SER_hh_fech!T23/SER_summary!T$26)</f>
        <v>40.981011232571888</v>
      </c>
      <c r="U23" s="132">
        <f>IF(SER_hh_fech!U23=0,0,SER_hh_fech!U23/SER_summary!U$26)</f>
        <v>39.337796470501956</v>
      </c>
      <c r="V23" s="132">
        <f>IF(SER_hh_fech!V23=0,0,SER_hh_fech!V23/SER_summary!V$26)</f>
        <v>37.74841900137033</v>
      </c>
      <c r="W23" s="132">
        <f>IF(SER_hh_fech!W23=0,0,SER_hh_fech!W23/SER_summary!W$26)</f>
        <v>38.180662219869618</v>
      </c>
      <c r="X23" s="132">
        <f>IF(SER_hh_fech!X23=0,0,SER_hh_fech!X23/SER_summary!X$26)</f>
        <v>38.413648309126195</v>
      </c>
      <c r="Y23" s="132">
        <f>IF(SER_hh_fech!Y23=0,0,SER_hh_fech!Y23/SER_summary!Y$26)</f>
        <v>36.607686592698897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65.612792087883179</v>
      </c>
      <c r="C24" s="132">
        <f>IF(SER_hh_fech!C24=0,0,SER_hh_fech!C24/SER_summary!C$26)</f>
        <v>56.719994201700018</v>
      </c>
      <c r="D24" s="132">
        <f>IF(SER_hh_fech!D24=0,0,SER_hh_fech!D24/SER_summary!D$26)</f>
        <v>55.415374009260354</v>
      </c>
      <c r="E24" s="132">
        <f>IF(SER_hh_fech!E24=0,0,SER_hh_fech!E24/SER_summary!E$26)</f>
        <v>53.069918792576154</v>
      </c>
      <c r="F24" s="132">
        <f>IF(SER_hh_fech!F24=0,0,SER_hh_fech!F24/SER_summary!F$26)</f>
        <v>53.437576358666554</v>
      </c>
      <c r="G24" s="132">
        <f>IF(SER_hh_fech!G24=0,0,SER_hh_fech!G24/SER_summary!G$26)</f>
        <v>52.52242791518227</v>
      </c>
      <c r="H24" s="132">
        <f>IF(SER_hh_fech!H24=0,0,SER_hh_fech!H24/SER_summary!H$26)</f>
        <v>50.846247750041002</v>
      </c>
      <c r="I24" s="132">
        <f>IF(SER_hh_fech!I24=0,0,SER_hh_fech!I24/SER_summary!I$26)</f>
        <v>49.789905505591882</v>
      </c>
      <c r="J24" s="132">
        <f>IF(SER_hh_fech!J24=0,0,SER_hh_fech!J24/SER_summary!J$26)</f>
        <v>47.749435361638895</v>
      </c>
      <c r="K24" s="132">
        <f>IF(SER_hh_fech!K24=0,0,SER_hh_fech!K24/SER_summary!K$26)</f>
        <v>47.31634063796109</v>
      </c>
      <c r="L24" s="132">
        <f>IF(SER_hh_fech!L24=0,0,SER_hh_fech!L24/SER_summary!L$26)</f>
        <v>46.417317487472133</v>
      </c>
      <c r="M24" s="132">
        <f>IF(SER_hh_fech!M24=0,0,SER_hh_fech!M24/SER_summary!M$26)</f>
        <v>46.136600116378865</v>
      </c>
      <c r="N24" s="132">
        <f>IF(SER_hh_fech!N24=0,0,SER_hh_fech!N24/SER_summary!N$26)</f>
        <v>44.298232925522314</v>
      </c>
      <c r="O24" s="132">
        <f>IF(SER_hh_fech!O24=0,0,SER_hh_fech!O24/SER_summary!O$26)</f>
        <v>43.906639926378091</v>
      </c>
      <c r="P24" s="132">
        <f>IF(SER_hh_fech!P24=0,0,SER_hh_fech!P24/SER_summary!P$26)</f>
        <v>43.374533482973689</v>
      </c>
      <c r="Q24" s="132">
        <f>IF(SER_hh_fech!Q24=0,0,SER_hh_fech!Q24/SER_summary!Q$26)</f>
        <v>44.023550307660024</v>
      </c>
      <c r="R24" s="132">
        <f>IF(SER_hh_fech!R24=0,0,SER_hh_fech!R24/SER_summary!R$26)</f>
        <v>42.933083396124509</v>
      </c>
      <c r="S24" s="132">
        <f>IF(SER_hh_fech!S24=0,0,SER_hh_fech!S24/SER_summary!S$26)</f>
        <v>47.098257291354173</v>
      </c>
      <c r="T24" s="132">
        <f>IF(SER_hh_fech!T24=0,0,SER_hh_fech!T24/SER_summary!T$26)</f>
        <v>42.437377287488673</v>
      </c>
      <c r="U24" s="132">
        <f>IF(SER_hh_fech!U24=0,0,SER_hh_fech!U24/SER_summary!U$26)</f>
        <v>39.619522410513397</v>
      </c>
      <c r="V24" s="132">
        <f>IF(SER_hh_fech!V24=0,0,SER_hh_fech!V24/SER_summary!V$26)</f>
        <v>36.293616157518969</v>
      </c>
      <c r="W24" s="132">
        <f>IF(SER_hh_fech!W24=0,0,SER_hh_fech!W24/SER_summary!W$26)</f>
        <v>38.2581973919063</v>
      </c>
      <c r="X24" s="132">
        <f>IF(SER_hh_fech!X24=0,0,SER_hh_fech!X24/SER_summary!X$26)</f>
        <v>42.419105494133326</v>
      </c>
      <c r="Y24" s="132">
        <f>IF(SER_hh_fech!Y24=0,0,SER_hh_fech!Y24/SER_summary!Y$26)</f>
        <v>38.681773934521246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35.240176219441011</v>
      </c>
      <c r="C25" s="132">
        <f>IF(SER_hh_fech!C25=0,0,SER_hh_fech!C25/SER_summary!C$26)</f>
        <v>34.419039754485802</v>
      </c>
      <c r="D25" s="132">
        <f>IF(SER_hh_fech!D25=0,0,SER_hh_fech!D25/SER_summary!D$26)</f>
        <v>34.063165198215984</v>
      </c>
      <c r="E25" s="132">
        <f>IF(SER_hh_fech!E25=0,0,SER_hh_fech!E25/SER_summary!E$26)</f>
        <v>33.826514309922423</v>
      </c>
      <c r="F25" s="132">
        <f>IF(SER_hh_fech!F25=0,0,SER_hh_fech!F25/SER_summary!F$26)</f>
        <v>33.629819043574031</v>
      </c>
      <c r="G25" s="132">
        <f>IF(SER_hh_fech!G25=0,0,SER_hh_fech!G25/SER_summary!G$26)</f>
        <v>33.251862479444746</v>
      </c>
      <c r="H25" s="132">
        <f>IF(SER_hh_fech!H25=0,0,SER_hh_fech!H25/SER_summary!H$26)</f>
        <v>33.472654741251482</v>
      </c>
      <c r="I25" s="132">
        <f>IF(SER_hh_fech!I25=0,0,SER_hh_fech!I25/SER_summary!I$26)</f>
        <v>33.822581219550337</v>
      </c>
      <c r="J25" s="132">
        <f>IF(SER_hh_fech!J25=0,0,SER_hh_fech!J25/SER_summary!J$26)</f>
        <v>32.751521377721069</v>
      </c>
      <c r="K25" s="132">
        <f>IF(SER_hh_fech!K25=0,0,SER_hh_fech!K25/SER_summary!K$26)</f>
        <v>33.642126395091211</v>
      </c>
      <c r="L25" s="132">
        <f>IF(SER_hh_fech!L25=0,0,SER_hh_fech!L25/SER_summary!L$26)</f>
        <v>33.492062036467736</v>
      </c>
      <c r="M25" s="132">
        <f>IF(SER_hh_fech!M25=0,0,SER_hh_fech!M25/SER_summary!M$26)</f>
        <v>34.120187160808911</v>
      </c>
      <c r="N25" s="132">
        <f>IF(SER_hh_fech!N25=0,0,SER_hh_fech!N25/SER_summary!N$26)</f>
        <v>33.76831486002839</v>
      </c>
      <c r="O25" s="132">
        <f>IF(SER_hh_fech!O25=0,0,SER_hh_fech!O25/SER_summary!O$26)</f>
        <v>33.779462902773915</v>
      </c>
      <c r="P25" s="132">
        <f>IF(SER_hh_fech!P25=0,0,SER_hh_fech!P25/SER_summary!P$26)</f>
        <v>32.966731871337899</v>
      </c>
      <c r="Q25" s="132">
        <f>IF(SER_hh_fech!Q25=0,0,SER_hh_fech!Q25/SER_summary!Q$26)</f>
        <v>34.23366218417371</v>
      </c>
      <c r="R25" s="132">
        <f>IF(SER_hh_fech!R25=0,0,SER_hh_fech!R25/SER_summary!R$26)</f>
        <v>34.293692032108197</v>
      </c>
      <c r="S25" s="132">
        <f>IF(SER_hh_fech!S25=0,0,SER_hh_fech!S25/SER_summary!S$26)</f>
        <v>34.510743616932395</v>
      </c>
      <c r="T25" s="132">
        <f>IF(SER_hh_fech!T25=0,0,SER_hh_fech!T25/SER_summary!T$26)</f>
        <v>33.303279660217335</v>
      </c>
      <c r="U25" s="132">
        <f>IF(SER_hh_fech!U25=0,0,SER_hh_fech!U25/SER_summary!U$26)</f>
        <v>33.115774795877066</v>
      </c>
      <c r="V25" s="132">
        <f>IF(SER_hh_fech!V25=0,0,SER_hh_fech!V25/SER_summary!V$26)</f>
        <v>30.373092876079884</v>
      </c>
      <c r="W25" s="132">
        <f>IF(SER_hh_fech!W25=0,0,SER_hh_fech!W25/SER_summary!W$26)</f>
        <v>32.620180395907944</v>
      </c>
      <c r="X25" s="132">
        <f>IF(SER_hh_fech!X25=0,0,SER_hh_fech!X25/SER_summary!X$26)</f>
        <v>34.215048346446942</v>
      </c>
      <c r="Y25" s="132">
        <f>IF(SER_hh_fech!Y25=0,0,SER_hh_fech!Y25/SER_summary!Y$26)</f>
        <v>32.118625771394463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37.902589073798623</v>
      </c>
      <c r="C26" s="65">
        <f>IF(SER_hh_fech!C26=0,0,SER_hh_fech!C26/SER_summary!C$26)</f>
        <v>43.074768221799147</v>
      </c>
      <c r="D26" s="65">
        <f>IF(SER_hh_fech!D26=0,0,SER_hh_fech!D26/SER_summary!D$26)</f>
        <v>39.367009026723998</v>
      </c>
      <c r="E26" s="65">
        <f>IF(SER_hh_fech!E26=0,0,SER_hh_fech!E26/SER_summary!E$26)</f>
        <v>39.535232350011654</v>
      </c>
      <c r="F26" s="65">
        <f>IF(SER_hh_fech!F26=0,0,SER_hh_fech!F26/SER_summary!F$26)</f>
        <v>40.629022126690188</v>
      </c>
      <c r="G26" s="65">
        <f>IF(SER_hh_fech!G26=0,0,SER_hh_fech!G26/SER_summary!G$26)</f>
        <v>39.275148796022052</v>
      </c>
      <c r="H26" s="65">
        <f>IF(SER_hh_fech!H26=0,0,SER_hh_fech!H26/SER_summary!H$26)</f>
        <v>40.06613325761824</v>
      </c>
      <c r="I26" s="65">
        <f>IF(SER_hh_fech!I26=0,0,SER_hh_fech!I26/SER_summary!I$26)</f>
        <v>39.723757377909749</v>
      </c>
      <c r="J26" s="65">
        <f>IF(SER_hh_fech!J26=0,0,SER_hh_fech!J26/SER_summary!J$26)</f>
        <v>38.596804118855111</v>
      </c>
      <c r="K26" s="65">
        <f>IF(SER_hh_fech!K26=0,0,SER_hh_fech!K26/SER_summary!K$26)</f>
        <v>41.508852133893186</v>
      </c>
      <c r="L26" s="65">
        <f>IF(SER_hh_fech!L26=0,0,SER_hh_fech!L26/SER_summary!L$26)</f>
        <v>40.61433193997992</v>
      </c>
      <c r="M26" s="65">
        <f>IF(SER_hh_fech!M26=0,0,SER_hh_fech!M26/SER_summary!M$26)</f>
        <v>41.38455418969221</v>
      </c>
      <c r="N26" s="65">
        <f>IF(SER_hh_fech!N26=0,0,SER_hh_fech!N26/SER_summary!N$26)</f>
        <v>39.232905012754522</v>
      </c>
      <c r="O26" s="65">
        <f>IF(SER_hh_fech!O26=0,0,SER_hh_fech!O26/SER_summary!O$26)</f>
        <v>41.261915558875991</v>
      </c>
      <c r="P26" s="65">
        <f>IF(SER_hh_fech!P26=0,0,SER_hh_fech!P26/SER_summary!P$26)</f>
        <v>40.30939963020959</v>
      </c>
      <c r="Q26" s="65">
        <f>IF(SER_hh_fech!Q26=0,0,SER_hh_fech!Q26/SER_summary!Q$26)</f>
        <v>39.003012005963576</v>
      </c>
      <c r="R26" s="65">
        <f>IF(SER_hh_fech!R26=0,0,SER_hh_fech!R26/SER_summary!R$26)</f>
        <v>39.638780349169828</v>
      </c>
      <c r="S26" s="65">
        <f>IF(SER_hh_fech!S26=0,0,SER_hh_fech!S26/SER_summary!S$26)</f>
        <v>38.991523074464446</v>
      </c>
      <c r="T26" s="65">
        <f>IF(SER_hh_fech!T26=0,0,SER_hh_fech!T26/SER_summary!T$26)</f>
        <v>39.334842646625894</v>
      </c>
      <c r="U26" s="65">
        <f>IF(SER_hh_fech!U26=0,0,SER_hh_fech!U26/SER_summary!U$26)</f>
        <v>37.975723602904736</v>
      </c>
      <c r="V26" s="65">
        <f>IF(SER_hh_fech!V26=0,0,SER_hh_fech!V26/SER_summary!V$26)</f>
        <v>32.773406863680982</v>
      </c>
      <c r="W26" s="65">
        <f>IF(SER_hh_fech!W26=0,0,SER_hh_fech!W26/SER_summary!W$26)</f>
        <v>34.399359275645573</v>
      </c>
      <c r="X26" s="65">
        <f>IF(SER_hh_fech!X26=0,0,SER_hh_fech!X26/SER_summary!X$26)</f>
        <v>32.982651544483382</v>
      </c>
      <c r="Y26" s="65">
        <f>IF(SER_hh_fech!Y26=0,0,SER_hh_fech!Y26/SER_summary!Y$26)</f>
        <v>34.938558821193084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</v>
      </c>
      <c r="C27" s="145">
        <f>IF(SER_hh_fech!C27=0,0,SER_hh_fech!C27/SER_summary!C$26)</f>
        <v>0</v>
      </c>
      <c r="D27" s="145">
        <f>IF(SER_hh_fech!D27=0,0,SER_hh_fech!D27/SER_summary!D$26)</f>
        <v>0</v>
      </c>
      <c r="E27" s="145">
        <f>IF(SER_hh_fech!E27=0,0,SER_hh_fech!E27/SER_summary!E$26)</f>
        <v>0</v>
      </c>
      <c r="F27" s="145">
        <f>IF(SER_hh_fech!F27=0,0,SER_hh_fech!F27/SER_summary!F$26)</f>
        <v>0</v>
      </c>
      <c r="G27" s="145">
        <f>IF(SER_hh_fech!G27=0,0,SER_hh_fech!G27/SER_summary!G$26)</f>
        <v>0</v>
      </c>
      <c r="H27" s="145">
        <f>IF(SER_hh_fech!H27=0,0,SER_hh_fech!H27/SER_summary!H$26)</f>
        <v>0</v>
      </c>
      <c r="I27" s="145">
        <f>IF(SER_hh_fech!I27=0,0,SER_hh_fech!I27/SER_summary!I$26)</f>
        <v>0</v>
      </c>
      <c r="J27" s="145">
        <f>IF(SER_hh_fech!J27=0,0,SER_hh_fech!J27/SER_summary!J$26)</f>
        <v>0</v>
      </c>
      <c r="K27" s="145">
        <f>IF(SER_hh_fech!K27=0,0,SER_hh_fech!K27/SER_summary!K$26)</f>
        <v>0</v>
      </c>
      <c r="L27" s="145">
        <f>IF(SER_hh_fech!L27=0,0,SER_hh_fech!L27/SER_summary!L$26)</f>
        <v>0</v>
      </c>
      <c r="M27" s="145">
        <f>IF(SER_hh_fech!M27=0,0,SER_hh_fech!M27/SER_summary!M$26)</f>
        <v>0</v>
      </c>
      <c r="N27" s="145">
        <f>IF(SER_hh_fech!N27=0,0,SER_hh_fech!N27/SER_summary!N$26)</f>
        <v>0</v>
      </c>
      <c r="O27" s="145">
        <f>IF(SER_hh_fech!O27=0,0,SER_hh_fech!O27/SER_summary!O$26)</f>
        <v>0</v>
      </c>
      <c r="P27" s="145">
        <f>IF(SER_hh_fech!P27=0,0,SER_hh_fech!P27/SER_summary!P$26)</f>
        <v>0</v>
      </c>
      <c r="Q27" s="145">
        <f>IF(SER_hh_fech!Q27=0,0,SER_hh_fech!Q27/SER_summary!Q$26)</f>
        <v>0</v>
      </c>
      <c r="R27" s="145">
        <f>IF(SER_hh_fech!R27=0,0,SER_hh_fech!R27/SER_summary!R$26)</f>
        <v>0</v>
      </c>
      <c r="S27" s="145">
        <f>IF(SER_hh_fech!S27=0,0,SER_hh_fech!S27/SER_summary!S$26)</f>
        <v>0</v>
      </c>
      <c r="T27" s="145">
        <f>IF(SER_hh_fech!T27=0,0,SER_hh_fech!T27/SER_summary!T$26)</f>
        <v>0</v>
      </c>
      <c r="U27" s="145">
        <f>IF(SER_hh_fech!U27=0,0,SER_hh_fech!U27/SER_summary!U$26)</f>
        <v>0</v>
      </c>
      <c r="V27" s="145">
        <f>IF(SER_hh_fech!V27=0,0,SER_hh_fech!V27/SER_summary!V$26)</f>
        <v>0</v>
      </c>
      <c r="W27" s="145">
        <f>IF(SER_hh_fech!W27=0,0,SER_hh_fech!W27/SER_summary!W$26)</f>
        <v>0</v>
      </c>
      <c r="X27" s="145">
        <f>IF(SER_hh_fech!X27=0,0,SER_hh_fech!X27/SER_summary!X$26)</f>
        <v>0</v>
      </c>
      <c r="Y27" s="145">
        <f>IF(SER_hh_fech!Y27=0,0,SER_hh_fech!Y27/SER_summary!Y$26)</f>
        <v>0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0</v>
      </c>
      <c r="C28" s="146">
        <f>IF(SER_hh_fech!C28=0,0,SER_hh_fech!C28/SER_summary!C$26)</f>
        <v>0</v>
      </c>
      <c r="D28" s="146">
        <f>IF(SER_hh_fech!D28=0,0,SER_hh_fech!D28/SER_summary!D$26)</f>
        <v>0</v>
      </c>
      <c r="E28" s="146">
        <f>IF(SER_hh_fech!E28=0,0,SER_hh_fech!E28/SER_summary!E$26)</f>
        <v>0</v>
      </c>
      <c r="F28" s="146">
        <f>IF(SER_hh_fech!F28=0,0,SER_hh_fech!F28/SER_summary!F$26)</f>
        <v>0</v>
      </c>
      <c r="G28" s="146">
        <f>IF(SER_hh_fech!G28=0,0,SER_hh_fech!G28/SER_summary!G$26)</f>
        <v>0</v>
      </c>
      <c r="H28" s="146">
        <f>IF(SER_hh_fech!H28=0,0,SER_hh_fech!H28/SER_summary!H$26)</f>
        <v>0</v>
      </c>
      <c r="I28" s="146">
        <f>IF(SER_hh_fech!I28=0,0,SER_hh_fech!I28/SER_summary!I$26)</f>
        <v>0</v>
      </c>
      <c r="J28" s="146">
        <f>IF(SER_hh_fech!J28=0,0,SER_hh_fech!J28/SER_summary!J$26)</f>
        <v>0</v>
      </c>
      <c r="K28" s="146">
        <f>IF(SER_hh_fech!K28=0,0,SER_hh_fech!K28/SER_summary!K$26)</f>
        <v>0</v>
      </c>
      <c r="L28" s="146">
        <f>IF(SER_hh_fech!L28=0,0,SER_hh_fech!L28/SER_summary!L$26)</f>
        <v>0</v>
      </c>
      <c r="M28" s="146">
        <f>IF(SER_hh_fech!M28=0,0,SER_hh_fech!M28/SER_summary!M$26)</f>
        <v>0</v>
      </c>
      <c r="N28" s="146">
        <f>IF(SER_hh_fech!N28=0,0,SER_hh_fech!N28/SER_summary!N$26)</f>
        <v>0</v>
      </c>
      <c r="O28" s="146">
        <f>IF(SER_hh_fech!O28=0,0,SER_hh_fech!O28/SER_summary!O$26)</f>
        <v>0</v>
      </c>
      <c r="P28" s="146">
        <f>IF(SER_hh_fech!P28=0,0,SER_hh_fech!P28/SER_summary!P$26)</f>
        <v>0</v>
      </c>
      <c r="Q28" s="146">
        <f>IF(SER_hh_fech!Q28=0,0,SER_hh_fech!Q28/SER_summary!Q$26)</f>
        <v>0</v>
      </c>
      <c r="R28" s="146">
        <f>IF(SER_hh_fech!R28=0,0,SER_hh_fech!R28/SER_summary!R$26)</f>
        <v>0</v>
      </c>
      <c r="S28" s="146">
        <f>IF(SER_hh_fech!S28=0,0,SER_hh_fech!S28/SER_summary!S$26)</f>
        <v>0</v>
      </c>
      <c r="T28" s="146">
        <f>IF(SER_hh_fech!T28=0,0,SER_hh_fech!T28/SER_summary!T$26)</f>
        <v>0</v>
      </c>
      <c r="U28" s="146">
        <f>IF(SER_hh_fech!U28=0,0,SER_hh_fech!U28/SER_summary!U$26)</f>
        <v>0</v>
      </c>
      <c r="V28" s="146">
        <f>IF(SER_hh_fech!V28=0,0,SER_hh_fech!V28/SER_summary!V$26)</f>
        <v>0</v>
      </c>
      <c r="W28" s="146">
        <f>IF(SER_hh_fech!W28=0,0,SER_hh_fech!W28/SER_summary!W$26)</f>
        <v>0</v>
      </c>
      <c r="X28" s="146">
        <f>IF(SER_hh_fech!X28=0,0,SER_hh_fech!X28/SER_summary!X$26)</f>
        <v>0</v>
      </c>
      <c r="Y28" s="146">
        <f>IF(SER_hh_fech!Y28=0,0,SER_hh_fech!Y28/SER_summary!Y$26)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46.888473067389619</v>
      </c>
      <c r="C29" s="130">
        <f>IF(SER_hh_fech!C29=0,0,SER_hh_fech!C29/SER_summary!C$26)</f>
        <v>47.713204913607505</v>
      </c>
      <c r="D29" s="130">
        <f>IF(SER_hh_fech!D29=0,0,SER_hh_fech!D29/SER_summary!D$26)</f>
        <v>45.527948741801154</v>
      </c>
      <c r="E29" s="130">
        <f>IF(SER_hh_fech!E29=0,0,SER_hh_fech!E29/SER_summary!E$26)</f>
        <v>44.836071602162136</v>
      </c>
      <c r="F29" s="130">
        <f>IF(SER_hh_fech!F29=0,0,SER_hh_fech!F29/SER_summary!F$26)</f>
        <v>45.021576437476739</v>
      </c>
      <c r="G29" s="130">
        <f>IF(SER_hh_fech!G29=0,0,SER_hh_fech!G29/SER_summary!G$26)</f>
        <v>45.718698285353547</v>
      </c>
      <c r="H29" s="130">
        <f>IF(SER_hh_fech!H29=0,0,SER_hh_fech!H29/SER_summary!H$26)</f>
        <v>45.383272783114926</v>
      </c>
      <c r="I29" s="130">
        <f>IF(SER_hh_fech!I29=0,0,SER_hh_fech!I29/SER_summary!I$26)</f>
        <v>43.464258404710598</v>
      </c>
      <c r="J29" s="130">
        <f>IF(SER_hh_fech!J29=0,0,SER_hh_fech!J29/SER_summary!J$26)</f>
        <v>44.059873063682893</v>
      </c>
      <c r="K29" s="130">
        <f>IF(SER_hh_fech!K29=0,0,SER_hh_fech!K29/SER_summary!K$26)</f>
        <v>45.58119504225084</v>
      </c>
      <c r="L29" s="130">
        <f>IF(SER_hh_fech!L29=0,0,SER_hh_fech!L29/SER_summary!L$26)</f>
        <v>44.904319739969608</v>
      </c>
      <c r="M29" s="130">
        <f>IF(SER_hh_fech!M29=0,0,SER_hh_fech!M29/SER_summary!M$26)</f>
        <v>44.596381782788164</v>
      </c>
      <c r="N29" s="130">
        <f>IF(SER_hh_fech!N29=0,0,SER_hh_fech!N29/SER_summary!N$26)</f>
        <v>44.213036085836556</v>
      </c>
      <c r="O29" s="130">
        <f>IF(SER_hh_fech!O29=0,0,SER_hh_fech!O29/SER_summary!O$26)</f>
        <v>44.743091340694903</v>
      </c>
      <c r="P29" s="130">
        <f>IF(SER_hh_fech!P29=0,0,SER_hh_fech!P29/SER_summary!P$26)</f>
        <v>44.215090113690188</v>
      </c>
      <c r="Q29" s="130">
        <f>IF(SER_hh_fech!Q29=0,0,SER_hh_fech!Q29/SER_summary!Q$26)</f>
        <v>43.848549868211258</v>
      </c>
      <c r="R29" s="130">
        <f>IF(SER_hh_fech!R29=0,0,SER_hh_fech!R29/SER_summary!R$26)</f>
        <v>43.192838509282396</v>
      </c>
      <c r="S29" s="130">
        <f>IF(SER_hh_fech!S29=0,0,SER_hh_fech!S29/SER_summary!S$26)</f>
        <v>43.512895626451936</v>
      </c>
      <c r="T29" s="130">
        <f>IF(SER_hh_fech!T29=0,0,SER_hh_fech!T29/SER_summary!T$26)</f>
        <v>42.986718202118574</v>
      </c>
      <c r="U29" s="130">
        <f>IF(SER_hh_fech!U29=0,0,SER_hh_fech!U29/SER_summary!U$26)</f>
        <v>42.848083940824822</v>
      </c>
      <c r="V29" s="130">
        <f>IF(SER_hh_fech!V29=0,0,SER_hh_fech!V29/SER_summary!V$26)</f>
        <v>39.671871757459137</v>
      </c>
      <c r="W29" s="130">
        <f>IF(SER_hh_fech!W29=0,0,SER_hh_fech!W29/SER_summary!W$26)</f>
        <v>40.812990232953773</v>
      </c>
      <c r="X29" s="130">
        <f>IF(SER_hh_fech!X29=0,0,SER_hh_fech!X29/SER_summary!X$26)</f>
        <v>41.8095266026601</v>
      </c>
      <c r="Y29" s="130">
        <f>IF(SER_hh_fech!Y29=0,0,SER_hh_fech!Y29/SER_summary!Y$26)</f>
        <v>40.961544095095142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0</v>
      </c>
      <c r="C30" s="132">
        <f>IF(SER_hh_fech!C30=0,0,SER_hh_fech!C30/SER_summary!C$26)</f>
        <v>89.176297482197299</v>
      </c>
      <c r="D30" s="132">
        <f>IF(SER_hh_fech!D30=0,0,SER_hh_fech!D30/SER_summary!D$26)</f>
        <v>28.068645902551101</v>
      </c>
      <c r="E30" s="132">
        <f>IF(SER_hh_fech!E30=0,0,SER_hh_fech!E30/SER_summary!E$26)</f>
        <v>72.780727970194206</v>
      </c>
      <c r="F30" s="132">
        <f>IF(SER_hh_fech!F30=0,0,SER_hh_fech!F30/SER_summary!F$26)</f>
        <v>52.847494907794534</v>
      </c>
      <c r="G30" s="132">
        <f>IF(SER_hh_fech!G30=0,0,SER_hh_fech!G30/SER_summary!G$26)</f>
        <v>51.350437475858961</v>
      </c>
      <c r="H30" s="132">
        <f>IF(SER_hh_fech!H30=0,0,SER_hh_fech!H30/SER_summary!H$26)</f>
        <v>54.808172789648772</v>
      </c>
      <c r="I30" s="132">
        <f>IF(SER_hh_fech!I30=0,0,SER_hh_fech!I30/SER_summary!I$26)</f>
        <v>58.293852827971776</v>
      </c>
      <c r="J30" s="132">
        <f>IF(SER_hh_fech!J30=0,0,SER_hh_fech!J30/SER_summary!J$26)</f>
        <v>45.782382731825479</v>
      </c>
      <c r="K30" s="132">
        <f>IF(SER_hh_fech!K30=0,0,SER_hh_fech!K30/SER_summary!K$26)</f>
        <v>53.209107856385032</v>
      </c>
      <c r="L30" s="132">
        <f>IF(SER_hh_fech!L30=0,0,SER_hh_fech!L30/SER_summary!L$26)</f>
        <v>59.506581354260085</v>
      </c>
      <c r="M30" s="132">
        <f>IF(SER_hh_fech!M30=0,0,SER_hh_fech!M30/SER_summary!M$26)</f>
        <v>33.626041394200485</v>
      </c>
      <c r="N30" s="132">
        <f>IF(SER_hh_fech!N30=0,0,SER_hh_fech!N30/SER_summary!N$26)</f>
        <v>56.70701736478825</v>
      </c>
      <c r="O30" s="132">
        <f>IF(SER_hh_fech!O30=0,0,SER_hh_fech!O30/SER_summary!O$26)</f>
        <v>49.172735826159467</v>
      </c>
      <c r="P30" s="132">
        <f>IF(SER_hh_fech!P30=0,0,SER_hh_fech!P30/SER_summary!P$26)</f>
        <v>55.493427317590601</v>
      </c>
      <c r="Q30" s="132">
        <f>IF(SER_hh_fech!Q30=0,0,SER_hh_fech!Q30/SER_summary!Q$26)</f>
        <v>42.718304550308972</v>
      </c>
      <c r="R30" s="132">
        <f>IF(SER_hh_fech!R30=0,0,SER_hh_fech!R30/SER_summary!R$26)</f>
        <v>52.78378336681758</v>
      </c>
      <c r="S30" s="132">
        <f>IF(SER_hh_fech!S30=0,0,SER_hh_fech!S30/SER_summary!S$26)</f>
        <v>64.204325529929008</v>
      </c>
      <c r="T30" s="132">
        <f>IF(SER_hh_fech!T30=0,0,SER_hh_fech!T30/SER_summary!T$26)</f>
        <v>54.390785097865027</v>
      </c>
      <c r="U30" s="132">
        <f>IF(SER_hh_fech!U30=0,0,SER_hh_fech!U30/SER_summary!U$26)</f>
        <v>45.923585487291781</v>
      </c>
      <c r="V30" s="132">
        <f>IF(SER_hh_fech!V30=0,0,SER_hh_fech!V30/SER_summary!V$26)</f>
        <v>44.511249689335706</v>
      </c>
      <c r="W30" s="132">
        <f>IF(SER_hh_fech!W30=0,0,SER_hh_fech!W30/SER_summary!W$26)</f>
        <v>45.541063289766839</v>
      </c>
      <c r="X30" s="132">
        <f>IF(SER_hh_fech!X30=0,0,SER_hh_fech!X30/SER_summary!X$26)</f>
        <v>65.521207055893612</v>
      </c>
      <c r="Y30" s="132">
        <f>IF(SER_hh_fech!Y30=0,0,SER_hh_fech!Y30/SER_summary!Y$26)</f>
        <v>44.791209738201019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47.72917046804821</v>
      </c>
      <c r="C31" s="132">
        <f>IF(SER_hh_fech!C31=0,0,SER_hh_fech!C31/SER_summary!C$26)</f>
        <v>60.362540919015949</v>
      </c>
      <c r="D31" s="132">
        <f>IF(SER_hh_fech!D31=0,0,SER_hh_fech!D31/SER_summary!D$26)</f>
        <v>61.128164331451003</v>
      </c>
      <c r="E31" s="132">
        <f>IF(SER_hh_fech!E31=0,0,SER_hh_fech!E31/SER_summary!E$26)</f>
        <v>54.199209717973666</v>
      </c>
      <c r="F31" s="132">
        <f>IF(SER_hh_fech!F31=0,0,SER_hh_fech!F31/SER_summary!F$26)</f>
        <v>56.052682187922422</v>
      </c>
      <c r="G31" s="132">
        <f>IF(SER_hh_fech!G31=0,0,SER_hh_fech!G31/SER_summary!G$26)</f>
        <v>55.195719872080346</v>
      </c>
      <c r="H31" s="132">
        <f>IF(SER_hh_fech!H31=0,0,SER_hh_fech!H31/SER_summary!H$26)</f>
        <v>53.620417103096763</v>
      </c>
      <c r="I31" s="132">
        <f>IF(SER_hh_fech!I31=0,0,SER_hh_fech!I31/SER_summary!I$26)</f>
        <v>53.499933751530222</v>
      </c>
      <c r="J31" s="132">
        <f>IF(SER_hh_fech!J31=0,0,SER_hh_fech!J31/SER_summary!J$26)</f>
        <v>55.358264023102763</v>
      </c>
      <c r="K31" s="132">
        <f>IF(SER_hh_fech!K31=0,0,SER_hh_fech!K31/SER_summary!K$26)</f>
        <v>57.300984502791884</v>
      </c>
      <c r="L31" s="132">
        <f>IF(SER_hh_fech!L31=0,0,SER_hh_fech!L31/SER_summary!L$26)</f>
        <v>56.830323939041939</v>
      </c>
      <c r="M31" s="132">
        <f>IF(SER_hh_fech!M31=0,0,SER_hh_fech!M31/SER_summary!M$26)</f>
        <v>58.241437031089042</v>
      </c>
      <c r="N31" s="132">
        <f>IF(SER_hh_fech!N31=0,0,SER_hh_fech!N31/SER_summary!N$26)</f>
        <v>52.840772225388861</v>
      </c>
      <c r="O31" s="132">
        <f>IF(SER_hh_fech!O31=0,0,SER_hh_fech!O31/SER_summary!O$26)</f>
        <v>51.971703410715634</v>
      </c>
      <c r="P31" s="132">
        <f>IF(SER_hh_fech!P31=0,0,SER_hh_fech!P31/SER_summary!P$26)</f>
        <v>54.518380105736441</v>
      </c>
      <c r="Q31" s="132">
        <f>IF(SER_hh_fech!Q31=0,0,SER_hh_fech!Q31/SER_summary!Q$26)</f>
        <v>50.951031127841844</v>
      </c>
      <c r="R31" s="132">
        <f>IF(SER_hh_fech!R31=0,0,SER_hh_fech!R31/SER_summary!R$26)</f>
        <v>53.6682236519516</v>
      </c>
      <c r="S31" s="132">
        <f>IF(SER_hh_fech!S31=0,0,SER_hh_fech!S31/SER_summary!S$26)</f>
        <v>53.517902510204273</v>
      </c>
      <c r="T31" s="132">
        <f>IF(SER_hh_fech!T31=0,0,SER_hh_fech!T31/SER_summary!T$26)</f>
        <v>52.496651661443124</v>
      </c>
      <c r="U31" s="132">
        <f>IF(SER_hh_fech!U31=0,0,SER_hh_fech!U31/SER_summary!U$26)</f>
        <v>52.03597168489722</v>
      </c>
      <c r="V31" s="132">
        <f>IF(SER_hh_fech!V31=0,0,SER_hh_fech!V31/SER_summary!V$26)</f>
        <v>51.48099722528967</v>
      </c>
      <c r="W31" s="132">
        <f>IF(SER_hh_fech!W31=0,0,SER_hh_fech!W31/SER_summary!W$26)</f>
        <v>51.356082680225903</v>
      </c>
      <c r="X31" s="132">
        <f>IF(SER_hh_fech!X31=0,0,SER_hh_fech!X31/SER_summary!X$26)</f>
        <v>48.759183665403185</v>
      </c>
      <c r="Y31" s="132">
        <f>IF(SER_hh_fech!Y31=0,0,SER_hh_fech!Y31/SER_summary!Y$26)</f>
        <v>52.052840924766457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46.772716764503294</v>
      </c>
      <c r="C33" s="68">
        <f>IF(SER_hh_fech!C33=0,0,SER_hh_fech!C33/SER_summary!C$26)</f>
        <v>44.075040883672862</v>
      </c>
      <c r="D33" s="68">
        <f>IF(SER_hh_fech!D33=0,0,SER_hh_fech!D33/SER_summary!D$26)</f>
        <v>42.609272693425822</v>
      </c>
      <c r="E33" s="68">
        <f>IF(SER_hh_fech!E33=0,0,SER_hh_fech!E33/SER_summary!E$26)</f>
        <v>40.388756571069642</v>
      </c>
      <c r="F33" s="68">
        <f>IF(SER_hh_fech!F33=0,0,SER_hh_fech!F33/SER_summary!F$26)</f>
        <v>41.524560851765798</v>
      </c>
      <c r="G33" s="68">
        <f>IF(SER_hh_fech!G33=0,0,SER_hh_fech!G33/SER_summary!G$26)</f>
        <v>42.814353208824201</v>
      </c>
      <c r="H33" s="68">
        <f>IF(SER_hh_fech!H33=0,0,SER_hh_fech!H33/SER_summary!H$26)</f>
        <v>42.676651804058501</v>
      </c>
      <c r="I33" s="68">
        <f>IF(SER_hh_fech!I33=0,0,SER_hh_fech!I33/SER_summary!I$26)</f>
        <v>40.066570342105528</v>
      </c>
      <c r="J33" s="68">
        <f>IF(SER_hh_fech!J33=0,0,SER_hh_fech!J33/SER_summary!J$26)</f>
        <v>40.978955479770853</v>
      </c>
      <c r="K33" s="68">
        <f>IF(SER_hh_fech!K33=0,0,SER_hh_fech!K33/SER_summary!K$26)</f>
        <v>42.108783425669579</v>
      </c>
      <c r="L33" s="68">
        <f>IF(SER_hh_fech!L33=0,0,SER_hh_fech!L33/SER_summary!L$26)</f>
        <v>41.27512799858787</v>
      </c>
      <c r="M33" s="68">
        <f>IF(SER_hh_fech!M33=0,0,SER_hh_fech!M33/SER_summary!M$26)</f>
        <v>41.70575339451181</v>
      </c>
      <c r="N33" s="68">
        <f>IF(SER_hh_fech!N33=0,0,SER_hh_fech!N33/SER_summary!N$26)</f>
        <v>42.049835255362773</v>
      </c>
      <c r="O33" s="68">
        <f>IF(SER_hh_fech!O33=0,0,SER_hh_fech!O33/SER_summary!O$26)</f>
        <v>43.294951465558412</v>
      </c>
      <c r="P33" s="68">
        <f>IF(SER_hh_fech!P33=0,0,SER_hh_fech!P33/SER_summary!P$26)</f>
        <v>41.891665536831333</v>
      </c>
      <c r="Q33" s="68">
        <f>IF(SER_hh_fech!Q33=0,0,SER_hh_fech!Q33/SER_summary!Q$26)</f>
        <v>42.640726089483714</v>
      </c>
      <c r="R33" s="68">
        <f>IF(SER_hh_fech!R33=0,0,SER_hh_fech!R33/SER_summary!R$26)</f>
        <v>40.14100776220252</v>
      </c>
      <c r="S33" s="68">
        <f>IF(SER_hh_fech!S33=0,0,SER_hh_fech!S33/SER_summary!S$26)</f>
        <v>38.838923425066966</v>
      </c>
      <c r="T33" s="68">
        <f>IF(SER_hh_fech!T33=0,0,SER_hh_fech!T33/SER_summary!T$26)</f>
        <v>39.107929960561947</v>
      </c>
      <c r="U33" s="68">
        <f>IF(SER_hh_fech!U33=0,0,SER_hh_fech!U33/SER_summary!U$26)</f>
        <v>39.758233222402843</v>
      </c>
      <c r="V33" s="68">
        <f>IF(SER_hh_fech!V33=0,0,SER_hh_fech!V33/SER_summary!V$26)</f>
        <v>35.309032390592883</v>
      </c>
      <c r="W33" s="68">
        <f>IF(SER_hh_fech!W33=0,0,SER_hh_fech!W33/SER_summary!W$26)</f>
        <v>36.833622002069816</v>
      </c>
      <c r="X33" s="68">
        <f>IF(SER_hh_fech!X33=0,0,SER_hh_fech!X33/SER_summary!X$26)</f>
        <v>36.411548579880282</v>
      </c>
      <c r="Y33" s="68">
        <f>IF(SER_hh_fech!Y33=0,0,SER_hh_fech!Y33/SER_summary!Y$26)</f>
        <v>36.860880392187219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259.87993277843418</v>
      </c>
      <c r="C3" s="125">
        <f>IF(SER_hh_tesh!C3=0,0,SER_hh_tesh!C3/SER_summary!C$26)</f>
        <v>265.49802512805547</v>
      </c>
      <c r="D3" s="125">
        <f>IF(SER_hh_tesh!D3=0,0,SER_hh_tesh!D3/SER_summary!D$26)</f>
        <v>270.9488440912711</v>
      </c>
      <c r="E3" s="125">
        <f>IF(SER_hh_tesh!E3=0,0,SER_hh_tesh!E3/SER_summary!E$26)</f>
        <v>274.29476637753845</v>
      </c>
      <c r="F3" s="125">
        <f>IF(SER_hh_tesh!F3=0,0,SER_hh_tesh!F3/SER_summary!F$26)</f>
        <v>272.214244221461</v>
      </c>
      <c r="G3" s="125">
        <f>IF(SER_hh_tesh!G3=0,0,SER_hh_tesh!G3/SER_summary!G$26)</f>
        <v>262.09407308325927</v>
      </c>
      <c r="H3" s="125">
        <f>IF(SER_hh_tesh!H3=0,0,SER_hh_tesh!H3/SER_summary!H$26)</f>
        <v>265.30995730953623</v>
      </c>
      <c r="I3" s="125">
        <f>IF(SER_hh_tesh!I3=0,0,SER_hh_tesh!I3/SER_summary!I$26)</f>
        <v>269.66784447360311</v>
      </c>
      <c r="J3" s="125">
        <f>IF(SER_hh_tesh!J3=0,0,SER_hh_tesh!J3/SER_summary!J$26)</f>
        <v>233.10465676821795</v>
      </c>
      <c r="K3" s="125">
        <f>IF(SER_hh_tesh!K3=0,0,SER_hh_tesh!K3/SER_summary!K$26)</f>
        <v>214.64764027431312</v>
      </c>
      <c r="L3" s="125">
        <f>IF(SER_hh_tesh!L3=0,0,SER_hh_tesh!L3/SER_summary!L$26)</f>
        <v>228.62981245958488</v>
      </c>
      <c r="M3" s="125">
        <f>IF(SER_hh_tesh!M3=0,0,SER_hh_tesh!M3/SER_summary!M$26)</f>
        <v>208.11331363568266</v>
      </c>
      <c r="N3" s="125">
        <f>IF(SER_hh_tesh!N3=0,0,SER_hh_tesh!N3/SER_summary!N$26)</f>
        <v>241.81644178470341</v>
      </c>
      <c r="O3" s="125">
        <f>IF(SER_hh_tesh!O3=0,0,SER_hh_tesh!O3/SER_summary!O$26)</f>
        <v>230.42273822312981</v>
      </c>
      <c r="P3" s="125">
        <f>IF(SER_hh_tesh!P3=0,0,SER_hh_tesh!P3/SER_summary!P$26)</f>
        <v>231.8838266738702</v>
      </c>
      <c r="Q3" s="125">
        <f>IF(SER_hh_tesh!Q3=0,0,SER_hh_tesh!Q3/SER_summary!Q$26)</f>
        <v>217.13337767413341</v>
      </c>
      <c r="R3" s="125">
        <f>IF(SER_hh_tesh!R3=0,0,SER_hh_tesh!R3/SER_summary!R$26)</f>
        <v>223.54580700151081</v>
      </c>
      <c r="S3" s="125">
        <f>IF(SER_hh_tesh!S3=0,0,SER_hh_tesh!S3/SER_summary!S$26)</f>
        <v>229.824191877202</v>
      </c>
      <c r="T3" s="125">
        <f>IF(SER_hh_tesh!T3=0,0,SER_hh_tesh!T3/SER_summary!T$26)</f>
        <v>226.03147352014389</v>
      </c>
      <c r="U3" s="125">
        <f>IF(SER_hh_tesh!U3=0,0,SER_hh_tesh!U3/SER_summary!U$26)</f>
        <v>218.96945449208067</v>
      </c>
      <c r="V3" s="125">
        <f>IF(SER_hh_tesh!V3=0,0,SER_hh_tesh!V3/SER_summary!V$26)</f>
        <v>213.069127908517</v>
      </c>
      <c r="W3" s="125">
        <f>IF(SER_hh_tesh!W3=0,0,SER_hh_tesh!W3/SER_summary!W$26)</f>
        <v>239.46346497626124</v>
      </c>
      <c r="X3" s="125">
        <f>IF(SER_hh_tesh!X3=0,0,SER_hh_tesh!X3/SER_summary!X$26)</f>
        <v>224.25984063804813</v>
      </c>
      <c r="Y3" s="125">
        <f>IF(SER_hh_tesh!Y3=0,0,SER_hh_tesh!Y3/SER_summary!Y$26)</f>
        <v>210.2971408852392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199.08362620971647</v>
      </c>
      <c r="C4" s="130">
        <f>IF(SER_hh_tesh!C4=0,0,SER_hh_tesh!C4/SER_summary!C$26)</f>
        <v>204.36849119665243</v>
      </c>
      <c r="D4" s="130">
        <f>IF(SER_hh_tesh!D4=0,0,SER_hh_tesh!D4/SER_summary!D$26)</f>
        <v>212.16136129614381</v>
      </c>
      <c r="E4" s="130">
        <f>IF(SER_hh_tesh!E4=0,0,SER_hh_tesh!E4/SER_summary!E$26)</f>
        <v>216.27430410078921</v>
      </c>
      <c r="F4" s="130">
        <f>IF(SER_hh_tesh!F4=0,0,SER_hh_tesh!F4/SER_summary!F$26)</f>
        <v>213.51140156865438</v>
      </c>
      <c r="G4" s="130">
        <f>IF(SER_hh_tesh!G4=0,0,SER_hh_tesh!G4/SER_summary!G$26)</f>
        <v>202.83670521241044</v>
      </c>
      <c r="H4" s="130">
        <f>IF(SER_hh_tesh!H4=0,0,SER_hh_tesh!H4/SER_summary!H$26)</f>
        <v>205.6177983522237</v>
      </c>
      <c r="I4" s="130">
        <f>IF(SER_hh_tesh!I4=0,0,SER_hh_tesh!I4/SER_summary!I$26)</f>
        <v>211.28135518775301</v>
      </c>
      <c r="J4" s="130">
        <f>IF(SER_hh_tesh!J4=0,0,SER_hh_tesh!J4/SER_summary!J$26)</f>
        <v>174.31409516449983</v>
      </c>
      <c r="K4" s="130">
        <f>IF(SER_hh_tesh!K4=0,0,SER_hh_tesh!K4/SER_summary!K$26)</f>
        <v>153.39896804563699</v>
      </c>
      <c r="L4" s="130">
        <f>IF(SER_hh_tesh!L4=0,0,SER_hh_tesh!L4/SER_summary!L$26)</f>
        <v>167.41048447857361</v>
      </c>
      <c r="M4" s="130">
        <f>IF(SER_hh_tesh!M4=0,0,SER_hh_tesh!M4/SER_summary!M$26)</f>
        <v>146.55064601325853</v>
      </c>
      <c r="N4" s="130">
        <f>IF(SER_hh_tesh!N4=0,0,SER_hh_tesh!N4/SER_summary!N$26)</f>
        <v>180.62781571468997</v>
      </c>
      <c r="O4" s="130">
        <f>IF(SER_hh_tesh!O4=0,0,SER_hh_tesh!O4/SER_summary!O$26)</f>
        <v>167.7035896532114</v>
      </c>
      <c r="P4" s="130">
        <f>IF(SER_hh_tesh!P4=0,0,SER_hh_tesh!P4/SER_summary!P$26)</f>
        <v>169.74963063806555</v>
      </c>
      <c r="Q4" s="130">
        <f>IF(SER_hh_tesh!Q4=0,0,SER_hh_tesh!Q4/SER_summary!Q$26)</f>
        <v>154.7953256782198</v>
      </c>
      <c r="R4" s="130">
        <f>IF(SER_hh_tesh!R4=0,0,SER_hh_tesh!R4/SER_summary!R$26)</f>
        <v>161.56999181417888</v>
      </c>
      <c r="S4" s="130">
        <f>IF(SER_hh_tesh!S4=0,0,SER_hh_tesh!S4/SER_summary!S$26)</f>
        <v>167.03904404914474</v>
      </c>
      <c r="T4" s="130">
        <f>IF(SER_hh_tesh!T4=0,0,SER_hh_tesh!T4/SER_summary!T$26)</f>
        <v>163.40147393148681</v>
      </c>
      <c r="U4" s="130">
        <f>IF(SER_hh_tesh!U4=0,0,SER_hh_tesh!U4/SER_summary!U$26)</f>
        <v>156.47240105244373</v>
      </c>
      <c r="V4" s="130">
        <f>IF(SER_hh_tesh!V4=0,0,SER_hh_tesh!V4/SER_summary!V$26)</f>
        <v>155.12177722951671</v>
      </c>
      <c r="W4" s="130">
        <f>IF(SER_hh_tesh!W4=0,0,SER_hh_tesh!W4/SER_summary!W$26)</f>
        <v>177.89005718579241</v>
      </c>
      <c r="X4" s="130">
        <f>IF(SER_hh_tesh!X4=0,0,SER_hh_tesh!X4/SER_summary!X$26)</f>
        <v>161.57424652242256</v>
      </c>
      <c r="Y4" s="130">
        <f>IF(SER_hh_tesh!Y4=0,0,SER_hh_tesh!Y4/SER_summary!Y$26)</f>
        <v>147.56494216881427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199.18804124311831</v>
      </c>
      <c r="C5" s="132">
        <f>IF(SER_hh_tesh!C5=0,0,SER_hh_tesh!C5/SER_summary!C$26)</f>
        <v>206.00718828343619</v>
      </c>
      <c r="D5" s="132">
        <f>IF(SER_hh_tesh!D5=0,0,SER_hh_tesh!D5/SER_summary!D$26)</f>
        <v>208.64526137690666</v>
      </c>
      <c r="E5" s="132">
        <f>IF(SER_hh_tesh!E5=0,0,SER_hh_tesh!E5/SER_summary!E$26)</f>
        <v>209.58298275398764</v>
      </c>
      <c r="F5" s="132">
        <f>IF(SER_hh_tesh!F5=0,0,SER_hh_tesh!F5/SER_summary!F$26)</f>
        <v>216.68401646876509</v>
      </c>
      <c r="G5" s="132">
        <f>IF(SER_hh_tesh!G5=0,0,SER_hh_tesh!G5/SER_summary!G$26)</f>
        <v>189.3661634953161</v>
      </c>
      <c r="H5" s="132">
        <f>IF(SER_hh_tesh!H5=0,0,SER_hh_tesh!H5/SER_summary!H$26)</f>
        <v>202.06034595765985</v>
      </c>
      <c r="I5" s="132">
        <f>IF(SER_hh_tesh!I5=0,0,SER_hh_tesh!I5/SER_summary!I$26)</f>
        <v>206.28135297185247</v>
      </c>
      <c r="J5" s="132">
        <f>IF(SER_hh_tesh!J5=0,0,SER_hh_tesh!J5/SER_summary!J$26)</f>
        <v>177.78269567794388</v>
      </c>
      <c r="K5" s="132">
        <f>IF(SER_hh_tesh!K5=0,0,SER_hh_tesh!K5/SER_summary!K$26)</f>
        <v>134.39757237396057</v>
      </c>
      <c r="L5" s="132">
        <f>IF(SER_hh_tesh!L5=0,0,SER_hh_tesh!L5/SER_summary!L$26)</f>
        <v>186.39109770467482</v>
      </c>
      <c r="M5" s="132">
        <f>IF(SER_hh_tesh!M5=0,0,SER_hh_tesh!M5/SER_summary!M$26)</f>
        <v>179.33476539112166</v>
      </c>
      <c r="N5" s="132">
        <f>IF(SER_hh_tesh!N5=0,0,SER_hh_tesh!N5/SER_summary!N$26)</f>
        <v>128.651751295108</v>
      </c>
      <c r="O5" s="132">
        <f>IF(SER_hh_tesh!O5=0,0,SER_hh_tesh!O5/SER_summary!O$26)</f>
        <v>171.71654943750346</v>
      </c>
      <c r="P5" s="132">
        <f>IF(SER_hh_tesh!P5=0,0,SER_hh_tesh!P5/SER_summary!P$26)</f>
        <v>165.81481594938185</v>
      </c>
      <c r="Q5" s="132">
        <f>IF(SER_hh_tesh!Q5=0,0,SER_hh_tesh!Q5/SER_summary!Q$26)</f>
        <v>148.37867083597402</v>
      </c>
      <c r="R5" s="132">
        <f>IF(SER_hh_tesh!R5=0,0,SER_hh_tesh!R5/SER_summary!R$26)</f>
        <v>167.1458247467697</v>
      </c>
      <c r="S5" s="132">
        <f>IF(SER_hh_tesh!S5=0,0,SER_hh_tesh!S5/SER_summary!S$26)</f>
        <v>144.28546014407519</v>
      </c>
      <c r="T5" s="132">
        <f>IF(SER_hh_tesh!T5=0,0,SER_hh_tesh!T5/SER_summary!T$26)</f>
        <v>168.51394040978704</v>
      </c>
      <c r="U5" s="132">
        <f>IF(SER_hh_tesh!U5=0,0,SER_hh_tesh!U5/SER_summary!U$26)</f>
        <v>158.84517089636975</v>
      </c>
      <c r="V5" s="132">
        <f>IF(SER_hh_tesh!V5=0,0,SER_hh_tesh!V5/SER_summary!V$26)</f>
        <v>110.916326944814</v>
      </c>
      <c r="W5" s="132">
        <f>IF(SER_hh_tesh!W5=0,0,SER_hh_tesh!W5/SER_summary!W$26)</f>
        <v>150.22194026342791</v>
      </c>
      <c r="X5" s="132">
        <f>IF(SER_hh_tesh!X5=0,0,SER_hh_tesh!X5/SER_summary!X$26)</f>
        <v>88.341741206722574</v>
      </c>
      <c r="Y5" s="132">
        <f>IF(SER_hh_tesh!Y5=0,0,SER_hh_tesh!Y5/SER_summary!Y$26)</f>
        <v>181.36880560338241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187.60435181633864</v>
      </c>
      <c r="C7" s="132">
        <f>IF(SER_hh_tesh!C7=0,0,SER_hh_tesh!C7/SER_summary!C$26)</f>
        <v>207.29639575475437</v>
      </c>
      <c r="D7" s="132">
        <f>IF(SER_hh_tesh!D7=0,0,SER_hh_tesh!D7/SER_summary!D$26)</f>
        <v>200.97314044171827</v>
      </c>
      <c r="E7" s="132">
        <f>IF(SER_hh_tesh!E7=0,0,SER_hh_tesh!E7/SER_summary!E$26)</f>
        <v>217.18597672180738</v>
      </c>
      <c r="F7" s="132">
        <f>IF(SER_hh_tesh!F7=0,0,SER_hh_tesh!F7/SER_summary!F$26)</f>
        <v>220.98183821450542</v>
      </c>
      <c r="G7" s="132">
        <f>IF(SER_hh_tesh!G7=0,0,SER_hh_tesh!G7/SER_summary!G$26)</f>
        <v>177.68495926222957</v>
      </c>
      <c r="H7" s="132">
        <f>IF(SER_hh_tesh!H7=0,0,SER_hh_tesh!H7/SER_summary!H$26)</f>
        <v>231.27311170730096</v>
      </c>
      <c r="I7" s="132">
        <f>IF(SER_hh_tesh!I7=0,0,SER_hh_tesh!I7/SER_summary!I$26)</f>
        <v>193.03747958614866</v>
      </c>
      <c r="J7" s="132">
        <f>IF(SER_hh_tesh!J7=0,0,SER_hh_tesh!J7/SER_summary!J$26)</f>
        <v>164.65755723790264</v>
      </c>
      <c r="K7" s="132">
        <f>IF(SER_hh_tesh!K7=0,0,SER_hh_tesh!K7/SER_summary!K$26)</f>
        <v>158.02254271330435</v>
      </c>
      <c r="L7" s="132">
        <f>IF(SER_hh_tesh!L7=0,0,SER_hh_tesh!L7/SER_summary!L$26)</f>
        <v>159.13778615493285</v>
      </c>
      <c r="M7" s="132">
        <f>IF(SER_hh_tesh!M7=0,0,SER_hh_tesh!M7/SER_summary!M$26)</f>
        <v>133.49534901509134</v>
      </c>
      <c r="N7" s="132">
        <f>IF(SER_hh_tesh!N7=0,0,SER_hh_tesh!N7/SER_summary!N$26)</f>
        <v>175.031220312486</v>
      </c>
      <c r="O7" s="132">
        <f>IF(SER_hh_tesh!O7=0,0,SER_hh_tesh!O7/SER_summary!O$26)</f>
        <v>167.7388007177104</v>
      </c>
      <c r="P7" s="132">
        <f>IF(SER_hh_tesh!P7=0,0,SER_hh_tesh!P7/SER_summary!P$26)</f>
        <v>172.95738268804828</v>
      </c>
      <c r="Q7" s="132">
        <f>IF(SER_hh_tesh!Q7=0,0,SER_hh_tesh!Q7/SER_summary!Q$26)</f>
        <v>182.98671004344649</v>
      </c>
      <c r="R7" s="132">
        <f>IF(SER_hh_tesh!R7=0,0,SER_hh_tesh!R7/SER_summary!R$26)</f>
        <v>131.65997642118296</v>
      </c>
      <c r="S7" s="132">
        <f>IF(SER_hh_tesh!S7=0,0,SER_hh_tesh!S7/SER_summary!S$26)</f>
        <v>150.21691981676784</v>
      </c>
      <c r="T7" s="132">
        <f>IF(SER_hh_tesh!T7=0,0,SER_hh_tesh!T7/SER_summary!T$26)</f>
        <v>172.99853205650055</v>
      </c>
      <c r="U7" s="132">
        <f>IF(SER_hh_tesh!U7=0,0,SER_hh_tesh!U7/SER_summary!U$26)</f>
        <v>132.29143344502475</v>
      </c>
      <c r="V7" s="132">
        <f>IF(SER_hh_tesh!V7=0,0,SER_hh_tesh!V7/SER_summary!V$26)</f>
        <v>143.43937857820006</v>
      </c>
      <c r="W7" s="132">
        <f>IF(SER_hh_tesh!W7=0,0,SER_hh_tesh!W7/SER_summary!W$26)</f>
        <v>184.04843634981256</v>
      </c>
      <c r="X7" s="132">
        <f>IF(SER_hh_tesh!X7=0,0,SER_hh_tesh!X7/SER_summary!X$26)</f>
        <v>144.15345983872214</v>
      </c>
      <c r="Y7" s="132">
        <f>IF(SER_hh_tesh!Y7=0,0,SER_hh_tesh!Y7/SER_summary!Y$26)</f>
        <v>157.47775473861384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197.75110286182766</v>
      </c>
      <c r="C9" s="132">
        <f>IF(SER_hh_tesh!C9=0,0,SER_hh_tesh!C9/SER_summary!C$26)</f>
        <v>174.71092685107061</v>
      </c>
      <c r="D9" s="132">
        <f>IF(SER_hh_tesh!D9=0,0,SER_hh_tesh!D9/SER_summary!D$26)</f>
        <v>216.07816448011368</v>
      </c>
      <c r="E9" s="132">
        <f>IF(SER_hh_tesh!E9=0,0,SER_hh_tesh!E9/SER_summary!E$26)</f>
        <v>205.76380274432373</v>
      </c>
      <c r="F9" s="132">
        <f>IF(SER_hh_tesh!F9=0,0,SER_hh_tesh!F9/SER_summary!F$26)</f>
        <v>217.45790034991509</v>
      </c>
      <c r="G9" s="132">
        <f>IF(SER_hh_tesh!G9=0,0,SER_hh_tesh!G9/SER_summary!G$26)</f>
        <v>199.77104833661511</v>
      </c>
      <c r="H9" s="132">
        <f>IF(SER_hh_tesh!H9=0,0,SER_hh_tesh!H9/SER_summary!H$26)</f>
        <v>197.54866540485978</v>
      </c>
      <c r="I9" s="132">
        <f>IF(SER_hh_tesh!I9=0,0,SER_hh_tesh!I9/SER_summary!I$26)</f>
        <v>201.16770511976245</v>
      </c>
      <c r="J9" s="132">
        <f>IF(SER_hh_tesh!J9=0,0,SER_hh_tesh!J9/SER_summary!J$26)</f>
        <v>177.73027530059278</v>
      </c>
      <c r="K9" s="132">
        <f>IF(SER_hh_tesh!K9=0,0,SER_hh_tesh!K9/SER_summary!K$26)</f>
        <v>158.12733378574484</v>
      </c>
      <c r="L9" s="132">
        <f>IF(SER_hh_tesh!L9=0,0,SER_hh_tesh!L9/SER_summary!L$26)</f>
        <v>167.51007941502738</v>
      </c>
      <c r="M9" s="132">
        <f>IF(SER_hh_tesh!M9=0,0,SER_hh_tesh!M9/SER_summary!M$26)</f>
        <v>155.57490465963622</v>
      </c>
      <c r="N9" s="132">
        <f>IF(SER_hh_tesh!N9=0,0,SER_hh_tesh!N9/SER_summary!N$26)</f>
        <v>167.53931802583907</v>
      </c>
      <c r="O9" s="132">
        <f>IF(SER_hh_tesh!O9=0,0,SER_hh_tesh!O9/SER_summary!O$26)</f>
        <v>150.38396060650362</v>
      </c>
      <c r="P9" s="132">
        <f>IF(SER_hh_tesh!P9=0,0,SER_hh_tesh!P9/SER_summary!P$26)</f>
        <v>166.12158290608139</v>
      </c>
      <c r="Q9" s="132">
        <f>IF(SER_hh_tesh!Q9=0,0,SER_hh_tesh!Q9/SER_summary!Q$26)</f>
        <v>150.5489462378745</v>
      </c>
      <c r="R9" s="132">
        <f>IF(SER_hh_tesh!R9=0,0,SER_hh_tesh!R9/SER_summary!R$26)</f>
        <v>157.60422079925439</v>
      </c>
      <c r="S9" s="132">
        <f>IF(SER_hh_tesh!S9=0,0,SER_hh_tesh!S9/SER_summary!S$26)</f>
        <v>161.57064624164298</v>
      </c>
      <c r="T9" s="132">
        <f>IF(SER_hh_tesh!T9=0,0,SER_hh_tesh!T9/SER_summary!T$26)</f>
        <v>159.70901137745122</v>
      </c>
      <c r="U9" s="132">
        <f>IF(SER_hh_tesh!U9=0,0,SER_hh_tesh!U9/SER_summary!U$26)</f>
        <v>159.59999478971892</v>
      </c>
      <c r="V9" s="132">
        <f>IF(SER_hh_tesh!V9=0,0,SER_hh_tesh!V9/SER_summary!V$26)</f>
        <v>157.07780579949178</v>
      </c>
      <c r="W9" s="132">
        <f>IF(SER_hh_tesh!W9=0,0,SER_hh_tesh!W9/SER_summary!W$26)</f>
        <v>163.17333849093228</v>
      </c>
      <c r="X9" s="132">
        <f>IF(SER_hh_tesh!X9=0,0,SER_hh_tesh!X9/SER_summary!X$26)</f>
        <v>157.52308042961479</v>
      </c>
      <c r="Y9" s="132">
        <f>IF(SER_hh_tesh!Y9=0,0,SER_hh_tesh!Y9/SER_summary!Y$26)</f>
        <v>146.46265298123365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186.87470442088122</v>
      </c>
      <c r="C10" s="132">
        <f>IF(SER_hh_tesh!C10=0,0,SER_hh_tesh!C10/SER_summary!C$26)</f>
        <v>211.64557746905018</v>
      </c>
      <c r="D10" s="132">
        <f>IF(SER_hh_tesh!D10=0,0,SER_hh_tesh!D10/SER_summary!D$26)</f>
        <v>205.24659585475763</v>
      </c>
      <c r="E10" s="132">
        <f>IF(SER_hh_tesh!E10=0,0,SER_hh_tesh!E10/SER_summary!E$26)</f>
        <v>201.08106512405851</v>
      </c>
      <c r="F10" s="132">
        <f>IF(SER_hh_tesh!F10=0,0,SER_hh_tesh!F10/SER_summary!F$26)</f>
        <v>218.28304973958132</v>
      </c>
      <c r="G10" s="132">
        <f>IF(SER_hh_tesh!G10=0,0,SER_hh_tesh!G10/SER_summary!G$26)</f>
        <v>200.43001031089122</v>
      </c>
      <c r="H10" s="132">
        <f>IF(SER_hh_tesh!H10=0,0,SER_hh_tesh!H10/SER_summary!H$26)</f>
        <v>205.53664533943481</v>
      </c>
      <c r="I10" s="132">
        <f>IF(SER_hh_tesh!I10=0,0,SER_hh_tesh!I10/SER_summary!I$26)</f>
        <v>240.95896181122251</v>
      </c>
      <c r="J10" s="132">
        <f>IF(SER_hh_tesh!J10=0,0,SER_hh_tesh!J10/SER_summary!J$26)</f>
        <v>149.95755979086297</v>
      </c>
      <c r="K10" s="132">
        <f>IF(SER_hh_tesh!K10=0,0,SER_hh_tesh!K10/SER_summary!K$26)</f>
        <v>153.18481591435201</v>
      </c>
      <c r="L10" s="132">
        <f>IF(SER_hh_tesh!L10=0,0,SER_hh_tesh!L10/SER_summary!L$26)</f>
        <v>165.42677734977528</v>
      </c>
      <c r="M10" s="132">
        <f>IF(SER_hh_tesh!M10=0,0,SER_hh_tesh!M10/SER_summary!M$26)</f>
        <v>134.95883386188893</v>
      </c>
      <c r="N10" s="132">
        <f>IF(SER_hh_tesh!N10=0,0,SER_hh_tesh!N10/SER_summary!N$26)</f>
        <v>183.70198025352454</v>
      </c>
      <c r="O10" s="132">
        <f>IF(SER_hh_tesh!O10=0,0,SER_hh_tesh!O10/SER_summary!O$26)</f>
        <v>179.402649013391</v>
      </c>
      <c r="P10" s="132">
        <f>IF(SER_hh_tesh!P10=0,0,SER_hh_tesh!P10/SER_summary!P$26)</f>
        <v>162.38344057184855</v>
      </c>
      <c r="Q10" s="132">
        <f>IF(SER_hh_tesh!Q10=0,0,SER_hh_tesh!Q10/SER_summary!Q$26)</f>
        <v>156.55124844600272</v>
      </c>
      <c r="R10" s="132">
        <f>IF(SER_hh_tesh!R10=0,0,SER_hh_tesh!R10/SER_summary!R$26)</f>
        <v>158.52093906387535</v>
      </c>
      <c r="S10" s="132">
        <f>IF(SER_hh_tesh!S10=0,0,SER_hh_tesh!S10/SER_summary!S$26)</f>
        <v>176.75472329485552</v>
      </c>
      <c r="T10" s="132">
        <f>IF(SER_hh_tesh!T10=0,0,SER_hh_tesh!T10/SER_summary!T$26)</f>
        <v>162.71989216664795</v>
      </c>
      <c r="U10" s="132">
        <f>IF(SER_hh_tesh!U10=0,0,SER_hh_tesh!U10/SER_summary!U$26)</f>
        <v>153.96121343612788</v>
      </c>
      <c r="V10" s="132">
        <f>IF(SER_hh_tesh!V10=0,0,SER_hh_tesh!V10/SER_summary!V$26)</f>
        <v>141.34415565719081</v>
      </c>
      <c r="W10" s="132">
        <f>IF(SER_hh_tesh!W10=0,0,SER_hh_tesh!W10/SER_summary!W$26)</f>
        <v>161.31549310096923</v>
      </c>
      <c r="X10" s="132">
        <f>IF(SER_hh_tesh!X10=0,0,SER_hh_tesh!X10/SER_summary!X$26)</f>
        <v>189.41922482748132</v>
      </c>
      <c r="Y10" s="132">
        <f>IF(SER_hh_tesh!Y10=0,0,SER_hh_tesh!Y10/SER_summary!Y$26)</f>
        <v>133.38354193787191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0</v>
      </c>
      <c r="J11" s="132">
        <f>IF(SER_hh_tesh!J11=0,0,SER_hh_tesh!J11/SER_summary!J$26)</f>
        <v>0</v>
      </c>
      <c r="K11" s="132">
        <f>IF(SER_hh_tesh!K11=0,0,SER_hh_tesh!K11/SER_summary!K$26)</f>
        <v>0</v>
      </c>
      <c r="L11" s="132">
        <f>IF(SER_hh_tesh!L11=0,0,SER_hh_tesh!L11/SER_summary!L$26)</f>
        <v>0</v>
      </c>
      <c r="M11" s="132">
        <f>IF(SER_hh_tesh!M11=0,0,SER_hh_tesh!M11/SER_summary!M$26)</f>
        <v>0</v>
      </c>
      <c r="N11" s="132">
        <f>IF(SER_hh_tesh!N11=0,0,SER_hh_tesh!N11/SER_summary!N$26)</f>
        <v>0</v>
      </c>
      <c r="O11" s="132">
        <f>IF(SER_hh_tesh!O11=0,0,SER_hh_tesh!O11/SER_summary!O$26)</f>
        <v>0</v>
      </c>
      <c r="P11" s="132">
        <f>IF(SER_hh_tesh!P11=0,0,SER_hh_tesh!P11/SER_summary!P$26)</f>
        <v>0</v>
      </c>
      <c r="Q11" s="132">
        <f>IF(SER_hh_tesh!Q11=0,0,SER_hh_tesh!Q11/SER_summary!Q$26)</f>
        <v>0</v>
      </c>
      <c r="R11" s="132">
        <f>IF(SER_hh_tesh!R11=0,0,SER_hh_tesh!R11/SER_summary!R$26)</f>
        <v>0</v>
      </c>
      <c r="S11" s="132">
        <f>IF(SER_hh_tesh!S11=0,0,SER_hh_tesh!S11/SER_summary!S$26)</f>
        <v>0</v>
      </c>
      <c r="T11" s="132">
        <f>IF(SER_hh_tesh!T11=0,0,SER_hh_tesh!T11/SER_summary!T$26)</f>
        <v>0</v>
      </c>
      <c r="U11" s="132">
        <f>IF(SER_hh_tesh!U11=0,0,SER_hh_tesh!U11/SER_summary!U$26)</f>
        <v>0</v>
      </c>
      <c r="V11" s="132">
        <f>IF(SER_hh_tesh!V11=0,0,SER_hh_tesh!V11/SER_summary!V$26)</f>
        <v>0</v>
      </c>
      <c r="W11" s="132">
        <f>IF(SER_hh_tesh!W11=0,0,SER_hh_tesh!W11/SER_summary!W$26)</f>
        <v>0</v>
      </c>
      <c r="X11" s="132">
        <f>IF(SER_hh_tesh!X11=0,0,SER_hh_tesh!X11/SER_summary!X$26)</f>
        <v>0</v>
      </c>
      <c r="Y11" s="132">
        <f>IF(SER_hh_tesh!Y11=0,0,SER_hh_tesh!Y11/SER_summary!Y$26)</f>
        <v>0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194.75358969545496</v>
      </c>
      <c r="C12" s="132">
        <f>IF(SER_hh_tesh!C12=0,0,SER_hh_tesh!C12/SER_summary!C$26)</f>
        <v>212.92666920834256</v>
      </c>
      <c r="D12" s="132">
        <f>IF(SER_hh_tesh!D12=0,0,SER_hh_tesh!D12/SER_summary!D$26)</f>
        <v>208.83192357626356</v>
      </c>
      <c r="E12" s="132">
        <f>IF(SER_hh_tesh!E12=0,0,SER_hh_tesh!E12/SER_summary!E$26)</f>
        <v>217.76356573102947</v>
      </c>
      <c r="F12" s="132">
        <f>IF(SER_hh_tesh!F12=0,0,SER_hh_tesh!F12/SER_summary!F$26)</f>
        <v>205.64154722846283</v>
      </c>
      <c r="G12" s="132">
        <f>IF(SER_hh_tesh!G12=0,0,SER_hh_tesh!G12/SER_summary!G$26)</f>
        <v>209.72821496585715</v>
      </c>
      <c r="H12" s="132">
        <f>IF(SER_hh_tesh!H12=0,0,SER_hh_tesh!H12/SER_summary!H$26)</f>
        <v>205.91393515069771</v>
      </c>
      <c r="I12" s="132">
        <f>IF(SER_hh_tesh!I12=0,0,SER_hh_tesh!I12/SER_summary!I$26)</f>
        <v>186.98207496460179</v>
      </c>
      <c r="J12" s="132">
        <f>IF(SER_hh_tesh!J12=0,0,SER_hh_tesh!J12/SER_summary!J$26)</f>
        <v>168.16747342794969</v>
      </c>
      <c r="K12" s="132">
        <f>IF(SER_hh_tesh!K12=0,0,SER_hh_tesh!K12/SER_summary!K$26)</f>
        <v>160.7836634360637</v>
      </c>
      <c r="L12" s="132">
        <f>IF(SER_hh_tesh!L12=0,0,SER_hh_tesh!L12/SER_summary!L$26)</f>
        <v>170.92900493831024</v>
      </c>
      <c r="M12" s="132">
        <f>IF(SER_hh_tesh!M12=0,0,SER_hh_tesh!M12/SER_summary!M$26)</f>
        <v>143.86323540064748</v>
      </c>
      <c r="N12" s="132">
        <f>IF(SER_hh_tesh!N12=0,0,SER_hh_tesh!N12/SER_summary!N$26)</f>
        <v>177.89985525704427</v>
      </c>
      <c r="O12" s="132">
        <f>IF(SER_hh_tesh!O12=0,0,SER_hh_tesh!O12/SER_summary!O$26)</f>
        <v>171.45961113464026</v>
      </c>
      <c r="P12" s="132">
        <f>IF(SER_hh_tesh!P12=0,0,SER_hh_tesh!P12/SER_summary!P$26)</f>
        <v>160.92296037869372</v>
      </c>
      <c r="Q12" s="132">
        <f>IF(SER_hh_tesh!Q12=0,0,SER_hh_tesh!Q12/SER_summary!Q$26)</f>
        <v>150.90364229701518</v>
      </c>
      <c r="R12" s="132">
        <f>IF(SER_hh_tesh!R12=0,0,SER_hh_tesh!R12/SER_summary!R$26)</f>
        <v>170.05661754386688</v>
      </c>
      <c r="S12" s="132">
        <f>IF(SER_hh_tesh!S12=0,0,SER_hh_tesh!S12/SER_summary!S$26)</f>
        <v>170.4609145823477</v>
      </c>
      <c r="T12" s="132">
        <f>IF(SER_hh_tesh!T12=0,0,SER_hh_tesh!T12/SER_summary!T$26)</f>
        <v>156.99861535989177</v>
      </c>
      <c r="U12" s="132">
        <f>IF(SER_hh_tesh!U12=0,0,SER_hh_tesh!U12/SER_summary!U$26)</f>
        <v>151.68238583093114</v>
      </c>
      <c r="V12" s="132">
        <f>IF(SER_hh_tesh!V12=0,0,SER_hh_tesh!V12/SER_summary!V$26)</f>
        <v>158.09467704149074</v>
      </c>
      <c r="W12" s="132">
        <f>IF(SER_hh_tesh!W12=0,0,SER_hh_tesh!W12/SER_summary!W$26)</f>
        <v>189.95617596722161</v>
      </c>
      <c r="X12" s="132">
        <f>IF(SER_hh_tesh!X12=0,0,SER_hh_tesh!X12/SER_summary!X$26)</f>
        <v>159.24276116895038</v>
      </c>
      <c r="Y12" s="132">
        <f>IF(SER_hh_tesh!Y12=0,0,SER_hh_tesh!Y12/SER_summary!Y$26)</f>
        <v>146.46518698876162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150.60879840732204</v>
      </c>
      <c r="C13" s="132">
        <f>IF(SER_hh_tesh!C13=0,0,SER_hh_tesh!C13/SER_summary!C$26)</f>
        <v>71.108484713660786</v>
      </c>
      <c r="D13" s="132">
        <f>IF(SER_hh_tesh!D13=0,0,SER_hh_tesh!D13/SER_summary!D$26)</f>
        <v>167.3294424800236</v>
      </c>
      <c r="E13" s="132">
        <f>IF(SER_hh_tesh!E13=0,0,SER_hh_tesh!E13/SER_summary!E$26)</f>
        <v>154.45493241449878</v>
      </c>
      <c r="F13" s="132">
        <f>IF(SER_hh_tesh!F13=0,0,SER_hh_tesh!F13/SER_summary!F$26)</f>
        <v>151.51758335855391</v>
      </c>
      <c r="G13" s="132">
        <f>IF(SER_hh_tesh!G13=0,0,SER_hh_tesh!G13/SER_summary!G$26)</f>
        <v>149.70693267515114</v>
      </c>
      <c r="H13" s="132">
        <f>IF(SER_hh_tesh!H13=0,0,SER_hh_tesh!H13/SER_summary!H$26)</f>
        <v>143.14032952958263</v>
      </c>
      <c r="I13" s="132">
        <f>IF(SER_hh_tesh!I13=0,0,SER_hh_tesh!I13/SER_summary!I$26)</f>
        <v>131.42097969018067</v>
      </c>
      <c r="J13" s="132">
        <f>IF(SER_hh_tesh!J13=0,0,SER_hh_tesh!J13/SER_summary!J$26)</f>
        <v>121.48113246104192</v>
      </c>
      <c r="K13" s="132">
        <f>IF(SER_hh_tesh!K13=0,0,SER_hh_tesh!K13/SER_summary!K$26)</f>
        <v>114.33290553760666</v>
      </c>
      <c r="L13" s="132">
        <f>IF(SER_hh_tesh!L13=0,0,SER_hh_tesh!L13/SER_summary!L$26)</f>
        <v>124.67777466296523</v>
      </c>
      <c r="M13" s="132">
        <f>IF(SER_hh_tesh!M13=0,0,SER_hh_tesh!M13/SER_summary!M$26)</f>
        <v>138.63209353648506</v>
      </c>
      <c r="N13" s="132">
        <f>IF(SER_hh_tesh!N13=0,0,SER_hh_tesh!N13/SER_summary!N$26)</f>
        <v>142.56081716368294</v>
      </c>
      <c r="O13" s="132">
        <f>IF(SER_hh_tesh!O13=0,0,SER_hh_tesh!O13/SER_summary!O$26)</f>
        <v>162.78873859739889</v>
      </c>
      <c r="P13" s="132">
        <f>IF(SER_hh_tesh!P13=0,0,SER_hh_tesh!P13/SER_summary!P$26)</f>
        <v>165.15317254656512</v>
      </c>
      <c r="Q13" s="132">
        <f>IF(SER_hh_tesh!Q13=0,0,SER_hh_tesh!Q13/SER_summary!Q$26)</f>
        <v>165.22208020751279</v>
      </c>
      <c r="R13" s="132">
        <f>IF(SER_hh_tesh!R13=0,0,SER_hh_tesh!R13/SER_summary!R$26)</f>
        <v>165.38635250643202</v>
      </c>
      <c r="S13" s="132">
        <f>IF(SER_hh_tesh!S13=0,0,SER_hh_tesh!S13/SER_summary!S$26)</f>
        <v>172.75119907431767</v>
      </c>
      <c r="T13" s="132">
        <f>IF(SER_hh_tesh!T13=0,0,SER_hh_tesh!T13/SER_summary!T$26)</f>
        <v>163.74275953396986</v>
      </c>
      <c r="U13" s="132">
        <f>IF(SER_hh_tesh!U13=0,0,SER_hh_tesh!U13/SER_summary!U$26)</f>
        <v>164.50705277439363</v>
      </c>
      <c r="V13" s="132">
        <f>IF(SER_hh_tesh!V13=0,0,SER_hh_tesh!V13/SER_summary!V$26)</f>
        <v>174.52795727063548</v>
      </c>
      <c r="W13" s="132">
        <f>IF(SER_hh_tesh!W13=0,0,SER_hh_tesh!W13/SER_summary!W$26)</f>
        <v>131.05477176292203</v>
      </c>
      <c r="X13" s="132">
        <f>IF(SER_hh_tesh!X13=0,0,SER_hh_tesh!X13/SER_summary!X$26)</f>
        <v>142.98813822288636</v>
      </c>
      <c r="Y13" s="132">
        <f>IF(SER_hh_tesh!Y13=0,0,SER_hh_tesh!Y13/SER_summary!Y$26)</f>
        <v>152.21649510939625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254.68608226849176</v>
      </c>
      <c r="C14" s="65">
        <f>IF(SER_hh_tesh!C14=0,0,SER_hh_tesh!C14/SER_summary!C$26)</f>
        <v>138.92150999005446</v>
      </c>
      <c r="D14" s="65">
        <f>IF(SER_hh_tesh!D14=0,0,SER_hh_tesh!D14/SER_summary!D$26)</f>
        <v>229.037573757763</v>
      </c>
      <c r="E14" s="65">
        <f>IF(SER_hh_tesh!E14=0,0,SER_hh_tesh!E14/SER_summary!E$26)</f>
        <v>232.40407963566693</v>
      </c>
      <c r="F14" s="65">
        <f>IF(SER_hh_tesh!F14=0,0,SER_hh_tesh!F14/SER_summary!F$26)</f>
        <v>207.19089993401215</v>
      </c>
      <c r="G14" s="65">
        <f>IF(SER_hh_tesh!G14=0,0,SER_hh_tesh!G14/SER_summary!G$26)</f>
        <v>198.33071697462006</v>
      </c>
      <c r="H14" s="65">
        <f>IF(SER_hh_tesh!H14=0,0,SER_hh_tesh!H14/SER_summary!H$26)</f>
        <v>191.20370084182605</v>
      </c>
      <c r="I14" s="65">
        <f>IF(SER_hh_tesh!I14=0,0,SER_hh_tesh!I14/SER_summary!I$26)</f>
        <v>245.08247604022441</v>
      </c>
      <c r="J14" s="65">
        <f>IF(SER_hh_tesh!J14=0,0,SER_hh_tesh!J14/SER_summary!J$26)</f>
        <v>204.83029941701531</v>
      </c>
      <c r="K14" s="65">
        <f>IF(SER_hh_tesh!K14=0,0,SER_hh_tesh!K14/SER_summary!K$26)</f>
        <v>117.80036022334833</v>
      </c>
      <c r="L14" s="65">
        <f>IF(SER_hh_tesh!L14=0,0,SER_hh_tesh!L14/SER_summary!L$26)</f>
        <v>145.76596686557272</v>
      </c>
      <c r="M14" s="65">
        <f>IF(SER_hh_tesh!M14=0,0,SER_hh_tesh!M14/SER_summary!M$26)</f>
        <v>142.22028904438105</v>
      </c>
      <c r="N14" s="65">
        <f>IF(SER_hh_tesh!N14=0,0,SER_hh_tesh!N14/SER_summary!N$26)</f>
        <v>204.01051924740403</v>
      </c>
      <c r="O14" s="65">
        <f>IF(SER_hh_tesh!O14=0,0,SER_hh_tesh!O14/SER_summary!O$26)</f>
        <v>156.62689546384433</v>
      </c>
      <c r="P14" s="65">
        <f>IF(SER_hh_tesh!P14=0,0,SER_hh_tesh!P14/SER_summary!P$26)</f>
        <v>191.20955414569286</v>
      </c>
      <c r="Q14" s="65">
        <f>IF(SER_hh_tesh!Q14=0,0,SER_hh_tesh!Q14/SER_summary!Q$26)</f>
        <v>143.98409087010211</v>
      </c>
      <c r="R14" s="65">
        <f>IF(SER_hh_tesh!R14=0,0,SER_hh_tesh!R14/SER_summary!R$26)</f>
        <v>155.41612908301593</v>
      </c>
      <c r="S14" s="65">
        <f>IF(SER_hh_tesh!S14=0,0,SER_hh_tesh!S14/SER_summary!S$26)</f>
        <v>158.76157358189172</v>
      </c>
      <c r="T14" s="65">
        <f>IF(SER_hh_tesh!T14=0,0,SER_hh_tesh!T14/SER_summary!T$26)</f>
        <v>171.29025049581608</v>
      </c>
      <c r="U14" s="65">
        <f>IF(SER_hh_tesh!U14=0,0,SER_hh_tesh!U14/SER_summary!U$26)</f>
        <v>167.96320165383329</v>
      </c>
      <c r="V14" s="65">
        <f>IF(SER_hh_tesh!V14=0,0,SER_hh_tesh!V14/SER_summary!V$26)</f>
        <v>153.82326311632764</v>
      </c>
      <c r="W14" s="65">
        <f>IF(SER_hh_tesh!W14=0,0,SER_hh_tesh!W14/SER_summary!W$26)</f>
        <v>172.02132400537079</v>
      </c>
      <c r="X14" s="65">
        <f>IF(SER_hh_tesh!X14=0,0,SER_hh_tesh!X14/SER_summary!X$26)</f>
        <v>168.46170759321916</v>
      </c>
      <c r="Y14" s="65">
        <f>IF(SER_hh_tesh!Y14=0,0,SER_hh_tesh!Y14/SER_summary!Y$26)</f>
        <v>140.3198553047734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1.7591832044733537</v>
      </c>
      <c r="C15" s="134">
        <f>IF(SER_hh_tesh!C15=0,0,SER_hh_tesh!C15/SER_summary!C$26)</f>
        <v>1.8322265938762534</v>
      </c>
      <c r="D15" s="134">
        <f>IF(SER_hh_tesh!D15=0,0,SER_hh_tesh!D15/SER_summary!D$26)</f>
        <v>1.9321341924819615</v>
      </c>
      <c r="E15" s="134">
        <f>IF(SER_hh_tesh!E15=0,0,SER_hh_tesh!E15/SER_summary!E$26)</f>
        <v>1.975159677770765</v>
      </c>
      <c r="F15" s="134">
        <f>IF(SER_hh_tesh!F15=0,0,SER_hh_tesh!F15/SER_summary!F$26)</f>
        <v>2.0548909115266962</v>
      </c>
      <c r="G15" s="134">
        <f>IF(SER_hh_tesh!G15=0,0,SER_hh_tesh!G15/SER_summary!G$26)</f>
        <v>1.8934352343632581</v>
      </c>
      <c r="H15" s="134">
        <f>IF(SER_hh_tesh!H15=0,0,SER_hh_tesh!H15/SER_summary!H$26)</f>
        <v>1.985299038806372</v>
      </c>
      <c r="I15" s="134">
        <f>IF(SER_hh_tesh!I15=0,0,SER_hh_tesh!I15/SER_summary!I$26)</f>
        <v>1.9431715892996855</v>
      </c>
      <c r="J15" s="134">
        <f>IF(SER_hh_tesh!J15=0,0,SER_hh_tesh!J15/SER_summary!J$26)</f>
        <v>1.5892978377403546</v>
      </c>
      <c r="K15" s="134">
        <f>IF(SER_hh_tesh!K15=0,0,SER_hh_tesh!K15/SER_summary!K$26)</f>
        <v>1.4644469377313107</v>
      </c>
      <c r="L15" s="134">
        <f>IF(SER_hh_tesh!L15=0,0,SER_hh_tesh!L15/SER_summary!L$26)</f>
        <v>1.5534817385178783</v>
      </c>
      <c r="M15" s="134">
        <f>IF(SER_hh_tesh!M15=0,0,SER_hh_tesh!M15/SER_summary!M$26)</f>
        <v>1.3387082929803666</v>
      </c>
      <c r="N15" s="134">
        <f>IF(SER_hh_tesh!N15=0,0,SER_hh_tesh!N15/SER_summary!N$26)</f>
        <v>1.5491374149014412</v>
      </c>
      <c r="O15" s="134">
        <f>IF(SER_hh_tesh!O15=0,0,SER_hh_tesh!O15/SER_summary!O$26)</f>
        <v>1.4606496798387119</v>
      </c>
      <c r="P15" s="134">
        <f>IF(SER_hh_tesh!P15=0,0,SER_hh_tesh!P15/SER_summary!P$26)</f>
        <v>1.4684834692959963</v>
      </c>
      <c r="Q15" s="134">
        <f>IF(SER_hh_tesh!Q15=0,0,SER_hh_tesh!Q15/SER_summary!Q$26)</f>
        <v>1.3899169792924646</v>
      </c>
      <c r="R15" s="134">
        <f>IF(SER_hh_tesh!R15=0,0,SER_hh_tesh!R15/SER_summary!R$26)</f>
        <v>1.3552980718156404</v>
      </c>
      <c r="S15" s="134">
        <f>IF(SER_hh_tesh!S15=0,0,SER_hh_tesh!S15/SER_summary!S$26)</f>
        <v>1.4313988190223914</v>
      </c>
      <c r="T15" s="134">
        <f>IF(SER_hh_tesh!T15=0,0,SER_hh_tesh!T15/SER_summary!T$26)</f>
        <v>1.4465907896669212</v>
      </c>
      <c r="U15" s="134">
        <f>IF(SER_hh_tesh!U15=0,0,SER_hh_tesh!U15/SER_summary!U$26)</f>
        <v>1.3950610157019698</v>
      </c>
      <c r="V15" s="134">
        <f>IF(SER_hh_tesh!V15=0,0,SER_hh_tesh!V15/SER_summary!V$26)</f>
        <v>1.4250080966814203</v>
      </c>
      <c r="W15" s="134">
        <f>IF(SER_hh_tesh!W15=0,0,SER_hh_tesh!W15/SER_summary!W$26)</f>
        <v>1.6669553042643195</v>
      </c>
      <c r="X15" s="134">
        <f>IF(SER_hh_tesh!X15=0,0,SER_hh_tesh!X15/SER_summary!X$26)</f>
        <v>1.5525689316570037</v>
      </c>
      <c r="Y15" s="134">
        <f>IF(SER_hh_tesh!Y15=0,0,SER_hh_tesh!Y15/SER_summary!Y$26)</f>
        <v>1.4903950919911972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21.131251484945583</v>
      </c>
      <c r="C16" s="130">
        <f>IF(SER_hh_tesh!C16=0,0,SER_hh_tesh!C16/SER_summary!C$26)</f>
        <v>21.967296525574717</v>
      </c>
      <c r="D16" s="130">
        <f>IF(SER_hh_tesh!D16=0,0,SER_hh_tesh!D16/SER_summary!D$26)</f>
        <v>22.788632734971699</v>
      </c>
      <c r="E16" s="130">
        <f>IF(SER_hh_tesh!E16=0,0,SER_hh_tesh!E16/SER_summary!E$26)</f>
        <v>21.951599675270533</v>
      </c>
      <c r="F16" s="130">
        <f>IF(SER_hh_tesh!F16=0,0,SER_hh_tesh!F16/SER_summary!F$26)</f>
        <v>21.370812363942793</v>
      </c>
      <c r="G16" s="130">
        <f>IF(SER_hh_tesh!G16=0,0,SER_hh_tesh!G16/SER_summary!G$26)</f>
        <v>21.398852158143626</v>
      </c>
      <c r="H16" s="130">
        <f>IF(SER_hh_tesh!H16=0,0,SER_hh_tesh!H16/SER_summary!H$26)</f>
        <v>22.790557841418149</v>
      </c>
      <c r="I16" s="130">
        <f>IF(SER_hh_tesh!I16=0,0,SER_hh_tesh!I16/SER_summary!I$26)</f>
        <v>21.533124498187981</v>
      </c>
      <c r="J16" s="130">
        <f>IF(SER_hh_tesh!J16=0,0,SER_hh_tesh!J16/SER_summary!J$26)</f>
        <v>21.511501171289545</v>
      </c>
      <c r="K16" s="130">
        <f>IF(SER_hh_tesh!K16=0,0,SER_hh_tesh!K16/SER_summary!K$26)</f>
        <v>21.528579175008161</v>
      </c>
      <c r="L16" s="130">
        <f>IF(SER_hh_tesh!L16=0,0,SER_hh_tesh!L16/SER_summary!L$26)</f>
        <v>26.178139691923036</v>
      </c>
      <c r="M16" s="130">
        <f>IF(SER_hh_tesh!M16=0,0,SER_hh_tesh!M16/SER_summary!M$26)</f>
        <v>22.001573458218278</v>
      </c>
      <c r="N16" s="130">
        <f>IF(SER_hh_tesh!N16=0,0,SER_hh_tesh!N16/SER_summary!N$26)</f>
        <v>22.180838024654019</v>
      </c>
      <c r="O16" s="130">
        <f>IF(SER_hh_tesh!O16=0,0,SER_hh_tesh!O16/SER_summary!O$26)</f>
        <v>21.816579523757362</v>
      </c>
      <c r="P16" s="130">
        <f>IF(SER_hh_tesh!P16=0,0,SER_hh_tesh!P16/SER_summary!P$26)</f>
        <v>23.067405059531577</v>
      </c>
      <c r="Q16" s="130">
        <f>IF(SER_hh_tesh!Q16=0,0,SER_hh_tesh!Q16/SER_summary!Q$26)</f>
        <v>21.84318886677222</v>
      </c>
      <c r="R16" s="130">
        <f>IF(SER_hh_tesh!R16=0,0,SER_hh_tesh!R16/SER_summary!R$26)</f>
        <v>22.014157608245501</v>
      </c>
      <c r="S16" s="130">
        <f>IF(SER_hh_tesh!S16=0,0,SER_hh_tesh!S16/SER_summary!S$26)</f>
        <v>22.096228108346175</v>
      </c>
      <c r="T16" s="130">
        <f>IF(SER_hh_tesh!T16=0,0,SER_hh_tesh!T16/SER_summary!T$26)</f>
        <v>23.622905745186841</v>
      </c>
      <c r="U16" s="130">
        <f>IF(SER_hh_tesh!U16=0,0,SER_hh_tesh!U16/SER_summary!U$26)</f>
        <v>22.296001377505803</v>
      </c>
      <c r="V16" s="130">
        <f>IF(SER_hh_tesh!V16=0,0,SER_hh_tesh!V16/SER_summary!V$26)</f>
        <v>22.317748552422181</v>
      </c>
      <c r="W16" s="130">
        <f>IF(SER_hh_tesh!W16=0,0,SER_hh_tesh!W16/SER_summary!W$26)</f>
        <v>25.724058815632244</v>
      </c>
      <c r="X16" s="130">
        <f>IF(SER_hh_tesh!X16=0,0,SER_hh_tesh!X16/SER_summary!X$26)</f>
        <v>22.070596312737109</v>
      </c>
      <c r="Y16" s="130">
        <f>IF(SER_hh_tesh!Y16=0,0,SER_hh_tesh!Y16/SER_summary!Y$26)</f>
        <v>22.197471098860131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0</v>
      </c>
      <c r="C17" s="132">
        <f>IF(SER_hh_tesh!C17=0,0,SER_hh_tesh!C17/SER_summary!C$26)</f>
        <v>0</v>
      </c>
      <c r="D17" s="132">
        <f>IF(SER_hh_tesh!D17=0,0,SER_hh_tesh!D17/SER_summary!D$26)</f>
        <v>0</v>
      </c>
      <c r="E17" s="132">
        <f>IF(SER_hh_tesh!E17=0,0,SER_hh_tesh!E17/SER_summary!E$26)</f>
        <v>0</v>
      </c>
      <c r="F17" s="132">
        <f>IF(SER_hh_tesh!F17=0,0,SER_hh_tesh!F17/SER_summary!F$26)</f>
        <v>0</v>
      </c>
      <c r="G17" s="132">
        <f>IF(SER_hh_tesh!G17=0,0,SER_hh_tesh!G17/SER_summary!G$26)</f>
        <v>0</v>
      </c>
      <c r="H17" s="132">
        <f>IF(SER_hh_tesh!H17=0,0,SER_hh_tesh!H17/SER_summary!H$26)</f>
        <v>0</v>
      </c>
      <c r="I17" s="132">
        <f>IF(SER_hh_tesh!I17=0,0,SER_hh_tesh!I17/SER_summary!I$26)</f>
        <v>0</v>
      </c>
      <c r="J17" s="132">
        <f>IF(SER_hh_tesh!J17=0,0,SER_hh_tesh!J17/SER_summary!J$26)</f>
        <v>0</v>
      </c>
      <c r="K17" s="132">
        <f>IF(SER_hh_tesh!K17=0,0,SER_hh_tesh!K17/SER_summary!K$26)</f>
        <v>0</v>
      </c>
      <c r="L17" s="132">
        <f>IF(SER_hh_tesh!L17=0,0,SER_hh_tesh!L17/SER_summary!L$26)</f>
        <v>0</v>
      </c>
      <c r="M17" s="132">
        <f>IF(SER_hh_tesh!M17=0,0,SER_hh_tesh!M17/SER_summary!M$26)</f>
        <v>0</v>
      </c>
      <c r="N17" s="132">
        <f>IF(SER_hh_tesh!N17=0,0,SER_hh_tesh!N17/SER_summary!N$26)</f>
        <v>0</v>
      </c>
      <c r="O17" s="132">
        <f>IF(SER_hh_tesh!O17=0,0,SER_hh_tesh!O17/SER_summary!O$26)</f>
        <v>0</v>
      </c>
      <c r="P17" s="132">
        <f>IF(SER_hh_tesh!P17=0,0,SER_hh_tesh!P17/SER_summary!P$26)</f>
        <v>0</v>
      </c>
      <c r="Q17" s="132">
        <f>IF(SER_hh_tesh!Q17=0,0,SER_hh_tesh!Q17/SER_summary!Q$26)</f>
        <v>0</v>
      </c>
      <c r="R17" s="132">
        <f>IF(SER_hh_tesh!R17=0,0,SER_hh_tesh!R17/SER_summary!R$26)</f>
        <v>0</v>
      </c>
      <c r="S17" s="132">
        <f>IF(SER_hh_tesh!S17=0,0,SER_hh_tesh!S17/SER_summary!S$26)</f>
        <v>0</v>
      </c>
      <c r="T17" s="132">
        <f>IF(SER_hh_tesh!T17=0,0,SER_hh_tesh!T17/SER_summary!T$26)</f>
        <v>0</v>
      </c>
      <c r="U17" s="132">
        <f>IF(SER_hh_tesh!U17=0,0,SER_hh_tesh!U17/SER_summary!U$26)</f>
        <v>0</v>
      </c>
      <c r="V17" s="132">
        <f>IF(SER_hh_tesh!V17=0,0,SER_hh_tesh!V17/SER_summary!V$26)</f>
        <v>0</v>
      </c>
      <c r="W17" s="132">
        <f>IF(SER_hh_tesh!W17=0,0,SER_hh_tesh!W17/SER_summary!W$26)</f>
        <v>0</v>
      </c>
      <c r="X17" s="132">
        <f>IF(SER_hh_tesh!X17=0,0,SER_hh_tesh!X17/SER_summary!X$26)</f>
        <v>0</v>
      </c>
      <c r="Y17" s="132">
        <f>IF(SER_hh_tesh!Y17=0,0,SER_hh_tesh!Y17/SER_summary!Y$26)</f>
        <v>0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21.131251484945583</v>
      </c>
      <c r="C18" s="132">
        <f>IF(SER_hh_tesh!C18=0,0,SER_hh_tesh!C18/SER_summary!C$26)</f>
        <v>21.967296525574717</v>
      </c>
      <c r="D18" s="132">
        <f>IF(SER_hh_tesh!D18=0,0,SER_hh_tesh!D18/SER_summary!D$26)</f>
        <v>22.788632734971699</v>
      </c>
      <c r="E18" s="132">
        <f>IF(SER_hh_tesh!E18=0,0,SER_hh_tesh!E18/SER_summary!E$26)</f>
        <v>21.951599675270533</v>
      </c>
      <c r="F18" s="132">
        <f>IF(SER_hh_tesh!F18=0,0,SER_hh_tesh!F18/SER_summary!F$26)</f>
        <v>21.370812363942793</v>
      </c>
      <c r="G18" s="132">
        <f>IF(SER_hh_tesh!G18=0,0,SER_hh_tesh!G18/SER_summary!G$26)</f>
        <v>21.398852158143626</v>
      </c>
      <c r="H18" s="132">
        <f>IF(SER_hh_tesh!H18=0,0,SER_hh_tesh!H18/SER_summary!H$26)</f>
        <v>22.790557841418149</v>
      </c>
      <c r="I18" s="132">
        <f>IF(SER_hh_tesh!I18=0,0,SER_hh_tesh!I18/SER_summary!I$26)</f>
        <v>21.533124498187981</v>
      </c>
      <c r="J18" s="132">
        <f>IF(SER_hh_tesh!J18=0,0,SER_hh_tesh!J18/SER_summary!J$26)</f>
        <v>21.511501171289545</v>
      </c>
      <c r="K18" s="132">
        <f>IF(SER_hh_tesh!K18=0,0,SER_hh_tesh!K18/SER_summary!K$26)</f>
        <v>21.528579175008161</v>
      </c>
      <c r="L18" s="132">
        <f>IF(SER_hh_tesh!L18=0,0,SER_hh_tesh!L18/SER_summary!L$26)</f>
        <v>26.178139691923036</v>
      </c>
      <c r="M18" s="132">
        <f>IF(SER_hh_tesh!M18=0,0,SER_hh_tesh!M18/SER_summary!M$26)</f>
        <v>22.001573458218278</v>
      </c>
      <c r="N18" s="132">
        <f>IF(SER_hh_tesh!N18=0,0,SER_hh_tesh!N18/SER_summary!N$26)</f>
        <v>22.180838024654019</v>
      </c>
      <c r="O18" s="132">
        <f>IF(SER_hh_tesh!O18=0,0,SER_hh_tesh!O18/SER_summary!O$26)</f>
        <v>21.816579523757362</v>
      </c>
      <c r="P18" s="132">
        <f>IF(SER_hh_tesh!P18=0,0,SER_hh_tesh!P18/SER_summary!P$26)</f>
        <v>23.067405059531577</v>
      </c>
      <c r="Q18" s="132">
        <f>IF(SER_hh_tesh!Q18=0,0,SER_hh_tesh!Q18/SER_summary!Q$26)</f>
        <v>21.84318886677222</v>
      </c>
      <c r="R18" s="132">
        <f>IF(SER_hh_tesh!R18=0,0,SER_hh_tesh!R18/SER_summary!R$26)</f>
        <v>22.014157608245501</v>
      </c>
      <c r="S18" s="132">
        <f>IF(SER_hh_tesh!S18=0,0,SER_hh_tesh!S18/SER_summary!S$26)</f>
        <v>22.096228108346175</v>
      </c>
      <c r="T18" s="132">
        <f>IF(SER_hh_tesh!T18=0,0,SER_hh_tesh!T18/SER_summary!T$26)</f>
        <v>23.622905745186841</v>
      </c>
      <c r="U18" s="132">
        <f>IF(SER_hh_tesh!U18=0,0,SER_hh_tesh!U18/SER_summary!U$26)</f>
        <v>22.296001377505803</v>
      </c>
      <c r="V18" s="132">
        <f>IF(SER_hh_tesh!V18=0,0,SER_hh_tesh!V18/SER_summary!V$26)</f>
        <v>22.317748552422181</v>
      </c>
      <c r="W18" s="132">
        <f>IF(SER_hh_tesh!W18=0,0,SER_hh_tesh!W18/SER_summary!W$26)</f>
        <v>25.724058815632244</v>
      </c>
      <c r="X18" s="132">
        <f>IF(SER_hh_tesh!X18=0,0,SER_hh_tesh!X18/SER_summary!X$26)</f>
        <v>22.070596312737109</v>
      </c>
      <c r="Y18" s="132">
        <f>IF(SER_hh_tesh!Y18=0,0,SER_hh_tesh!Y18/SER_summary!Y$26)</f>
        <v>22.197471098860131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25.823668963631487</v>
      </c>
      <c r="C19" s="130">
        <f>IF(SER_hh_tesh!C19=0,0,SER_hh_tesh!C19/SER_summary!C$26)</f>
        <v>26.359720874669968</v>
      </c>
      <c r="D19" s="130">
        <f>IF(SER_hh_tesh!D19=0,0,SER_hh_tesh!D19/SER_summary!D$26)</f>
        <v>25.605292932280726</v>
      </c>
      <c r="E19" s="130">
        <f>IF(SER_hh_tesh!E19=0,0,SER_hh_tesh!E19/SER_summary!E$26)</f>
        <v>25.556451467254103</v>
      </c>
      <c r="F19" s="130">
        <f>IF(SER_hh_tesh!F19=0,0,SER_hh_tesh!F19/SER_summary!F$26)</f>
        <v>25.917594291011216</v>
      </c>
      <c r="G19" s="130">
        <f>IF(SER_hh_tesh!G19=0,0,SER_hh_tesh!G19/SER_summary!G$26)</f>
        <v>25.684411390119255</v>
      </c>
      <c r="H19" s="130">
        <f>IF(SER_hh_tesh!H19=0,0,SER_hh_tesh!H19/SER_summary!H$26)</f>
        <v>25.982748864802371</v>
      </c>
      <c r="I19" s="130">
        <f>IF(SER_hh_tesh!I19=0,0,SER_hh_tesh!I19/SER_summary!I$26)</f>
        <v>25.994640667799185</v>
      </c>
      <c r="J19" s="130">
        <f>IF(SER_hh_tesh!J19=0,0,SER_hh_tesh!J19/SER_summary!J$26)</f>
        <v>25.713281865363768</v>
      </c>
      <c r="K19" s="130">
        <f>IF(SER_hh_tesh!K19=0,0,SER_hh_tesh!K19/SER_summary!K$26)</f>
        <v>26.879181491864305</v>
      </c>
      <c r="L19" s="130">
        <f>IF(SER_hh_tesh!L19=0,0,SER_hh_tesh!L19/SER_summary!L$26)</f>
        <v>26.636899019683192</v>
      </c>
      <c r="M19" s="130">
        <f>IF(SER_hh_tesh!M19=0,0,SER_hh_tesh!M19/SER_summary!M$26)</f>
        <v>27.252719473782626</v>
      </c>
      <c r="N19" s="130">
        <f>IF(SER_hh_tesh!N19=0,0,SER_hh_tesh!N19/SER_summary!N$26)</f>
        <v>26.743213320986449</v>
      </c>
      <c r="O19" s="130">
        <f>IF(SER_hh_tesh!O19=0,0,SER_hh_tesh!O19/SER_summary!O$26)</f>
        <v>27.535583082545863</v>
      </c>
      <c r="P19" s="130">
        <f>IF(SER_hh_tesh!P19=0,0,SER_hh_tesh!P19/SER_summary!P$26)</f>
        <v>27.162634120766114</v>
      </c>
      <c r="Q19" s="130">
        <f>IF(SER_hh_tesh!Q19=0,0,SER_hh_tesh!Q19/SER_summary!Q$26)</f>
        <v>27.507353759324225</v>
      </c>
      <c r="R19" s="130">
        <f>IF(SER_hh_tesh!R19=0,0,SER_hh_tesh!R19/SER_summary!R$26)</f>
        <v>27.895445141425718</v>
      </c>
      <c r="S19" s="130">
        <f>IF(SER_hh_tesh!S19=0,0,SER_hh_tesh!S19/SER_summary!S$26)</f>
        <v>28.610965384700684</v>
      </c>
      <c r="T19" s="130">
        <f>IF(SER_hh_tesh!T19=0,0,SER_hh_tesh!T19/SER_summary!T$26)</f>
        <v>28.319852247750397</v>
      </c>
      <c r="U19" s="130">
        <f>IF(SER_hh_tesh!U19=0,0,SER_hh_tesh!U19/SER_summary!U$26)</f>
        <v>28.002298012647834</v>
      </c>
      <c r="V19" s="130">
        <f>IF(SER_hh_tesh!V19=0,0,SER_hh_tesh!V19/SER_summary!V$26)</f>
        <v>25.72584604314137</v>
      </c>
      <c r="W19" s="130">
        <f>IF(SER_hh_tesh!W19=0,0,SER_hh_tesh!W19/SER_summary!W$26)</f>
        <v>27.569859521826782</v>
      </c>
      <c r="X19" s="130">
        <f>IF(SER_hh_tesh!X19=0,0,SER_hh_tesh!X19/SER_summary!X$26)</f>
        <v>28.382560681445653</v>
      </c>
      <c r="Y19" s="130">
        <f>IF(SER_hh_tesh!Y19=0,0,SER_hh_tesh!Y19/SER_summary!Y$26)</f>
        <v>28.48149822590884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0</v>
      </c>
      <c r="C21" s="132">
        <f>IF(SER_hh_tesh!C21=0,0,SER_hh_tesh!C21/SER_summary!C$26)</f>
        <v>0</v>
      </c>
      <c r="D21" s="132">
        <f>IF(SER_hh_tesh!D21=0,0,SER_hh_tesh!D21/SER_summary!D$26)</f>
        <v>0</v>
      </c>
      <c r="E21" s="132">
        <f>IF(SER_hh_tesh!E21=0,0,SER_hh_tesh!E21/SER_summary!E$26)</f>
        <v>0</v>
      </c>
      <c r="F21" s="132">
        <f>IF(SER_hh_tesh!F21=0,0,SER_hh_tesh!F21/SER_summary!F$26)</f>
        <v>0</v>
      </c>
      <c r="G21" s="132">
        <f>IF(SER_hh_tesh!G21=0,0,SER_hh_tesh!G21/SER_summary!G$26)</f>
        <v>0</v>
      </c>
      <c r="H21" s="132">
        <f>IF(SER_hh_tesh!H21=0,0,SER_hh_tesh!H21/SER_summary!H$26)</f>
        <v>0</v>
      </c>
      <c r="I21" s="132">
        <f>IF(SER_hh_tesh!I21=0,0,SER_hh_tesh!I21/SER_summary!I$26)</f>
        <v>0</v>
      </c>
      <c r="J21" s="132">
        <f>IF(SER_hh_tesh!J21=0,0,SER_hh_tesh!J21/SER_summary!J$26)</f>
        <v>0</v>
      </c>
      <c r="K21" s="132">
        <f>IF(SER_hh_tesh!K21=0,0,SER_hh_tesh!K21/SER_summary!K$26)</f>
        <v>0</v>
      </c>
      <c r="L21" s="132">
        <f>IF(SER_hh_tesh!L21=0,0,SER_hh_tesh!L21/SER_summary!L$26)</f>
        <v>0</v>
      </c>
      <c r="M21" s="132">
        <f>IF(SER_hh_tesh!M21=0,0,SER_hh_tesh!M21/SER_summary!M$26)</f>
        <v>0</v>
      </c>
      <c r="N21" s="132">
        <f>IF(SER_hh_tesh!N21=0,0,SER_hh_tesh!N21/SER_summary!N$26)</f>
        <v>0</v>
      </c>
      <c r="O21" s="132">
        <f>IF(SER_hh_tesh!O21=0,0,SER_hh_tesh!O21/SER_summary!O$26)</f>
        <v>0</v>
      </c>
      <c r="P21" s="132">
        <f>IF(SER_hh_tesh!P21=0,0,SER_hh_tesh!P21/SER_summary!P$26)</f>
        <v>0</v>
      </c>
      <c r="Q21" s="132">
        <f>IF(SER_hh_tesh!Q21=0,0,SER_hh_tesh!Q21/SER_summary!Q$26)</f>
        <v>0</v>
      </c>
      <c r="R21" s="132">
        <f>IF(SER_hh_tesh!R21=0,0,SER_hh_tesh!R21/SER_summary!R$26)</f>
        <v>0</v>
      </c>
      <c r="S21" s="132">
        <f>IF(SER_hh_tesh!S21=0,0,SER_hh_tesh!S21/SER_summary!S$26)</f>
        <v>0</v>
      </c>
      <c r="T21" s="132">
        <f>IF(SER_hh_tesh!T21=0,0,SER_hh_tesh!T21/SER_summary!T$26)</f>
        <v>0</v>
      </c>
      <c r="U21" s="132">
        <f>IF(SER_hh_tesh!U21=0,0,SER_hh_tesh!U21/SER_summary!U$26)</f>
        <v>0</v>
      </c>
      <c r="V21" s="132">
        <f>IF(SER_hh_tesh!V21=0,0,SER_hh_tesh!V21/SER_summary!V$26)</f>
        <v>0</v>
      </c>
      <c r="W21" s="132">
        <f>IF(SER_hh_tesh!W21=0,0,SER_hh_tesh!W21/SER_summary!W$26)</f>
        <v>0</v>
      </c>
      <c r="X21" s="132">
        <f>IF(SER_hh_tesh!X21=0,0,SER_hh_tesh!X21/SER_summary!X$26)</f>
        <v>0</v>
      </c>
      <c r="Y21" s="132">
        <f>IF(SER_hh_tesh!Y21=0,0,SER_hh_tesh!Y21/SER_summary!Y$26)</f>
        <v>0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25.728316347329223</v>
      </c>
      <c r="C22" s="132">
        <f>IF(SER_hh_tesh!C22=0,0,SER_hh_tesh!C22/SER_summary!C$26)</f>
        <v>26.07302615728387</v>
      </c>
      <c r="D22" s="132">
        <f>IF(SER_hh_tesh!D22=0,0,SER_hh_tesh!D22/SER_summary!D$26)</f>
        <v>25.874032384772232</v>
      </c>
      <c r="E22" s="132">
        <f>IF(SER_hh_tesh!E22=0,0,SER_hh_tesh!E22/SER_summary!E$26)</f>
        <v>25.869529235947844</v>
      </c>
      <c r="F22" s="132">
        <f>IF(SER_hh_tesh!F22=0,0,SER_hh_tesh!F22/SER_summary!F$26)</f>
        <v>25.653343058949741</v>
      </c>
      <c r="G22" s="132">
        <f>IF(SER_hh_tesh!G22=0,0,SER_hh_tesh!G22/SER_summary!G$26)</f>
        <v>25.636071272712268</v>
      </c>
      <c r="H22" s="132">
        <f>IF(SER_hh_tesh!H22=0,0,SER_hh_tesh!H22/SER_summary!H$26)</f>
        <v>26.342986312936041</v>
      </c>
      <c r="I22" s="132">
        <f>IF(SER_hh_tesh!I22=0,0,SER_hh_tesh!I22/SER_summary!I$26)</f>
        <v>25.740050050982532</v>
      </c>
      <c r="J22" s="132">
        <f>IF(SER_hh_tesh!J22=0,0,SER_hh_tesh!J22/SER_summary!J$26)</f>
        <v>26.431875282596387</v>
      </c>
      <c r="K22" s="132">
        <f>IF(SER_hh_tesh!K22=0,0,SER_hh_tesh!K22/SER_summary!K$26)</f>
        <v>26.313729224766746</v>
      </c>
      <c r="L22" s="132">
        <f>IF(SER_hh_tesh!L22=0,0,SER_hh_tesh!L22/SER_summary!L$26)</f>
        <v>26.376926161115108</v>
      </c>
      <c r="M22" s="132">
        <f>IF(SER_hh_tesh!M22=0,0,SER_hh_tesh!M22/SER_summary!M$26)</f>
        <v>26.853389808294395</v>
      </c>
      <c r="N22" s="132">
        <f>IF(SER_hh_tesh!N22=0,0,SER_hh_tesh!N22/SER_summary!N$26)</f>
        <v>27.133081957363643</v>
      </c>
      <c r="O22" s="132">
        <f>IF(SER_hh_tesh!O22=0,0,SER_hh_tesh!O22/SER_summary!O$26)</f>
        <v>27.543326212497721</v>
      </c>
      <c r="P22" s="132">
        <f>IF(SER_hh_tesh!P22=0,0,SER_hh_tesh!P22/SER_summary!P$26)</f>
        <v>27.519826184130398</v>
      </c>
      <c r="Q22" s="132">
        <f>IF(SER_hh_tesh!Q22=0,0,SER_hh_tesh!Q22/SER_summary!Q$26)</f>
        <v>27.966097592622145</v>
      </c>
      <c r="R22" s="132">
        <f>IF(SER_hh_tesh!R22=0,0,SER_hh_tesh!R22/SER_summary!R$26)</f>
        <v>28.163996829829468</v>
      </c>
      <c r="S22" s="132">
        <f>IF(SER_hh_tesh!S22=0,0,SER_hh_tesh!S22/SER_summary!S$26)</f>
        <v>28.577602066586682</v>
      </c>
      <c r="T22" s="132">
        <f>IF(SER_hh_tesh!T22=0,0,SER_hh_tesh!T22/SER_summary!T$26)</f>
        <v>28.562539541432965</v>
      </c>
      <c r="U22" s="132">
        <f>IF(SER_hh_tesh!U22=0,0,SER_hh_tesh!U22/SER_summary!U$26)</f>
        <v>27.748915919086905</v>
      </c>
      <c r="V22" s="132">
        <f>IF(SER_hh_tesh!V22=0,0,SER_hh_tesh!V22/SER_summary!V$26)</f>
        <v>25.440821373581198</v>
      </c>
      <c r="W22" s="132">
        <f>IF(SER_hh_tesh!W22=0,0,SER_hh_tesh!W22/SER_summary!W$26)</f>
        <v>27.421041855248049</v>
      </c>
      <c r="X22" s="132">
        <f>IF(SER_hh_tesh!X22=0,0,SER_hh_tesh!X22/SER_summary!X$26)</f>
        <v>27.700469348655623</v>
      </c>
      <c r="Y22" s="132">
        <f>IF(SER_hh_tesh!Y22=0,0,SER_hh_tesh!Y22/SER_summary!Y$26)</f>
        <v>28.877171707922166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25.457055761385547</v>
      </c>
      <c r="C23" s="132">
        <f>IF(SER_hh_tesh!C23=0,0,SER_hh_tesh!C23/SER_summary!C$26)</f>
        <v>25.100954373615817</v>
      </c>
      <c r="D23" s="132">
        <f>IF(SER_hh_tesh!D23=0,0,SER_hh_tesh!D23/SER_summary!D$26)</f>
        <v>26.177965889495383</v>
      </c>
      <c r="E23" s="132">
        <f>IF(SER_hh_tesh!E23=0,0,SER_hh_tesh!E23/SER_summary!E$26)</f>
        <v>25.726292757031132</v>
      </c>
      <c r="F23" s="132">
        <f>IF(SER_hh_tesh!F23=0,0,SER_hh_tesh!F23/SER_summary!F$26)</f>
        <v>25.544926416103184</v>
      </c>
      <c r="G23" s="132">
        <f>IF(SER_hh_tesh!G23=0,0,SER_hh_tesh!G23/SER_summary!G$26)</f>
        <v>26.148570160886035</v>
      </c>
      <c r="H23" s="132">
        <f>IF(SER_hh_tesh!H23=0,0,SER_hh_tesh!H23/SER_summary!H$26)</f>
        <v>25.466532216697008</v>
      </c>
      <c r="I23" s="132">
        <f>IF(SER_hh_tesh!I23=0,0,SER_hh_tesh!I23/SER_summary!I$26)</f>
        <v>25.066620552927116</v>
      </c>
      <c r="J23" s="132">
        <f>IF(SER_hh_tesh!J23=0,0,SER_hh_tesh!J23/SER_summary!J$26)</f>
        <v>26.784018843505518</v>
      </c>
      <c r="K23" s="132">
        <f>IF(SER_hh_tesh!K23=0,0,SER_hh_tesh!K23/SER_summary!K$26)</f>
        <v>27.307334166239031</v>
      </c>
      <c r="L23" s="132">
        <f>IF(SER_hh_tesh!L23=0,0,SER_hh_tesh!L23/SER_summary!L$26)</f>
        <v>26.6957742638632</v>
      </c>
      <c r="M23" s="132">
        <f>IF(SER_hh_tesh!M23=0,0,SER_hh_tesh!M23/SER_summary!M$26)</f>
        <v>27.0482763695213</v>
      </c>
      <c r="N23" s="132">
        <f>IF(SER_hh_tesh!N23=0,0,SER_hh_tesh!N23/SER_summary!N$26)</f>
        <v>27.109341476429758</v>
      </c>
      <c r="O23" s="132">
        <f>IF(SER_hh_tesh!O23=0,0,SER_hh_tesh!O23/SER_summary!O$26)</f>
        <v>27.413980458868149</v>
      </c>
      <c r="P23" s="132">
        <f>IF(SER_hh_tesh!P23=0,0,SER_hh_tesh!P23/SER_summary!P$26)</f>
        <v>27.197694015780872</v>
      </c>
      <c r="Q23" s="132">
        <f>IF(SER_hh_tesh!Q23=0,0,SER_hh_tesh!Q23/SER_summary!Q$26)</f>
        <v>27.627525594709638</v>
      </c>
      <c r="R23" s="132">
        <f>IF(SER_hh_tesh!R23=0,0,SER_hh_tesh!R23/SER_summary!R$26)</f>
        <v>27.929004127077967</v>
      </c>
      <c r="S23" s="132">
        <f>IF(SER_hh_tesh!S23=0,0,SER_hh_tesh!S23/SER_summary!S$26)</f>
        <v>28.529713046286016</v>
      </c>
      <c r="T23" s="132">
        <f>IF(SER_hh_tesh!T23=0,0,SER_hh_tesh!T23/SER_summary!T$26)</f>
        <v>27.736315650712463</v>
      </c>
      <c r="U23" s="132">
        <f>IF(SER_hh_tesh!U23=0,0,SER_hh_tesh!U23/SER_summary!U$26)</f>
        <v>27.404051023580855</v>
      </c>
      <c r="V23" s="132">
        <f>IF(SER_hh_tesh!V23=0,0,SER_hh_tesh!V23/SER_summary!V$26)</f>
        <v>27.05959597039978</v>
      </c>
      <c r="W23" s="132">
        <f>IF(SER_hh_tesh!W23=0,0,SER_hh_tesh!W23/SER_summary!W$26)</f>
        <v>27.973883588062755</v>
      </c>
      <c r="X23" s="132">
        <f>IF(SER_hh_tesh!X23=0,0,SER_hh_tesh!X23/SER_summary!X$26)</f>
        <v>28.689808479424993</v>
      </c>
      <c r="Y23" s="132">
        <f>IF(SER_hh_tesh!Y23=0,0,SER_hh_tesh!Y23/SER_summary!Y$26)</f>
        <v>27.825925563209093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28.489044808081378</v>
      </c>
      <c r="C24" s="132">
        <f>IF(SER_hh_tesh!C24=0,0,SER_hh_tesh!C24/SER_summary!C$26)</f>
        <v>25.201815188623872</v>
      </c>
      <c r="D24" s="132">
        <f>IF(SER_hh_tesh!D24=0,0,SER_hh_tesh!D24/SER_summary!D$26)</f>
        <v>25.231259884468656</v>
      </c>
      <c r="E24" s="132">
        <f>IF(SER_hh_tesh!E24=0,0,SER_hh_tesh!E24/SER_summary!E$26)</f>
        <v>24.851949733687288</v>
      </c>
      <c r="F24" s="132">
        <f>IF(SER_hh_tesh!F24=0,0,SER_hh_tesh!F24/SER_summary!F$26)</f>
        <v>25.885066683845288</v>
      </c>
      <c r="G24" s="132">
        <f>IF(SER_hh_tesh!G24=0,0,SER_hh_tesh!G24/SER_summary!G$26)</f>
        <v>26.275154353493956</v>
      </c>
      <c r="H24" s="132">
        <f>IF(SER_hh_tesh!H24=0,0,SER_hh_tesh!H24/SER_summary!H$26)</f>
        <v>26.165783432888549</v>
      </c>
      <c r="I24" s="132">
        <f>IF(SER_hh_tesh!I24=0,0,SER_hh_tesh!I24/SER_summary!I$26)</f>
        <v>26.289802943092916</v>
      </c>
      <c r="J24" s="132">
        <f>IF(SER_hh_tesh!J24=0,0,SER_hh_tesh!J24/SER_summary!J$26)</f>
        <v>25.845615374969114</v>
      </c>
      <c r="K24" s="132">
        <f>IF(SER_hh_tesh!K24=0,0,SER_hh_tesh!K24/SER_summary!K$26)</f>
        <v>26.28551598023407</v>
      </c>
      <c r="L24" s="132">
        <f>IF(SER_hh_tesh!L24=0,0,SER_hh_tesh!L24/SER_summary!L$26)</f>
        <v>26.568836024723797</v>
      </c>
      <c r="M24" s="132">
        <f>IF(SER_hh_tesh!M24=0,0,SER_hh_tesh!M24/SER_summary!M$26)</f>
        <v>27.250641225567335</v>
      </c>
      <c r="N24" s="132">
        <f>IF(SER_hh_tesh!N24=0,0,SER_hh_tesh!N24/SER_summary!N$26)</f>
        <v>27.035418061343059</v>
      </c>
      <c r="O24" s="132">
        <f>IF(SER_hh_tesh!O24=0,0,SER_hh_tesh!O24/SER_summary!O$26)</f>
        <v>27.552050725365572</v>
      </c>
      <c r="P24" s="132">
        <f>IF(SER_hh_tesh!P24=0,0,SER_hh_tesh!P24/SER_summary!P$26)</f>
        <v>27.448430045393604</v>
      </c>
      <c r="Q24" s="132">
        <f>IF(SER_hh_tesh!Q24=0,0,SER_hh_tesh!Q24/SER_summary!Q$26)</f>
        <v>28.125428607804967</v>
      </c>
      <c r="R24" s="132">
        <f>IF(SER_hh_tesh!R24=0,0,SER_hh_tesh!R24/SER_summary!R$26)</f>
        <v>27.683613520205217</v>
      </c>
      <c r="S24" s="132">
        <f>IF(SER_hh_tesh!S24=0,0,SER_hh_tesh!S24/SER_summary!S$26)</f>
        <v>30.723062651662115</v>
      </c>
      <c r="T24" s="132">
        <f>IF(SER_hh_tesh!T24=0,0,SER_hh_tesh!T24/SER_summary!T$26)</f>
        <v>27.910261037039415</v>
      </c>
      <c r="U24" s="132">
        <f>IF(SER_hh_tesh!U24=0,0,SER_hh_tesh!U24/SER_summary!U$26)</f>
        <v>26.275102128423363</v>
      </c>
      <c r="V24" s="132">
        <f>IF(SER_hh_tesh!V24=0,0,SER_hh_tesh!V24/SER_summary!V$26)</f>
        <v>24.405624267137089</v>
      </c>
      <c r="W24" s="132">
        <f>IF(SER_hh_tesh!W24=0,0,SER_hh_tesh!W24/SER_summary!W$26)</f>
        <v>26.328976132775953</v>
      </c>
      <c r="X24" s="132">
        <f>IF(SER_hh_tesh!X24=0,0,SER_hh_tesh!X24/SER_summary!X$26)</f>
        <v>29.97479436559248</v>
      </c>
      <c r="Y24" s="132">
        <f>IF(SER_hh_tesh!Y24=0,0,SER_hh_tesh!Y24/SER_summary!Y$26)</f>
        <v>27.861214132646431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26.747453341800306</v>
      </c>
      <c r="C25" s="132">
        <f>IF(SER_hh_tesh!C25=0,0,SER_hh_tesh!C25/SER_summary!C$26)</f>
        <v>26.226393608403786</v>
      </c>
      <c r="D25" s="132">
        <f>IF(SER_hh_tesh!D25=0,0,SER_hh_tesh!D25/SER_summary!D$26)</f>
        <v>26.041451672466046</v>
      </c>
      <c r="E25" s="132">
        <f>IF(SER_hh_tesh!E25=0,0,SER_hh_tesh!E25/SER_summary!E$26)</f>
        <v>25.947869662390893</v>
      </c>
      <c r="F25" s="132">
        <f>IF(SER_hh_tesh!F25=0,0,SER_hh_tesh!F25/SER_summary!F$26)</f>
        <v>25.891130999876268</v>
      </c>
      <c r="G25" s="132">
        <f>IF(SER_hh_tesh!G25=0,0,SER_hh_tesh!G25/SER_summary!G$26)</f>
        <v>25.692232052307869</v>
      </c>
      <c r="H25" s="132">
        <f>IF(SER_hh_tesh!H25=0,0,SER_hh_tesh!H25/SER_summary!H$26)</f>
        <v>25.960921583842428</v>
      </c>
      <c r="I25" s="132">
        <f>IF(SER_hh_tesh!I25=0,0,SER_hh_tesh!I25/SER_summary!I$26)</f>
        <v>26.339433313965039</v>
      </c>
      <c r="J25" s="132">
        <f>IF(SER_hh_tesh!J25=0,0,SER_hh_tesh!J25/SER_summary!J$26)</f>
        <v>25.613877491322082</v>
      </c>
      <c r="K25" s="132">
        <f>IF(SER_hh_tesh!K25=0,0,SER_hh_tesh!K25/SER_summary!K$26)</f>
        <v>26.440462940245897</v>
      </c>
      <c r="L25" s="132">
        <f>IF(SER_hh_tesh!L25=0,0,SER_hh_tesh!L25/SER_summary!L$26)</f>
        <v>26.480063246760274</v>
      </c>
      <c r="M25" s="132">
        <f>IF(SER_hh_tesh!M25=0,0,SER_hh_tesh!M25/SER_summary!M$26)</f>
        <v>27.163732294182346</v>
      </c>
      <c r="N25" s="132">
        <f>IF(SER_hh_tesh!N25=0,0,SER_hh_tesh!N25/SER_summary!N$26)</f>
        <v>27.101422720325623</v>
      </c>
      <c r="O25" s="132">
        <f>IF(SER_hh_tesh!O25=0,0,SER_hh_tesh!O25/SER_summary!O$26)</f>
        <v>27.326666596624555</v>
      </c>
      <c r="P25" s="132">
        <f>IF(SER_hh_tesh!P25=0,0,SER_hh_tesh!P25/SER_summary!P$26)</f>
        <v>26.770442538064955</v>
      </c>
      <c r="Q25" s="132">
        <f>IF(SER_hh_tesh!Q25=0,0,SER_hh_tesh!Q25/SER_summary!Q$26)</f>
        <v>27.950034368814073</v>
      </c>
      <c r="R25" s="132">
        <f>IF(SER_hh_tesh!R25=0,0,SER_hh_tesh!R25/SER_summary!R$26)</f>
        <v>28.173944730467444</v>
      </c>
      <c r="S25" s="132">
        <f>IF(SER_hh_tesh!S25=0,0,SER_hh_tesh!S25/SER_summary!S$26)</f>
        <v>28.568469445568827</v>
      </c>
      <c r="T25" s="132">
        <f>IF(SER_hh_tesh!T25=0,0,SER_hh_tesh!T25/SER_summary!T$26)</f>
        <v>27.774679782631857</v>
      </c>
      <c r="U25" s="132">
        <f>IF(SER_hh_tesh!U25=0,0,SER_hh_tesh!U25/SER_summary!U$26)</f>
        <v>27.851776716566444</v>
      </c>
      <c r="V25" s="132">
        <f>IF(SER_hh_tesh!V25=0,0,SER_hh_tesh!V25/SER_summary!V$26)</f>
        <v>25.770978864062755</v>
      </c>
      <c r="W25" s="132">
        <f>IF(SER_hh_tesh!W25=0,0,SER_hh_tesh!W25/SER_summary!W$26)</f>
        <v>27.906180518962618</v>
      </c>
      <c r="X25" s="132">
        <f>IF(SER_hh_tesh!X25=0,0,SER_hh_tesh!X25/SER_summary!X$26)</f>
        <v>29.478572912499686</v>
      </c>
      <c r="Y25" s="132">
        <f>IF(SER_hh_tesh!Y25=0,0,SER_hh_tesh!Y25/SER_summary!Y$26)</f>
        <v>27.864930255724598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23.924424440253297</v>
      </c>
      <c r="C26" s="65">
        <f>IF(SER_hh_tesh!C26=0,0,SER_hh_tesh!C26/SER_summary!C$26)</f>
        <v>27.288476135113729</v>
      </c>
      <c r="D26" s="65">
        <f>IF(SER_hh_tesh!D26=0,0,SER_hh_tesh!D26/SER_summary!D$26)</f>
        <v>25.049585012628786</v>
      </c>
      <c r="E26" s="65">
        <f>IF(SER_hh_tesh!E26=0,0,SER_hh_tesh!E26/SER_summary!E$26)</f>
        <v>25.278204965436551</v>
      </c>
      <c r="F26" s="65">
        <f>IF(SER_hh_tesh!F26=0,0,SER_hh_tesh!F26/SER_summary!F$26)</f>
        <v>26.110134955692697</v>
      </c>
      <c r="G26" s="65">
        <f>IF(SER_hh_tesh!G26=0,0,SER_hh_tesh!G26/SER_summary!G$26)</f>
        <v>25.352118247055905</v>
      </c>
      <c r="H26" s="65">
        <f>IF(SER_hh_tesh!H26=0,0,SER_hh_tesh!H26/SER_summary!H$26)</f>
        <v>26.018079372542786</v>
      </c>
      <c r="I26" s="65">
        <f>IF(SER_hh_tesh!I26=0,0,SER_hh_tesh!I26/SER_summary!I$26)</f>
        <v>25.949161177237649</v>
      </c>
      <c r="J26" s="65">
        <f>IF(SER_hh_tesh!J26=0,0,SER_hh_tesh!J26/SER_summary!J$26)</f>
        <v>25.32251903038043</v>
      </c>
      <c r="K26" s="65">
        <f>IF(SER_hh_tesh!K26=0,0,SER_hh_tesh!K26/SER_summary!K$26)</f>
        <v>27.316301568935664</v>
      </c>
      <c r="L26" s="65">
        <f>IF(SER_hh_tesh!L26=0,0,SER_hh_tesh!L26/SER_summary!L$26)</f>
        <v>26.796463231173508</v>
      </c>
      <c r="M26" s="65">
        <f>IF(SER_hh_tesh!M26=0,0,SER_hh_tesh!M26/SER_summary!M$26)</f>
        <v>27.457495923541902</v>
      </c>
      <c r="N26" s="65">
        <f>IF(SER_hh_tesh!N26=0,0,SER_hh_tesh!N26/SER_summary!N$26)</f>
        <v>26.135559926555064</v>
      </c>
      <c r="O26" s="65">
        <f>IF(SER_hh_tesh!O26=0,0,SER_hh_tesh!O26/SER_summary!O$26)</f>
        <v>27.747527311978018</v>
      </c>
      <c r="P26" s="65">
        <f>IF(SER_hh_tesh!P26=0,0,SER_hh_tesh!P26/SER_summary!P$26)</f>
        <v>27.29921291598588</v>
      </c>
      <c r="Q26" s="65">
        <f>IF(SER_hh_tesh!Q26=0,0,SER_hh_tesh!Q26/SER_summary!Q$26)</f>
        <v>26.756306915058286</v>
      </c>
      <c r="R26" s="65">
        <f>IF(SER_hh_tesh!R26=0,0,SER_hh_tesh!R26/SER_summary!R$26)</f>
        <v>27.673674897083494</v>
      </c>
      <c r="S26" s="65">
        <f>IF(SER_hh_tesh!S26=0,0,SER_hh_tesh!S26/SER_summary!S$26)</f>
        <v>27.97471555466494</v>
      </c>
      <c r="T26" s="65">
        <f>IF(SER_hh_tesh!T26=0,0,SER_hh_tesh!T26/SER_summary!T$26)</f>
        <v>29.060521465602758</v>
      </c>
      <c r="U26" s="65">
        <f>IF(SER_hh_tesh!U26=0,0,SER_hh_tesh!U26/SER_summary!U$26)</f>
        <v>28.824584249227936</v>
      </c>
      <c r="V26" s="65">
        <f>IF(SER_hh_tesh!V26=0,0,SER_hh_tesh!V26/SER_summary!V$26)</f>
        <v>25.481989814698068</v>
      </c>
      <c r="W26" s="65">
        <f>IF(SER_hh_tesh!W26=0,0,SER_hh_tesh!W26/SER_summary!W$26)</f>
        <v>27.429238841597385</v>
      </c>
      <c r="X26" s="65">
        <f>IF(SER_hh_tesh!X26=0,0,SER_hh_tesh!X26/SER_summary!X$26)</f>
        <v>27.017881418730941</v>
      </c>
      <c r="Y26" s="65">
        <f>IF(SER_hh_tesh!Y26=0,0,SER_hh_tesh!Y26/SER_summary!Y$26)</f>
        <v>29.339659942893928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</v>
      </c>
      <c r="C27" s="145">
        <f>IF(SER_hh_tesh!C27=0,0,SER_hh_tesh!C27/SER_summary!C$26)</f>
        <v>0</v>
      </c>
      <c r="D27" s="145">
        <f>IF(SER_hh_tesh!D27=0,0,SER_hh_tesh!D27/SER_summary!D$26)</f>
        <v>0</v>
      </c>
      <c r="E27" s="145">
        <f>IF(SER_hh_tesh!E27=0,0,SER_hh_tesh!E27/SER_summary!E$26)</f>
        <v>0</v>
      </c>
      <c r="F27" s="145">
        <f>IF(SER_hh_tesh!F27=0,0,SER_hh_tesh!F27/SER_summary!F$26)</f>
        <v>0</v>
      </c>
      <c r="G27" s="145">
        <f>IF(SER_hh_tesh!G27=0,0,SER_hh_tesh!G27/SER_summary!G$26)</f>
        <v>0</v>
      </c>
      <c r="H27" s="145">
        <f>IF(SER_hh_tesh!H27=0,0,SER_hh_tesh!H27/SER_summary!H$26)</f>
        <v>0</v>
      </c>
      <c r="I27" s="145">
        <f>IF(SER_hh_tesh!I27=0,0,SER_hh_tesh!I27/SER_summary!I$26)</f>
        <v>0</v>
      </c>
      <c r="J27" s="145">
        <f>IF(SER_hh_tesh!J27=0,0,SER_hh_tesh!J27/SER_summary!J$26)</f>
        <v>0</v>
      </c>
      <c r="K27" s="145">
        <f>IF(SER_hh_tesh!K27=0,0,SER_hh_tesh!K27/SER_summary!K$26)</f>
        <v>0</v>
      </c>
      <c r="L27" s="145">
        <f>IF(SER_hh_tesh!L27=0,0,SER_hh_tesh!L27/SER_summary!L$26)</f>
        <v>0</v>
      </c>
      <c r="M27" s="145">
        <f>IF(SER_hh_tesh!M27=0,0,SER_hh_tesh!M27/SER_summary!M$26)</f>
        <v>0</v>
      </c>
      <c r="N27" s="145">
        <f>IF(SER_hh_tesh!N27=0,0,SER_hh_tesh!N27/SER_summary!N$26)</f>
        <v>0</v>
      </c>
      <c r="O27" s="145">
        <f>IF(SER_hh_tesh!O27=0,0,SER_hh_tesh!O27/SER_summary!O$26)</f>
        <v>0</v>
      </c>
      <c r="P27" s="145">
        <f>IF(SER_hh_tesh!P27=0,0,SER_hh_tesh!P27/SER_summary!P$26)</f>
        <v>0</v>
      </c>
      <c r="Q27" s="145">
        <f>IF(SER_hh_tesh!Q27=0,0,SER_hh_tesh!Q27/SER_summary!Q$26)</f>
        <v>0</v>
      </c>
      <c r="R27" s="145">
        <f>IF(SER_hh_tesh!R27=0,0,SER_hh_tesh!R27/SER_summary!R$26)</f>
        <v>0</v>
      </c>
      <c r="S27" s="145">
        <f>IF(SER_hh_tesh!S27=0,0,SER_hh_tesh!S27/SER_summary!S$26)</f>
        <v>0</v>
      </c>
      <c r="T27" s="145">
        <f>IF(SER_hh_tesh!T27=0,0,SER_hh_tesh!T27/SER_summary!T$26)</f>
        <v>0</v>
      </c>
      <c r="U27" s="145">
        <f>IF(SER_hh_tesh!U27=0,0,SER_hh_tesh!U27/SER_summary!U$26)</f>
        <v>0</v>
      </c>
      <c r="V27" s="145">
        <f>IF(SER_hh_tesh!V27=0,0,SER_hh_tesh!V27/SER_summary!V$26)</f>
        <v>0</v>
      </c>
      <c r="W27" s="145">
        <f>IF(SER_hh_tesh!W27=0,0,SER_hh_tesh!W27/SER_summary!W$26)</f>
        <v>0</v>
      </c>
      <c r="X27" s="145">
        <f>IF(SER_hh_tesh!X27=0,0,SER_hh_tesh!X27/SER_summary!X$26)</f>
        <v>0</v>
      </c>
      <c r="Y27" s="145">
        <f>IF(SER_hh_tesh!Y27=0,0,SER_hh_tesh!Y27/SER_summary!Y$26)</f>
        <v>0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0</v>
      </c>
      <c r="C28" s="146">
        <f>IF(SER_hh_tesh!C28=0,0,SER_hh_tesh!C28/SER_summary!C$26)</f>
        <v>0</v>
      </c>
      <c r="D28" s="146">
        <f>IF(SER_hh_tesh!D28=0,0,SER_hh_tesh!D28/SER_summary!D$26)</f>
        <v>0</v>
      </c>
      <c r="E28" s="146">
        <f>IF(SER_hh_tesh!E28=0,0,SER_hh_tesh!E28/SER_summary!E$26)</f>
        <v>0</v>
      </c>
      <c r="F28" s="146">
        <f>IF(SER_hh_tesh!F28=0,0,SER_hh_tesh!F28/SER_summary!F$26)</f>
        <v>0</v>
      </c>
      <c r="G28" s="146">
        <f>IF(SER_hh_tesh!G28=0,0,SER_hh_tesh!G28/SER_summary!G$26)</f>
        <v>0</v>
      </c>
      <c r="H28" s="146">
        <f>IF(SER_hh_tesh!H28=0,0,SER_hh_tesh!H28/SER_summary!H$26)</f>
        <v>0</v>
      </c>
      <c r="I28" s="146">
        <f>IF(SER_hh_tesh!I28=0,0,SER_hh_tesh!I28/SER_summary!I$26)</f>
        <v>0</v>
      </c>
      <c r="J28" s="146">
        <f>IF(SER_hh_tesh!J28=0,0,SER_hh_tesh!J28/SER_summary!J$26)</f>
        <v>0</v>
      </c>
      <c r="K28" s="146">
        <f>IF(SER_hh_tesh!K28=0,0,SER_hh_tesh!K28/SER_summary!K$26)</f>
        <v>0</v>
      </c>
      <c r="L28" s="146">
        <f>IF(SER_hh_tesh!L28=0,0,SER_hh_tesh!L28/SER_summary!L$26)</f>
        <v>0</v>
      </c>
      <c r="M28" s="146">
        <f>IF(SER_hh_tesh!M28=0,0,SER_hh_tesh!M28/SER_summary!M$26)</f>
        <v>0</v>
      </c>
      <c r="N28" s="146">
        <f>IF(SER_hh_tesh!N28=0,0,SER_hh_tesh!N28/SER_summary!N$26)</f>
        <v>0</v>
      </c>
      <c r="O28" s="146">
        <f>IF(SER_hh_tesh!O28=0,0,SER_hh_tesh!O28/SER_summary!O$26)</f>
        <v>0</v>
      </c>
      <c r="P28" s="146">
        <f>IF(SER_hh_tesh!P28=0,0,SER_hh_tesh!P28/SER_summary!P$26)</f>
        <v>0</v>
      </c>
      <c r="Q28" s="146">
        <f>IF(SER_hh_tesh!Q28=0,0,SER_hh_tesh!Q28/SER_summary!Q$26)</f>
        <v>0</v>
      </c>
      <c r="R28" s="146">
        <f>IF(SER_hh_tesh!R28=0,0,SER_hh_tesh!R28/SER_summary!R$26)</f>
        <v>0</v>
      </c>
      <c r="S28" s="146">
        <f>IF(SER_hh_tesh!S28=0,0,SER_hh_tesh!S28/SER_summary!S$26)</f>
        <v>0</v>
      </c>
      <c r="T28" s="146">
        <f>IF(SER_hh_tesh!T28=0,0,SER_hh_tesh!T28/SER_summary!T$26)</f>
        <v>0</v>
      </c>
      <c r="U28" s="146">
        <f>IF(SER_hh_tesh!U28=0,0,SER_hh_tesh!U28/SER_summary!U$26)</f>
        <v>0</v>
      </c>
      <c r="V28" s="146">
        <f>IF(SER_hh_tesh!V28=0,0,SER_hh_tesh!V28/SER_summary!V$26)</f>
        <v>0</v>
      </c>
      <c r="W28" s="146">
        <f>IF(SER_hh_tesh!W28=0,0,SER_hh_tesh!W28/SER_summary!W$26)</f>
        <v>0</v>
      </c>
      <c r="X28" s="146">
        <f>IF(SER_hh_tesh!X28=0,0,SER_hh_tesh!X28/SER_summary!X$26)</f>
        <v>0</v>
      </c>
      <c r="Y28" s="146">
        <f>IF(SER_hh_tesh!Y28=0,0,SER_hh_tesh!Y28/SER_summary!Y$26)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33.847277287561681</v>
      </c>
      <c r="C29" s="130">
        <f>IF(SER_hh_tesh!C29=0,0,SER_hh_tesh!C29/SER_summary!C$26)</f>
        <v>33.54946006450249</v>
      </c>
      <c r="D29" s="130">
        <f>IF(SER_hh_tesh!D29=0,0,SER_hh_tesh!D29/SER_summary!D$26)</f>
        <v>31.833403084649174</v>
      </c>
      <c r="E29" s="130">
        <f>IF(SER_hh_tesh!E29=0,0,SER_hh_tesh!E29/SER_summary!E$26)</f>
        <v>31.062741525196046</v>
      </c>
      <c r="F29" s="130">
        <f>IF(SER_hh_tesh!F29=0,0,SER_hh_tesh!F29/SER_summary!F$26)</f>
        <v>31.364217045795851</v>
      </c>
      <c r="G29" s="130">
        <f>IF(SER_hh_tesh!G29=0,0,SER_hh_tesh!G29/SER_summary!G$26)</f>
        <v>32.024165638627473</v>
      </c>
      <c r="H29" s="130">
        <f>IF(SER_hh_tesh!H29=0,0,SER_hh_tesh!H29/SER_summary!H$26)</f>
        <v>31.96121191273258</v>
      </c>
      <c r="I29" s="130">
        <f>IF(SER_hh_tesh!I29=0,0,SER_hh_tesh!I29/SER_summary!I$26)</f>
        <v>30.612363388132685</v>
      </c>
      <c r="J29" s="130">
        <f>IF(SER_hh_tesh!J29=0,0,SER_hh_tesh!J29/SER_summary!J$26)</f>
        <v>31.165580910883904</v>
      </c>
      <c r="K29" s="130">
        <f>IF(SER_hh_tesh!K29=0,0,SER_hh_tesh!K29/SER_summary!K$26)</f>
        <v>32.286237314101932</v>
      </c>
      <c r="L29" s="130">
        <f>IF(SER_hh_tesh!L29=0,0,SER_hh_tesh!L29/SER_summary!L$26)</f>
        <v>31.896833796461546</v>
      </c>
      <c r="M29" s="130">
        <f>IF(SER_hh_tesh!M29=0,0,SER_hh_tesh!M29/SER_summary!M$26)</f>
        <v>31.966570430028195</v>
      </c>
      <c r="N29" s="130">
        <f>IF(SER_hh_tesh!N29=0,0,SER_hh_tesh!N29/SER_summary!N$26)</f>
        <v>31.988635015905569</v>
      </c>
      <c r="O29" s="130">
        <f>IF(SER_hh_tesh!O29=0,0,SER_hh_tesh!O29/SER_summary!O$26)</f>
        <v>32.689308077077733</v>
      </c>
      <c r="P29" s="130">
        <f>IF(SER_hh_tesh!P29=0,0,SER_hh_tesh!P29/SER_summary!P$26)</f>
        <v>32.249732990710591</v>
      </c>
      <c r="Q29" s="130">
        <f>IF(SER_hh_tesh!Q29=0,0,SER_hh_tesh!Q29/SER_summary!Q$26)</f>
        <v>32.168346882882304</v>
      </c>
      <c r="R29" s="130">
        <f>IF(SER_hh_tesh!R29=0,0,SER_hh_tesh!R29/SER_summary!R$26)</f>
        <v>31.309140327150502</v>
      </c>
      <c r="S29" s="130">
        <f>IF(SER_hh_tesh!S29=0,0,SER_hh_tesh!S29/SER_summary!S$26)</f>
        <v>31.312661257290358</v>
      </c>
      <c r="T29" s="130">
        <f>IF(SER_hh_tesh!T29=0,0,SER_hh_tesh!T29/SER_summary!T$26)</f>
        <v>31.167380508433272</v>
      </c>
      <c r="U29" s="130">
        <f>IF(SER_hh_tesh!U29=0,0,SER_hh_tesh!U29/SER_summary!U$26)</f>
        <v>31.430871371521881</v>
      </c>
      <c r="V29" s="130">
        <f>IF(SER_hh_tesh!V29=0,0,SER_hh_tesh!V29/SER_summary!V$26)</f>
        <v>29.075011788735953</v>
      </c>
      <c r="W29" s="130">
        <f>IF(SER_hh_tesh!W29=0,0,SER_hh_tesh!W29/SER_summary!W$26)</f>
        <v>30.272630686952592</v>
      </c>
      <c r="X29" s="130">
        <f>IF(SER_hh_tesh!X29=0,0,SER_hh_tesh!X29/SER_summary!X$26)</f>
        <v>31.038384846238166</v>
      </c>
      <c r="Y29" s="130">
        <f>IF(SER_hh_tesh!Y29=0,0,SER_hh_tesh!Y29/SER_summary!Y$26)</f>
        <v>30.889819796752931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0</v>
      </c>
      <c r="C30" s="132">
        <f>IF(SER_hh_tesh!C30=0,0,SER_hh_tesh!C30/SER_summary!C$26)</f>
        <v>53.104517382205152</v>
      </c>
      <c r="D30" s="132">
        <f>IF(SER_hh_tesh!D30=0,0,SER_hh_tesh!D30/SER_summary!D$26)</f>
        <v>16.717984484556485</v>
      </c>
      <c r="E30" s="132">
        <f>IF(SER_hh_tesh!E30=0,0,SER_hh_tesh!E30/SER_summary!E$26)</f>
        <v>43.361454243834011</v>
      </c>
      <c r="F30" s="132">
        <f>IF(SER_hh_tesh!F30=0,0,SER_hh_tesh!F30/SER_summary!F$26)</f>
        <v>31.486855282635069</v>
      </c>
      <c r="G30" s="132">
        <f>IF(SER_hh_tesh!G30=0,0,SER_hh_tesh!G30/SER_summary!G$26)</f>
        <v>30.59684123413631</v>
      </c>
      <c r="H30" s="132">
        <f>IF(SER_hh_tesh!H30=0,0,SER_hh_tesh!H30/SER_summary!H$26)</f>
        <v>32.657327848637863</v>
      </c>
      <c r="I30" s="132">
        <f>IF(SER_hh_tesh!I30=0,0,SER_hh_tesh!I30/SER_summary!I$26)</f>
        <v>34.734378534507734</v>
      </c>
      <c r="J30" s="132">
        <f>IF(SER_hh_tesh!J30=0,0,SER_hh_tesh!J30/SER_summary!J$26)</f>
        <v>27.279604619668799</v>
      </c>
      <c r="K30" s="132">
        <f>IF(SER_hh_tesh!K30=0,0,SER_hh_tesh!K30/SER_summary!K$26)</f>
        <v>31.704846665363153</v>
      </c>
      <c r="L30" s="132">
        <f>IF(SER_hh_tesh!L30=0,0,SER_hh_tesh!L30/SER_summary!L$26)</f>
        <v>35.457396529290548</v>
      </c>
      <c r="M30" s="132">
        <f>IF(SER_hh_tesh!M30=0,0,SER_hh_tesh!M30/SER_summary!M$26)</f>
        <v>20.037163653925916</v>
      </c>
      <c r="N30" s="132">
        <f>IF(SER_hh_tesh!N30=0,0,SER_hh_tesh!N30/SER_summary!N$26)</f>
        <v>33.840133672875695</v>
      </c>
      <c r="O30" s="132">
        <f>IF(SER_hh_tesh!O30=0,0,SER_hh_tesh!O30/SER_summary!O$26)</f>
        <v>29.392484335028737</v>
      </c>
      <c r="P30" s="132">
        <f>IF(SER_hh_tesh!P30=0,0,SER_hh_tesh!P30/SER_summary!P$26)</f>
        <v>33.206073884446496</v>
      </c>
      <c r="Q30" s="132">
        <f>IF(SER_hh_tesh!Q30=0,0,SER_hh_tesh!Q30/SER_summary!Q$26)</f>
        <v>25.585797418269902</v>
      </c>
      <c r="R30" s="132">
        <f>IF(SER_hh_tesh!R30=0,0,SER_hh_tesh!R30/SER_summary!R$26)</f>
        <v>31.658822549303498</v>
      </c>
      <c r="S30" s="132">
        <f>IF(SER_hh_tesh!S30=0,0,SER_hh_tesh!S30/SER_summary!S$26)</f>
        <v>38.570328352304763</v>
      </c>
      <c r="T30" s="132">
        <f>IF(SER_hh_tesh!T30=0,0,SER_hh_tesh!T30/SER_summary!T$26)</f>
        <v>32.681431481702447</v>
      </c>
      <c r="U30" s="132">
        <f>IF(SER_hh_tesh!U30=0,0,SER_hh_tesh!U30/SER_summary!U$26)</f>
        <v>27.595975856459521</v>
      </c>
      <c r="V30" s="132">
        <f>IF(SER_hh_tesh!V30=0,0,SER_hh_tesh!V30/SER_summary!V$26)</f>
        <v>26.767945606332869</v>
      </c>
      <c r="W30" s="132">
        <f>IF(SER_hh_tesh!W30=0,0,SER_hh_tesh!W30/SER_summary!W$26)</f>
        <v>27.443178650509722</v>
      </c>
      <c r="X30" s="132">
        <f>IF(SER_hh_tesh!X30=0,0,SER_hh_tesh!X30/SER_summary!X$26)</f>
        <v>39.701534693089712</v>
      </c>
      <c r="Y30" s="132">
        <f>IF(SER_hh_tesh!Y30=0,0,SER_hh_tesh!Y30/SER_summary!Y$26)</f>
        <v>27.216438396151329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27.1462220511529</v>
      </c>
      <c r="C31" s="132">
        <f>IF(SER_hh_tesh!C31=0,0,SER_hh_tesh!C31/SER_summary!C$26)</f>
        <v>34.465219793534203</v>
      </c>
      <c r="D31" s="132">
        <f>IF(SER_hh_tesh!D31=0,0,SER_hh_tesh!D31/SER_summary!D$26)</f>
        <v>34.98922804562752</v>
      </c>
      <c r="E31" s="132">
        <f>IF(SER_hh_tesh!E31=0,0,SER_hh_tesh!E31/SER_summary!E$26)</f>
        <v>31.073404619697378</v>
      </c>
      <c r="F31" s="132">
        <f>IF(SER_hh_tesh!F31=0,0,SER_hh_tesh!F31/SER_summary!F$26)</f>
        <v>32.178164104050644</v>
      </c>
      <c r="G31" s="132">
        <f>IF(SER_hh_tesh!G31=0,0,SER_hh_tesh!G31/SER_summary!G$26)</f>
        <v>31.723011139528751</v>
      </c>
      <c r="H31" s="132">
        <f>IF(SER_hh_tesh!H31=0,0,SER_hh_tesh!H31/SER_summary!H$26)</f>
        <v>30.858824382752641</v>
      </c>
      <c r="I31" s="132">
        <f>IF(SER_hh_tesh!I31=0,0,SER_hh_tesh!I31/SER_summary!I$26)</f>
        <v>30.837139757961495</v>
      </c>
      <c r="J31" s="132">
        <f>IF(SER_hh_tesh!J31=0,0,SER_hh_tesh!J31/SER_summary!J$26)</f>
        <v>31.958613324887288</v>
      </c>
      <c r="K31" s="132">
        <f>IF(SER_hh_tesh!K31=0,0,SER_hh_tesh!K31/SER_summary!K$26)</f>
        <v>33.131116553704096</v>
      </c>
      <c r="L31" s="132">
        <f>IF(SER_hh_tesh!L31=0,0,SER_hh_tesh!L31/SER_summary!L$26)</f>
        <v>32.894249107543416</v>
      </c>
      <c r="M31" s="132">
        <f>IF(SER_hh_tesh!M31=0,0,SER_hh_tesh!M31/SER_summary!M$26)</f>
        <v>33.725559421900485</v>
      </c>
      <c r="N31" s="132">
        <f>IF(SER_hh_tesh!N31=0,0,SER_hh_tesh!N31/SER_summary!N$26)</f>
        <v>30.614523194067203</v>
      </c>
      <c r="O31" s="132">
        <f>IF(SER_hh_tesh!O31=0,0,SER_hh_tesh!O31/SER_summary!O$26)</f>
        <v>30.15147579066802</v>
      </c>
      <c r="P31" s="132">
        <f>IF(SER_hh_tesh!P31=0,0,SER_hh_tesh!P31/SER_summary!P$26)</f>
        <v>31.682066202703854</v>
      </c>
      <c r="Q31" s="132">
        <f>IF(SER_hh_tesh!Q31=0,0,SER_hh_tesh!Q31/SER_summary!Q$26)</f>
        <v>29.673888012131982</v>
      </c>
      <c r="R31" s="132">
        <f>IF(SER_hh_tesh!R31=0,0,SER_hh_tesh!R31/SER_summary!R$26)</f>
        <v>31.393218519539335</v>
      </c>
      <c r="S31" s="132">
        <f>IF(SER_hh_tesh!S31=0,0,SER_hh_tesh!S31/SER_summary!S$26)</f>
        <v>31.503088636458564</v>
      </c>
      <c r="T31" s="132">
        <f>IF(SER_hh_tesh!T31=0,0,SER_hh_tesh!T31/SER_summary!T$26)</f>
        <v>31.157724417998732</v>
      </c>
      <c r="U31" s="132">
        <f>IF(SER_hh_tesh!U31=0,0,SER_hh_tesh!U31/SER_summary!U$26)</f>
        <v>31.144679523233449</v>
      </c>
      <c r="V31" s="132">
        <f>IF(SER_hh_tesh!V31=0,0,SER_hh_tesh!V31/SER_summary!V$26)</f>
        <v>31.038479842284527</v>
      </c>
      <c r="W31" s="132">
        <f>IF(SER_hh_tesh!W31=0,0,SER_hh_tesh!W31/SER_summary!W$26)</f>
        <v>31.101435540894855</v>
      </c>
      <c r="X31" s="132">
        <f>IF(SER_hh_tesh!X31=0,0,SER_hh_tesh!X31/SER_summary!X$26)</f>
        <v>29.597760273689914</v>
      </c>
      <c r="Y31" s="132">
        <f>IF(SER_hh_tesh!Y31=0,0,SER_hh_tesh!Y31/SER_summary!Y$26)</f>
        <v>31.714013131709788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34.769950985608105</v>
      </c>
      <c r="C33" s="68">
        <f>IF(SER_hh_tesh!C33=0,0,SER_hh_tesh!C33/SER_summary!C$26)</f>
        <v>32.80722675882339</v>
      </c>
      <c r="D33" s="68">
        <f>IF(SER_hh_tesh!D33=0,0,SER_hh_tesh!D33/SER_summary!D$26)</f>
        <v>31.777578521468559</v>
      </c>
      <c r="E33" s="68">
        <f>IF(SER_hh_tesh!E33=0,0,SER_hh_tesh!E33/SER_summary!E$26)</f>
        <v>30.192006411397937</v>
      </c>
      <c r="F33" s="68">
        <f>IF(SER_hh_tesh!F33=0,0,SER_hh_tesh!F33/SER_summary!F$26)</f>
        <v>31.137660925336633</v>
      </c>
      <c r="G33" s="68">
        <f>IF(SER_hh_tesh!G33=0,0,SER_hh_tesh!G33/SER_summary!G$26)</f>
        <v>32.201673243871248</v>
      </c>
      <c r="H33" s="68">
        <f>IF(SER_hh_tesh!H33=0,0,SER_hh_tesh!H33/SER_summary!H$26)</f>
        <v>32.206566858318169</v>
      </c>
      <c r="I33" s="68">
        <f>IF(SER_hh_tesh!I33=0,0,SER_hh_tesh!I33/SER_summary!I$26)</f>
        <v>30.336494667901682</v>
      </c>
      <c r="J33" s="68">
        <f>IF(SER_hh_tesh!J33=0,0,SER_hh_tesh!J33/SER_summary!J$26)</f>
        <v>31.122717873425046</v>
      </c>
      <c r="K33" s="68">
        <f>IF(SER_hh_tesh!K33=0,0,SER_hh_tesh!K33/SER_summary!K$26)</f>
        <v>32.077950542973028</v>
      </c>
      <c r="L33" s="68">
        <f>IF(SER_hh_tesh!L33=0,0,SER_hh_tesh!L33/SER_summary!L$26)</f>
        <v>31.51593836746509</v>
      </c>
      <c r="M33" s="68">
        <f>IF(SER_hh_tesh!M33=0,0,SER_hh_tesh!M33/SER_summary!M$26)</f>
        <v>31.888704371786027</v>
      </c>
      <c r="N33" s="68">
        <f>IF(SER_hh_tesh!N33=0,0,SER_hh_tesh!N33/SER_summary!N$26)</f>
        <v>32.207559065728482</v>
      </c>
      <c r="O33" s="68">
        <f>IF(SER_hh_tesh!O33=0,0,SER_hh_tesh!O33/SER_summary!O$26)</f>
        <v>33.26160260720372</v>
      </c>
      <c r="P33" s="68">
        <f>IF(SER_hh_tesh!P33=0,0,SER_hh_tesh!P33/SER_summary!P$26)</f>
        <v>32.301276478598751</v>
      </c>
      <c r="Q33" s="68">
        <f>IF(SER_hh_tesh!Q33=0,0,SER_hh_tesh!Q33/SER_summary!Q$26)</f>
        <v>33.033988754894523</v>
      </c>
      <c r="R33" s="68">
        <f>IF(SER_hh_tesh!R33=0,0,SER_hh_tesh!R33/SER_summary!R$26)</f>
        <v>31.26044841623812</v>
      </c>
      <c r="S33" s="68">
        <f>IF(SER_hh_tesh!S33=0,0,SER_hh_tesh!S33/SER_summary!S$26)</f>
        <v>30.475379600540379</v>
      </c>
      <c r="T33" s="68">
        <f>IF(SER_hh_tesh!T33=0,0,SER_hh_tesh!T33/SER_summary!T$26)</f>
        <v>31.002873765702201</v>
      </c>
      <c r="U33" s="68">
        <f>IF(SER_hh_tesh!U33=0,0,SER_hh_tesh!U33/SER_summary!U$26)</f>
        <v>31.907984486840206</v>
      </c>
      <c r="V33" s="68">
        <f>IF(SER_hh_tesh!V33=0,0,SER_hh_tesh!V33/SER_summary!V$26)</f>
        <v>28.678912128000604</v>
      </c>
      <c r="W33" s="68">
        <f>IF(SER_hh_tesh!W33=0,0,SER_hh_tesh!W33/SER_summary!W$26)</f>
        <v>30.309770363909308</v>
      </c>
      <c r="X33" s="68">
        <f>IF(SER_hh_tesh!X33=0,0,SER_hh_tesh!X33/SER_summary!X$26)</f>
        <v>30.340887961059568</v>
      </c>
      <c r="Y33" s="68">
        <f>IF(SER_hh_tesh!Y33=0,0,SER_hh_tesh!Y33/SER_summary!Y$26)</f>
        <v>31.131263974599378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31.790907126335316</v>
      </c>
      <c r="C3" s="125">
        <f>IF(SER_hh_emih!C3=0,0,SER_hh_emih!C3/SER_summary!C$26)</f>
        <v>32.810645979322288</v>
      </c>
      <c r="D3" s="125">
        <f>IF(SER_hh_emih!D3=0,0,SER_hh_emih!D3/SER_summary!D$26)</f>
        <v>34.514377893816381</v>
      </c>
      <c r="E3" s="125">
        <f>IF(SER_hh_emih!E3=0,0,SER_hh_emih!E3/SER_summary!E$26)</f>
        <v>35.026642864321268</v>
      </c>
      <c r="F3" s="125">
        <f>IF(SER_hh_emih!F3=0,0,SER_hh_emih!F3/SER_summary!F$26)</f>
        <v>35.630133654874868</v>
      </c>
      <c r="G3" s="125">
        <f>IF(SER_hh_emih!G3=0,0,SER_hh_emih!G3/SER_summary!G$26)</f>
        <v>31.192460523004744</v>
      </c>
      <c r="H3" s="125">
        <f>IF(SER_hh_emih!H3=0,0,SER_hh_emih!H3/SER_summary!H$26)</f>
        <v>33.352383382060772</v>
      </c>
      <c r="I3" s="125">
        <f>IF(SER_hh_emih!I3=0,0,SER_hh_emih!I3/SER_summary!I$26)</f>
        <v>31.104578626330774</v>
      </c>
      <c r="J3" s="125">
        <f>IF(SER_hh_emih!J3=0,0,SER_hh_emih!J3/SER_summary!J$26)</f>
        <v>28.263001524969635</v>
      </c>
      <c r="K3" s="125">
        <f>IF(SER_hh_emih!K3=0,0,SER_hh_emih!K3/SER_summary!K$26)</f>
        <v>26.165500978783019</v>
      </c>
      <c r="L3" s="125">
        <f>IF(SER_hh_emih!L3=0,0,SER_hh_emih!L3/SER_summary!L$26)</f>
        <v>28.264667080977507</v>
      </c>
      <c r="M3" s="125">
        <f>IF(SER_hh_emih!M3=0,0,SER_hh_emih!M3/SER_summary!M$26)</f>
        <v>24.764698034858391</v>
      </c>
      <c r="N3" s="125">
        <f>IF(SER_hh_emih!N3=0,0,SER_hh_emih!N3/SER_summary!N$26)</f>
        <v>24.201896400310037</v>
      </c>
      <c r="O3" s="125">
        <f>IF(SER_hh_emih!O3=0,0,SER_hh_emih!O3/SER_summary!O$26)</f>
        <v>22.577018765665656</v>
      </c>
      <c r="P3" s="125">
        <f>IF(SER_hh_emih!P3=0,0,SER_hh_emih!P3/SER_summary!P$26)</f>
        <v>23.396652120894149</v>
      </c>
      <c r="Q3" s="125">
        <f>IF(SER_hh_emih!Q3=0,0,SER_hh_emih!Q3/SER_summary!Q$26)</f>
        <v>22.286000374956199</v>
      </c>
      <c r="R3" s="125">
        <f>IF(SER_hh_emih!R3=0,0,SER_hh_emih!R3/SER_summary!R$26)</f>
        <v>20.492355030660438</v>
      </c>
      <c r="S3" s="125">
        <f>IF(SER_hh_emih!S3=0,0,SER_hh_emih!S3/SER_summary!S$26)</f>
        <v>21.378148676185809</v>
      </c>
      <c r="T3" s="125">
        <f>IF(SER_hh_emih!T3=0,0,SER_hh_emih!T3/SER_summary!T$26)</f>
        <v>22.179728550827924</v>
      </c>
      <c r="U3" s="125">
        <f>IF(SER_hh_emih!U3=0,0,SER_hh_emih!U3/SER_summary!U$26)</f>
        <v>20.960857491056093</v>
      </c>
      <c r="V3" s="125">
        <f>IF(SER_hh_emih!V3=0,0,SER_hh_emih!V3/SER_summary!V$26)</f>
        <v>21.642931931122185</v>
      </c>
      <c r="W3" s="125">
        <f>IF(SER_hh_emih!W3=0,0,SER_hh_emih!W3/SER_summary!W$26)</f>
        <v>25.330964765229627</v>
      </c>
      <c r="X3" s="125">
        <f>IF(SER_hh_emih!X3=0,0,SER_hh_emih!X3/SER_summary!X$26)</f>
        <v>24.184949736411635</v>
      </c>
      <c r="Y3" s="125">
        <f>IF(SER_hh_emih!Y3=0,0,SER_hh_emih!Y3/SER_summary!Y$26)</f>
        <v>24.4751673687243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28.701139691549351</v>
      </c>
      <c r="C4" s="130">
        <f>IF(SER_hh_emih!C4=0,0,SER_hh_emih!C4/SER_summary!C$26)</f>
        <v>28.493483089313376</v>
      </c>
      <c r="D4" s="130">
        <f>IF(SER_hh_emih!D4=0,0,SER_hh_emih!D4/SER_summary!D$26)</f>
        <v>30.010238640585474</v>
      </c>
      <c r="E4" s="130">
        <f>IF(SER_hh_emih!E4=0,0,SER_hh_emih!E4/SER_summary!E$26)</f>
        <v>30.084999639889297</v>
      </c>
      <c r="F4" s="130">
        <f>IF(SER_hh_emih!F4=0,0,SER_hh_emih!F4/SER_summary!F$26)</f>
        <v>30.902495137002571</v>
      </c>
      <c r="G4" s="130">
        <f>IF(SER_hh_emih!G4=0,0,SER_hh_emih!G4/SER_summary!G$26)</f>
        <v>26.457548862507032</v>
      </c>
      <c r="H4" s="130">
        <f>IF(SER_hh_emih!H4=0,0,SER_hh_emih!H4/SER_summary!H$26)</f>
        <v>28.77036241797256</v>
      </c>
      <c r="I4" s="130">
        <f>IF(SER_hh_emih!I4=0,0,SER_hh_emih!I4/SER_summary!I$26)</f>
        <v>26.611535726443968</v>
      </c>
      <c r="J4" s="130">
        <f>IF(SER_hh_emih!J4=0,0,SER_hh_emih!J4/SER_summary!J$26)</f>
        <v>23.701295243922711</v>
      </c>
      <c r="K4" s="130">
        <f>IF(SER_hh_emih!K4=0,0,SER_hh_emih!K4/SER_summary!K$26)</f>
        <v>21.431549547989587</v>
      </c>
      <c r="L4" s="130">
        <f>IF(SER_hh_emih!L4=0,0,SER_hh_emih!L4/SER_summary!L$26)</f>
        <v>23.587009895082595</v>
      </c>
      <c r="M4" s="130">
        <f>IF(SER_hh_emih!M4=0,0,SER_hh_emih!M4/SER_summary!M$26)</f>
        <v>20.394163625200118</v>
      </c>
      <c r="N4" s="130">
        <f>IF(SER_hh_emih!N4=0,0,SER_hh_emih!N4/SER_summary!N$26)</f>
        <v>20.039280970866123</v>
      </c>
      <c r="O4" s="130">
        <f>IF(SER_hh_emih!O4=0,0,SER_hh_emih!O4/SER_summary!O$26)</f>
        <v>18.633730434504404</v>
      </c>
      <c r="P4" s="130">
        <f>IF(SER_hh_emih!P4=0,0,SER_hh_emih!P4/SER_summary!P$26)</f>
        <v>19.289191981950619</v>
      </c>
      <c r="Q4" s="130">
        <f>IF(SER_hh_emih!Q4=0,0,SER_hh_emih!Q4/SER_summary!Q$26)</f>
        <v>18.258941999056599</v>
      </c>
      <c r="R4" s="130">
        <f>IF(SER_hh_emih!R4=0,0,SER_hh_emih!R4/SER_summary!R$26)</f>
        <v>15.898915338008901</v>
      </c>
      <c r="S4" s="130">
        <f>IF(SER_hh_emih!S4=0,0,SER_hh_emih!S4/SER_summary!S$26)</f>
        <v>16.294164757451121</v>
      </c>
      <c r="T4" s="130">
        <f>IF(SER_hh_emih!T4=0,0,SER_hh_emih!T4/SER_summary!T$26)</f>
        <v>17.22979332618673</v>
      </c>
      <c r="U4" s="130">
        <f>IF(SER_hh_emih!U4=0,0,SER_hh_emih!U4/SER_summary!U$26)</f>
        <v>16.168370228130392</v>
      </c>
      <c r="V4" s="130">
        <f>IF(SER_hh_emih!V4=0,0,SER_hh_emih!V4/SER_summary!V$26)</f>
        <v>16.8573550563165</v>
      </c>
      <c r="W4" s="130">
        <f>IF(SER_hh_emih!W4=0,0,SER_hh_emih!W4/SER_summary!W$26)</f>
        <v>20.49421850540627</v>
      </c>
      <c r="X4" s="130">
        <f>IF(SER_hh_emih!X4=0,0,SER_hh_emih!X4/SER_summary!X$26)</f>
        <v>19.017310838801773</v>
      </c>
      <c r="Y4" s="130">
        <f>IF(SER_hh_emih!Y4=0,0,SER_hh_emih!Y4/SER_summary!Y$26)</f>
        <v>19.664312221040699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127.99250912331381</v>
      </c>
      <c r="C5" s="132">
        <f>IF(SER_hh_emih!C5=0,0,SER_hh_emih!C5/SER_summary!C$26)</f>
        <v>131.48275316912441</v>
      </c>
      <c r="D5" s="132">
        <f>IF(SER_hh_emih!D5=0,0,SER_hh_emih!D5/SER_summary!D$26)</f>
        <v>132.862927418243</v>
      </c>
      <c r="E5" s="132">
        <f>IF(SER_hh_emih!E5=0,0,SER_hh_emih!E5/SER_summary!E$26)</f>
        <v>136.84493982722074</v>
      </c>
      <c r="F5" s="132">
        <f>IF(SER_hh_emih!F5=0,0,SER_hh_emih!F5/SER_summary!F$26)</f>
        <v>140.76208531524455</v>
      </c>
      <c r="G5" s="132">
        <f>IF(SER_hh_emih!G5=0,0,SER_hh_emih!G5/SER_summary!G$26)</f>
        <v>122.26156180042888</v>
      </c>
      <c r="H5" s="132">
        <f>IF(SER_hh_emih!H5=0,0,SER_hh_emih!H5/SER_summary!H$26)</f>
        <v>128.3579992724178</v>
      </c>
      <c r="I5" s="132">
        <f>IF(SER_hh_emih!I5=0,0,SER_hh_emih!I5/SER_summary!I$26)</f>
        <v>128.77916739030752</v>
      </c>
      <c r="J5" s="132">
        <f>IF(SER_hh_emih!J5=0,0,SER_hh_emih!J5/SER_summary!J$26)</f>
        <v>108.02289383305121</v>
      </c>
      <c r="K5" s="132">
        <f>IF(SER_hh_emih!K5=0,0,SER_hh_emih!K5/SER_summary!K$26)</f>
        <v>79.477447285515225</v>
      </c>
      <c r="L5" s="132">
        <f>IF(SER_hh_emih!L5=0,0,SER_hh_emih!L5/SER_summary!L$26)</f>
        <v>106.7989489918432</v>
      </c>
      <c r="M5" s="132">
        <f>IF(SER_hh_emih!M5=0,0,SER_hh_emih!M5/SER_summary!M$26)</f>
        <v>100.46868368839601</v>
      </c>
      <c r="N5" s="132">
        <f>IF(SER_hh_emih!N5=0,0,SER_hh_emih!N5/SER_summary!N$26)</f>
        <v>71.047350410182645</v>
      </c>
      <c r="O5" s="132">
        <f>IF(SER_hh_emih!O5=0,0,SER_hh_emih!O5/SER_summary!O$26)</f>
        <v>94.134358839140617</v>
      </c>
      <c r="P5" s="132">
        <f>IF(SER_hh_emih!P5=0,0,SER_hh_emih!P5/SER_summary!P$26)</f>
        <v>91.07426822863151</v>
      </c>
      <c r="Q5" s="132">
        <f>IF(SER_hh_emih!Q5=0,0,SER_hh_emih!Q5/SER_summary!Q$26)</f>
        <v>81.268520518453016</v>
      </c>
      <c r="R5" s="132">
        <f>IF(SER_hh_emih!R5=0,0,SER_hh_emih!R5/SER_summary!R$26)</f>
        <v>91.617818857503124</v>
      </c>
      <c r="S5" s="132">
        <f>IF(SER_hh_emih!S5=0,0,SER_hh_emih!S5/SER_summary!S$26)</f>
        <v>79.274647921422044</v>
      </c>
      <c r="T5" s="132">
        <f>IF(SER_hh_emih!T5=0,0,SER_hh_emih!T5/SER_summary!T$26)</f>
        <v>93.395340676510983</v>
      </c>
      <c r="U5" s="132">
        <f>IF(SER_hh_emih!U5=0,0,SER_hh_emih!U5/SER_summary!U$26)</f>
        <v>87.639266648400252</v>
      </c>
      <c r="V5" s="132">
        <f>IF(SER_hh_emih!V5=0,0,SER_hh_emih!V5/SER_summary!V$26)</f>
        <v>61.555184942152337</v>
      </c>
      <c r="W5" s="132">
        <f>IF(SER_hh_emih!W5=0,0,SER_hh_emih!W5/SER_summary!W$26)</f>
        <v>83.092339010317389</v>
      </c>
      <c r="X5" s="132">
        <f>IF(SER_hh_emih!X5=0,0,SER_hh_emih!X5/SER_summary!X$26)</f>
        <v>48.239985766798405</v>
      </c>
      <c r="Y5" s="132">
        <f>IF(SER_hh_emih!Y5=0,0,SER_hh_emih!Y5/SER_summary!Y$26)</f>
        <v>96.859060791031553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114.17581091929267</v>
      </c>
      <c r="C7" s="132">
        <f>IF(SER_hh_emih!C7=0,0,SER_hh_emih!C7/SER_summary!C$26)</f>
        <v>124.6510003873663</v>
      </c>
      <c r="D7" s="132">
        <f>IF(SER_hh_emih!D7=0,0,SER_hh_emih!D7/SER_summary!D$26)</f>
        <v>118.85562768787503</v>
      </c>
      <c r="E7" s="132">
        <f>IF(SER_hh_emih!E7=0,0,SER_hh_emih!E7/SER_summary!E$26)</f>
        <v>126.6299630483541</v>
      </c>
      <c r="F7" s="132">
        <f>IF(SER_hh_emih!F7=0,0,SER_hh_emih!F7/SER_summary!F$26)</f>
        <v>127.02253909123985</v>
      </c>
      <c r="G7" s="132">
        <f>IF(SER_hh_emih!G7=0,0,SER_hh_emih!G7/SER_summary!G$26)</f>
        <v>101.7839359275174</v>
      </c>
      <c r="H7" s="132">
        <f>IF(SER_hh_emih!H7=0,0,SER_hh_emih!H7/SER_summary!H$26)</f>
        <v>130.2509766226662</v>
      </c>
      <c r="I7" s="132">
        <f>IF(SER_hh_emih!I7=0,0,SER_hh_emih!I7/SER_summary!I$26)</f>
        <v>107.3442148271652</v>
      </c>
      <c r="J7" s="132">
        <f>IF(SER_hh_emih!J7=0,0,SER_hh_emih!J7/SER_summary!J$26)</f>
        <v>90.465410490251642</v>
      </c>
      <c r="K7" s="132">
        <f>IF(SER_hh_emih!K7=0,0,SER_hh_emih!K7/SER_summary!K$26)</f>
        <v>85.508154591685681</v>
      </c>
      <c r="L7" s="132">
        <f>IF(SER_hh_emih!L7=0,0,SER_hh_emih!L7/SER_summary!L$26)</f>
        <v>84.327393233895606</v>
      </c>
      <c r="M7" s="132">
        <f>IF(SER_hh_emih!M7=0,0,SER_hh_emih!M7/SER_summary!M$26)</f>
        <v>68.94779588221131</v>
      </c>
      <c r="N7" s="132">
        <f>IF(SER_hh_emih!N7=0,0,SER_hh_emih!N7/SER_summary!N$26)</f>
        <v>87.475638557835495</v>
      </c>
      <c r="O7" s="132">
        <f>IF(SER_hh_emih!O7=0,0,SER_hh_emih!O7/SER_summary!O$26)</f>
        <v>80.528000415095818</v>
      </c>
      <c r="P7" s="132">
        <f>IF(SER_hh_emih!P7=0,0,SER_hh_emih!P7/SER_summary!P$26)</f>
        <v>81.67703082526458</v>
      </c>
      <c r="Q7" s="132">
        <f>IF(SER_hh_emih!Q7=0,0,SER_hh_emih!Q7/SER_summary!Q$26)</f>
        <v>85.324270488027082</v>
      </c>
      <c r="R7" s="132">
        <f>IF(SER_hh_emih!R7=0,0,SER_hh_emih!R7/SER_summary!R$26)</f>
        <v>60.871493710055532</v>
      </c>
      <c r="S7" s="132">
        <f>IF(SER_hh_emih!S7=0,0,SER_hh_emih!S7/SER_summary!S$26)</f>
        <v>68.954628830576908</v>
      </c>
      <c r="T7" s="132">
        <f>IF(SER_hh_emih!T7=0,0,SER_hh_emih!T7/SER_summary!T$26)</f>
        <v>77.908160961680508</v>
      </c>
      <c r="U7" s="132">
        <f>IF(SER_hh_emih!U7=0,0,SER_hh_emih!U7/SER_summary!U$26)</f>
        <v>57.891113772077425</v>
      </c>
      <c r="V7" s="132">
        <f>IF(SER_hh_emih!V7=0,0,SER_hh_emih!V7/SER_summary!V$26)</f>
        <v>60.598610709313931</v>
      </c>
      <c r="W7" s="132">
        <f>IF(SER_hh_emih!W7=0,0,SER_hh_emih!W7/SER_summary!W$26)</f>
        <v>75.211261192853527</v>
      </c>
      <c r="X7" s="132">
        <f>IF(SER_hh_emih!X7=0,0,SER_hh_emih!X7/SER_summary!X$26)</f>
        <v>57.194644524843362</v>
      </c>
      <c r="Y7" s="132">
        <f>IF(SER_hh_emih!Y7=0,0,SER_hh_emih!Y7/SER_summary!Y$26)</f>
        <v>61.645496487349057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83.543245963249873</v>
      </c>
      <c r="C9" s="132">
        <f>IF(SER_hh_emih!C9=0,0,SER_hh_emih!C9/SER_summary!C$26)</f>
        <v>72.626866723011048</v>
      </c>
      <c r="D9" s="132">
        <f>IF(SER_hh_emih!D9=0,0,SER_hh_emih!D9/SER_summary!D$26)</f>
        <v>87.593617028681535</v>
      </c>
      <c r="E9" s="132">
        <f>IF(SER_hh_emih!E9=0,0,SER_hh_emih!E9/SER_summary!E$26)</f>
        <v>80.002902480339429</v>
      </c>
      <c r="F9" s="132">
        <f>IF(SER_hh_emih!F9=0,0,SER_hh_emih!F9/SER_summary!F$26)</f>
        <v>82.620926173541505</v>
      </c>
      <c r="G9" s="132">
        <f>IF(SER_hh_emih!G9=0,0,SER_hh_emih!G9/SER_summary!G$26)</f>
        <v>76.192641474991987</v>
      </c>
      <c r="H9" s="132">
        <f>IF(SER_hh_emih!H9=0,0,SER_hh_emih!H9/SER_summary!H$26)</f>
        <v>74.479749506727046</v>
      </c>
      <c r="I9" s="132">
        <f>IF(SER_hh_emih!I9=0,0,SER_hh_emih!I9/SER_summary!I$26)</f>
        <v>75.30030442150526</v>
      </c>
      <c r="J9" s="132">
        <f>IF(SER_hh_emih!J9=0,0,SER_hh_emih!J9/SER_summary!J$26)</f>
        <v>65.951462715905748</v>
      </c>
      <c r="K9" s="132">
        <f>IF(SER_hh_emih!K9=0,0,SER_hh_emih!K9/SER_summary!K$26)</f>
        <v>57.919537432342658</v>
      </c>
      <c r="L9" s="132">
        <f>IF(SER_hh_emih!L9=0,0,SER_hh_emih!L9/SER_summary!L$26)</f>
        <v>60.806245714654587</v>
      </c>
      <c r="M9" s="132">
        <f>IF(SER_hh_emih!M9=0,0,SER_hh_emih!M9/SER_summary!M$26)</f>
        <v>56.193176251829769</v>
      </c>
      <c r="N9" s="132">
        <f>IF(SER_hh_emih!N9=0,0,SER_hh_emih!N9/SER_summary!N$26)</f>
        <v>59.907569728240482</v>
      </c>
      <c r="O9" s="132">
        <f>IF(SER_hh_emih!O9=0,0,SER_hh_emih!O9/SER_summary!O$26)</f>
        <v>53.288608842422128</v>
      </c>
      <c r="P9" s="132">
        <f>IF(SER_hh_emih!P9=0,0,SER_hh_emih!P9/SER_summary!P$26)</f>
        <v>58.467763803124605</v>
      </c>
      <c r="Q9" s="132">
        <f>IF(SER_hh_emih!Q9=0,0,SER_hh_emih!Q9/SER_summary!Q$26)</f>
        <v>51.669086164661636</v>
      </c>
      <c r="R9" s="132">
        <f>IF(SER_hh_emih!R9=0,0,SER_hh_emih!R9/SER_summary!R$26)</f>
        <v>52.517728970653657</v>
      </c>
      <c r="S9" s="132">
        <f>IF(SER_hh_emih!S9=0,0,SER_hh_emih!S9/SER_summary!S$26)</f>
        <v>51.710600094654566</v>
      </c>
      <c r="T9" s="132">
        <f>IF(SER_hh_emih!T9=0,0,SER_hh_emih!T9/SER_summary!T$26)</f>
        <v>48.87050356432929</v>
      </c>
      <c r="U9" s="132">
        <f>IF(SER_hh_emih!U9=0,0,SER_hh_emih!U9/SER_summary!U$26)</f>
        <v>47.243814841562099</v>
      </c>
      <c r="V9" s="132">
        <f>IF(SER_hh_emih!V9=0,0,SER_hh_emih!V9/SER_summary!V$26)</f>
        <v>45.184524831734088</v>
      </c>
      <c r="W9" s="132">
        <f>IF(SER_hh_emih!W9=0,0,SER_hh_emih!W9/SER_summary!W$26)</f>
        <v>45.740310293814048</v>
      </c>
      <c r="X9" s="132">
        <f>IF(SER_hh_emih!X9=0,0,SER_hh_emih!X9/SER_summary!X$26)</f>
        <v>43.282374454511803</v>
      </c>
      <c r="Y9" s="132">
        <f>IF(SER_hh_emih!Y9=0,0,SER_hh_emih!Y9/SER_summary!Y$26)</f>
        <v>39.564473019036278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0</v>
      </c>
      <c r="C16" s="130">
        <f>IF(SER_hh_emih!C16=0,0,SER_hh_emih!C16/SER_summary!C$26)</f>
        <v>0</v>
      </c>
      <c r="D16" s="130">
        <f>IF(SER_hh_emih!D16=0,0,SER_hh_emih!D16/SER_summary!D$26)</f>
        <v>0</v>
      </c>
      <c r="E16" s="130">
        <f>IF(SER_hh_emih!E16=0,0,SER_hh_emih!E16/SER_summary!E$26)</f>
        <v>0</v>
      </c>
      <c r="F16" s="130">
        <f>IF(SER_hh_emih!F16=0,0,SER_hh_emih!F16/SER_summary!F$26)</f>
        <v>0</v>
      </c>
      <c r="G16" s="130">
        <f>IF(SER_hh_emih!G16=0,0,SER_hh_emih!G16/SER_summary!G$26)</f>
        <v>0</v>
      </c>
      <c r="H16" s="130">
        <f>IF(SER_hh_emih!H16=0,0,SER_hh_emih!H16/SER_summary!H$26)</f>
        <v>0</v>
      </c>
      <c r="I16" s="130">
        <f>IF(SER_hh_emih!I16=0,0,SER_hh_emih!I16/SER_summary!I$26)</f>
        <v>0</v>
      </c>
      <c r="J16" s="130">
        <f>IF(SER_hh_emih!J16=0,0,SER_hh_emih!J16/SER_summary!J$26)</f>
        <v>0</v>
      </c>
      <c r="K16" s="130">
        <f>IF(SER_hh_emih!K16=0,0,SER_hh_emih!K16/SER_summary!K$26)</f>
        <v>0</v>
      </c>
      <c r="L16" s="130">
        <f>IF(SER_hh_emih!L16=0,0,SER_hh_emih!L16/SER_summary!L$26)</f>
        <v>0</v>
      </c>
      <c r="M16" s="130">
        <f>IF(SER_hh_emih!M16=0,0,SER_hh_emih!M16/SER_summary!M$26)</f>
        <v>0</v>
      </c>
      <c r="N16" s="130">
        <f>IF(SER_hh_emih!N16=0,0,SER_hh_emih!N16/SER_summary!N$26)</f>
        <v>0</v>
      </c>
      <c r="O16" s="130">
        <f>IF(SER_hh_emih!O16=0,0,SER_hh_emih!O16/SER_summary!O$26)</f>
        <v>0</v>
      </c>
      <c r="P16" s="130">
        <f>IF(SER_hh_emih!P16=0,0,SER_hh_emih!P16/SER_summary!P$26)</f>
        <v>0</v>
      </c>
      <c r="Q16" s="130">
        <f>IF(SER_hh_emih!Q16=0,0,SER_hh_emih!Q16/SER_summary!Q$26)</f>
        <v>0</v>
      </c>
      <c r="R16" s="130">
        <f>IF(SER_hh_emih!R16=0,0,SER_hh_emih!R16/SER_summary!R$26)</f>
        <v>0</v>
      </c>
      <c r="S16" s="130">
        <f>IF(SER_hh_emih!S16=0,0,SER_hh_emih!S16/SER_summary!S$26)</f>
        <v>0</v>
      </c>
      <c r="T16" s="130">
        <f>IF(SER_hh_emih!T16=0,0,SER_hh_emih!T16/SER_summary!T$26)</f>
        <v>0</v>
      </c>
      <c r="U16" s="130">
        <f>IF(SER_hh_emih!U16=0,0,SER_hh_emih!U16/SER_summary!U$26)</f>
        <v>0</v>
      </c>
      <c r="V16" s="130">
        <f>IF(SER_hh_emih!V16=0,0,SER_hh_emih!V16/SER_summary!V$26)</f>
        <v>0</v>
      </c>
      <c r="W16" s="130">
        <f>IF(SER_hh_emih!W16=0,0,SER_hh_emih!W16/SER_summary!W$26)</f>
        <v>0</v>
      </c>
      <c r="X16" s="130">
        <f>IF(SER_hh_emih!X16=0,0,SER_hh_emih!X16/SER_summary!X$26)</f>
        <v>0</v>
      </c>
      <c r="Y16" s="130">
        <f>IF(SER_hh_emih!Y16=0,0,SER_hh_emih!Y16/SER_summary!Y$26)</f>
        <v>0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0</v>
      </c>
      <c r="C17" s="132">
        <f>IF(SER_hh_emih!C17=0,0,SER_hh_emih!C17/SER_summary!C$26)</f>
        <v>0</v>
      </c>
      <c r="D17" s="132">
        <f>IF(SER_hh_emih!D17=0,0,SER_hh_emih!D17/SER_summary!D$26)</f>
        <v>0</v>
      </c>
      <c r="E17" s="132">
        <f>IF(SER_hh_emih!E17=0,0,SER_hh_emih!E17/SER_summary!E$26)</f>
        <v>0</v>
      </c>
      <c r="F17" s="132">
        <f>IF(SER_hh_emih!F17=0,0,SER_hh_emih!F17/SER_summary!F$26)</f>
        <v>0</v>
      </c>
      <c r="G17" s="132">
        <f>IF(SER_hh_emih!G17=0,0,SER_hh_emih!G17/SER_summary!G$26)</f>
        <v>0</v>
      </c>
      <c r="H17" s="132">
        <f>IF(SER_hh_emih!H17=0,0,SER_hh_emih!H17/SER_summary!H$26)</f>
        <v>0</v>
      </c>
      <c r="I17" s="132">
        <f>IF(SER_hh_emih!I17=0,0,SER_hh_emih!I17/SER_summary!I$26)</f>
        <v>0</v>
      </c>
      <c r="J17" s="132">
        <f>IF(SER_hh_emih!J17=0,0,SER_hh_emih!J17/SER_summary!J$26)</f>
        <v>0</v>
      </c>
      <c r="K17" s="132">
        <f>IF(SER_hh_emih!K17=0,0,SER_hh_emih!K17/SER_summary!K$26)</f>
        <v>0</v>
      </c>
      <c r="L17" s="132">
        <f>IF(SER_hh_emih!L17=0,0,SER_hh_emih!L17/SER_summary!L$26)</f>
        <v>0</v>
      </c>
      <c r="M17" s="132">
        <f>IF(SER_hh_emih!M17=0,0,SER_hh_emih!M17/SER_summary!M$26)</f>
        <v>0</v>
      </c>
      <c r="N17" s="132">
        <f>IF(SER_hh_emih!N17=0,0,SER_hh_emih!N17/SER_summary!N$26)</f>
        <v>0</v>
      </c>
      <c r="O17" s="132">
        <f>IF(SER_hh_emih!O17=0,0,SER_hh_emih!O17/SER_summary!O$26)</f>
        <v>0</v>
      </c>
      <c r="P17" s="132">
        <f>IF(SER_hh_emih!P17=0,0,SER_hh_emih!P17/SER_summary!P$26)</f>
        <v>0</v>
      </c>
      <c r="Q17" s="132">
        <f>IF(SER_hh_emih!Q17=0,0,SER_hh_emih!Q17/SER_summary!Q$26)</f>
        <v>0</v>
      </c>
      <c r="R17" s="132">
        <f>IF(SER_hh_emih!R17=0,0,SER_hh_emih!R17/SER_summary!R$26)</f>
        <v>0</v>
      </c>
      <c r="S17" s="132">
        <f>IF(SER_hh_emih!S17=0,0,SER_hh_emih!S17/SER_summary!S$26)</f>
        <v>0</v>
      </c>
      <c r="T17" s="132">
        <f>IF(SER_hh_emih!T17=0,0,SER_hh_emih!T17/SER_summary!T$26)</f>
        <v>0</v>
      </c>
      <c r="U17" s="132">
        <f>IF(SER_hh_emih!U17=0,0,SER_hh_emih!U17/SER_summary!U$26)</f>
        <v>0</v>
      </c>
      <c r="V17" s="132">
        <f>IF(SER_hh_emih!V17=0,0,SER_hh_emih!V17/SER_summary!V$26)</f>
        <v>0</v>
      </c>
      <c r="W17" s="132">
        <f>IF(SER_hh_emih!W17=0,0,SER_hh_emih!W17/SER_summary!W$26)</f>
        <v>0</v>
      </c>
      <c r="X17" s="132">
        <f>IF(SER_hh_emih!X17=0,0,SER_hh_emih!X17/SER_summary!X$26)</f>
        <v>0</v>
      </c>
      <c r="Y17" s="132">
        <f>IF(SER_hh_emih!Y17=0,0,SER_hh_emih!Y17/SER_summary!Y$26)</f>
        <v>0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1.9231460237958158</v>
      </c>
      <c r="C19" s="130">
        <f>IF(SER_hh_emih!C19=0,0,SER_hh_emih!C19/SER_summary!C$26)</f>
        <v>1.9137276230595623</v>
      </c>
      <c r="D19" s="130">
        <f>IF(SER_hh_emih!D19=0,0,SER_hh_emih!D19/SER_summary!D$26)</f>
        <v>1.9812324103201948</v>
      </c>
      <c r="E19" s="130">
        <f>IF(SER_hh_emih!E19=0,0,SER_hh_emih!E19/SER_summary!E$26)</f>
        <v>1.9540137268355442</v>
      </c>
      <c r="F19" s="130">
        <f>IF(SER_hh_emih!F19=0,0,SER_hh_emih!F19/SER_summary!F$26)</f>
        <v>1.9133347853835203</v>
      </c>
      <c r="G19" s="130">
        <f>IF(SER_hh_emih!G19=0,0,SER_hh_emih!G19/SER_summary!G$26)</f>
        <v>1.9586437170953661</v>
      </c>
      <c r="H19" s="130">
        <f>IF(SER_hh_emih!H19=0,0,SER_hh_emih!H19/SER_summary!H$26)</f>
        <v>1.9267959306852112</v>
      </c>
      <c r="I19" s="130">
        <f>IF(SER_hh_emih!I19=0,0,SER_hh_emih!I19/SER_summary!I$26)</f>
        <v>1.8545271803629817</v>
      </c>
      <c r="J19" s="130">
        <f>IF(SER_hh_emih!J19=0,0,SER_hh_emih!J19/SER_summary!J$26)</f>
        <v>1.982549109286138</v>
      </c>
      <c r="K19" s="130">
        <f>IF(SER_hh_emih!K19=0,0,SER_hh_emih!K19/SER_summary!K$26)</f>
        <v>2.0352011265332655</v>
      </c>
      <c r="L19" s="130">
        <f>IF(SER_hh_emih!L19=0,0,SER_hh_emih!L19/SER_summary!L$26)</f>
        <v>2.0542238149902587</v>
      </c>
      <c r="M19" s="130">
        <f>IF(SER_hh_emih!M19=0,0,SER_hh_emih!M19/SER_summary!M$26)</f>
        <v>2.0725916357487741</v>
      </c>
      <c r="N19" s="130">
        <f>IF(SER_hh_emih!N19=0,0,SER_hh_emih!N19/SER_summary!N$26)</f>
        <v>2.1211385809900158</v>
      </c>
      <c r="O19" s="130">
        <f>IF(SER_hh_emih!O19=0,0,SER_hh_emih!O19/SER_summary!O$26)</f>
        <v>2.1255328506069637</v>
      </c>
      <c r="P19" s="130">
        <f>IF(SER_hh_emih!P19=0,0,SER_hh_emih!P19/SER_summary!P$26)</f>
        <v>2.1075695382241633</v>
      </c>
      <c r="Q19" s="130">
        <f>IF(SER_hh_emih!Q19=0,0,SER_hh_emih!Q19/SER_summary!Q$26)</f>
        <v>2.0961119434013846</v>
      </c>
      <c r="R19" s="130">
        <f>IF(SER_hh_emih!R19=0,0,SER_hh_emih!R19/SER_summary!R$26)</f>
        <v>2.0720019224123463</v>
      </c>
      <c r="S19" s="130">
        <f>IF(SER_hh_emih!S19=0,0,SER_hh_emih!S19/SER_summary!S$26)</f>
        <v>2.0261451059556825</v>
      </c>
      <c r="T19" s="130">
        <f>IF(SER_hh_emih!T19=0,0,SER_hh_emih!T19/SER_summary!T$26)</f>
        <v>1.9208071799684614</v>
      </c>
      <c r="U19" s="130">
        <f>IF(SER_hh_emih!U19=0,0,SER_hh_emih!U19/SER_summary!U$26)</f>
        <v>1.8347200677918096</v>
      </c>
      <c r="V19" s="130">
        <f>IF(SER_hh_emih!V19=0,0,SER_hh_emih!V19/SER_summary!V$26)</f>
        <v>1.7331083549003254</v>
      </c>
      <c r="W19" s="130">
        <f>IF(SER_hh_emih!W19=0,0,SER_hh_emih!W19/SER_summary!W$26)</f>
        <v>1.7423655412349686</v>
      </c>
      <c r="X19" s="130">
        <f>IF(SER_hh_emih!X19=0,0,SER_hh_emih!X19/SER_summary!X$26)</f>
        <v>1.6861323789423626</v>
      </c>
      <c r="Y19" s="130">
        <f>IF(SER_hh_emih!Y19=0,0,SER_hh_emih!Y19/SER_summary!Y$26)</f>
        <v>1.5906541108360892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0</v>
      </c>
      <c r="C21" s="132">
        <f>IF(SER_hh_emih!C21=0,0,SER_hh_emih!C21/SER_summary!C$26)</f>
        <v>0</v>
      </c>
      <c r="D21" s="132">
        <f>IF(SER_hh_emih!D21=0,0,SER_hh_emih!D21/SER_summary!D$26)</f>
        <v>0</v>
      </c>
      <c r="E21" s="132">
        <f>IF(SER_hh_emih!E21=0,0,SER_hh_emih!E21/SER_summary!E$26)</f>
        <v>0</v>
      </c>
      <c r="F21" s="132">
        <f>IF(SER_hh_emih!F21=0,0,SER_hh_emih!F21/SER_summary!F$26)</f>
        <v>0</v>
      </c>
      <c r="G21" s="132">
        <f>IF(SER_hh_emih!G21=0,0,SER_hh_emih!G21/SER_summary!G$26)</f>
        <v>0</v>
      </c>
      <c r="H21" s="132">
        <f>IF(SER_hh_emih!H21=0,0,SER_hh_emih!H21/SER_summary!H$26)</f>
        <v>0</v>
      </c>
      <c r="I21" s="132">
        <f>IF(SER_hh_emih!I21=0,0,SER_hh_emih!I21/SER_summary!I$26)</f>
        <v>0</v>
      </c>
      <c r="J21" s="132">
        <f>IF(SER_hh_emih!J21=0,0,SER_hh_emih!J21/SER_summary!J$26)</f>
        <v>0</v>
      </c>
      <c r="K21" s="132">
        <f>IF(SER_hh_emih!K21=0,0,SER_hh_emih!K21/SER_summary!K$26)</f>
        <v>0</v>
      </c>
      <c r="L21" s="132">
        <f>IF(SER_hh_emih!L21=0,0,SER_hh_emih!L21/SER_summary!L$26)</f>
        <v>0</v>
      </c>
      <c r="M21" s="132">
        <f>IF(SER_hh_emih!M21=0,0,SER_hh_emih!M21/SER_summary!M$26)</f>
        <v>0</v>
      </c>
      <c r="N21" s="132">
        <f>IF(SER_hh_emih!N21=0,0,SER_hh_emih!N21/SER_summary!N$26)</f>
        <v>0</v>
      </c>
      <c r="O21" s="132">
        <f>IF(SER_hh_emih!O21=0,0,SER_hh_emih!O21/SER_summary!O$26)</f>
        <v>0</v>
      </c>
      <c r="P21" s="132">
        <f>IF(SER_hh_emih!P21=0,0,SER_hh_emih!P21/SER_summary!P$26)</f>
        <v>0</v>
      </c>
      <c r="Q21" s="132">
        <f>IF(SER_hh_emih!Q21=0,0,SER_hh_emih!Q21/SER_summary!Q$26)</f>
        <v>0</v>
      </c>
      <c r="R21" s="132">
        <f>IF(SER_hh_emih!R21=0,0,SER_hh_emih!R21/SER_summary!R$26)</f>
        <v>0</v>
      </c>
      <c r="S21" s="132">
        <f>IF(SER_hh_emih!S21=0,0,SER_hh_emih!S21/SER_summary!S$26)</f>
        <v>0</v>
      </c>
      <c r="T21" s="132">
        <f>IF(SER_hh_emih!T21=0,0,SER_hh_emih!T21/SER_summary!T$26)</f>
        <v>0</v>
      </c>
      <c r="U21" s="132">
        <f>IF(SER_hh_emih!U21=0,0,SER_hh_emih!U21/SER_summary!U$26)</f>
        <v>0</v>
      </c>
      <c r="V21" s="132">
        <f>IF(SER_hh_emih!V21=0,0,SER_hh_emih!V21/SER_summary!V$26)</f>
        <v>0</v>
      </c>
      <c r="W21" s="132">
        <f>IF(SER_hh_emih!W21=0,0,SER_hh_emih!W21/SER_summary!W$26)</f>
        <v>0</v>
      </c>
      <c r="X21" s="132">
        <f>IF(SER_hh_emih!X21=0,0,SER_hh_emih!X21/SER_summary!X$26)</f>
        <v>0</v>
      </c>
      <c r="Y21" s="132">
        <f>IF(SER_hh_emih!Y21=0,0,SER_hh_emih!Y21/SER_summary!Y$26)</f>
        <v>0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13.921253529262376</v>
      </c>
      <c r="C22" s="132">
        <f>IF(SER_hh_emih!C22=0,0,SER_hh_emih!C22/SER_summary!C$26)</f>
        <v>14.05507618085633</v>
      </c>
      <c r="D22" s="132">
        <f>IF(SER_hh_emih!D22=0,0,SER_hh_emih!D22/SER_summary!D$26)</f>
        <v>13.829906132929406</v>
      </c>
      <c r="E22" s="132">
        <f>IF(SER_hh_emih!E22=0,0,SER_hh_emih!E22/SER_summary!E$26)</f>
        <v>13.746155926803445</v>
      </c>
      <c r="F22" s="132">
        <f>IF(SER_hh_emih!F22=0,0,SER_hh_emih!F22/SER_summary!F$26)</f>
        <v>13.551403726673016</v>
      </c>
      <c r="G22" s="132">
        <f>IF(SER_hh_emih!G22=0,0,SER_hh_emih!G22/SER_summary!G$26)</f>
        <v>13.544135823070842</v>
      </c>
      <c r="H22" s="132">
        <f>IF(SER_hh_emih!H22=0,0,SER_hh_emih!H22/SER_summary!H$26)</f>
        <v>13.801406129533769</v>
      </c>
      <c r="I22" s="132">
        <f>IF(SER_hh_emih!I22=0,0,SER_hh_emih!I22/SER_summary!I$26)</f>
        <v>13.333038282852792</v>
      </c>
      <c r="J22" s="132">
        <f>IF(SER_hh_emih!J22=0,0,SER_hh_emih!J22/SER_summary!J$26)</f>
        <v>13.617570647493372</v>
      </c>
      <c r="K22" s="132">
        <f>IF(SER_hh_emih!K22=0,0,SER_hh_emih!K22/SER_summary!K$26)</f>
        <v>13.469782598525457</v>
      </c>
      <c r="L22" s="132">
        <f>IF(SER_hh_emih!L22=0,0,SER_hh_emih!L22/SER_summary!L$26)</f>
        <v>13.349990718898415</v>
      </c>
      <c r="M22" s="132">
        <f>IF(SER_hh_emih!M22=0,0,SER_hh_emih!M22/SER_summary!M$26)</f>
        <v>13.424547176969128</v>
      </c>
      <c r="N22" s="132">
        <f>IF(SER_hh_emih!N22=0,0,SER_hh_emih!N22/SER_summary!N$26)</f>
        <v>13.362699536083795</v>
      </c>
      <c r="O22" s="132">
        <f>IF(SER_hh_emih!O22=0,0,SER_hh_emih!O22/SER_summary!O$26)</f>
        <v>13.289243639844086</v>
      </c>
      <c r="P22" s="132">
        <f>IF(SER_hh_emih!P22=0,0,SER_hh_emih!P22/SER_summary!P$26)</f>
        <v>13.153615733119022</v>
      </c>
      <c r="Q22" s="132">
        <f>IF(SER_hh_emih!Q22=0,0,SER_hh_emih!Q22/SER_summary!Q$26)</f>
        <v>13.216495594736521</v>
      </c>
      <c r="R22" s="132">
        <f>IF(SER_hh_emih!R22=0,0,SER_hh_emih!R22/SER_summary!R$26)</f>
        <v>13.110967371097788</v>
      </c>
      <c r="S22" s="132">
        <f>IF(SER_hh_emih!S22=0,0,SER_hh_emih!S22/SER_summary!S$26)</f>
        <v>13.085207635163631</v>
      </c>
      <c r="T22" s="132">
        <f>IF(SER_hh_emih!T22=0,0,SER_hh_emih!T22/SER_summary!T$26)</f>
        <v>12.865256786272035</v>
      </c>
      <c r="U22" s="132">
        <f>IF(SER_hh_emih!U22=0,0,SER_hh_emih!U22/SER_summary!U$26)</f>
        <v>12.286083032551737</v>
      </c>
      <c r="V22" s="132">
        <f>IF(SER_hh_emih!V22=0,0,SER_hh_emih!V22/SER_summary!V$26)</f>
        <v>11.052567526709666</v>
      </c>
      <c r="W22" s="132">
        <f>IF(SER_hh_emih!W22=0,0,SER_hh_emih!W22/SER_summary!W$26)</f>
        <v>11.613814690198906</v>
      </c>
      <c r="X22" s="132">
        <f>IF(SER_hh_emih!X22=0,0,SER_hh_emih!X22/SER_summary!X$26)</f>
        <v>11.382615385427341</v>
      </c>
      <c r="Y22" s="132">
        <f>IF(SER_hh_emih!Y22=0,0,SER_hh_emih!Y22/SER_summary!Y$26)</f>
        <v>11.476829418477919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10.10811555372506</v>
      </c>
      <c r="C23" s="132">
        <f>IF(SER_hh_emih!C23=0,0,SER_hh_emih!C23/SER_summary!C$26)</f>
        <v>9.8294708356478449</v>
      </c>
      <c r="D23" s="132">
        <f>IF(SER_hh_emih!D23=0,0,SER_hh_emih!D23/SER_summary!D$26)</f>
        <v>10.056074991834164</v>
      </c>
      <c r="E23" s="132">
        <f>IF(SER_hh_emih!E23=0,0,SER_hh_emih!E23/SER_summary!E$26)</f>
        <v>9.4847433162243018</v>
      </c>
      <c r="F23" s="132">
        <f>IF(SER_hh_emih!F23=0,0,SER_hh_emih!F23/SER_summary!F$26)</f>
        <v>9.2043808040570276</v>
      </c>
      <c r="G23" s="132">
        <f>IF(SER_hh_emih!G23=0,0,SER_hh_emih!G23/SER_summary!G$26)</f>
        <v>9.4295100997224885</v>
      </c>
      <c r="H23" s="132">
        <f>IF(SER_hh_emih!H23=0,0,SER_hh_emih!H23/SER_summary!H$26)</f>
        <v>9.0499291195456593</v>
      </c>
      <c r="I23" s="132">
        <f>IF(SER_hh_emih!I23=0,0,SER_hh_emih!I23/SER_summary!I$26)</f>
        <v>8.8100652422007908</v>
      </c>
      <c r="J23" s="132">
        <f>IF(SER_hh_emih!J23=0,0,SER_hh_emih!J23/SER_summary!J$26)</f>
        <v>9.2910187150807477</v>
      </c>
      <c r="K23" s="132">
        <f>IF(SER_hh_emih!K23=0,0,SER_hh_emih!K23/SER_summary!K$26)</f>
        <v>9.3147543766522123</v>
      </c>
      <c r="L23" s="132">
        <f>IF(SER_hh_emih!L23=0,0,SER_hh_emih!L23/SER_summary!L$26)</f>
        <v>8.9680409263152168</v>
      </c>
      <c r="M23" s="132">
        <f>IF(SER_hh_emih!M23=0,0,SER_hh_emih!M23/SER_summary!M$26)</f>
        <v>8.9647447806014569</v>
      </c>
      <c r="N23" s="132">
        <f>IF(SER_hh_emih!N23=0,0,SER_hh_emih!N23/SER_summary!N$26)</f>
        <v>8.7971290078388531</v>
      </c>
      <c r="O23" s="132">
        <f>IF(SER_hh_emih!O23=0,0,SER_hh_emih!O23/SER_summary!O$26)</f>
        <v>8.7073252109195352</v>
      </c>
      <c r="P23" s="132">
        <f>IF(SER_hh_emih!P23=0,0,SER_hh_emih!P23/SER_summary!P$26)</f>
        <v>8.5418871893135648</v>
      </c>
      <c r="Q23" s="132">
        <f>IF(SER_hh_emih!Q23=0,0,SER_hh_emih!Q23/SER_summary!Q$26)</f>
        <v>8.5414519831618776</v>
      </c>
      <c r="R23" s="132">
        <f>IF(SER_hh_emih!R23=0,0,SER_hh_emih!R23/SER_summary!R$26)</f>
        <v>8.5269870353489363</v>
      </c>
      <c r="S23" s="132">
        <f>IF(SER_hh_emih!S23=0,0,SER_hh_emih!S23/SER_summary!S$26)</f>
        <v>8.5143286244955636</v>
      </c>
      <c r="T23" s="132">
        <f>IF(SER_hh_emih!T23=0,0,SER_hh_emih!T23/SER_summary!T$26)</f>
        <v>8.0307735116559584</v>
      </c>
      <c r="U23" s="132">
        <f>IF(SER_hh_emih!U23=0,0,SER_hh_emih!U23/SER_summary!U$26)</f>
        <v>7.7305229128286408</v>
      </c>
      <c r="V23" s="132">
        <f>IF(SER_hh_emih!V23=0,0,SER_hh_emih!V23/SER_summary!V$26)</f>
        <v>7.4225154125805179</v>
      </c>
      <c r="W23" s="132">
        <f>IF(SER_hh_emih!W23=0,0,SER_hh_emih!W23/SER_summary!W$26)</f>
        <v>7.5110405023842599</v>
      </c>
      <c r="X23" s="132">
        <f>IF(SER_hh_emih!X23=0,0,SER_hh_emih!X23/SER_summary!X$26)</f>
        <v>7.5543594539224337</v>
      </c>
      <c r="Y23" s="132">
        <f>IF(SER_hh_emih!Y23=0,0,SER_hh_emih!Y23/SER_summary!Y$26)</f>
        <v>7.2008076072238349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1.1666214109901514</v>
      </c>
      <c r="C29" s="130">
        <f>IF(SER_hh_emih!C29=0,0,SER_hh_emih!C29/SER_summary!C$26)</f>
        <v>2.4034352669493542</v>
      </c>
      <c r="D29" s="130">
        <f>IF(SER_hh_emih!D29=0,0,SER_hh_emih!D29/SER_summary!D$26)</f>
        <v>2.5229068429107104</v>
      </c>
      <c r="E29" s="130">
        <f>IF(SER_hh_emih!E29=0,0,SER_hh_emih!E29/SER_summary!E$26)</f>
        <v>2.9876294975964228</v>
      </c>
      <c r="F29" s="130">
        <f>IF(SER_hh_emih!F29=0,0,SER_hh_emih!F29/SER_summary!F$26)</f>
        <v>2.8143037324887783</v>
      </c>
      <c r="G29" s="130">
        <f>IF(SER_hh_emih!G29=0,0,SER_hh_emih!G29/SER_summary!G$26)</f>
        <v>2.7762679434023436</v>
      </c>
      <c r="H29" s="130">
        <f>IF(SER_hh_emih!H29=0,0,SER_hh_emih!H29/SER_summary!H$26)</f>
        <v>2.6552250334029965</v>
      </c>
      <c r="I29" s="130">
        <f>IF(SER_hh_emih!I29=0,0,SER_hh_emih!I29/SER_summary!I$26)</f>
        <v>2.6385157195238218</v>
      </c>
      <c r="J29" s="130">
        <f>IF(SER_hh_emih!J29=0,0,SER_hh_emih!J29/SER_summary!J$26)</f>
        <v>2.5791571717607877</v>
      </c>
      <c r="K29" s="130">
        <f>IF(SER_hh_emih!K29=0,0,SER_hh_emih!K29/SER_summary!K$26)</f>
        <v>2.6987503042601722</v>
      </c>
      <c r="L29" s="130">
        <f>IF(SER_hh_emih!L29=0,0,SER_hh_emih!L29/SER_summary!L$26)</f>
        <v>2.6234333709046544</v>
      </c>
      <c r="M29" s="130">
        <f>IF(SER_hh_emih!M29=0,0,SER_hh_emih!M29/SER_summary!M$26)</f>
        <v>2.2979427739094915</v>
      </c>
      <c r="N29" s="130">
        <f>IF(SER_hh_emih!N29=0,0,SER_hh_emih!N29/SER_summary!N$26)</f>
        <v>2.0414768484539012</v>
      </c>
      <c r="O29" s="130">
        <f>IF(SER_hh_emih!O29=0,0,SER_hh_emih!O29/SER_summary!O$26)</f>
        <v>1.8177554805542862</v>
      </c>
      <c r="P29" s="130">
        <f>IF(SER_hh_emih!P29=0,0,SER_hh_emih!P29/SER_summary!P$26)</f>
        <v>1.9998906007193649</v>
      </c>
      <c r="Q29" s="130">
        <f>IF(SER_hh_emih!Q29=0,0,SER_hh_emih!Q29/SER_summary!Q$26)</f>
        <v>1.93094643249822</v>
      </c>
      <c r="R29" s="130">
        <f>IF(SER_hh_emih!R29=0,0,SER_hh_emih!R29/SER_summary!R$26)</f>
        <v>2.5214377702391921</v>
      </c>
      <c r="S29" s="130">
        <f>IF(SER_hh_emih!S29=0,0,SER_hh_emih!S29/SER_summary!S$26)</f>
        <v>3.0578388127790044</v>
      </c>
      <c r="T29" s="130">
        <f>IF(SER_hh_emih!T29=0,0,SER_hh_emih!T29/SER_summary!T$26)</f>
        <v>3.0291280446727313</v>
      </c>
      <c r="U29" s="130">
        <f>IF(SER_hh_emih!U29=0,0,SER_hh_emih!U29/SER_summary!U$26)</f>
        <v>2.9577671951339006</v>
      </c>
      <c r="V29" s="130">
        <f>IF(SER_hh_emih!V29=0,0,SER_hh_emih!V29/SER_summary!V$26)</f>
        <v>3.0524685199053643</v>
      </c>
      <c r="W29" s="130">
        <f>IF(SER_hh_emih!W29=0,0,SER_hh_emih!W29/SER_summary!W$26)</f>
        <v>3.0943807185883916</v>
      </c>
      <c r="X29" s="130">
        <f>IF(SER_hh_emih!X29=0,0,SER_hh_emih!X29/SER_summary!X$26)</f>
        <v>3.4815065186674969</v>
      </c>
      <c r="Y29" s="130">
        <f>IF(SER_hh_emih!Y29=0,0,SER_hh_emih!Y29/SER_summary!Y$26)</f>
        <v>3.2202010368475107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0</v>
      </c>
      <c r="C30" s="132">
        <f>IF(SER_hh_emih!C30=0,0,SER_hh_emih!C30/SER_summary!C$26)</f>
        <v>20.257287736055936</v>
      </c>
      <c r="D30" s="132">
        <f>IF(SER_hh_emih!D30=0,0,SER_hh_emih!D30/SER_summary!D$26)</f>
        <v>6.3760736032235092</v>
      </c>
      <c r="E30" s="132">
        <f>IF(SER_hh_emih!E30=0,0,SER_hh_emih!E30/SER_summary!E$26)</f>
        <v>16.532870165709319</v>
      </c>
      <c r="F30" s="132">
        <f>IF(SER_hh_emih!F30=0,0,SER_hh_emih!F30/SER_summary!F$26)</f>
        <v>12.004836943254608</v>
      </c>
      <c r="G30" s="132">
        <f>IF(SER_hh_emih!G30=0,0,SER_hh_emih!G30/SER_summary!G$26)</f>
        <v>11.664765377016124</v>
      </c>
      <c r="H30" s="132">
        <f>IF(SER_hh_emih!H30=0,0,SER_hh_emih!H30/SER_summary!H$26)</f>
        <v>12.450224530896616</v>
      </c>
      <c r="I30" s="132">
        <f>IF(SER_hh_emih!I30=0,0,SER_hh_emih!I30/SER_summary!I$26)</f>
        <v>13.242031608402071</v>
      </c>
      <c r="J30" s="132">
        <f>IF(SER_hh_emih!J30=0,0,SER_hh_emih!J30/SER_summary!J$26)</f>
        <v>10.399926061361477</v>
      </c>
      <c r="K30" s="132">
        <f>IF(SER_hh_emih!K30=0,0,SER_hh_emih!K30/SER_summary!K$26)</f>
        <v>12.086980940656424</v>
      </c>
      <c r="L30" s="132">
        <f>IF(SER_hh_emih!L30=0,0,SER_hh_emih!L30/SER_summary!L$26)</f>
        <v>13.517515020433724</v>
      </c>
      <c r="M30" s="132">
        <f>IF(SER_hh_emih!M30=0,0,SER_hh_emih!M30/SER_summary!M$26)</f>
        <v>7.6384915631065837</v>
      </c>
      <c r="N30" s="132">
        <f>IF(SER_hh_emih!N30=0,0,SER_hh_emih!N30/SER_summary!N$26)</f>
        <v>12.8815660645853</v>
      </c>
      <c r="O30" s="132">
        <f>IF(SER_hh_emih!O30=0,0,SER_hh_emih!O30/SER_summary!O$26)</f>
        <v>11.170078670270387</v>
      </c>
      <c r="P30" s="132">
        <f>IF(SER_hh_emih!P30=0,0,SER_hh_emih!P30/SER_summary!P$26)</f>
        <v>12.605886949463885</v>
      </c>
      <c r="Q30" s="132">
        <f>IF(SER_hh_emih!Q30=0,0,SER_hh_emih!Q30/SER_summary!Q$26)</f>
        <v>9.70389006164819</v>
      </c>
      <c r="R30" s="132">
        <f>IF(SER_hh_emih!R30=0,0,SER_hh_emih!R30/SER_summary!R$26)</f>
        <v>11.990364229606286</v>
      </c>
      <c r="S30" s="132">
        <f>IF(SER_hh_emih!S30=0,0,SER_hh_emih!S30/SER_summary!S$26)</f>
        <v>14.584654587378676</v>
      </c>
      <c r="T30" s="132">
        <f>IF(SER_hh_emih!T30=0,0,SER_hh_emih!T30/SER_summary!T$26)</f>
        <v>12.355410742831022</v>
      </c>
      <c r="U30" s="132">
        <f>IF(SER_hh_emih!U30=0,0,SER_hh_emih!U30/SER_summary!U$26)</f>
        <v>10.432001679293203</v>
      </c>
      <c r="V30" s="132">
        <f>IF(SER_hh_emih!V30=0,0,SER_hh_emih!V30/SER_summary!V$26)</f>
        <v>10.1111754794295</v>
      </c>
      <c r="W30" s="132">
        <f>IF(SER_hh_emih!W30=0,0,SER_hh_emih!W30/SER_summary!W$26)</f>
        <v>10.345107936903435</v>
      </c>
      <c r="X30" s="132">
        <f>IF(SER_hh_emih!X30=0,0,SER_hh_emih!X30/SER_summary!X$26)</f>
        <v>14.883797394816796</v>
      </c>
      <c r="Y30" s="132">
        <f>IF(SER_hh_emih!Y30=0,0,SER_hh_emih!Y30/SER_summary!Y$26)</f>
        <v>10.174771204129744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9.6393832677270179</v>
      </c>
      <c r="C31" s="132">
        <f>IF(SER_hh_emih!C31=0,0,SER_hh_emih!C31/SER_summary!C$26)</f>
        <v>12.190818764004462</v>
      </c>
      <c r="D31" s="132">
        <f>IF(SER_hh_emih!D31=0,0,SER_hh_emih!D31/SER_summary!D$26)</f>
        <v>12.345444068379846</v>
      </c>
      <c r="E31" s="132">
        <f>IF(SER_hh_emih!E31=0,0,SER_hh_emih!E31/SER_summary!E$26)</f>
        <v>10.673063118532573</v>
      </c>
      <c r="F31" s="132">
        <f>IF(SER_hh_emih!F31=0,0,SER_hh_emih!F31/SER_summary!F$26)</f>
        <v>10.944658429518388</v>
      </c>
      <c r="G31" s="132">
        <f>IF(SER_hh_emih!G31=0,0,SER_hh_emih!G31/SER_summary!G$26)</f>
        <v>10.935529454796352</v>
      </c>
      <c r="H31" s="132">
        <f>IF(SER_hh_emih!H31=0,0,SER_hh_emih!H31/SER_summary!H$26)</f>
        <v>10.609994394425112</v>
      </c>
      <c r="I31" s="132">
        <f>IF(SER_hh_emih!I31=0,0,SER_hh_emih!I31/SER_summary!I$26)</f>
        <v>10.616377973591032</v>
      </c>
      <c r="J31" s="132">
        <f>IF(SER_hh_emih!J31=0,0,SER_hh_emih!J31/SER_summary!J$26)</f>
        <v>11.000149571680069</v>
      </c>
      <c r="K31" s="132">
        <f>IF(SER_hh_emih!K31=0,0,SER_hh_emih!K31/SER_summary!K$26)</f>
        <v>11.334835433933106</v>
      </c>
      <c r="L31" s="132">
        <f>IF(SER_hh_emih!L31=0,0,SER_hh_emih!L31/SER_summary!L$26)</f>
        <v>11.201937893119565</v>
      </c>
      <c r="M31" s="132">
        <f>IF(SER_hh_emih!M31=0,0,SER_hh_emih!M31/SER_summary!M$26)</f>
        <v>11.463479129214369</v>
      </c>
      <c r="N31" s="132">
        <f>IF(SER_hh_emih!N31=0,0,SER_hh_emih!N31/SER_summary!N$26)</f>
        <v>10.336597090613536</v>
      </c>
      <c r="O31" s="132">
        <f>IF(SER_hh_emih!O31=0,0,SER_hh_emih!O31/SER_summary!O$26)</f>
        <v>10.109372961389587</v>
      </c>
      <c r="P31" s="132">
        <f>IF(SER_hh_emih!P31=0,0,SER_hh_emih!P31/SER_summary!P$26)</f>
        <v>10.61603650370609</v>
      </c>
      <c r="Q31" s="132">
        <f>IF(SER_hh_emih!Q31=0,0,SER_hh_emih!Q31/SER_summary!Q$26)</f>
        <v>9.9217709199120421</v>
      </c>
      <c r="R31" s="132">
        <f>IF(SER_hh_emih!R31=0,0,SER_hh_emih!R31/SER_summary!R$26)</f>
        <v>10.523809270199838</v>
      </c>
      <c r="S31" s="132">
        <f>IF(SER_hh_emih!S31=0,0,SER_hh_emih!S31/SER_summary!S$26)</f>
        <v>10.510104258306415</v>
      </c>
      <c r="T31" s="132">
        <f>IF(SER_hh_emih!T31=0,0,SER_hh_emih!T31/SER_summary!T$26)</f>
        <v>10.287416218716114</v>
      </c>
      <c r="U31" s="132">
        <f>IF(SER_hh_emih!U31=0,0,SER_hh_emih!U31/SER_summary!U$26)</f>
        <v>10.22592283995991</v>
      </c>
      <c r="V31" s="132">
        <f>IF(SER_hh_emih!V31=0,0,SER_hh_emih!V31/SER_summary!V$26)</f>
        <v>10.122768197149021</v>
      </c>
      <c r="W31" s="132">
        <f>IF(SER_hh_emih!W31=0,0,SER_hh_emih!W31/SER_summary!W$26)</f>
        <v>10.102957744253837</v>
      </c>
      <c r="X31" s="132">
        <f>IF(SER_hh_emih!X31=0,0,SER_hh_emih!X31/SER_summary!X$26)</f>
        <v>9.5888939557133579</v>
      </c>
      <c r="Y31" s="132">
        <f>IF(SER_hh_emih!Y31=0,0,SER_hh_emih!Y31/SER_summary!Y$26)</f>
        <v>10.238901383717199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589.49488358265455</v>
      </c>
      <c r="D3" s="124">
        <f t="shared" si="0"/>
        <v>681.14974979513011</v>
      </c>
      <c r="E3" s="124">
        <f t="shared" si="0"/>
        <v>727.27864729453256</v>
      </c>
      <c r="F3" s="124">
        <f t="shared" si="0"/>
        <v>861.23444453388163</v>
      </c>
      <c r="G3" s="124">
        <f t="shared" si="0"/>
        <v>695.3323273260188</v>
      </c>
      <c r="H3" s="124">
        <f t="shared" si="0"/>
        <v>1023.2700688017214</v>
      </c>
      <c r="I3" s="124">
        <f t="shared" si="0"/>
        <v>1083.1151185288754</v>
      </c>
      <c r="J3" s="124">
        <f t="shared" si="0"/>
        <v>628.21703420835502</v>
      </c>
      <c r="K3" s="124">
        <f t="shared" si="0"/>
        <v>108.66950904605216</v>
      </c>
      <c r="L3" s="124">
        <f t="shared" si="0"/>
        <v>74.560708589848261</v>
      </c>
      <c r="M3" s="124">
        <f t="shared" si="0"/>
        <v>375.13538556002584</v>
      </c>
      <c r="N3" s="124">
        <f t="shared" si="0"/>
        <v>75.244751787920237</v>
      </c>
      <c r="O3" s="124">
        <f t="shared" si="0"/>
        <v>265.31568004895922</v>
      </c>
      <c r="P3" s="124">
        <f t="shared" si="0"/>
        <v>286.18119549592518</v>
      </c>
      <c r="Q3" s="124">
        <f t="shared" si="0"/>
        <v>339.98212682554288</v>
      </c>
      <c r="R3" s="124">
        <f t="shared" si="0"/>
        <v>185.09906616127776</v>
      </c>
      <c r="S3" s="124">
        <f t="shared" si="0"/>
        <v>316.07896692750387</v>
      </c>
      <c r="T3" s="124">
        <f t="shared" si="0"/>
        <v>249.10890792982769</v>
      </c>
      <c r="U3" s="124">
        <f t="shared" si="0"/>
        <v>248.7213281325806</v>
      </c>
      <c r="V3" s="124">
        <f t="shared" si="0"/>
        <v>239.44509019272419</v>
      </c>
      <c r="W3" s="124">
        <f t="shared" si="0"/>
        <v>237.13747376223554</v>
      </c>
      <c r="X3" s="124">
        <f t="shared" si="0"/>
        <v>234.68132374497969</v>
      </c>
      <c r="Y3" s="124">
        <f t="shared" si="0"/>
        <v>226.1261952768086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589.49488358265455</v>
      </c>
      <c r="D4" s="139">
        <f t="shared" si="1"/>
        <v>681.14974979513011</v>
      </c>
      <c r="E4" s="139">
        <f t="shared" si="1"/>
        <v>727.27864729453256</v>
      </c>
      <c r="F4" s="139">
        <f t="shared" si="1"/>
        <v>861.23444453388163</v>
      </c>
      <c r="G4" s="139">
        <f t="shared" si="1"/>
        <v>695.3323273260188</v>
      </c>
      <c r="H4" s="139">
        <f t="shared" si="1"/>
        <v>1023.2700688017214</v>
      </c>
      <c r="I4" s="139">
        <f t="shared" si="1"/>
        <v>1083.1151185288754</v>
      </c>
      <c r="J4" s="139">
        <f t="shared" si="1"/>
        <v>628.21703420835502</v>
      </c>
      <c r="K4" s="139">
        <f t="shared" si="1"/>
        <v>108.66950904605216</v>
      </c>
      <c r="L4" s="139">
        <f t="shared" si="1"/>
        <v>74.560708589848261</v>
      </c>
      <c r="M4" s="139">
        <f t="shared" si="1"/>
        <v>375.13538556002584</v>
      </c>
      <c r="N4" s="139">
        <f t="shared" si="1"/>
        <v>75.244751787920237</v>
      </c>
      <c r="O4" s="139">
        <f t="shared" si="1"/>
        <v>265.31568004895922</v>
      </c>
      <c r="P4" s="139">
        <f t="shared" si="1"/>
        <v>286.18119549592518</v>
      </c>
      <c r="Q4" s="139">
        <f t="shared" si="1"/>
        <v>339.98212682554288</v>
      </c>
      <c r="R4" s="139">
        <f t="shared" ref="R4:W4" si="2">SUM(R5:R14)</f>
        <v>185.09906616127776</v>
      </c>
      <c r="S4" s="139">
        <f t="shared" si="2"/>
        <v>316.07896692750387</v>
      </c>
      <c r="T4" s="139">
        <f t="shared" si="2"/>
        <v>249.10890792982769</v>
      </c>
      <c r="U4" s="139">
        <f t="shared" si="2"/>
        <v>248.7213281325806</v>
      </c>
      <c r="V4" s="139">
        <f t="shared" si="2"/>
        <v>239.44509019272419</v>
      </c>
      <c r="W4" s="139">
        <f t="shared" si="2"/>
        <v>237.13747376223554</v>
      </c>
      <c r="X4" s="139">
        <f t="shared" ref="X4:Y4" si="3">SUM(X5:X14)</f>
        <v>234.68132374497969</v>
      </c>
      <c r="Y4" s="139">
        <f t="shared" si="3"/>
        <v>226.1261952768086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18.09878462487087</v>
      </c>
      <c r="D5" s="140">
        <v>0.61671751741562764</v>
      </c>
      <c r="E5" s="140">
        <v>3.1904643389099285</v>
      </c>
      <c r="F5" s="140">
        <v>12.812831308820636</v>
      </c>
      <c r="G5" s="140">
        <v>11.183855342886108</v>
      </c>
      <c r="H5" s="140">
        <v>38.369034076426686</v>
      </c>
      <c r="I5" s="140">
        <v>40.793453605084537</v>
      </c>
      <c r="J5" s="140">
        <v>42.8184271103745</v>
      </c>
      <c r="K5" s="140">
        <v>8.3969835344499462</v>
      </c>
      <c r="L5" s="140">
        <v>8.6710589183553122</v>
      </c>
      <c r="M5" s="140">
        <v>10.607397305181713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1.855566782248989</v>
      </c>
      <c r="Y5" s="140">
        <v>2.9615515971080395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50.265033509028974</v>
      </c>
      <c r="D7" s="140">
        <v>57.263972781105736</v>
      </c>
      <c r="E7" s="140">
        <v>59.204464722211554</v>
      </c>
      <c r="F7" s="140">
        <v>64.664776743033428</v>
      </c>
      <c r="G7" s="140">
        <v>28.274874463909228</v>
      </c>
      <c r="H7" s="140">
        <v>70.176889381576984</v>
      </c>
      <c r="I7" s="140">
        <v>12.227472234741883</v>
      </c>
      <c r="J7" s="140">
        <v>32.426038552011214</v>
      </c>
      <c r="K7" s="140">
        <v>7.3954566224385774</v>
      </c>
      <c r="L7" s="140">
        <v>8.5179413567830267</v>
      </c>
      <c r="M7" s="140">
        <v>43.474207028131197</v>
      </c>
      <c r="N7" s="140">
        <v>12.58374157412478</v>
      </c>
      <c r="O7" s="140">
        <v>52.39050045529806</v>
      </c>
      <c r="P7" s="140">
        <v>44.994843134536218</v>
      </c>
      <c r="Q7" s="140">
        <v>21.387844740583624</v>
      </c>
      <c r="R7" s="140">
        <v>0</v>
      </c>
      <c r="S7" s="140">
        <v>0</v>
      </c>
      <c r="T7" s="140">
        <v>12.787190097013339</v>
      </c>
      <c r="U7" s="140">
        <v>25.244418887967754</v>
      </c>
      <c r="V7" s="140">
        <v>48.055289145094399</v>
      </c>
      <c r="W7" s="140">
        <v>71.056984662971161</v>
      </c>
      <c r="X7" s="140">
        <v>82.660943351239482</v>
      </c>
      <c r="Y7" s="140">
        <v>49.820159274199369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81.243055965014278</v>
      </c>
      <c r="D9" s="140">
        <v>187.98279149655687</v>
      </c>
      <c r="E9" s="140">
        <v>173.17305951508601</v>
      </c>
      <c r="F9" s="140">
        <v>216.54772889826091</v>
      </c>
      <c r="G9" s="140">
        <v>158.76057686989802</v>
      </c>
      <c r="H9" s="140">
        <v>212.17315794932574</v>
      </c>
      <c r="I9" s="140">
        <v>238.17227371684308</v>
      </c>
      <c r="J9" s="140">
        <v>180.64433069993254</v>
      </c>
      <c r="K9" s="140">
        <v>29.170111628208542</v>
      </c>
      <c r="L9" s="140">
        <v>10.678581367873379</v>
      </c>
      <c r="M9" s="140">
        <v>0.84324665269469246</v>
      </c>
      <c r="N9" s="140">
        <v>0</v>
      </c>
      <c r="O9" s="140">
        <v>0</v>
      </c>
      <c r="P9" s="140">
        <v>32.685985184835715</v>
      </c>
      <c r="Q9" s="140">
        <v>92.555043974053575</v>
      </c>
      <c r="R9" s="140">
        <v>62.250743028294671</v>
      </c>
      <c r="S9" s="140">
        <v>113.53203187879505</v>
      </c>
      <c r="T9" s="140">
        <v>103.39530171238512</v>
      </c>
      <c r="U9" s="140">
        <v>95.725284576713989</v>
      </c>
      <c r="V9" s="140">
        <v>77.037019745132426</v>
      </c>
      <c r="W9" s="140">
        <v>87.890514609689887</v>
      </c>
      <c r="X9" s="140">
        <v>47.085725769638422</v>
      </c>
      <c r="Y9" s="140">
        <v>46.029489094394414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109.10756322520041</v>
      </c>
      <c r="D10" s="140">
        <v>102.0517941603828</v>
      </c>
      <c r="E10" s="140">
        <v>137.34875116127836</v>
      </c>
      <c r="F10" s="140">
        <v>195.0610561374514</v>
      </c>
      <c r="G10" s="140">
        <v>175.53241189576536</v>
      </c>
      <c r="H10" s="140">
        <v>158.69987609334862</v>
      </c>
      <c r="I10" s="140">
        <v>125.54175422478242</v>
      </c>
      <c r="J10" s="140">
        <v>0</v>
      </c>
      <c r="K10" s="140">
        <v>6.2681247623884158</v>
      </c>
      <c r="L10" s="140">
        <v>10.659520591536465</v>
      </c>
      <c r="M10" s="140">
        <v>78.795838216697177</v>
      </c>
      <c r="N10" s="140">
        <v>20.102689730935793</v>
      </c>
      <c r="O10" s="140">
        <v>63.450655117015671</v>
      </c>
      <c r="P10" s="140">
        <v>27.924107343671121</v>
      </c>
      <c r="Q10" s="140">
        <v>39.876977935127179</v>
      </c>
      <c r="R10" s="140">
        <v>11.324382824321869</v>
      </c>
      <c r="S10" s="140">
        <v>25.722072787556211</v>
      </c>
      <c r="T10" s="140">
        <v>0</v>
      </c>
      <c r="U10" s="140">
        <v>0</v>
      </c>
      <c r="V10" s="140">
        <v>0</v>
      </c>
      <c r="W10" s="140">
        <v>5.406360050826498</v>
      </c>
      <c r="X10" s="140">
        <v>15.413407059480704</v>
      </c>
      <c r="Y10" s="140">
        <v>24.743830597500018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249.34063540662157</v>
      </c>
      <c r="D12" s="140">
        <v>125.05774348166798</v>
      </c>
      <c r="E12" s="140">
        <v>191.68195197796368</v>
      </c>
      <c r="F12" s="140">
        <v>214.36380808097499</v>
      </c>
      <c r="G12" s="140">
        <v>163.04804582269702</v>
      </c>
      <c r="H12" s="140">
        <v>336.13831835357922</v>
      </c>
      <c r="I12" s="140">
        <v>475.03976447525054</v>
      </c>
      <c r="J12" s="140">
        <v>370.08404523257269</v>
      </c>
      <c r="K12" s="140">
        <v>57.272475112153394</v>
      </c>
      <c r="L12" s="140">
        <v>35.179840183750279</v>
      </c>
      <c r="M12" s="140">
        <v>174.19696148681504</v>
      </c>
      <c r="N12" s="140">
        <v>15.641639692707161</v>
      </c>
      <c r="O12" s="140">
        <v>105.60700423455224</v>
      </c>
      <c r="P12" s="140">
        <v>94.224462086465238</v>
      </c>
      <c r="Q12" s="140">
        <v>176.93633801941968</v>
      </c>
      <c r="R12" s="140">
        <v>74.74622696316294</v>
      </c>
      <c r="S12" s="140">
        <v>103.14079916675908</v>
      </c>
      <c r="T12" s="140">
        <v>51.600817744049849</v>
      </c>
      <c r="U12" s="140">
        <v>76.176005431864908</v>
      </c>
      <c r="V12" s="140">
        <v>92.904949140235843</v>
      </c>
      <c r="W12" s="140">
        <v>64.247006776756223</v>
      </c>
      <c r="X12" s="140">
        <v>75.536323555707753</v>
      </c>
      <c r="Y12" s="140">
        <v>96.369503840189239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1.2333005379644353E-3</v>
      </c>
      <c r="D13" s="140">
        <v>5.1220568967183721E-3</v>
      </c>
      <c r="E13" s="140">
        <v>8.8061311492493872E-3</v>
      </c>
      <c r="F13" s="140">
        <v>2.0026051847913694E-2</v>
      </c>
      <c r="G13" s="140">
        <v>3.6443557245677709E-2</v>
      </c>
      <c r="H13" s="140">
        <v>0.10152270229873178</v>
      </c>
      <c r="I13" s="140">
        <v>0.24391715141047945</v>
      </c>
      <c r="J13" s="140">
        <v>0.35838688776322386</v>
      </c>
      <c r="K13" s="140">
        <v>0.16635738641328593</v>
      </c>
      <c r="L13" s="140">
        <v>0.2548185290434426</v>
      </c>
      <c r="M13" s="140">
        <v>1.6474331701727116</v>
      </c>
      <c r="N13" s="140">
        <v>0.44277213579810698</v>
      </c>
      <c r="O13" s="140">
        <v>2.5157455777187079</v>
      </c>
      <c r="P13" s="140">
        <v>4.6563298857951656</v>
      </c>
      <c r="Q13" s="140">
        <v>4.6838086998258923</v>
      </c>
      <c r="R13" s="140">
        <v>1.5720794471873589</v>
      </c>
      <c r="S13" s="140">
        <v>1.7832722938127854</v>
      </c>
      <c r="T13" s="140">
        <v>0.83556472174402707</v>
      </c>
      <c r="U13" s="140">
        <v>0.16711166767717647</v>
      </c>
      <c r="V13" s="140">
        <v>0</v>
      </c>
      <c r="W13" s="140">
        <v>0</v>
      </c>
      <c r="X13" s="140">
        <v>0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81.438577551380405</v>
      </c>
      <c r="D14" s="141">
        <v>208.17160830110444</v>
      </c>
      <c r="E14" s="141">
        <v>162.6711494479338</v>
      </c>
      <c r="F14" s="141">
        <v>157.76421731349225</v>
      </c>
      <c r="G14" s="141">
        <v>158.49611937361735</v>
      </c>
      <c r="H14" s="141">
        <v>207.61127024516526</v>
      </c>
      <c r="I14" s="141">
        <v>191.09648312076231</v>
      </c>
      <c r="J14" s="141">
        <v>1.8858057257008174</v>
      </c>
      <c r="K14" s="141">
        <v>0</v>
      </c>
      <c r="L14" s="141">
        <v>0.59894764250634636</v>
      </c>
      <c r="M14" s="141">
        <v>65.570301700333289</v>
      </c>
      <c r="N14" s="141">
        <v>26.4739086543544</v>
      </c>
      <c r="O14" s="141">
        <v>41.35177466437451</v>
      </c>
      <c r="P14" s="141">
        <v>81.695467860621704</v>
      </c>
      <c r="Q14" s="141">
        <v>4.5421134565329728</v>
      </c>
      <c r="R14" s="141">
        <v>35.205633898310936</v>
      </c>
      <c r="S14" s="141">
        <v>71.900790800580765</v>
      </c>
      <c r="T14" s="141">
        <v>80.490033654635369</v>
      </c>
      <c r="U14" s="141">
        <v>51.408507568356789</v>
      </c>
      <c r="V14" s="141">
        <v>21.447832162261538</v>
      </c>
      <c r="W14" s="141">
        <v>8.5366076619917788</v>
      </c>
      <c r="X14" s="141">
        <v>12.129357226664343</v>
      </c>
      <c r="Y14" s="141">
        <v>6.2016608734175263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508.05507273073613</v>
      </c>
      <c r="D15" s="143">
        <f t="shared" si="4"/>
        <v>472.97301943712898</v>
      </c>
      <c r="E15" s="143">
        <f t="shared" si="4"/>
        <v>564.59869171544949</v>
      </c>
      <c r="F15" s="143">
        <f t="shared" si="4"/>
        <v>703.45020116854141</v>
      </c>
      <c r="G15" s="143">
        <f t="shared" si="4"/>
        <v>536.79976439515576</v>
      </c>
      <c r="H15" s="143">
        <f t="shared" si="4"/>
        <v>815.55727585425734</v>
      </c>
      <c r="I15" s="143">
        <f t="shared" si="4"/>
        <v>891.7747182567025</v>
      </c>
      <c r="J15" s="143">
        <f t="shared" si="4"/>
        <v>625.97284159489095</v>
      </c>
      <c r="K15" s="143">
        <f t="shared" si="4"/>
        <v>108.50315165963887</v>
      </c>
      <c r="L15" s="143">
        <f t="shared" si="4"/>
        <v>73.706942418298468</v>
      </c>
      <c r="M15" s="143">
        <f t="shared" si="4"/>
        <v>307.91765068951986</v>
      </c>
      <c r="N15" s="143">
        <f t="shared" si="4"/>
        <v>48.328070997767732</v>
      </c>
      <c r="O15" s="143">
        <f t="shared" si="4"/>
        <v>221.44815980686599</v>
      </c>
      <c r="P15" s="143">
        <f t="shared" si="4"/>
        <v>199.8293977495083</v>
      </c>
      <c r="Q15" s="143">
        <f t="shared" si="4"/>
        <v>330.75620466918406</v>
      </c>
      <c r="R15" s="143">
        <f t="shared" ref="R15:W15" si="5">SUM(R5:R12)</f>
        <v>148.32135281577948</v>
      </c>
      <c r="S15" s="143">
        <f t="shared" si="5"/>
        <v>242.39490383311033</v>
      </c>
      <c r="T15" s="143">
        <f t="shared" si="5"/>
        <v>167.7833095534483</v>
      </c>
      <c r="U15" s="143">
        <f t="shared" si="5"/>
        <v>197.14570889654664</v>
      </c>
      <c r="V15" s="143">
        <f t="shared" si="5"/>
        <v>217.99725803046266</v>
      </c>
      <c r="W15" s="143">
        <f t="shared" si="5"/>
        <v>228.60086610024376</v>
      </c>
      <c r="X15" s="143">
        <f t="shared" ref="X15:Y15" si="6">SUM(X5:X12)</f>
        <v>222.55196651831534</v>
      </c>
      <c r="Y15" s="143">
        <f t="shared" si="6"/>
        <v>219.92453440339108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144.30909713666173</v>
      </c>
      <c r="D16" s="139">
        <f t="shared" si="7"/>
        <v>170.72019441596487</v>
      </c>
      <c r="E16" s="139">
        <f t="shared" si="7"/>
        <v>193.88423619182726</v>
      </c>
      <c r="F16" s="139">
        <f t="shared" si="7"/>
        <v>181.41416985558044</v>
      </c>
      <c r="G16" s="139">
        <f t="shared" si="7"/>
        <v>231.72802606178965</v>
      </c>
      <c r="H16" s="139">
        <f t="shared" si="7"/>
        <v>248.39791149258983</v>
      </c>
      <c r="I16" s="139">
        <f t="shared" si="7"/>
        <v>305.86109921495131</v>
      </c>
      <c r="J16" s="139">
        <f t="shared" si="7"/>
        <v>305.57906458930904</v>
      </c>
      <c r="K16" s="139">
        <f t="shared" si="7"/>
        <v>108.66950904605216</v>
      </c>
      <c r="L16" s="139">
        <f t="shared" si="7"/>
        <v>74.560708589848261</v>
      </c>
      <c r="M16" s="139">
        <f t="shared" si="7"/>
        <v>291.9060461619116</v>
      </c>
      <c r="N16" s="139">
        <f t="shared" si="7"/>
        <v>75.244751787920237</v>
      </c>
      <c r="O16" s="139">
        <f t="shared" si="7"/>
        <v>265.31568004895917</v>
      </c>
      <c r="P16" s="139">
        <f t="shared" si="7"/>
        <v>286.18119549592518</v>
      </c>
      <c r="Q16" s="139">
        <f t="shared" si="7"/>
        <v>339.98212682554293</v>
      </c>
      <c r="R16" s="139">
        <f t="shared" ref="R16:W16" si="8">SUM(R17:R18)</f>
        <v>185.09906616127776</v>
      </c>
      <c r="S16" s="139">
        <f t="shared" si="8"/>
        <v>316.07896692750393</v>
      </c>
      <c r="T16" s="139">
        <f t="shared" si="8"/>
        <v>249.10890792982769</v>
      </c>
      <c r="U16" s="139">
        <f t="shared" si="8"/>
        <v>248.72132813258062</v>
      </c>
      <c r="V16" s="139">
        <f t="shared" si="8"/>
        <v>239.44509019272419</v>
      </c>
      <c r="W16" s="139">
        <f t="shared" si="8"/>
        <v>237.13747376223554</v>
      </c>
      <c r="X16" s="139">
        <f t="shared" ref="X16:Y16" si="9">SUM(X17:X18)</f>
        <v>234.68132374497969</v>
      </c>
      <c r="Y16" s="139">
        <f t="shared" si="9"/>
        <v>226.1261952768086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144.30909713666173</v>
      </c>
      <c r="D18" s="140">
        <v>170.72019441596487</v>
      </c>
      <c r="E18" s="140">
        <v>193.88423619182726</v>
      </c>
      <c r="F18" s="140">
        <v>181.41416985558044</v>
      </c>
      <c r="G18" s="140">
        <v>231.72802606178965</v>
      </c>
      <c r="H18" s="140">
        <v>248.39791149258983</v>
      </c>
      <c r="I18" s="140">
        <v>305.86109921495131</v>
      </c>
      <c r="J18" s="140">
        <v>305.57906458930904</v>
      </c>
      <c r="K18" s="140">
        <v>108.66950904605216</v>
      </c>
      <c r="L18" s="140">
        <v>74.560708589848261</v>
      </c>
      <c r="M18" s="140">
        <v>291.9060461619116</v>
      </c>
      <c r="N18" s="140">
        <v>75.244751787920237</v>
      </c>
      <c r="O18" s="140">
        <v>265.31568004895917</v>
      </c>
      <c r="P18" s="140">
        <v>286.18119549592518</v>
      </c>
      <c r="Q18" s="140">
        <v>339.98212682554293</v>
      </c>
      <c r="R18" s="140">
        <v>185.09906616127776</v>
      </c>
      <c r="S18" s="140">
        <v>316.07896692750393</v>
      </c>
      <c r="T18" s="140">
        <v>249.10890792982769</v>
      </c>
      <c r="U18" s="140">
        <v>248.72132813258062</v>
      </c>
      <c r="V18" s="140">
        <v>239.44509019272419</v>
      </c>
      <c r="W18" s="140">
        <v>237.13747376223554</v>
      </c>
      <c r="X18" s="140">
        <v>234.68132374497969</v>
      </c>
      <c r="Y18" s="140">
        <v>226.1261952768086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589.49488358265444</v>
      </c>
      <c r="D19" s="139">
        <f t="shared" si="10"/>
        <v>681.14974979512999</v>
      </c>
      <c r="E19" s="139">
        <f t="shared" si="10"/>
        <v>727.27864729453256</v>
      </c>
      <c r="F19" s="139">
        <f t="shared" si="10"/>
        <v>861.23444453388151</v>
      </c>
      <c r="G19" s="139">
        <f t="shared" si="10"/>
        <v>695.3323273260188</v>
      </c>
      <c r="H19" s="139">
        <f t="shared" si="10"/>
        <v>1023.2700688017214</v>
      </c>
      <c r="I19" s="139">
        <f t="shared" si="10"/>
        <v>1083.1151185288752</v>
      </c>
      <c r="J19" s="139">
        <f t="shared" si="10"/>
        <v>628.21703420835502</v>
      </c>
      <c r="K19" s="139">
        <f t="shared" si="10"/>
        <v>108.66950904605216</v>
      </c>
      <c r="L19" s="139">
        <f t="shared" si="10"/>
        <v>74.560708589848247</v>
      </c>
      <c r="M19" s="139">
        <f t="shared" si="10"/>
        <v>375.13538556002584</v>
      </c>
      <c r="N19" s="139">
        <f t="shared" si="10"/>
        <v>75.244751787920237</v>
      </c>
      <c r="O19" s="139">
        <f t="shared" si="10"/>
        <v>265.31568004895917</v>
      </c>
      <c r="P19" s="139">
        <f t="shared" si="10"/>
        <v>286.18119549592518</v>
      </c>
      <c r="Q19" s="139">
        <f t="shared" si="10"/>
        <v>339.98212682554288</v>
      </c>
      <c r="R19" s="139">
        <f t="shared" ref="R19:W19" si="11">SUM(R20:R26)</f>
        <v>185.09906616127779</v>
      </c>
      <c r="S19" s="139">
        <f t="shared" si="11"/>
        <v>316.07896692750398</v>
      </c>
      <c r="T19" s="139">
        <f t="shared" si="11"/>
        <v>249.10890792982769</v>
      </c>
      <c r="U19" s="139">
        <f t="shared" si="11"/>
        <v>248.72132813258065</v>
      </c>
      <c r="V19" s="139">
        <f t="shared" si="11"/>
        <v>239.44509019272419</v>
      </c>
      <c r="W19" s="139">
        <f t="shared" si="11"/>
        <v>237.13747376223552</v>
      </c>
      <c r="X19" s="139">
        <f t="shared" ref="X19:Y19" si="12">SUM(X20:X26)</f>
        <v>234.68132374497969</v>
      </c>
      <c r="Y19" s="139">
        <f t="shared" si="12"/>
        <v>226.12619527680863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39.170180427133964</v>
      </c>
      <c r="D22" s="140">
        <v>49.332987421225511</v>
      </c>
      <c r="E22" s="140">
        <v>46.569986965640346</v>
      </c>
      <c r="F22" s="140">
        <v>47.525566452754489</v>
      </c>
      <c r="G22" s="140">
        <v>42.317944893469786</v>
      </c>
      <c r="H22" s="140">
        <v>54.026100592162734</v>
      </c>
      <c r="I22" s="140">
        <v>47.248052529415638</v>
      </c>
      <c r="J22" s="140">
        <v>36.550333101009421</v>
      </c>
      <c r="K22" s="140">
        <v>6.9399661366650323</v>
      </c>
      <c r="L22" s="140">
        <v>6.801419838924577</v>
      </c>
      <c r="M22" s="140">
        <v>27.432756225379386</v>
      </c>
      <c r="N22" s="140">
        <v>8.0058789542512852</v>
      </c>
      <c r="O22" s="140">
        <v>21.034374132989782</v>
      </c>
      <c r="P22" s="140">
        <v>18.550113765585948</v>
      </c>
      <c r="Q22" s="140">
        <v>14.39029240245543</v>
      </c>
      <c r="R22" s="140">
        <v>6.5241461233757212</v>
      </c>
      <c r="S22" s="140">
        <v>8.183963237370957</v>
      </c>
      <c r="T22" s="140">
        <v>5.7568655357757343</v>
      </c>
      <c r="U22" s="140">
        <v>4.7968849476994198</v>
      </c>
      <c r="V22" s="140">
        <v>5.7753576649728906</v>
      </c>
      <c r="W22" s="140">
        <v>7.9967650534075609</v>
      </c>
      <c r="X22" s="140">
        <v>8.8075494928752143</v>
      </c>
      <c r="Y22" s="140">
        <v>13.462519538940615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59.114147783490573</v>
      </c>
      <c r="D23" s="140">
        <v>101.053484933116</v>
      </c>
      <c r="E23" s="140">
        <v>96.850415220496529</v>
      </c>
      <c r="F23" s="140">
        <v>104.93802955082623</v>
      </c>
      <c r="G23" s="140">
        <v>94.833566931547935</v>
      </c>
      <c r="H23" s="140">
        <v>120.06380378145033</v>
      </c>
      <c r="I23" s="140">
        <v>138.46468228096671</v>
      </c>
      <c r="J23" s="140">
        <v>115.40834077162198</v>
      </c>
      <c r="K23" s="140">
        <v>22.118309779467491</v>
      </c>
      <c r="L23" s="140">
        <v>14.037151439946703</v>
      </c>
      <c r="M23" s="140">
        <v>44.327209957388135</v>
      </c>
      <c r="N23" s="140">
        <v>11.756110661072496</v>
      </c>
      <c r="O23" s="140">
        <v>32.664337791985986</v>
      </c>
      <c r="P23" s="140">
        <v>45.639207544359934</v>
      </c>
      <c r="Q23" s="140">
        <v>47.790692645172108</v>
      </c>
      <c r="R23" s="140">
        <v>28.071652188016639</v>
      </c>
      <c r="S23" s="140">
        <v>44.004389261261821</v>
      </c>
      <c r="T23" s="140">
        <v>41.93253853390361</v>
      </c>
      <c r="U23" s="140">
        <v>47.611189915282289</v>
      </c>
      <c r="V23" s="140">
        <v>51.440275198629209</v>
      </c>
      <c r="W23" s="140">
        <v>32.721794958587694</v>
      </c>
      <c r="X23" s="140">
        <v>24.095073393755214</v>
      </c>
      <c r="Y23" s="140">
        <v>18.593618810405545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65.965964768356727</v>
      </c>
      <c r="D24" s="140">
        <v>74.09330087040594</v>
      </c>
      <c r="E24" s="140">
        <v>89.030636974219917</v>
      </c>
      <c r="F24" s="140">
        <v>126.35241032729577</v>
      </c>
      <c r="G24" s="140">
        <v>112.09839237648949</v>
      </c>
      <c r="H24" s="140">
        <v>118.37168487837597</v>
      </c>
      <c r="I24" s="140">
        <v>103.04728269946007</v>
      </c>
      <c r="J24" s="140">
        <v>66.505970923019703</v>
      </c>
      <c r="K24" s="140">
        <v>16.073647102806998</v>
      </c>
      <c r="L24" s="140">
        <v>14.508424059560218</v>
      </c>
      <c r="M24" s="140">
        <v>56.676938740111225</v>
      </c>
      <c r="N24" s="140">
        <v>14.481870650569311</v>
      </c>
      <c r="O24" s="140">
        <v>38.953155358649887</v>
      </c>
      <c r="P24" s="140">
        <v>37.95814036142756</v>
      </c>
      <c r="Q24" s="140">
        <v>35.696269948734532</v>
      </c>
      <c r="R24" s="140">
        <v>11.114126890750549</v>
      </c>
      <c r="S24" s="140">
        <v>13.974563512054633</v>
      </c>
      <c r="T24" s="140">
        <v>0</v>
      </c>
      <c r="U24" s="140">
        <v>0</v>
      </c>
      <c r="V24" s="140">
        <v>10.458207848582244</v>
      </c>
      <c r="W24" s="140">
        <v>29.192849686206824</v>
      </c>
      <c r="X24" s="140">
        <v>41.962195564085803</v>
      </c>
      <c r="Y24" s="140">
        <v>29.104787040084055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228.8652813137507</v>
      </c>
      <c r="D25" s="140">
        <v>198.55686968187524</v>
      </c>
      <c r="E25" s="140">
        <v>193.53018761685189</v>
      </c>
      <c r="F25" s="140">
        <v>215.05876971517907</v>
      </c>
      <c r="G25" s="140">
        <v>169.51623609094833</v>
      </c>
      <c r="H25" s="140">
        <v>200.42885769716651</v>
      </c>
      <c r="I25" s="140">
        <v>203.2972726976339</v>
      </c>
      <c r="J25" s="140">
        <v>136.59363127453616</v>
      </c>
      <c r="K25" s="140">
        <v>36.347149330833922</v>
      </c>
      <c r="L25" s="140">
        <v>32.18707510508662</v>
      </c>
      <c r="M25" s="140">
        <v>130.35687534033656</v>
      </c>
      <c r="N25" s="140">
        <v>33.769981201523969</v>
      </c>
      <c r="O25" s="140">
        <v>93.052776239163848</v>
      </c>
      <c r="P25" s="140">
        <v>94.903607828142952</v>
      </c>
      <c r="Q25" s="140">
        <v>113.8636402844684</v>
      </c>
      <c r="R25" s="140">
        <v>59.053193137786636</v>
      </c>
      <c r="S25" s="140">
        <v>86.051735750971588</v>
      </c>
      <c r="T25" s="140">
        <v>65.121572921905283</v>
      </c>
      <c r="U25" s="140">
        <v>79.871178704551781</v>
      </c>
      <c r="V25" s="140">
        <v>86.651022636880768</v>
      </c>
      <c r="W25" s="140">
        <v>79.928768424958577</v>
      </c>
      <c r="X25" s="140">
        <v>61.785408383391143</v>
      </c>
      <c r="Y25" s="140">
        <v>58.596037190284477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196.37930928992253</v>
      </c>
      <c r="D26" s="141">
        <v>258.11310688850739</v>
      </c>
      <c r="E26" s="141">
        <v>301.29742051732387</v>
      </c>
      <c r="F26" s="141">
        <v>367.35966848782596</v>
      </c>
      <c r="G26" s="141">
        <v>276.56618703356327</v>
      </c>
      <c r="H26" s="141">
        <v>530.37962185256583</v>
      </c>
      <c r="I26" s="141">
        <v>591.05782832139892</v>
      </c>
      <c r="J26" s="141">
        <v>273.1587581381678</v>
      </c>
      <c r="K26" s="141">
        <v>27.190436696278713</v>
      </c>
      <c r="L26" s="141">
        <v>7.0266381463301322</v>
      </c>
      <c r="M26" s="141">
        <v>116.34160529681056</v>
      </c>
      <c r="N26" s="141">
        <v>7.2309103205031802</v>
      </c>
      <c r="O26" s="141">
        <v>79.611036526169656</v>
      </c>
      <c r="P26" s="141">
        <v>89.130125996408793</v>
      </c>
      <c r="Q26" s="141">
        <v>128.24123154471243</v>
      </c>
      <c r="R26" s="141">
        <v>80.335947821348228</v>
      </c>
      <c r="S26" s="141">
        <v>163.86431516584494</v>
      </c>
      <c r="T26" s="141">
        <v>136.29793093824307</v>
      </c>
      <c r="U26" s="141">
        <v>116.44207456504715</v>
      </c>
      <c r="V26" s="141">
        <v>85.120226843659097</v>
      </c>
      <c r="W26" s="141">
        <v>87.297295639074875</v>
      </c>
      <c r="X26" s="141">
        <v>98.031096910872321</v>
      </c>
      <c r="Y26" s="141">
        <v>106.36923269709392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0</v>
      </c>
      <c r="D27" s="150">
        <v>0</v>
      </c>
      <c r="E27" s="150">
        <v>0</v>
      </c>
      <c r="F27" s="150">
        <v>0</v>
      </c>
      <c r="G27" s="150">
        <v>0</v>
      </c>
      <c r="H27" s="150">
        <v>0</v>
      </c>
      <c r="I27" s="150">
        <v>0</v>
      </c>
      <c r="J27" s="150">
        <v>0</v>
      </c>
      <c r="K27" s="150">
        <v>0</v>
      </c>
      <c r="L27" s="150">
        <v>0</v>
      </c>
      <c r="M27" s="150">
        <v>0</v>
      </c>
      <c r="N27" s="150">
        <v>0</v>
      </c>
      <c r="O27" s="150">
        <v>0</v>
      </c>
      <c r="P27" s="150">
        <v>0</v>
      </c>
      <c r="Q27" s="150">
        <v>0</v>
      </c>
      <c r="R27" s="150">
        <v>0</v>
      </c>
      <c r="S27" s="150">
        <v>0</v>
      </c>
      <c r="T27" s="150">
        <v>0</v>
      </c>
      <c r="U27" s="150">
        <v>0</v>
      </c>
      <c r="V27" s="150">
        <v>0</v>
      </c>
      <c r="W27" s="150">
        <v>0</v>
      </c>
      <c r="X27" s="150">
        <v>0</v>
      </c>
      <c r="Y27" s="150">
        <v>0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589.49488358265444</v>
      </c>
      <c r="D29" s="139">
        <f t="shared" si="13"/>
        <v>681.14974979513022</v>
      </c>
      <c r="E29" s="139">
        <f t="shared" si="13"/>
        <v>727.27864729453268</v>
      </c>
      <c r="F29" s="139">
        <f t="shared" si="13"/>
        <v>861.23444453388163</v>
      </c>
      <c r="G29" s="139">
        <f t="shared" si="13"/>
        <v>695.33232732601869</v>
      </c>
      <c r="H29" s="139">
        <f t="shared" si="13"/>
        <v>1023.2700688017212</v>
      </c>
      <c r="I29" s="139">
        <f t="shared" si="13"/>
        <v>1083.1151185288752</v>
      </c>
      <c r="J29" s="139">
        <f t="shared" si="13"/>
        <v>628.21703420835502</v>
      </c>
      <c r="K29" s="139">
        <f t="shared" si="13"/>
        <v>108.66950904605216</v>
      </c>
      <c r="L29" s="139">
        <f t="shared" si="13"/>
        <v>74.560708589848261</v>
      </c>
      <c r="M29" s="139">
        <f t="shared" si="13"/>
        <v>375.13538556002584</v>
      </c>
      <c r="N29" s="139">
        <f t="shared" si="13"/>
        <v>75.244751787920237</v>
      </c>
      <c r="O29" s="139">
        <f t="shared" si="13"/>
        <v>265.31568004895917</v>
      </c>
      <c r="P29" s="139">
        <f t="shared" si="13"/>
        <v>286.18119549592518</v>
      </c>
      <c r="Q29" s="139">
        <f t="shared" si="13"/>
        <v>339.98212682554288</v>
      </c>
      <c r="R29" s="139">
        <f t="shared" ref="R29:W29" si="14">SUM(R30:R33)</f>
        <v>185.09906616127779</v>
      </c>
      <c r="S29" s="139">
        <f t="shared" si="14"/>
        <v>316.07896692750398</v>
      </c>
      <c r="T29" s="139">
        <f t="shared" si="14"/>
        <v>249.10890792982769</v>
      </c>
      <c r="U29" s="139">
        <f t="shared" si="14"/>
        <v>248.72132813258065</v>
      </c>
      <c r="V29" s="139">
        <f t="shared" si="14"/>
        <v>239.44509019272419</v>
      </c>
      <c r="W29" s="139">
        <f t="shared" si="14"/>
        <v>237.13747376223552</v>
      </c>
      <c r="X29" s="139">
        <f t="shared" ref="X29:Y29" si="15">SUM(X30:X33)</f>
        <v>234.68132374497969</v>
      </c>
      <c r="Y29" s="139">
        <f t="shared" si="15"/>
        <v>226.1261952768086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99.412282186843868</v>
      </c>
      <c r="D30" s="140">
        <v>64.551542917578232</v>
      </c>
      <c r="E30" s="140">
        <v>98.774505796004874</v>
      </c>
      <c r="F30" s="140">
        <v>11.857527550967482</v>
      </c>
      <c r="G30" s="140">
        <v>11.333529560906548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8.0521203368750331</v>
      </c>
      <c r="O30" s="140">
        <v>26.500818414849906</v>
      </c>
      <c r="P30" s="140">
        <v>35.597286571587127</v>
      </c>
      <c r="Q30" s="140">
        <v>42.798024794210733</v>
      </c>
      <c r="R30" s="140">
        <v>29.896259460907704</v>
      </c>
      <c r="S30" s="140">
        <v>37.458769815318931</v>
      </c>
      <c r="T30" s="140">
        <v>1.9561066135706444</v>
      </c>
      <c r="U30" s="140">
        <v>0</v>
      </c>
      <c r="V30" s="140">
        <v>6.0698438875149821</v>
      </c>
      <c r="W30" s="140">
        <v>15.417368680270892</v>
      </c>
      <c r="X30" s="140">
        <v>55.539678566828698</v>
      </c>
      <c r="Y30" s="140">
        <v>25.980200436727745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225.76834304745097</v>
      </c>
      <c r="D31" s="140">
        <v>226.25573665045806</v>
      </c>
      <c r="E31" s="140">
        <v>169.1730913558261</v>
      </c>
      <c r="F31" s="140">
        <v>146.01914265546651</v>
      </c>
      <c r="G31" s="140">
        <v>100.94723402063352</v>
      </c>
      <c r="H31" s="140">
        <v>150.41935813057256</v>
      </c>
      <c r="I31" s="140">
        <v>191.43461059581725</v>
      </c>
      <c r="J31" s="140">
        <v>127.52398144761018</v>
      </c>
      <c r="K31" s="140">
        <v>23.120984796291154</v>
      </c>
      <c r="L31" s="140">
        <v>11.113964600765456</v>
      </c>
      <c r="M31" s="140">
        <v>10.203256800051795</v>
      </c>
      <c r="N31" s="140">
        <v>0</v>
      </c>
      <c r="O31" s="140">
        <v>23.864617856161374</v>
      </c>
      <c r="P31" s="140">
        <v>46.891091048070876</v>
      </c>
      <c r="Q31" s="140">
        <v>68.980816482008862</v>
      </c>
      <c r="R31" s="140">
        <v>56.729037128536348</v>
      </c>
      <c r="S31" s="140">
        <v>94.945660562335121</v>
      </c>
      <c r="T31" s="140">
        <v>82.261494079271984</v>
      </c>
      <c r="U31" s="140">
        <v>75.089001333635593</v>
      </c>
      <c r="V31" s="140">
        <v>69.972802008960102</v>
      </c>
      <c r="W31" s="140">
        <v>38.471214134044509</v>
      </c>
      <c r="X31" s="140">
        <v>13.261041877753286</v>
      </c>
      <c r="Y31" s="140">
        <v>33.773527719011589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264.31425834835966</v>
      </c>
      <c r="D33" s="152">
        <v>390.34247022709394</v>
      </c>
      <c r="E33" s="152">
        <v>459.33105014270166</v>
      </c>
      <c r="F33" s="152">
        <v>703.3577743274476</v>
      </c>
      <c r="G33" s="152">
        <v>583.05156374447859</v>
      </c>
      <c r="H33" s="152">
        <v>872.8507106711487</v>
      </c>
      <c r="I33" s="152">
        <v>891.68050793305792</v>
      </c>
      <c r="J33" s="152">
        <v>500.69305276074482</v>
      </c>
      <c r="K33" s="152">
        <v>85.548524249761002</v>
      </c>
      <c r="L33" s="152">
        <v>63.446743989082805</v>
      </c>
      <c r="M33" s="152">
        <v>364.93212875997403</v>
      </c>
      <c r="N33" s="152">
        <v>67.192631451045202</v>
      </c>
      <c r="O33" s="152">
        <v>214.95024377794786</v>
      </c>
      <c r="P33" s="152">
        <v>203.69281787626718</v>
      </c>
      <c r="Q33" s="152">
        <v>228.20328554932325</v>
      </c>
      <c r="R33" s="152">
        <v>98.473769571833756</v>
      </c>
      <c r="S33" s="152">
        <v>183.6745365498499</v>
      </c>
      <c r="T33" s="152">
        <v>164.89130723698509</v>
      </c>
      <c r="U33" s="152">
        <v>173.63232679894506</v>
      </c>
      <c r="V33" s="152">
        <v>163.40244429624912</v>
      </c>
      <c r="W33" s="152">
        <v>183.24889094792013</v>
      </c>
      <c r="X33" s="152">
        <v>165.88060330039769</v>
      </c>
      <c r="Y33" s="152">
        <v>166.37246712106926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18.528340341923997</v>
      </c>
      <c r="D3" s="125">
        <f t="shared" si="0"/>
        <v>22.922447874368046</v>
      </c>
      <c r="E3" s="125">
        <f t="shared" si="0"/>
        <v>23.908732862680505</v>
      </c>
      <c r="F3" s="125">
        <f t="shared" si="0"/>
        <v>28.085925403181101</v>
      </c>
      <c r="G3" s="125">
        <f t="shared" si="0"/>
        <v>21.07409734097741</v>
      </c>
      <c r="H3" s="125">
        <f t="shared" si="0"/>
        <v>30.064352552827174</v>
      </c>
      <c r="I3" s="125">
        <f t="shared" si="0"/>
        <v>30.889755800151868</v>
      </c>
      <c r="J3" s="125">
        <f t="shared" si="0"/>
        <v>15.146255142502516</v>
      </c>
      <c r="K3" s="125">
        <f t="shared" si="0"/>
        <v>2.4797448261623534</v>
      </c>
      <c r="L3" s="125">
        <f t="shared" si="0"/>
        <v>1.7617085267898578</v>
      </c>
      <c r="M3" s="125">
        <f t="shared" si="0"/>
        <v>7.3790525323970488</v>
      </c>
      <c r="N3" s="125">
        <f t="shared" si="0"/>
        <v>1.8222394866974529</v>
      </c>
      <c r="O3" s="125">
        <f t="shared" si="0"/>
        <v>5.7407541263895796</v>
      </c>
      <c r="P3" s="125">
        <f t="shared" si="0"/>
        <v>5.7906738437360064</v>
      </c>
      <c r="Q3" s="125">
        <f t="shared" si="0"/>
        <v>6.0426409191224648</v>
      </c>
      <c r="R3" s="125">
        <f t="shared" ref="R3:W3" si="1">SUM(R4,R16,R19,R29)</f>
        <v>3.2576813016168722</v>
      </c>
      <c r="S3" s="125">
        <f t="shared" si="1"/>
        <v>5.4497338147735039</v>
      </c>
      <c r="T3" s="125">
        <f t="shared" si="1"/>
        <v>3.9498250773245966</v>
      </c>
      <c r="U3" s="125">
        <f t="shared" si="1"/>
        <v>3.6072747965676255</v>
      </c>
      <c r="V3" s="125">
        <f t="shared" si="1"/>
        <v>3.1708915191390554</v>
      </c>
      <c r="W3" s="125">
        <f t="shared" si="1"/>
        <v>3.1516840314358827</v>
      </c>
      <c r="X3" s="125">
        <f t="shared" ref="X3:Y3" si="2">SUM(X4,X16,X19,X29)</f>
        <v>2.6491336765705209</v>
      </c>
      <c r="Y3" s="125">
        <f t="shared" si="2"/>
        <v>2.4122383706209911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14.002888462700625</v>
      </c>
      <c r="D4" s="130">
        <f t="shared" si="3"/>
        <v>18.274593293959981</v>
      </c>
      <c r="E4" s="130">
        <f t="shared" si="3"/>
        <v>18.936883073390081</v>
      </c>
      <c r="F4" s="130">
        <f t="shared" si="3"/>
        <v>22.469846576887921</v>
      </c>
      <c r="G4" s="130">
        <f t="shared" si="3"/>
        <v>16.49235489482064</v>
      </c>
      <c r="H4" s="130">
        <f t="shared" si="3"/>
        <v>23.404193067576394</v>
      </c>
      <c r="I4" s="130">
        <f t="shared" si="3"/>
        <v>24.027822417022207</v>
      </c>
      <c r="J4" s="130">
        <f t="shared" si="3"/>
        <v>11.060232788658009</v>
      </c>
      <c r="K4" s="130">
        <f t="shared" si="3"/>
        <v>1.7348253397877589</v>
      </c>
      <c r="L4" s="130">
        <f t="shared" si="3"/>
        <v>1.2631834304698337</v>
      </c>
      <c r="M4" s="130">
        <f t="shared" si="3"/>
        <v>4.975316224332162</v>
      </c>
      <c r="N4" s="130">
        <f t="shared" si="3"/>
        <v>1.3349983442620341</v>
      </c>
      <c r="O4" s="130">
        <f t="shared" si="3"/>
        <v>4.01632818185145</v>
      </c>
      <c r="P4" s="130">
        <f t="shared" si="3"/>
        <v>3.9482768668749464</v>
      </c>
      <c r="Q4" s="130">
        <f t="shared" si="3"/>
        <v>3.93100512230111</v>
      </c>
      <c r="R4" s="130">
        <f t="shared" ref="R4:W4" si="4">SUM(R5:R15)</f>
        <v>2.0923626267333177</v>
      </c>
      <c r="S4" s="130">
        <f t="shared" si="4"/>
        <v>3.4830466911675173</v>
      </c>
      <c r="T4" s="130">
        <f t="shared" si="4"/>
        <v>2.4732782153084845</v>
      </c>
      <c r="U4" s="130">
        <f t="shared" si="4"/>
        <v>2.1698458016026878</v>
      </c>
      <c r="V4" s="130">
        <f t="shared" si="4"/>
        <v>1.8994909838250404</v>
      </c>
      <c r="W4" s="130">
        <f t="shared" si="4"/>
        <v>1.8797901131277766</v>
      </c>
      <c r="X4" s="130">
        <f t="shared" ref="X4:Y4" si="5">SUM(X5:X15)</f>
        <v>1.3166994592411467</v>
      </c>
      <c r="Y4" s="130">
        <f t="shared" si="5"/>
        <v>1.1992092303419661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0.48550133427970166</v>
      </c>
      <c r="D5" s="132">
        <v>1.6373432357974671E-2</v>
      </c>
      <c r="E5" s="132">
        <v>8.3047470653771632E-2</v>
      </c>
      <c r="F5" s="132">
        <v>0.33627427421714612</v>
      </c>
      <c r="G5" s="132">
        <v>0.24983977429889517</v>
      </c>
      <c r="H5" s="132">
        <v>0.89189571654833766</v>
      </c>
      <c r="I5" s="132">
        <v>0.94359094098091623</v>
      </c>
      <c r="J5" s="132">
        <v>0.83111800883237985</v>
      </c>
      <c r="K5" s="132">
        <v>0.11920186956733393</v>
      </c>
      <c r="L5" s="132">
        <v>0.16466741270164353</v>
      </c>
      <c r="M5" s="132">
        <v>0.18703296897642616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5.8033928159173251E-3</v>
      </c>
      <c r="Y5" s="132">
        <v>1.9201360829324551E-2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1.6185922014623824</v>
      </c>
      <c r="D7" s="132">
        <v>1.7503075780304111</v>
      </c>
      <c r="E7" s="132">
        <v>1.9120956450336282</v>
      </c>
      <c r="F7" s="132">
        <v>2.0763243559169151</v>
      </c>
      <c r="G7" s="132">
        <v>0.7112793108976958</v>
      </c>
      <c r="H7" s="132">
        <v>2.239856164374411</v>
      </c>
      <c r="I7" s="132">
        <v>0.31599643508054048</v>
      </c>
      <c r="J7" s="132">
        <v>0.69244150122423553</v>
      </c>
      <c r="K7" s="132">
        <v>0.14599986334373519</v>
      </c>
      <c r="L7" s="132">
        <v>0.16244568684984784</v>
      </c>
      <c r="M7" s="132">
        <v>0.6602237258041147</v>
      </c>
      <c r="N7" s="132">
        <v>0.23270169477841718</v>
      </c>
      <c r="O7" s="132">
        <v>0.85146233853901321</v>
      </c>
      <c r="P7" s="132">
        <v>0.68547804781658983</v>
      </c>
      <c r="Q7" s="132">
        <v>0.31564135217238765</v>
      </c>
      <c r="R7" s="132">
        <v>0</v>
      </c>
      <c r="S7" s="132">
        <v>0</v>
      </c>
      <c r="T7" s="132">
        <v>0.14630554551117314</v>
      </c>
      <c r="U7" s="132">
        <v>0.20580619381600468</v>
      </c>
      <c r="V7" s="132">
        <v>0.39210272016259357</v>
      </c>
      <c r="W7" s="132">
        <v>0.62849016538933344</v>
      </c>
      <c r="X7" s="132">
        <v>0.45926735984675005</v>
      </c>
      <c r="Y7" s="132">
        <v>0.30450987792083783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2.0668586941375726</v>
      </c>
      <c r="D9" s="132">
        <v>5.814687904303665</v>
      </c>
      <c r="E9" s="132">
        <v>5.0062654107102409</v>
      </c>
      <c r="F9" s="132">
        <v>6.4907490428065255</v>
      </c>
      <c r="G9" s="132">
        <v>4.276795130780874</v>
      </c>
      <c r="H9" s="132">
        <v>5.5271565582435889</v>
      </c>
      <c r="I9" s="132">
        <v>6.1692259463493517</v>
      </c>
      <c r="J9" s="132">
        <v>4.01731313435429</v>
      </c>
      <c r="K9" s="132">
        <v>0.55667764966770594</v>
      </c>
      <c r="L9" s="132">
        <v>0.20752131907449931</v>
      </c>
      <c r="M9" s="132">
        <v>1.4444854385852713E-2</v>
      </c>
      <c r="N9" s="132">
        <v>0</v>
      </c>
      <c r="O9" s="132">
        <v>0</v>
      </c>
      <c r="P9" s="132">
        <v>0.46799160019341857</v>
      </c>
      <c r="Q9" s="132">
        <v>1.1067361690064932</v>
      </c>
      <c r="R9" s="132">
        <v>0.7277968568423332</v>
      </c>
      <c r="S9" s="132">
        <v>1.274576001777459</v>
      </c>
      <c r="T9" s="132">
        <v>1.0681379750105771</v>
      </c>
      <c r="U9" s="132">
        <v>0.91205503309076785</v>
      </c>
      <c r="V9" s="132">
        <v>0.65876140833833641</v>
      </c>
      <c r="W9" s="132">
        <v>0.65237899234335384</v>
      </c>
      <c r="X9" s="132">
        <v>0.26736976926239142</v>
      </c>
      <c r="Y9" s="132">
        <v>0.24364112606906121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3.3361535590348472</v>
      </c>
      <c r="D10" s="132">
        <v>2.9929426006207183</v>
      </c>
      <c r="E10" s="132">
        <v>3.9008998946244802</v>
      </c>
      <c r="F10" s="132">
        <v>5.9434554219696976</v>
      </c>
      <c r="G10" s="132">
        <v>4.845644537807785</v>
      </c>
      <c r="H10" s="132">
        <v>4.4268683058416052</v>
      </c>
      <c r="I10" s="132">
        <v>4.0373067374179845</v>
      </c>
      <c r="J10" s="132">
        <v>0</v>
      </c>
      <c r="K10" s="132">
        <v>0.12244169348007281</v>
      </c>
      <c r="L10" s="132">
        <v>0.21897299457179448</v>
      </c>
      <c r="M10" s="132">
        <v>1.2867829590761588</v>
      </c>
      <c r="N10" s="132">
        <v>0.43242435329127299</v>
      </c>
      <c r="O10" s="132">
        <v>1.2893694897205694</v>
      </c>
      <c r="P10" s="132">
        <v>0.49396882898646644</v>
      </c>
      <c r="Q10" s="132">
        <v>0.6517646366010994</v>
      </c>
      <c r="R10" s="132">
        <v>0.17822379952986123</v>
      </c>
      <c r="S10" s="132">
        <v>0.42722398653104926</v>
      </c>
      <c r="T10" s="132">
        <v>0</v>
      </c>
      <c r="U10" s="132">
        <v>0</v>
      </c>
      <c r="V10" s="132">
        <v>0</v>
      </c>
      <c r="W10" s="132">
        <v>5.4552218050053544E-2</v>
      </c>
      <c r="X10" s="132">
        <v>0.14416666851885659</v>
      </c>
      <c r="Y10" s="132">
        <v>0.16324396273090871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5.196424356136812</v>
      </c>
      <c r="D12" s="132">
        <v>2.5198822507419196</v>
      </c>
      <c r="E12" s="132">
        <v>3.9666813511374945</v>
      </c>
      <c r="F12" s="132">
        <v>4.1219556533850055</v>
      </c>
      <c r="G12" s="132">
        <v>3.141076874220734</v>
      </c>
      <c r="H12" s="132">
        <v>6.2490922522427672</v>
      </c>
      <c r="I12" s="132">
        <v>7.8845330483833971</v>
      </c>
      <c r="J12" s="132">
        <v>5.4122153150051489</v>
      </c>
      <c r="K12" s="132">
        <v>0.77922950011061953</v>
      </c>
      <c r="L12" s="132">
        <v>0.4937452791701773</v>
      </c>
      <c r="M12" s="132">
        <v>1.9937898614637986</v>
      </c>
      <c r="N12" s="132">
        <v>0.21287855893473356</v>
      </c>
      <c r="O12" s="132">
        <v>1.3265130830431136</v>
      </c>
      <c r="P12" s="132">
        <v>1.0571782319294893</v>
      </c>
      <c r="Q12" s="132">
        <v>1.769534172790221</v>
      </c>
      <c r="R12" s="132">
        <v>0.79555027468624773</v>
      </c>
      <c r="S12" s="132">
        <v>1.0343577244735622</v>
      </c>
      <c r="T12" s="132">
        <v>0.44379875037188415</v>
      </c>
      <c r="U12" s="132">
        <v>0.58466462836762945</v>
      </c>
      <c r="V12" s="132">
        <v>0.6792518815164742</v>
      </c>
      <c r="W12" s="132">
        <v>0.47093539703657722</v>
      </c>
      <c r="X12" s="132">
        <v>0.36822594717196339</v>
      </c>
      <c r="Y12" s="132">
        <v>0.43397010699014221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4.5163041293663099E-6</v>
      </c>
      <c r="D13" s="132">
        <v>4.1463968604084478E-5</v>
      </c>
      <c r="E13" s="132">
        <v>6.1829443684095398E-5</v>
      </c>
      <c r="F13" s="132">
        <v>1.2997400512887114E-4</v>
      </c>
      <c r="G13" s="132">
        <v>2.1995176637810328E-4</v>
      </c>
      <c r="H13" s="132">
        <v>5.5440300430398563E-4</v>
      </c>
      <c r="I13" s="132">
        <v>1.1571680816075455E-3</v>
      </c>
      <c r="J13" s="132">
        <v>1.4698063835353768E-3</v>
      </c>
      <c r="K13" s="132">
        <v>5.9019389048461381E-4</v>
      </c>
      <c r="L13" s="132">
        <v>9.1176032724701395E-4</v>
      </c>
      <c r="M13" s="132">
        <v>6.1168282353790656E-3</v>
      </c>
      <c r="N13" s="132">
        <v>1.5310626161139061E-3</v>
      </c>
      <c r="O13" s="132">
        <v>9.0127342805693383E-3</v>
      </c>
      <c r="P13" s="132">
        <v>1.5430843640020451E-2</v>
      </c>
      <c r="Q13" s="132">
        <v>1.4260737405948349E-2</v>
      </c>
      <c r="R13" s="132">
        <v>4.3450089617180403E-3</v>
      </c>
      <c r="S13" s="132">
        <v>4.7301986086118065E-3</v>
      </c>
      <c r="T13" s="132">
        <v>1.9335622693144267E-3</v>
      </c>
      <c r="U13" s="132">
        <v>3.5590683394356586E-4</v>
      </c>
      <c r="V13" s="132">
        <v>0</v>
      </c>
      <c r="W13" s="132">
        <v>0</v>
      </c>
      <c r="X13" s="132">
        <v>0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1.2223509525032399</v>
      </c>
      <c r="D14" s="65">
        <v>5.0795189444960158</v>
      </c>
      <c r="E14" s="65">
        <v>3.9644958090700189</v>
      </c>
      <c r="F14" s="65">
        <v>3.3703859202062465</v>
      </c>
      <c r="G14" s="65">
        <v>3.1823206498232994</v>
      </c>
      <c r="H14" s="65">
        <v>3.9451913260712033</v>
      </c>
      <c r="I14" s="65">
        <v>4.5607885118274982</v>
      </c>
      <c r="J14" s="65">
        <v>3.6627606020312856E-2</v>
      </c>
      <c r="K14" s="65">
        <v>0</v>
      </c>
      <c r="L14" s="65">
        <v>7.7912662294400978E-3</v>
      </c>
      <c r="M14" s="65">
        <v>0.80692714435754054</v>
      </c>
      <c r="N14" s="65">
        <v>0.45054157938462441</v>
      </c>
      <c r="O14" s="65">
        <v>0.52104674057890532</v>
      </c>
      <c r="P14" s="65">
        <v>1.2098944165705301</v>
      </c>
      <c r="Q14" s="65">
        <v>4.7989337638472108E-2</v>
      </c>
      <c r="R14" s="65">
        <v>0.37450559865886246</v>
      </c>
      <c r="S14" s="65">
        <v>0.72181955710212964</v>
      </c>
      <c r="T14" s="65">
        <v>0.79726894221510203</v>
      </c>
      <c r="U14" s="65">
        <v>0.45172213823408042</v>
      </c>
      <c r="V14" s="65">
        <v>0.15463396817200603</v>
      </c>
      <c r="W14" s="65">
        <v>5.6511810266967055E-2</v>
      </c>
      <c r="X14" s="65">
        <v>6.1433772500569264E-2</v>
      </c>
      <c r="Y14" s="65">
        <v>2.5833219618158251E-2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7.7002848841940266E-2</v>
      </c>
      <c r="D15" s="134">
        <v>0.10083911944067275</v>
      </c>
      <c r="E15" s="134">
        <v>0.1033356627167627</v>
      </c>
      <c r="F15" s="134">
        <v>0.13057193438125422</v>
      </c>
      <c r="G15" s="134">
        <v>8.5178665224980604E-2</v>
      </c>
      <c r="H15" s="134">
        <v>0.12357834125017828</v>
      </c>
      <c r="I15" s="134">
        <v>0.11522362890091233</v>
      </c>
      <c r="J15" s="134">
        <v>6.904741683810614E-2</v>
      </c>
      <c r="K15" s="134">
        <v>1.0684569727806613E-2</v>
      </c>
      <c r="L15" s="134">
        <v>7.1277115451838947E-3</v>
      </c>
      <c r="M15" s="134">
        <v>1.9997882032890338E-2</v>
      </c>
      <c r="N15" s="134">
        <v>4.9210952568721749E-3</v>
      </c>
      <c r="O15" s="134">
        <v>1.8923795689279294E-2</v>
      </c>
      <c r="P15" s="134">
        <v>1.833489773843168E-2</v>
      </c>
      <c r="Q15" s="134">
        <v>2.50787166864881E-2</v>
      </c>
      <c r="R15" s="134">
        <v>1.194108805429496E-2</v>
      </c>
      <c r="S15" s="134">
        <v>2.0339222674705719E-2</v>
      </c>
      <c r="T15" s="134">
        <v>1.5833439930433818E-2</v>
      </c>
      <c r="U15" s="134">
        <v>1.5241901260261401E-2</v>
      </c>
      <c r="V15" s="134">
        <v>1.4741005635630395E-2</v>
      </c>
      <c r="W15" s="134">
        <v>1.6921530041491412E-2</v>
      </c>
      <c r="X15" s="134">
        <v>1.04325491246986E-2</v>
      </c>
      <c r="Y15" s="134">
        <v>8.8095761835333512E-3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9.0346305152981157E-2</v>
      </c>
      <c r="D16" s="130">
        <f t="shared" si="6"/>
        <v>0.10531758871908219</v>
      </c>
      <c r="E16" s="130">
        <f t="shared" si="6"/>
        <v>0.10964852394757293</v>
      </c>
      <c r="F16" s="130">
        <f t="shared" si="6"/>
        <v>9.516569812850327E-2</v>
      </c>
      <c r="G16" s="130">
        <f t="shared" si="6"/>
        <v>0.11623373144437162</v>
      </c>
      <c r="H16" s="130">
        <f t="shared" si="6"/>
        <v>0.12685519207551221</v>
      </c>
      <c r="I16" s="130">
        <f t="shared" si="6"/>
        <v>0.14136387132378062</v>
      </c>
      <c r="J16" s="130">
        <f t="shared" si="6"/>
        <v>0.13515992381676062</v>
      </c>
      <c r="K16" s="130">
        <f t="shared" si="6"/>
        <v>4.5806098625984733E-2</v>
      </c>
      <c r="L16" s="130">
        <f t="shared" si="6"/>
        <v>3.6339854526439501E-2</v>
      </c>
      <c r="M16" s="130">
        <f t="shared" si="6"/>
        <v>0.11395382319089875</v>
      </c>
      <c r="N16" s="130">
        <f t="shared" si="6"/>
        <v>2.7880493143008663E-2</v>
      </c>
      <c r="O16" s="130">
        <f t="shared" si="6"/>
        <v>9.1103710601901131E-2</v>
      </c>
      <c r="P16" s="130">
        <f t="shared" si="6"/>
        <v>9.7984156029709724E-2</v>
      </c>
      <c r="Q16" s="130">
        <f t="shared" si="6"/>
        <v>0.10549481306877148</v>
      </c>
      <c r="R16" s="130">
        <f t="shared" ref="R16:W16" si="7">SUM(R17:R18)</f>
        <v>5.4879452095414054E-2</v>
      </c>
      <c r="S16" s="130">
        <f t="shared" si="7"/>
        <v>9.1385662294074951E-2</v>
      </c>
      <c r="T16" s="130">
        <f t="shared" si="7"/>
        <v>7.453107346012923E-2</v>
      </c>
      <c r="U16" s="130">
        <f t="shared" si="7"/>
        <v>6.787119938250584E-2</v>
      </c>
      <c r="V16" s="130">
        <f t="shared" si="7"/>
        <v>6.287606144044787E-2</v>
      </c>
      <c r="W16" s="130">
        <f t="shared" si="7"/>
        <v>6.5506809645972094E-2</v>
      </c>
      <c r="X16" s="130">
        <f t="shared" ref="X16:Y16" si="8">SUM(X17:X18)</f>
        <v>5.0070488606787686E-2</v>
      </c>
      <c r="Y16" s="130">
        <f t="shared" si="8"/>
        <v>5.0010055604796433E-2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9.0346305152981157E-2</v>
      </c>
      <c r="D18" s="132">
        <v>0.10531758871908219</v>
      </c>
      <c r="E18" s="132">
        <v>0.10964852394757293</v>
      </c>
      <c r="F18" s="132">
        <v>9.516569812850327E-2</v>
      </c>
      <c r="G18" s="132">
        <v>0.11623373144437162</v>
      </c>
      <c r="H18" s="132">
        <v>0.12685519207551221</v>
      </c>
      <c r="I18" s="132">
        <v>0.14136387132378062</v>
      </c>
      <c r="J18" s="132">
        <v>0.13515992381676062</v>
      </c>
      <c r="K18" s="132">
        <v>4.5806098625984733E-2</v>
      </c>
      <c r="L18" s="132">
        <v>3.6339854526439501E-2</v>
      </c>
      <c r="M18" s="132">
        <v>0.11395382319089875</v>
      </c>
      <c r="N18" s="132">
        <v>2.7880493143008663E-2</v>
      </c>
      <c r="O18" s="132">
        <v>9.1103710601901131E-2</v>
      </c>
      <c r="P18" s="132">
        <v>9.7984156029709724E-2</v>
      </c>
      <c r="Q18" s="132">
        <v>0.10549481306877148</v>
      </c>
      <c r="R18" s="132">
        <v>5.4879452095414054E-2</v>
      </c>
      <c r="S18" s="132">
        <v>9.1385662294074951E-2</v>
      </c>
      <c r="T18" s="132">
        <v>7.453107346012923E-2</v>
      </c>
      <c r="U18" s="132">
        <v>6.787119938250584E-2</v>
      </c>
      <c r="V18" s="132">
        <v>6.287606144044787E-2</v>
      </c>
      <c r="W18" s="132">
        <v>6.5506809645972094E-2</v>
      </c>
      <c r="X18" s="132">
        <v>5.0070488606787686E-2</v>
      </c>
      <c r="Y18" s="132">
        <v>5.0010055604796433E-2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1.8149654043655694</v>
      </c>
      <c r="D19" s="130">
        <f t="shared" si="9"/>
        <v>2.0717187331238489</v>
      </c>
      <c r="E19" s="130">
        <f t="shared" si="9"/>
        <v>2.1867463830427791</v>
      </c>
      <c r="F19" s="130">
        <f t="shared" si="9"/>
        <v>2.6136022118080344</v>
      </c>
      <c r="G19" s="130">
        <f t="shared" si="9"/>
        <v>2.0844519609819563</v>
      </c>
      <c r="H19" s="130">
        <f t="shared" si="9"/>
        <v>3.0624057519271086</v>
      </c>
      <c r="I19" s="130">
        <f t="shared" si="9"/>
        <v>3.1953610110426691</v>
      </c>
      <c r="J19" s="130">
        <f t="shared" si="9"/>
        <v>1.8342266856649005</v>
      </c>
      <c r="K19" s="130">
        <f t="shared" si="9"/>
        <v>0.32071855913587033</v>
      </c>
      <c r="L19" s="130">
        <f t="shared" si="9"/>
        <v>0.21266465525791511</v>
      </c>
      <c r="M19" s="130">
        <f t="shared" si="9"/>
        <v>1.078831044618207</v>
      </c>
      <c r="N19" s="130">
        <f t="shared" si="9"/>
        <v>0.20849853723988993</v>
      </c>
      <c r="O19" s="130">
        <f t="shared" si="9"/>
        <v>0.72970196031304924</v>
      </c>
      <c r="P19" s="130">
        <f t="shared" si="9"/>
        <v>0.74959411725830727</v>
      </c>
      <c r="Q19" s="130">
        <f t="shared" si="9"/>
        <v>0.86390132748607984</v>
      </c>
      <c r="R19" s="130">
        <f t="shared" ref="R19:W19" si="10">SUM(R20:R27)</f>
        <v>0.46234036943341583</v>
      </c>
      <c r="S19" s="130">
        <f t="shared" si="10"/>
        <v>0.78122934944823896</v>
      </c>
      <c r="T19" s="130">
        <f t="shared" si="10"/>
        <v>0.59974287006150584</v>
      </c>
      <c r="U19" s="130">
        <f t="shared" si="10"/>
        <v>0.5781270758426228</v>
      </c>
      <c r="V19" s="130">
        <f t="shared" si="10"/>
        <v>0.50350508373606473</v>
      </c>
      <c r="W19" s="130">
        <f t="shared" si="10"/>
        <v>0.51853431573058073</v>
      </c>
      <c r="X19" s="130">
        <f t="shared" ref="X19:Y19" si="11">SUM(X20:X27)</f>
        <v>0.51913344874297451</v>
      </c>
      <c r="Y19" s="130">
        <f t="shared" si="11"/>
        <v>0.49532650468068973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0.15241325534388533</v>
      </c>
      <c r="D22" s="132">
        <v>0.1891699181285105</v>
      </c>
      <c r="E22" s="132">
        <v>0.17715765176056325</v>
      </c>
      <c r="F22" s="132">
        <v>0.17785067526522449</v>
      </c>
      <c r="G22" s="132">
        <v>0.15686527563432179</v>
      </c>
      <c r="H22" s="132">
        <v>0.20386705981861356</v>
      </c>
      <c r="I22" s="132">
        <v>0.17243313749073588</v>
      </c>
      <c r="J22" s="132">
        <v>0.13537340651994997</v>
      </c>
      <c r="K22" s="132">
        <v>2.5229706005351404E-2</v>
      </c>
      <c r="L22" s="132">
        <v>2.4388473649849519E-2</v>
      </c>
      <c r="M22" s="132">
        <v>9.7424731319327426E-2</v>
      </c>
      <c r="N22" s="132">
        <v>2.7533334891706351E-2</v>
      </c>
      <c r="O22" s="132">
        <v>6.9353577684598267E-2</v>
      </c>
      <c r="P22" s="132">
        <v>5.7248262365792703E-2</v>
      </c>
      <c r="Q22" s="132">
        <v>4.2628870280015795E-2</v>
      </c>
      <c r="R22" s="132">
        <v>1.8725199215584565E-2</v>
      </c>
      <c r="S22" s="132">
        <v>2.2991716385677419E-2</v>
      </c>
      <c r="T22" s="132">
        <v>1.5638976941043516E-2</v>
      </c>
      <c r="U22" s="132">
        <v>1.2290942459531154E-2</v>
      </c>
      <c r="V22" s="132">
        <v>1.322596687682015E-2</v>
      </c>
      <c r="W22" s="132">
        <v>1.9214392013894206E-2</v>
      </c>
      <c r="X22" s="132">
        <v>2.0901235464505868E-2</v>
      </c>
      <c r="Y22" s="132">
        <v>3.3299299373329427E-2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0.2041195126691967</v>
      </c>
      <c r="D23" s="132">
        <v>0.35912720909031687</v>
      </c>
      <c r="E23" s="132">
        <v>0.33362699840852605</v>
      </c>
      <c r="F23" s="132">
        <v>0.35400327608583315</v>
      </c>
      <c r="G23" s="132">
        <v>0.32278360683589663</v>
      </c>
      <c r="H23" s="132">
        <v>0.39219424015855181</v>
      </c>
      <c r="I23" s="132">
        <v>0.43851592575484466</v>
      </c>
      <c r="J23" s="132">
        <v>0.38419866473376185</v>
      </c>
      <c r="K23" s="132">
        <v>7.3695105628340862E-2</v>
      </c>
      <c r="L23" s="132">
        <v>4.4826185669675764E-2</v>
      </c>
      <c r="M23" s="132">
        <v>0.13954737128719644</v>
      </c>
      <c r="N23" s="132">
        <v>3.5727019321168299E-2</v>
      </c>
      <c r="O23" s="132">
        <v>9.5743752916581659E-2</v>
      </c>
      <c r="P23" s="132">
        <v>0.12597625551655764</v>
      </c>
      <c r="Q23" s="132">
        <v>0.12809941282029724</v>
      </c>
      <c r="R23" s="132">
        <v>7.381509403208078E-2</v>
      </c>
      <c r="S23" s="132">
        <v>0.11512909408271214</v>
      </c>
      <c r="T23" s="132">
        <v>0.10416842050701863</v>
      </c>
      <c r="U23" s="132">
        <v>0.1144051379919041</v>
      </c>
      <c r="V23" s="132">
        <v>0.11972319900582644</v>
      </c>
      <c r="W23" s="132">
        <v>7.6864009531991559E-2</v>
      </c>
      <c r="X23" s="132">
        <v>5.6798073936727686E-2</v>
      </c>
      <c r="Y23" s="132">
        <v>4.2474064450025974E-2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0.23317870344582009</v>
      </c>
      <c r="D24" s="132">
        <v>0.25623672334447301</v>
      </c>
      <c r="E24" s="132">
        <v>0.29638915052854209</v>
      </c>
      <c r="F24" s="132">
        <v>0.42829020639470994</v>
      </c>
      <c r="G24" s="132">
        <v>0.37704400307513747</v>
      </c>
      <c r="H24" s="132">
        <v>0.38765211386096965</v>
      </c>
      <c r="I24" s="132">
        <v>0.33151924214981526</v>
      </c>
      <c r="J24" s="132">
        <v>0.20562635254725437</v>
      </c>
      <c r="K24" s="132">
        <v>4.9388307956163099E-2</v>
      </c>
      <c r="L24" s="132">
        <v>4.4032534764998167E-2</v>
      </c>
      <c r="M24" s="132">
        <v>0.17275815586034296</v>
      </c>
      <c r="N24" s="132">
        <v>4.2943272073871518E-2</v>
      </c>
      <c r="O24" s="132">
        <v>0.11575397423204539</v>
      </c>
      <c r="P24" s="132">
        <v>0.11064433319876997</v>
      </c>
      <c r="Q24" s="132">
        <v>0.10474544983288304</v>
      </c>
      <c r="R24" s="132">
        <v>3.1334546985876587E-2</v>
      </c>
      <c r="S24" s="132">
        <v>4.2588381481233631E-2</v>
      </c>
      <c r="T24" s="132">
        <v>0</v>
      </c>
      <c r="U24" s="132">
        <v>0</v>
      </c>
      <c r="V24" s="132">
        <v>2.3453360570839958E-2</v>
      </c>
      <c r="W24" s="132">
        <v>6.8713929117262595E-2</v>
      </c>
      <c r="X24" s="132">
        <v>0.10950951265655483</v>
      </c>
      <c r="Y24" s="132">
        <v>7.0112023410410951E-2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0.59042184102883488</v>
      </c>
      <c r="D25" s="132">
        <v>0.5056636109935303</v>
      </c>
      <c r="E25" s="132">
        <v>0.48810690332178869</v>
      </c>
      <c r="F25" s="132">
        <v>0.53785480385427387</v>
      </c>
      <c r="G25" s="132">
        <v>0.41793912633013047</v>
      </c>
      <c r="H25" s="132">
        <v>0.49596616005922717</v>
      </c>
      <c r="I25" s="132">
        <v>0.50684438179505287</v>
      </c>
      <c r="J25" s="132">
        <v>0.32865805114512964</v>
      </c>
      <c r="K25" s="132">
        <v>8.950558508547686E-2</v>
      </c>
      <c r="L25" s="132">
        <v>7.8651820578800422E-2</v>
      </c>
      <c r="M25" s="132">
        <v>0.32328538664379253</v>
      </c>
      <c r="N25" s="132">
        <v>8.2400061602615357E-2</v>
      </c>
      <c r="O25" s="132">
        <v>0.22521249430919307</v>
      </c>
      <c r="P25" s="132">
        <v>0.22088811244997211</v>
      </c>
      <c r="Q25" s="132">
        <v>0.27178709787571237</v>
      </c>
      <c r="R25" s="132">
        <v>0.13983331302979932</v>
      </c>
      <c r="S25" s="132">
        <v>0.2033711970468588</v>
      </c>
      <c r="T25" s="132">
        <v>0.14721222915424165</v>
      </c>
      <c r="U25" s="132">
        <v>0.17812126435207812</v>
      </c>
      <c r="V25" s="132">
        <v>0.17588191970357478</v>
      </c>
      <c r="W25" s="132">
        <v>0.17153592057278133</v>
      </c>
      <c r="X25" s="132">
        <v>0.13678814810223508</v>
      </c>
      <c r="Y25" s="132">
        <v>0.1221580600302667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0.63483209187783218</v>
      </c>
      <c r="D26" s="65">
        <v>0.76152127156701821</v>
      </c>
      <c r="E26" s="65">
        <v>0.89146567902335905</v>
      </c>
      <c r="F26" s="65">
        <v>1.1156032502079929</v>
      </c>
      <c r="G26" s="65">
        <v>0.80981994910646982</v>
      </c>
      <c r="H26" s="65">
        <v>1.5827261780297464</v>
      </c>
      <c r="I26" s="65">
        <v>1.7460483238522204</v>
      </c>
      <c r="J26" s="65">
        <v>0.78037021071880475</v>
      </c>
      <c r="K26" s="65">
        <v>8.2899854460538103E-2</v>
      </c>
      <c r="L26" s="65">
        <v>2.076564059459125E-2</v>
      </c>
      <c r="M26" s="65">
        <v>0.34581539950754775</v>
      </c>
      <c r="N26" s="65">
        <v>1.9894849350528387E-2</v>
      </c>
      <c r="O26" s="65">
        <v>0.22363816117063079</v>
      </c>
      <c r="P26" s="65">
        <v>0.23483715372721484</v>
      </c>
      <c r="Q26" s="65">
        <v>0.31664049667717148</v>
      </c>
      <c r="R26" s="65">
        <v>0.19863221617007459</v>
      </c>
      <c r="S26" s="65">
        <v>0.39714896045175696</v>
      </c>
      <c r="T26" s="65">
        <v>0.33272324345920201</v>
      </c>
      <c r="U26" s="65">
        <v>0.27330973103910938</v>
      </c>
      <c r="V26" s="65">
        <v>0.17122063757900341</v>
      </c>
      <c r="W26" s="65">
        <v>0.18220606449465104</v>
      </c>
      <c r="X26" s="65">
        <v>0.19513647858295105</v>
      </c>
      <c r="Y26" s="65">
        <v>0.22728305741665664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2.6201401697048214</v>
      </c>
      <c r="D29" s="130">
        <f t="shared" si="12"/>
        <v>2.4708182585651368</v>
      </c>
      <c r="E29" s="130">
        <f t="shared" si="12"/>
        <v>2.6754548823000692</v>
      </c>
      <c r="F29" s="130">
        <f t="shared" si="12"/>
        <v>2.9073109163566424</v>
      </c>
      <c r="G29" s="130">
        <f t="shared" si="12"/>
        <v>2.3810567537304452</v>
      </c>
      <c r="H29" s="130">
        <f t="shared" si="12"/>
        <v>3.4708985412481557</v>
      </c>
      <c r="I29" s="130">
        <f t="shared" si="12"/>
        <v>3.5252085007632137</v>
      </c>
      <c r="J29" s="130">
        <f t="shared" si="12"/>
        <v>2.1166357443628474</v>
      </c>
      <c r="K29" s="130">
        <f t="shared" si="12"/>
        <v>0.37839482861273954</v>
      </c>
      <c r="L29" s="130">
        <f t="shared" si="12"/>
        <v>0.24952058653566955</v>
      </c>
      <c r="M29" s="130">
        <f t="shared" si="12"/>
        <v>1.2109514402557808</v>
      </c>
      <c r="N29" s="130">
        <f t="shared" si="12"/>
        <v>0.25086211205252029</v>
      </c>
      <c r="O29" s="130">
        <f t="shared" si="12"/>
        <v>0.90362027362317932</v>
      </c>
      <c r="P29" s="130">
        <f t="shared" si="12"/>
        <v>0.99481870357304292</v>
      </c>
      <c r="Q29" s="130">
        <f t="shared" si="12"/>
        <v>1.1422396562665034</v>
      </c>
      <c r="R29" s="130">
        <f t="shared" ref="R29:W29" si="13">SUM(R30:R33)</f>
        <v>0.64809885335472428</v>
      </c>
      <c r="S29" s="130">
        <f t="shared" si="13"/>
        <v>1.0940721118636727</v>
      </c>
      <c r="T29" s="130">
        <f t="shared" si="13"/>
        <v>0.80227291849447679</v>
      </c>
      <c r="U29" s="130">
        <f t="shared" si="13"/>
        <v>0.79143071973980894</v>
      </c>
      <c r="V29" s="130">
        <f t="shared" si="13"/>
        <v>0.70501939013750259</v>
      </c>
      <c r="W29" s="130">
        <f t="shared" si="13"/>
        <v>0.68785279293155299</v>
      </c>
      <c r="X29" s="130">
        <f t="shared" ref="X29:Y29" si="14">SUM(X30:X33)</f>
        <v>0.7632302799796119</v>
      </c>
      <c r="Y29" s="130">
        <f t="shared" si="14"/>
        <v>0.66769257999353882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0.68604448191834211</v>
      </c>
      <c r="D30" s="132">
        <v>0.14016978532395366</v>
      </c>
      <c r="E30" s="132">
        <v>0.55602683759965699</v>
      </c>
      <c r="F30" s="132">
        <v>4.8445536767928968E-2</v>
      </c>
      <c r="G30" s="132">
        <v>4.4973376904183571E-2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3.5230457132259113E-2</v>
      </c>
      <c r="O30" s="132">
        <v>0.10069704322981358</v>
      </c>
      <c r="P30" s="132">
        <v>0.15275753650004692</v>
      </c>
      <c r="Q30" s="132">
        <v>0.14130875072988502</v>
      </c>
      <c r="R30" s="132">
        <v>0.12168268309910124</v>
      </c>
      <c r="S30" s="132">
        <v>0.18477200337506511</v>
      </c>
      <c r="T30" s="132">
        <v>8.1288009491728933E-3</v>
      </c>
      <c r="U30" s="132">
        <v>0</v>
      </c>
      <c r="V30" s="132">
        <v>2.0476805467620079E-2</v>
      </c>
      <c r="W30" s="132">
        <v>5.3228934750392205E-2</v>
      </c>
      <c r="X30" s="132">
        <v>0.27722606712411657</v>
      </c>
      <c r="Y30" s="132">
        <v>8.8893342430613975E-2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1.0466675770318215</v>
      </c>
      <c r="D31" s="132">
        <v>1.0633878094981997</v>
      </c>
      <c r="E31" s="132">
        <v>0.70513403761759141</v>
      </c>
      <c r="F31" s="132">
        <v>0.62938629780176603</v>
      </c>
      <c r="G31" s="132">
        <v>0.42836158924319379</v>
      </c>
      <c r="H31" s="132">
        <v>0.62004193605327707</v>
      </c>
      <c r="I31" s="132">
        <v>0.78746189693318547</v>
      </c>
      <c r="J31" s="132">
        <v>0.54289091450712113</v>
      </c>
      <c r="K31" s="132">
        <v>0.10189987837755764</v>
      </c>
      <c r="L31" s="132">
        <v>4.8564555893851266E-2</v>
      </c>
      <c r="M31" s="132">
        <v>4.5663865659632451E-2</v>
      </c>
      <c r="N31" s="132">
        <v>0</v>
      </c>
      <c r="O31" s="132">
        <v>9.5396220407352197E-2</v>
      </c>
      <c r="P31" s="132">
        <v>0.19676504232950279</v>
      </c>
      <c r="Q31" s="132">
        <v>0.27003829979593619</v>
      </c>
      <c r="R31" s="132">
        <v>0.23252735518460058</v>
      </c>
      <c r="S31" s="132">
        <v>0.38495112301306733</v>
      </c>
      <c r="T31" s="132">
        <v>0.32477178564893039</v>
      </c>
      <c r="U31" s="132">
        <v>0.29221406475054534</v>
      </c>
      <c r="V31" s="132">
        <v>0.26872682044039714</v>
      </c>
      <c r="W31" s="132">
        <v>0.14735510963570947</v>
      </c>
      <c r="X31" s="132">
        <v>4.8306132072788062E-2</v>
      </c>
      <c r="Y31" s="132">
        <v>0.13181507988211047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0.88742811075465788</v>
      </c>
      <c r="D33" s="68">
        <v>1.2672606637429833</v>
      </c>
      <c r="E33" s="68">
        <v>1.4142940070828209</v>
      </c>
      <c r="F33" s="68">
        <v>2.2294790817869474</v>
      </c>
      <c r="G33" s="68">
        <v>1.9077217875830681</v>
      </c>
      <c r="H33" s="68">
        <v>2.8508566051948785</v>
      </c>
      <c r="I33" s="68">
        <v>2.7377466038300282</v>
      </c>
      <c r="J33" s="68">
        <v>1.5737448298557262</v>
      </c>
      <c r="K33" s="68">
        <v>0.27649495023518189</v>
      </c>
      <c r="L33" s="68">
        <v>0.2009560306418183</v>
      </c>
      <c r="M33" s="68">
        <v>1.1652875745961484</v>
      </c>
      <c r="N33" s="68">
        <v>0.21563165492026118</v>
      </c>
      <c r="O33" s="68">
        <v>0.70752700998601348</v>
      </c>
      <c r="P33" s="68">
        <v>0.64529612474349318</v>
      </c>
      <c r="Q33" s="68">
        <v>0.73089260574068204</v>
      </c>
      <c r="R33" s="68">
        <v>0.29388881507102255</v>
      </c>
      <c r="S33" s="68">
        <v>0.52434898547554021</v>
      </c>
      <c r="T33" s="68">
        <v>0.46937233189637351</v>
      </c>
      <c r="U33" s="68">
        <v>0.49921665498926365</v>
      </c>
      <c r="V33" s="68">
        <v>0.4158157642294853</v>
      </c>
      <c r="W33" s="68">
        <v>0.48726874854545138</v>
      </c>
      <c r="X33" s="68">
        <v>0.43769808078270728</v>
      </c>
      <c r="Y33" s="68">
        <v>0.44698415768081434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12.080845973082228</v>
      </c>
      <c r="D3" s="125">
        <f t="shared" si="0"/>
        <v>14.559484398641509</v>
      </c>
      <c r="E3" s="125">
        <f t="shared" si="0"/>
        <v>15.402061759294359</v>
      </c>
      <c r="F3" s="125">
        <f t="shared" si="0"/>
        <v>17.8415351087876</v>
      </c>
      <c r="G3" s="125">
        <f t="shared" si="0"/>
        <v>13.781366858252618</v>
      </c>
      <c r="H3" s="125">
        <f t="shared" si="0"/>
        <v>20.082704278509578</v>
      </c>
      <c r="I3" s="125">
        <f t="shared" si="0"/>
        <v>21.275481172104271</v>
      </c>
      <c r="J3" s="125">
        <f t="shared" si="0"/>
        <v>10.830859404008404</v>
      </c>
      <c r="K3" s="125">
        <f t="shared" si="0"/>
        <v>1.8400746720201597</v>
      </c>
      <c r="L3" s="125">
        <f t="shared" si="0"/>
        <v>1.3204011236056823</v>
      </c>
      <c r="M3" s="125">
        <f t="shared" si="0"/>
        <v>5.606604082232395</v>
      </c>
      <c r="N3" s="125">
        <f t="shared" si="0"/>
        <v>1.3476836601007864</v>
      </c>
      <c r="O3" s="125">
        <f t="shared" si="0"/>
        <v>4.3702548502778011</v>
      </c>
      <c r="P3" s="125">
        <f t="shared" si="0"/>
        <v>4.6419961358451376</v>
      </c>
      <c r="Q3" s="125">
        <f t="shared" si="0"/>
        <v>4.9737778068449927</v>
      </c>
      <c r="R3" s="125">
        <f t="shared" ref="R3:W3" si="1">SUM(R4,R16,R19,R29)</f>
        <v>2.7147272422724535</v>
      </c>
      <c r="S3" s="125">
        <f t="shared" si="1"/>
        <v>4.5519185147075305</v>
      </c>
      <c r="T3" s="125">
        <f t="shared" si="1"/>
        <v>3.450140727023657</v>
      </c>
      <c r="U3" s="125">
        <f t="shared" si="1"/>
        <v>3.1997852103840918</v>
      </c>
      <c r="V3" s="125">
        <f t="shared" si="1"/>
        <v>2.8318419731462652</v>
      </c>
      <c r="W3" s="125">
        <f t="shared" si="1"/>
        <v>2.8109235057993995</v>
      </c>
      <c r="X3" s="125">
        <f t="shared" ref="X3:Y3" si="2">SUM(X4,X16,X19,X29)</f>
        <v>2.3172897702797455</v>
      </c>
      <c r="Y3" s="125">
        <f t="shared" si="2"/>
        <v>2.1733672200575604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8.9559539830375066</v>
      </c>
      <c r="D4" s="130">
        <f t="shared" si="3"/>
        <v>11.262684456047525</v>
      </c>
      <c r="E4" s="130">
        <f t="shared" si="3"/>
        <v>11.840435521930267</v>
      </c>
      <c r="F4" s="130">
        <f t="shared" si="3"/>
        <v>13.747393454245225</v>
      </c>
      <c r="G4" s="130">
        <f t="shared" si="3"/>
        <v>10.312104526876396</v>
      </c>
      <c r="H4" s="130">
        <f t="shared" si="3"/>
        <v>15.094176148145172</v>
      </c>
      <c r="I4" s="130">
        <f t="shared" si="3"/>
        <v>16.094352026408941</v>
      </c>
      <c r="J4" s="130">
        <f t="shared" si="3"/>
        <v>7.5919190638325507</v>
      </c>
      <c r="K4" s="130">
        <f t="shared" si="3"/>
        <v>1.1762937004026763</v>
      </c>
      <c r="L4" s="130">
        <f t="shared" si="3"/>
        <v>0.84678162941873503</v>
      </c>
      <c r="M4" s="130">
        <f t="shared" si="3"/>
        <v>3.4514792389208289</v>
      </c>
      <c r="N4" s="130">
        <f t="shared" si="3"/>
        <v>0.88926336708455922</v>
      </c>
      <c r="O4" s="130">
        <f t="shared" si="3"/>
        <v>2.7530677877080811</v>
      </c>
      <c r="P4" s="130">
        <f t="shared" si="3"/>
        <v>2.8946941867946507</v>
      </c>
      <c r="Q4" s="130">
        <f t="shared" si="3"/>
        <v>2.9506592215089662</v>
      </c>
      <c r="R4" s="130">
        <f t="shared" ref="R4:W4" si="4">SUM(R5:R15)</f>
        <v>1.6150772102683095</v>
      </c>
      <c r="S4" s="130">
        <f t="shared" si="4"/>
        <v>2.6633812005300173</v>
      </c>
      <c r="T4" s="130">
        <f t="shared" si="4"/>
        <v>1.9596996408589547</v>
      </c>
      <c r="U4" s="130">
        <f t="shared" si="4"/>
        <v>1.7401586006236356</v>
      </c>
      <c r="V4" s="130">
        <f t="shared" si="4"/>
        <v>1.5248303581487972</v>
      </c>
      <c r="W4" s="130">
        <f t="shared" si="4"/>
        <v>1.4604222218986709</v>
      </c>
      <c r="X4" s="130">
        <f t="shared" ref="X4:Y4" si="5">SUM(X5:X15)</f>
        <v>1.010026282594366</v>
      </c>
      <c r="Y4" s="130">
        <f t="shared" si="5"/>
        <v>0.92973786497328825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0.28569249889013099</v>
      </c>
      <c r="D5" s="132">
        <v>9.7479595811947456E-3</v>
      </c>
      <c r="E5" s="132">
        <v>5.0014171588454746E-2</v>
      </c>
      <c r="F5" s="132">
        <v>0.20483034438495787</v>
      </c>
      <c r="G5" s="132">
        <v>0.1538961424657195</v>
      </c>
      <c r="H5" s="132">
        <v>0.55549514644771969</v>
      </c>
      <c r="I5" s="132">
        <v>0.59413262136633582</v>
      </c>
      <c r="J5" s="132">
        <v>0.52895643992167229</v>
      </c>
      <c r="K5" s="132">
        <v>7.6668105943651338E-2</v>
      </c>
      <c r="L5" s="132">
        <v>0.10701146687399821</v>
      </c>
      <c r="M5" s="132">
        <v>0.12270173173020855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4.3180278344983284E-3</v>
      </c>
      <c r="Y5" s="132">
        <v>1.4392626928780107E-2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0.79863407670515707</v>
      </c>
      <c r="D7" s="132">
        <v>0.87294484141839901</v>
      </c>
      <c r="E7" s="132">
        <v>0.96435901583375305</v>
      </c>
      <c r="F7" s="132">
        <v>1.0587690180040024</v>
      </c>
      <c r="G7" s="132">
        <v>0.36684385421617222</v>
      </c>
      <c r="H7" s="132">
        <v>1.1687371756403158</v>
      </c>
      <c r="I7" s="132">
        <v>0.16687988209369156</v>
      </c>
      <c r="J7" s="132">
        <v>0.3704388036180154</v>
      </c>
      <c r="K7" s="132">
        <v>7.9223089283356238E-2</v>
      </c>
      <c r="L7" s="132">
        <v>8.952501915377209E-2</v>
      </c>
      <c r="M7" s="132">
        <v>0.37398793026916116</v>
      </c>
      <c r="N7" s="132">
        <v>0.13740492804353238</v>
      </c>
      <c r="O7" s="132">
        <v>0.53138684208134968</v>
      </c>
      <c r="P7" s="132">
        <v>0.45434993373017613</v>
      </c>
      <c r="Q7" s="132">
        <v>0.2189768559159051</v>
      </c>
      <c r="R7" s="132">
        <v>0</v>
      </c>
      <c r="S7" s="132">
        <v>0</v>
      </c>
      <c r="T7" s="132">
        <v>0.10430464032367052</v>
      </c>
      <c r="U7" s="132">
        <v>0.14683509889979934</v>
      </c>
      <c r="V7" s="132">
        <v>0.28035839947041552</v>
      </c>
      <c r="W7" s="132">
        <v>0.4507260765733086</v>
      </c>
      <c r="X7" s="132">
        <v>0.32989675585783834</v>
      </c>
      <c r="Y7" s="132">
        <v>0.21895796679083268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1.0881669431025123</v>
      </c>
      <c r="D9" s="132">
        <v>3.0859844833591135</v>
      </c>
      <c r="E9" s="132">
        <v>2.6794923284039771</v>
      </c>
      <c r="F9" s="132">
        <v>3.5031659576433429</v>
      </c>
      <c r="G9" s="132">
        <v>2.3284777039012297</v>
      </c>
      <c r="H9" s="132">
        <v>3.0365009283054767</v>
      </c>
      <c r="I9" s="132">
        <v>3.4213299499640017</v>
      </c>
      <c r="J9" s="132">
        <v>2.2509180837465421</v>
      </c>
      <c r="K9" s="132">
        <v>0.31550596506272577</v>
      </c>
      <c r="L9" s="132">
        <v>0.11912110027752709</v>
      </c>
      <c r="M9" s="132">
        <v>8.4853932143956461E-3</v>
      </c>
      <c r="N9" s="132">
        <v>0</v>
      </c>
      <c r="O9" s="132">
        <v>0</v>
      </c>
      <c r="P9" s="132">
        <v>0.31562633939712581</v>
      </c>
      <c r="Q9" s="132">
        <v>0.77957915222728136</v>
      </c>
      <c r="R9" s="132">
        <v>0.52371243288574854</v>
      </c>
      <c r="S9" s="132">
        <v>0.93195978891562403</v>
      </c>
      <c r="T9" s="132">
        <v>0.79106563451225798</v>
      </c>
      <c r="U9" s="132">
        <v>0.68292577075656036</v>
      </c>
      <c r="V9" s="132">
        <v>0.49814827771137798</v>
      </c>
      <c r="W9" s="132">
        <v>0.49691863944442227</v>
      </c>
      <c r="X9" s="132">
        <v>0.20460809650115397</v>
      </c>
      <c r="Y9" s="132">
        <v>0.18704156617227996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1.7699995038484801</v>
      </c>
      <c r="D10" s="132">
        <v>1.588710639573748</v>
      </c>
      <c r="E10" s="132">
        <v>2.0717268806804365</v>
      </c>
      <c r="F10" s="132">
        <v>3.1581280919761099</v>
      </c>
      <c r="G10" s="132">
        <v>2.5761245273030569</v>
      </c>
      <c r="H10" s="132">
        <v>2.3547117117190619</v>
      </c>
      <c r="I10" s="132">
        <v>2.1486202191117307</v>
      </c>
      <c r="J10" s="132">
        <v>0</v>
      </c>
      <c r="K10" s="132">
        <v>6.5230450537509407E-2</v>
      </c>
      <c r="L10" s="132">
        <v>0.11671754388606997</v>
      </c>
      <c r="M10" s="132">
        <v>0.68620998330379535</v>
      </c>
      <c r="N10" s="132">
        <v>0.23069623751675772</v>
      </c>
      <c r="O10" s="132">
        <v>0.68810327777748193</v>
      </c>
      <c r="P10" s="132">
        <v>0.26369479091945952</v>
      </c>
      <c r="Q10" s="132">
        <v>0.34805094517793578</v>
      </c>
      <c r="R10" s="132">
        <v>9.5223103942814663E-2</v>
      </c>
      <c r="S10" s="132">
        <v>0.2283941218054753</v>
      </c>
      <c r="T10" s="132">
        <v>0</v>
      </c>
      <c r="U10" s="132">
        <v>0</v>
      </c>
      <c r="V10" s="132">
        <v>0</v>
      </c>
      <c r="W10" s="132">
        <v>2.9220458035649845E-2</v>
      </c>
      <c r="X10" s="132">
        <v>7.7964314327754414E-2</v>
      </c>
      <c r="Y10" s="132">
        <v>8.9073610226435049E-2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4.0689781175492108</v>
      </c>
      <c r="D12" s="132">
        <v>1.9796849559786671</v>
      </c>
      <c r="E12" s="132">
        <v>3.126886120433559</v>
      </c>
      <c r="F12" s="132">
        <v>3.2602977768776151</v>
      </c>
      <c r="G12" s="132">
        <v>2.4930559672951156</v>
      </c>
      <c r="H12" s="132">
        <v>4.9773275612146559</v>
      </c>
      <c r="I12" s="132">
        <v>6.3025232651317955</v>
      </c>
      <c r="J12" s="132">
        <v>4.3424589846033639</v>
      </c>
      <c r="K12" s="132">
        <v>0.62767653180138638</v>
      </c>
      <c r="L12" s="132">
        <v>0.39937114823738146</v>
      </c>
      <c r="M12" s="132">
        <v>1.6219505452747149</v>
      </c>
      <c r="N12" s="132">
        <v>0.17451348210055698</v>
      </c>
      <c r="O12" s="132">
        <v>1.098354313724325</v>
      </c>
      <c r="P12" s="132">
        <v>0.88547617927463573</v>
      </c>
      <c r="Q12" s="132">
        <v>1.4981342522013656</v>
      </c>
      <c r="R12" s="132">
        <v>0.67904572003755392</v>
      </c>
      <c r="S12" s="132">
        <v>0.88985271504842356</v>
      </c>
      <c r="T12" s="132">
        <v>0.38468558300318861</v>
      </c>
      <c r="U12" s="132">
        <v>0.51043004662142133</v>
      </c>
      <c r="V12" s="132">
        <v>0.59701878694669752</v>
      </c>
      <c r="W12" s="132">
        <v>0.41648382331003114</v>
      </c>
      <c r="X12" s="132">
        <v>0.32738343659798064</v>
      </c>
      <c r="Y12" s="132">
        <v>0.38779850452017661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6.7390244985037584E-6</v>
      </c>
      <c r="D13" s="132">
        <v>6.5404031140990922E-5</v>
      </c>
      <c r="E13" s="132">
        <v>1.0288546373819009E-4</v>
      </c>
      <c r="F13" s="132">
        <v>2.2761959432563827E-4</v>
      </c>
      <c r="G13" s="132">
        <v>4.0468490562777036E-4</v>
      </c>
      <c r="H13" s="132">
        <v>1.0698643105049876E-3</v>
      </c>
      <c r="I13" s="132">
        <v>2.338748172466769E-3</v>
      </c>
      <c r="J13" s="132">
        <v>3.1081451772961978E-3</v>
      </c>
      <c r="K13" s="132">
        <v>1.3049880462404787E-3</v>
      </c>
      <c r="L13" s="132">
        <v>2.1067501889264839E-3</v>
      </c>
      <c r="M13" s="132">
        <v>1.4878182453489775E-2</v>
      </c>
      <c r="N13" s="132">
        <v>3.9544178124701849E-3</v>
      </c>
      <c r="O13" s="132">
        <v>2.4913669174774805E-2</v>
      </c>
      <c r="P13" s="132">
        <v>4.5651854916777451E-2</v>
      </c>
      <c r="Q13" s="132">
        <v>4.4343892257199702E-2</v>
      </c>
      <c r="R13" s="132">
        <v>1.4146998700216244E-2</v>
      </c>
      <c r="S13" s="132">
        <v>1.5849664701513558E-2</v>
      </c>
      <c r="T13" s="132">
        <v>6.5931548867388338E-3</v>
      </c>
      <c r="U13" s="132">
        <v>1.2277405868797028E-3</v>
      </c>
      <c r="V13" s="132">
        <v>0</v>
      </c>
      <c r="W13" s="132">
        <v>0</v>
      </c>
      <c r="X13" s="132">
        <v>0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0.8674732550755746</v>
      </c>
      <c r="D14" s="65">
        <v>3.6247070526645881</v>
      </c>
      <c r="E14" s="65">
        <v>2.8445184568095869</v>
      </c>
      <c r="F14" s="65">
        <v>2.4314027113836176</v>
      </c>
      <c r="G14" s="65">
        <v>2.308122981564495</v>
      </c>
      <c r="H14" s="65">
        <v>2.876755419257258</v>
      </c>
      <c r="I14" s="65">
        <v>3.3433037116680087</v>
      </c>
      <c r="J14" s="65">
        <v>2.6991189927554355E-2</v>
      </c>
      <c r="K14" s="65">
        <v>0</v>
      </c>
      <c r="L14" s="65">
        <v>5.8008892558759038E-3</v>
      </c>
      <c r="M14" s="65">
        <v>0.6032675906421735</v>
      </c>
      <c r="N14" s="65">
        <v>0.3377732063543698</v>
      </c>
      <c r="O14" s="65">
        <v>0.39138588926087015</v>
      </c>
      <c r="P14" s="65">
        <v>0.91156019081804429</v>
      </c>
      <c r="Q14" s="65">
        <v>3.6495407042790709E-2</v>
      </c>
      <c r="R14" s="65">
        <v>0.29100786664768119</v>
      </c>
      <c r="S14" s="65">
        <v>0.57698568738427503</v>
      </c>
      <c r="T14" s="65">
        <v>0.65721718820266506</v>
      </c>
      <c r="U14" s="65">
        <v>0.38349804249871344</v>
      </c>
      <c r="V14" s="65">
        <v>0.13456388838467606</v>
      </c>
      <c r="W14" s="65">
        <v>5.0151694493767621E-2</v>
      </c>
      <c r="X14" s="65">
        <v>5.5423102350441629E-2</v>
      </c>
      <c r="Y14" s="65">
        <v>2.3664014151250499E-2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7.7002848841940266E-2</v>
      </c>
      <c r="D15" s="134">
        <v>0.10083911944067275</v>
      </c>
      <c r="E15" s="134">
        <v>0.1033356627167627</v>
      </c>
      <c r="F15" s="134">
        <v>0.13057193438125422</v>
      </c>
      <c r="G15" s="134">
        <v>8.5178665224980604E-2</v>
      </c>
      <c r="H15" s="134">
        <v>0.12357834125017828</v>
      </c>
      <c r="I15" s="134">
        <v>0.11522362890091233</v>
      </c>
      <c r="J15" s="134">
        <v>6.904741683810614E-2</v>
      </c>
      <c r="K15" s="134">
        <v>1.0684569727806613E-2</v>
      </c>
      <c r="L15" s="134">
        <v>7.1277115451838947E-3</v>
      </c>
      <c r="M15" s="134">
        <v>1.9997882032890338E-2</v>
      </c>
      <c r="N15" s="134">
        <v>4.9210952568721749E-3</v>
      </c>
      <c r="O15" s="134">
        <v>1.8923795689279294E-2</v>
      </c>
      <c r="P15" s="134">
        <v>1.833489773843168E-2</v>
      </c>
      <c r="Q15" s="134">
        <v>2.50787166864881E-2</v>
      </c>
      <c r="R15" s="134">
        <v>1.194108805429496E-2</v>
      </c>
      <c r="S15" s="134">
        <v>2.0339222674705719E-2</v>
      </c>
      <c r="T15" s="134">
        <v>1.5833439930433818E-2</v>
      </c>
      <c r="U15" s="134">
        <v>1.5241901260261401E-2</v>
      </c>
      <c r="V15" s="134">
        <v>1.4741005635630395E-2</v>
      </c>
      <c r="W15" s="134">
        <v>1.6921530041491412E-2</v>
      </c>
      <c r="X15" s="134">
        <v>1.04325491246986E-2</v>
      </c>
      <c r="Y15" s="134">
        <v>8.8095761835333512E-3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0.2437379883883706</v>
      </c>
      <c r="D16" s="130">
        <f t="shared" si="6"/>
        <v>0.29741423309861459</v>
      </c>
      <c r="E16" s="130">
        <f t="shared" si="6"/>
        <v>0.32368486868001928</v>
      </c>
      <c r="F16" s="130">
        <f t="shared" si="6"/>
        <v>0.29321481470562388</v>
      </c>
      <c r="G16" s="130">
        <f t="shared" si="6"/>
        <v>0.37333687475723543</v>
      </c>
      <c r="H16" s="130">
        <f t="shared" si="6"/>
        <v>0.42426210903267825</v>
      </c>
      <c r="I16" s="130">
        <f t="shared" si="6"/>
        <v>0.49177463156411361</v>
      </c>
      <c r="J16" s="130">
        <f t="shared" si="6"/>
        <v>0.48868822878343476</v>
      </c>
      <c r="K16" s="130">
        <f t="shared" si="6"/>
        <v>0.17202699785699938</v>
      </c>
      <c r="L16" s="130">
        <f t="shared" si="6"/>
        <v>0.14167507920428779</v>
      </c>
      <c r="M16" s="130">
        <f t="shared" si="6"/>
        <v>0.46294401590070816</v>
      </c>
      <c r="N16" s="130">
        <f t="shared" si="6"/>
        <v>0.11856574753629304</v>
      </c>
      <c r="O16" s="130">
        <f t="shared" si="6"/>
        <v>0.40709933261732234</v>
      </c>
      <c r="P16" s="130">
        <f t="shared" si="6"/>
        <v>0.45946751173803474</v>
      </c>
      <c r="Q16" s="130">
        <f t="shared" si="6"/>
        <v>0.51255365667517883</v>
      </c>
      <c r="R16" s="130">
        <f t="shared" ref="R16:W16" si="7">SUM(R17:R18)</f>
        <v>0.27486861492475895</v>
      </c>
      <c r="S16" s="130">
        <f t="shared" si="7"/>
        <v>0.46471087173571451</v>
      </c>
      <c r="T16" s="130">
        <f t="shared" si="7"/>
        <v>0.38267878523722559</v>
      </c>
      <c r="U16" s="130">
        <f t="shared" si="7"/>
        <v>0.35086384044232266</v>
      </c>
      <c r="V16" s="130">
        <f t="shared" si="7"/>
        <v>0.32723672478484173</v>
      </c>
      <c r="W16" s="130">
        <f t="shared" si="7"/>
        <v>0.34332934250490593</v>
      </c>
      <c r="X16" s="130">
        <f t="shared" ref="X16:Y16" si="8">SUM(X17:X18)</f>
        <v>0.26372831419249809</v>
      </c>
      <c r="Y16" s="130">
        <f t="shared" si="8"/>
        <v>0.26454193006758125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0.2437379883883706</v>
      </c>
      <c r="D18" s="132">
        <v>0.29741423309861459</v>
      </c>
      <c r="E18" s="132">
        <v>0.32368486868001928</v>
      </c>
      <c r="F18" s="132">
        <v>0.29321481470562388</v>
      </c>
      <c r="G18" s="132">
        <v>0.37333687475723543</v>
      </c>
      <c r="H18" s="132">
        <v>0.42426210903267825</v>
      </c>
      <c r="I18" s="132">
        <v>0.49177463156411361</v>
      </c>
      <c r="J18" s="132">
        <v>0.48868822878343476</v>
      </c>
      <c r="K18" s="132">
        <v>0.17202699785699938</v>
      </c>
      <c r="L18" s="132">
        <v>0.14167507920428779</v>
      </c>
      <c r="M18" s="132">
        <v>0.46294401590070816</v>
      </c>
      <c r="N18" s="132">
        <v>0.11856574753629304</v>
      </c>
      <c r="O18" s="132">
        <v>0.40709933261732234</v>
      </c>
      <c r="P18" s="132">
        <v>0.45946751173803474</v>
      </c>
      <c r="Q18" s="132">
        <v>0.51255365667517883</v>
      </c>
      <c r="R18" s="132">
        <v>0.27486861492475895</v>
      </c>
      <c r="S18" s="132">
        <v>0.46471087173571451</v>
      </c>
      <c r="T18" s="132">
        <v>0.38267878523722559</v>
      </c>
      <c r="U18" s="132">
        <v>0.35086384044232266</v>
      </c>
      <c r="V18" s="132">
        <v>0.32723672478484173</v>
      </c>
      <c r="W18" s="132">
        <v>0.34332934250490593</v>
      </c>
      <c r="X18" s="132">
        <v>0.26372831419249809</v>
      </c>
      <c r="Y18" s="132">
        <v>0.26454193006758125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1.1994142615053693</v>
      </c>
      <c r="D19" s="130">
        <f t="shared" si="9"/>
        <v>1.3433374393805764</v>
      </c>
      <c r="E19" s="130">
        <f t="shared" si="9"/>
        <v>1.4264947196236963</v>
      </c>
      <c r="F19" s="130">
        <f t="shared" si="9"/>
        <v>1.7136000928527835</v>
      </c>
      <c r="G19" s="130">
        <f t="shared" si="9"/>
        <v>1.3683312402329304</v>
      </c>
      <c r="H19" s="130">
        <f t="shared" si="9"/>
        <v>2.0296176641356203</v>
      </c>
      <c r="I19" s="130">
        <f t="shared" si="9"/>
        <v>2.1391927657001348</v>
      </c>
      <c r="J19" s="130">
        <f t="shared" si="9"/>
        <v>1.2289643717972529</v>
      </c>
      <c r="K19" s="130">
        <f t="shared" si="9"/>
        <v>0.22010987790257763</v>
      </c>
      <c r="L19" s="130">
        <f t="shared" si="9"/>
        <v>0.14891326502619859</v>
      </c>
      <c r="M19" s="130">
        <f t="shared" si="9"/>
        <v>0.76499329671693017</v>
      </c>
      <c r="N19" s="130">
        <f t="shared" si="9"/>
        <v>0.15129599626995349</v>
      </c>
      <c r="O19" s="130">
        <f t="shared" si="9"/>
        <v>0.54084773563786093</v>
      </c>
      <c r="P19" s="130">
        <f t="shared" si="9"/>
        <v>0.57223067761949487</v>
      </c>
      <c r="Q19" s="130">
        <f t="shared" si="9"/>
        <v>0.68404955068981632</v>
      </c>
      <c r="R19" s="130">
        <f t="shared" ref="R19:W19" si="10">SUM(R20:R27)</f>
        <v>0.37549943396901886</v>
      </c>
      <c r="S19" s="130">
        <f t="shared" si="10"/>
        <v>0.64737873371502752</v>
      </c>
      <c r="T19" s="130">
        <f t="shared" si="10"/>
        <v>0.50886270167603453</v>
      </c>
      <c r="U19" s="130">
        <f t="shared" si="10"/>
        <v>0.49904716958009554</v>
      </c>
      <c r="V19" s="130">
        <f t="shared" si="10"/>
        <v>0.43648358346797722</v>
      </c>
      <c r="W19" s="130">
        <f t="shared" si="10"/>
        <v>0.45201639072597555</v>
      </c>
      <c r="X19" s="130">
        <f t="shared" ref="X19:Y19" si="11">SUM(X20:X27)</f>
        <v>0.45304289729062086</v>
      </c>
      <c r="Y19" s="130">
        <f t="shared" si="11"/>
        <v>0.44066859126708535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7.8880917153674124E-2</v>
      </c>
      <c r="D22" s="132">
        <v>9.8384772952151214E-2</v>
      </c>
      <c r="E22" s="132">
        <v>9.2649976905807466E-2</v>
      </c>
      <c r="F22" s="132">
        <v>9.3535609194477523E-2</v>
      </c>
      <c r="G22" s="132">
        <v>8.301139869423925E-2</v>
      </c>
      <c r="H22" s="132">
        <v>0.10860965022546532</v>
      </c>
      <c r="I22" s="132">
        <v>9.2538879511989094E-2</v>
      </c>
      <c r="J22" s="132">
        <v>7.3267120785448711E-2</v>
      </c>
      <c r="K22" s="132">
        <v>1.3791984461947977E-2</v>
      </c>
      <c r="L22" s="132">
        <v>1.348759148982091E-2</v>
      </c>
      <c r="M22" s="132">
        <v>5.5145015979053566E-2</v>
      </c>
      <c r="N22" s="132">
        <v>1.6174415326883573E-2</v>
      </c>
      <c r="O22" s="132">
        <v>4.2913605965987686E-2</v>
      </c>
      <c r="P22" s="132">
        <v>3.7597277403774595E-2</v>
      </c>
      <c r="Q22" s="132">
        <v>2.9453671793957189E-2</v>
      </c>
      <c r="R22" s="132">
        <v>1.3353224700944525E-2</v>
      </c>
      <c r="S22" s="132">
        <v>1.6870619404357183E-2</v>
      </c>
      <c r="T22" s="132">
        <v>1.1764986529382102E-2</v>
      </c>
      <c r="U22" s="132">
        <v>9.4401373754907335E-3</v>
      </c>
      <c r="V22" s="132">
        <v>1.0322485525725841E-2</v>
      </c>
      <c r="W22" s="132">
        <v>1.5142898642549694E-2</v>
      </c>
      <c r="X22" s="132">
        <v>1.6543961020287531E-2</v>
      </c>
      <c r="Y22" s="132">
        <v>2.6415213740375837E-2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0.11461033593637938</v>
      </c>
      <c r="D23" s="132">
        <v>0.20393717046376378</v>
      </c>
      <c r="E23" s="132">
        <v>0.1916822042991764</v>
      </c>
      <c r="F23" s="132">
        <v>0.20576914699961246</v>
      </c>
      <c r="G23" s="132">
        <v>0.18987762325267821</v>
      </c>
      <c r="H23" s="132">
        <v>0.23354129748284919</v>
      </c>
      <c r="I23" s="132">
        <v>0.26441750489902949</v>
      </c>
      <c r="J23" s="132">
        <v>0.23474096626457119</v>
      </c>
      <c r="K23" s="132">
        <v>4.5666436707972061E-2</v>
      </c>
      <c r="L23" s="132">
        <v>2.8198382371174592E-2</v>
      </c>
      <c r="M23" s="132">
        <v>8.9806093048236585E-2</v>
      </c>
      <c r="N23" s="132">
        <v>2.3740518664399066E-2</v>
      </c>
      <c r="O23" s="132">
        <v>6.6337138022771663E-2</v>
      </c>
      <c r="P23" s="132">
        <v>9.1438690309710427E-2</v>
      </c>
      <c r="Q23" s="132">
        <v>9.6678542831497585E-2</v>
      </c>
      <c r="R23" s="132">
        <v>5.7012197427209851E-2</v>
      </c>
      <c r="S23" s="132">
        <v>9.0652195697056334E-2</v>
      </c>
      <c r="T23" s="132">
        <v>8.3339318886009456E-2</v>
      </c>
      <c r="U23" s="132">
        <v>9.2729194694882805E-2</v>
      </c>
      <c r="V23" s="132">
        <v>9.8060673295351716E-2</v>
      </c>
      <c r="W23" s="132">
        <v>6.3390174196803248E-2</v>
      </c>
      <c r="X23" s="132">
        <v>4.6994148177485158E-2</v>
      </c>
      <c r="Y23" s="132">
        <v>3.5209457252234941E-2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0.1284047198414642</v>
      </c>
      <c r="D24" s="132">
        <v>0.14409509914472393</v>
      </c>
      <c r="E24" s="132">
        <v>0.17016983758386584</v>
      </c>
      <c r="F24" s="132">
        <v>0.25099294011591983</v>
      </c>
      <c r="G24" s="132">
        <v>0.22547764482124663</v>
      </c>
      <c r="H24" s="132">
        <v>0.23649401494629477</v>
      </c>
      <c r="I24" s="132">
        <v>0.20626366554655021</v>
      </c>
      <c r="J24" s="132">
        <v>0.13042940707270001</v>
      </c>
      <c r="K24" s="132">
        <v>3.1924273960108641E-2</v>
      </c>
      <c r="L24" s="132">
        <v>2.8991108175831365E-2</v>
      </c>
      <c r="M24" s="132">
        <v>0.11564999266656999</v>
      </c>
      <c r="N24" s="132">
        <v>2.9158303052501226E-2</v>
      </c>
      <c r="O24" s="132">
        <v>7.9500716216342679E-2</v>
      </c>
      <c r="P24" s="132">
        <v>7.6736835051732774E-2</v>
      </c>
      <c r="Q24" s="132">
        <v>7.3487744619957995E-2</v>
      </c>
      <c r="R24" s="132">
        <v>2.2361133086689543E-2</v>
      </c>
      <c r="S24" s="132">
        <v>3.0969334720701427E-2</v>
      </c>
      <c r="T24" s="132">
        <v>0</v>
      </c>
      <c r="U24" s="132">
        <v>0</v>
      </c>
      <c r="V24" s="132">
        <v>1.7919969968305999E-2</v>
      </c>
      <c r="W24" s="132">
        <v>5.3086836458752923E-2</v>
      </c>
      <c r="X24" s="132">
        <v>8.5418178203102421E-2</v>
      </c>
      <c r="Y24" s="132">
        <v>5.5178753368260079E-2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0.46360781858979333</v>
      </c>
      <c r="D25" s="132">
        <v>0.39854070979054446</v>
      </c>
      <c r="E25" s="132">
        <v>0.38617673850560053</v>
      </c>
      <c r="F25" s="132">
        <v>0.42716531293697818</v>
      </c>
      <c r="G25" s="132">
        <v>0.33322472223450567</v>
      </c>
      <c r="H25" s="132">
        <v>0.39700723955580047</v>
      </c>
      <c r="I25" s="132">
        <v>0.40736158808962319</v>
      </c>
      <c r="J25" s="132">
        <v>0.26526440350524455</v>
      </c>
      <c r="K25" s="132">
        <v>7.2562462336687408E-2</v>
      </c>
      <c r="L25" s="132">
        <v>6.4062227932158142E-2</v>
      </c>
      <c r="M25" s="132">
        <v>0.26501865188157148</v>
      </c>
      <c r="N25" s="132">
        <v>6.813553908980198E-2</v>
      </c>
      <c r="O25" s="132">
        <v>0.18832516989069054</v>
      </c>
      <c r="P25" s="132">
        <v>0.18710979605806211</v>
      </c>
      <c r="Q25" s="132">
        <v>0.23301223748595423</v>
      </c>
      <c r="R25" s="132">
        <v>0.12098254235770792</v>
      </c>
      <c r="S25" s="132">
        <v>0.177509519522832</v>
      </c>
      <c r="T25" s="132">
        <v>0.12957834372967156</v>
      </c>
      <c r="U25" s="132">
        <v>0.15804314240476142</v>
      </c>
      <c r="V25" s="132">
        <v>0.15723412535337591</v>
      </c>
      <c r="W25" s="132">
        <v>0.15440717417712757</v>
      </c>
      <c r="X25" s="132">
        <v>0.12378453217897474</v>
      </c>
      <c r="Y25" s="132">
        <v>0.11110766900999093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0.41391046998405823</v>
      </c>
      <c r="D26" s="65">
        <v>0.49837968702939295</v>
      </c>
      <c r="E26" s="65">
        <v>0.58581596232924604</v>
      </c>
      <c r="F26" s="65">
        <v>0.73613708360579544</v>
      </c>
      <c r="G26" s="65">
        <v>0.53673985123026069</v>
      </c>
      <c r="H26" s="65">
        <v>1.0539654619252106</v>
      </c>
      <c r="I26" s="65">
        <v>1.1686111276529427</v>
      </c>
      <c r="J26" s="65">
        <v>0.52526247416928828</v>
      </c>
      <c r="K26" s="65">
        <v>5.616472043586157E-2</v>
      </c>
      <c r="L26" s="65">
        <v>1.4173955057213574E-2</v>
      </c>
      <c r="M26" s="65">
        <v>0.23937354314149847</v>
      </c>
      <c r="N26" s="65">
        <v>1.4087220136367661E-2</v>
      </c>
      <c r="O26" s="65">
        <v>0.16377110554206839</v>
      </c>
      <c r="P26" s="65">
        <v>0.17934807879621498</v>
      </c>
      <c r="Q26" s="65">
        <v>0.25141735395844927</v>
      </c>
      <c r="R26" s="65">
        <v>0.16179033639646706</v>
      </c>
      <c r="S26" s="65">
        <v>0.33137706437008058</v>
      </c>
      <c r="T26" s="65">
        <v>0.28418005253097139</v>
      </c>
      <c r="U26" s="65">
        <v>0.23883469510496055</v>
      </c>
      <c r="V26" s="65">
        <v>0.15294632932521776</v>
      </c>
      <c r="W26" s="65">
        <v>0.16598930725074212</v>
      </c>
      <c r="X26" s="65">
        <v>0.180302077710771</v>
      </c>
      <c r="Y26" s="65">
        <v>0.21275749789622356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1.6817397401509804</v>
      </c>
      <c r="D29" s="130">
        <f t="shared" si="12"/>
        <v>1.6560482701147934</v>
      </c>
      <c r="E29" s="130">
        <f t="shared" si="12"/>
        <v>1.811446649060378</v>
      </c>
      <c r="F29" s="130">
        <f t="shared" si="12"/>
        <v>2.087326746983968</v>
      </c>
      <c r="G29" s="130">
        <f t="shared" si="12"/>
        <v>1.7275942163860563</v>
      </c>
      <c r="H29" s="130">
        <f t="shared" si="12"/>
        <v>2.534648357196108</v>
      </c>
      <c r="I29" s="130">
        <f t="shared" si="12"/>
        <v>2.5501617484310848</v>
      </c>
      <c r="J29" s="130">
        <f t="shared" si="12"/>
        <v>1.5212877395951656</v>
      </c>
      <c r="K29" s="130">
        <f t="shared" si="12"/>
        <v>0.27164409585790655</v>
      </c>
      <c r="L29" s="130">
        <f t="shared" si="12"/>
        <v>0.18303114995646089</v>
      </c>
      <c r="M29" s="130">
        <f t="shared" si="12"/>
        <v>0.9271875306939279</v>
      </c>
      <c r="N29" s="130">
        <f t="shared" si="12"/>
        <v>0.18855854920998069</v>
      </c>
      <c r="O29" s="130">
        <f t="shared" si="12"/>
        <v>0.66923999431453618</v>
      </c>
      <c r="P29" s="130">
        <f t="shared" si="12"/>
        <v>0.7156037596929572</v>
      </c>
      <c r="Q29" s="130">
        <f t="shared" si="12"/>
        <v>0.82651537797103125</v>
      </c>
      <c r="R29" s="130">
        <f t="shared" ref="R29:W29" si="13">SUM(R30:R33)</f>
        <v>0.44928198311036627</v>
      </c>
      <c r="S29" s="130">
        <f t="shared" si="13"/>
        <v>0.77644770872677127</v>
      </c>
      <c r="T29" s="130">
        <f t="shared" si="13"/>
        <v>0.59889959925144221</v>
      </c>
      <c r="U29" s="130">
        <f t="shared" si="13"/>
        <v>0.60971559973803835</v>
      </c>
      <c r="V29" s="130">
        <f t="shared" si="13"/>
        <v>0.54329130674464876</v>
      </c>
      <c r="W29" s="130">
        <f t="shared" si="13"/>
        <v>0.55515555066984734</v>
      </c>
      <c r="X29" s="130">
        <f t="shared" ref="X29:Y29" si="14">SUM(X30:X33)</f>
        <v>0.59049227620226041</v>
      </c>
      <c r="Y29" s="130">
        <f t="shared" si="14"/>
        <v>0.53841883374960564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0.40853973694379547</v>
      </c>
      <c r="D30" s="132">
        <v>8.3512856720140083E-2</v>
      </c>
      <c r="E30" s="132">
        <v>0.33144502082353428</v>
      </c>
      <c r="F30" s="132">
        <v>2.8892573396943608E-2</v>
      </c>
      <c r="G30" s="132">
        <v>2.6835183502811992E-2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2.1086530154336949E-2</v>
      </c>
      <c r="O30" s="132">
        <v>6.0277936467027116E-2</v>
      </c>
      <c r="P30" s="132">
        <v>9.1473905002901326E-2</v>
      </c>
      <c r="Q30" s="132">
        <v>8.4739418147729215E-2</v>
      </c>
      <c r="R30" s="132">
        <v>7.3244396891206542E-2</v>
      </c>
      <c r="S30" s="132">
        <v>0.11180716649228102</v>
      </c>
      <c r="T30" s="132">
        <v>4.9471649042203449E-3</v>
      </c>
      <c r="U30" s="132">
        <v>0</v>
      </c>
      <c r="V30" s="132">
        <v>1.257347600326224E-2</v>
      </c>
      <c r="W30" s="132">
        <v>3.2742170482554005E-2</v>
      </c>
      <c r="X30" s="132">
        <v>0.17063709612361128</v>
      </c>
      <c r="Y30" s="132">
        <v>5.471880242779692E-2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0.60215305322417756</v>
      </c>
      <c r="D31" s="132">
        <v>0.61262787701331789</v>
      </c>
      <c r="E31" s="132">
        <v>0.40680185095598892</v>
      </c>
      <c r="F31" s="132">
        <v>0.3636083526423341</v>
      </c>
      <c r="G31" s="132">
        <v>0.24781730063689217</v>
      </c>
      <c r="H31" s="132">
        <v>0.35920791923352924</v>
      </c>
      <c r="I31" s="132">
        <v>0.4568328682122732</v>
      </c>
      <c r="J31" s="132">
        <v>0.31538612652285886</v>
      </c>
      <c r="K31" s="132">
        <v>5.927959053397315E-2</v>
      </c>
      <c r="L31" s="132">
        <v>2.8291226838778872E-2</v>
      </c>
      <c r="M31" s="132">
        <v>2.6629362782145428E-2</v>
      </c>
      <c r="N31" s="132">
        <v>0</v>
      </c>
      <c r="O31" s="132">
        <v>5.568341382538558E-2</v>
      </c>
      <c r="P31" s="132">
        <v>0.11496526103282849</v>
      </c>
      <c r="Q31" s="132">
        <v>0.15840379371842661</v>
      </c>
      <c r="R31" s="132">
        <v>0.13781739923312827</v>
      </c>
      <c r="S31" s="132">
        <v>0.23146804852176389</v>
      </c>
      <c r="T31" s="132">
        <v>0.19834676409813534</v>
      </c>
      <c r="U31" s="132">
        <v>0.18097683525624733</v>
      </c>
      <c r="V31" s="132">
        <v>0.16807089116052842</v>
      </c>
      <c r="W31" s="132">
        <v>9.2593206183401014E-2</v>
      </c>
      <c r="X31" s="132">
        <v>3.0373811232106078E-2</v>
      </c>
      <c r="Y31" s="132">
        <v>8.2887763665211445E-2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0.67104694998300751</v>
      </c>
      <c r="D33" s="68">
        <v>0.9599075363813353</v>
      </c>
      <c r="E33" s="68">
        <v>1.0731997772808548</v>
      </c>
      <c r="F33" s="68">
        <v>1.6948258209446905</v>
      </c>
      <c r="G33" s="68">
        <v>1.452941732246352</v>
      </c>
      <c r="H33" s="68">
        <v>2.1754404379625787</v>
      </c>
      <c r="I33" s="68">
        <v>2.0933288802188117</v>
      </c>
      <c r="J33" s="68">
        <v>1.2059016130723068</v>
      </c>
      <c r="K33" s="68">
        <v>0.21236450532393339</v>
      </c>
      <c r="L33" s="68">
        <v>0.154739923117682</v>
      </c>
      <c r="M33" s="68">
        <v>0.90055816791178245</v>
      </c>
      <c r="N33" s="68">
        <v>0.16747201905564374</v>
      </c>
      <c r="O33" s="68">
        <v>0.55327864402212346</v>
      </c>
      <c r="P33" s="68">
        <v>0.50916459365722744</v>
      </c>
      <c r="Q33" s="68">
        <v>0.58337216610487541</v>
      </c>
      <c r="R33" s="68">
        <v>0.23822018698603148</v>
      </c>
      <c r="S33" s="68">
        <v>0.43317249371272637</v>
      </c>
      <c r="T33" s="68">
        <v>0.39560567024908655</v>
      </c>
      <c r="U33" s="68">
        <v>0.42873876448179099</v>
      </c>
      <c r="V33" s="68">
        <v>0.36264693958085814</v>
      </c>
      <c r="W33" s="68">
        <v>0.42982017400389227</v>
      </c>
      <c r="X33" s="68">
        <v>0.38948136884654305</v>
      </c>
      <c r="Y33" s="68">
        <v>0.40081226765659728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0.65201986525187849</v>
      </c>
      <c r="D3" s="126">
        <f>IF(SER_hh_tes_in!D3=0,"",SER_hh_tes_in!D3/SER_hh_fec_in!D3)</f>
        <v>0.63516272251716932</v>
      </c>
      <c r="E3" s="126">
        <f>IF(SER_hh_tes_in!E3=0,"",SER_hh_tes_in!E3/SER_hh_fec_in!E3)</f>
        <v>0.64420234429636647</v>
      </c>
      <c r="F3" s="126">
        <f>IF(SER_hh_tes_in!F3=0,"",SER_hh_tes_in!F3/SER_hh_fec_in!F3)</f>
        <v>0.63524825522632811</v>
      </c>
      <c r="G3" s="126">
        <f>IF(SER_hh_tes_in!G3=0,"",SER_hh_tes_in!G3/SER_hh_fec_in!G3)</f>
        <v>0.6539481447423855</v>
      </c>
      <c r="H3" s="126">
        <f>IF(SER_hh_tes_in!H3=0,"",SER_hh_tes_in!H3/SER_hh_fec_in!H3)</f>
        <v>0.66799057931553729</v>
      </c>
      <c r="I3" s="126">
        <f>IF(SER_hh_tes_in!I3=0,"",SER_hh_tes_in!I3/SER_hh_fec_in!I3)</f>
        <v>0.68875524007864353</v>
      </c>
      <c r="J3" s="126">
        <f>IF(SER_hh_tes_in!J3=0,"",SER_hh_tes_in!J3/SER_hh_fec_in!J3)</f>
        <v>0.71508496998809246</v>
      </c>
      <c r="K3" s="126">
        <f>IF(SER_hh_tes_in!K3=0,"",SER_hh_tes_in!K3/SER_hh_fec_in!K3)</f>
        <v>0.74204194423821201</v>
      </c>
      <c r="L3" s="126">
        <f>IF(SER_hh_tes_in!L3=0,"",SER_hh_tes_in!L3/SER_hh_fec_in!L3)</f>
        <v>0.74950033080198852</v>
      </c>
      <c r="M3" s="126">
        <f>IF(SER_hh_tes_in!M3=0,"",SER_hh_tes_in!M3/SER_hh_fec_in!M3)</f>
        <v>0.75979999567927148</v>
      </c>
      <c r="N3" s="126">
        <f>IF(SER_hh_tes_in!N3=0,"",SER_hh_tes_in!N3/SER_hh_fec_in!N3)</f>
        <v>0.73957548935747697</v>
      </c>
      <c r="O3" s="126">
        <f>IF(SER_hh_tes_in!O3=0,"",SER_hh_tes_in!O3/SER_hh_fec_in!O3)</f>
        <v>0.7612684246810445</v>
      </c>
      <c r="P3" s="126">
        <f>IF(SER_hh_tes_in!P3=0,"",SER_hh_tes_in!P3/SER_hh_fec_in!P3)</f>
        <v>0.80163315377649225</v>
      </c>
      <c r="Q3" s="126">
        <f>IF(SER_hh_tes_in!Q3=0,"",SER_hh_tes_in!Q3/SER_hh_fec_in!Q3)</f>
        <v>0.82311325021896276</v>
      </c>
      <c r="R3" s="126">
        <f>IF(SER_hh_tes_in!R3=0,"",SER_hh_tes_in!R3/SER_hh_fec_in!R3)</f>
        <v>0.83333113061890485</v>
      </c>
      <c r="S3" s="126">
        <f>IF(SER_hh_tes_in!S3=0,"",SER_hh_tes_in!S3/SER_hh_fec_in!S3)</f>
        <v>0.83525520133990483</v>
      </c>
      <c r="T3" s="126">
        <f>IF(SER_hh_tes_in!T3=0,"",SER_hh_tes_in!T3/SER_hh_fec_in!T3)</f>
        <v>0.8734920305282482</v>
      </c>
      <c r="U3" s="126">
        <f>IF(SER_hh_tes_in!U3=0,"",SER_hh_tes_in!U3/SER_hh_fec_in!U3)</f>
        <v>0.88703672185682503</v>
      </c>
      <c r="V3" s="126">
        <f>IF(SER_hh_tes_in!V3=0,"",SER_hh_tes_in!V3/SER_hh_fec_in!V3)</f>
        <v>0.89307437862622074</v>
      </c>
      <c r="W3" s="126">
        <f>IF(SER_hh_tes_in!W3=0,"",SER_hh_tes_in!W3/SER_hh_fec_in!W3)</f>
        <v>0.89187985780375478</v>
      </c>
      <c r="X3" s="126">
        <f>IF(SER_hh_tes_in!X3=0,"",SER_hh_tes_in!X3/SER_hh_fec_in!X3)</f>
        <v>0.87473493345176545</v>
      </c>
      <c r="Y3" s="126">
        <f>IF(SER_hh_tes_in!Y3=0,"",SER_hh_tes_in!Y3/SER_hh_fec_in!Y3)</f>
        <v>0.90097531260895369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0.63957904163083246</v>
      </c>
      <c r="D4" s="135">
        <f>IF(SER_hh_tes_in!D4=0,"",SER_hh_tes_in!D4/SER_hh_fec_in!D4)</f>
        <v>0.61630287880442225</v>
      </c>
      <c r="E4" s="135">
        <f>IF(SER_hh_tes_in!E4=0,"",SER_hh_tes_in!E4/SER_hh_fec_in!E4)</f>
        <v>0.6252578883252613</v>
      </c>
      <c r="F4" s="135">
        <f>IF(SER_hh_tes_in!F4=0,"",SER_hh_tes_in!F4/SER_hh_fec_in!F4)</f>
        <v>0.61181519006834462</v>
      </c>
      <c r="G4" s="135">
        <f>IF(SER_hh_tes_in!G4=0,"",SER_hh_tes_in!G4/SER_hh_fec_in!G4)</f>
        <v>0.62526574237829879</v>
      </c>
      <c r="H4" s="135">
        <f>IF(SER_hh_tes_in!H4=0,"",SER_hh_tes_in!H4/SER_hh_fec_in!H4)</f>
        <v>0.64493469629834321</v>
      </c>
      <c r="I4" s="135">
        <f>IF(SER_hh_tes_in!I4=0,"",SER_hh_tes_in!I4/SER_hh_fec_in!I4)</f>
        <v>0.6698214988890171</v>
      </c>
      <c r="J4" s="135">
        <f>IF(SER_hh_tes_in!J4=0,"",SER_hh_tes_in!J4/SER_hh_fec_in!J4)</f>
        <v>0.68641584755954443</v>
      </c>
      <c r="K4" s="135">
        <f>IF(SER_hh_tes_in!K4=0,"",SER_hh_tes_in!K4/SER_hh_fec_in!K4)</f>
        <v>0.67804733619269464</v>
      </c>
      <c r="L4" s="135">
        <f>IF(SER_hh_tes_in!L4=0,"",SER_hh_tes_in!L4/SER_hh_fec_in!L4)</f>
        <v>0.67035523819670395</v>
      </c>
      <c r="M4" s="135">
        <f>IF(SER_hh_tes_in!M4=0,"",SER_hh_tes_in!M4/SER_hh_fec_in!M4)</f>
        <v>0.69372057640097473</v>
      </c>
      <c r="N4" s="135">
        <f>IF(SER_hh_tes_in!N4=0,"",SER_hh_tes_in!N4/SER_hh_fec_in!N4)</f>
        <v>0.66611570786339058</v>
      </c>
      <c r="O4" s="135">
        <f>IF(SER_hh_tes_in!O4=0,"",SER_hh_tes_in!O4/SER_hh_fec_in!O4)</f>
        <v>0.68546883199145592</v>
      </c>
      <c r="P4" s="135">
        <f>IF(SER_hh_tes_in!P4=0,"",SER_hh_tes_in!P4/SER_hh_fec_in!P4)</f>
        <v>0.73315379959303506</v>
      </c>
      <c r="Q4" s="135">
        <f>IF(SER_hh_tes_in!Q4=0,"",SER_hh_tes_in!Q4/SER_hh_fec_in!Q4)</f>
        <v>0.75061189942732143</v>
      </c>
      <c r="R4" s="135">
        <f>IF(SER_hh_tes_in!R4=0,"",SER_hh_tes_in!R4/SER_hh_fec_in!R4)</f>
        <v>0.77189163562428675</v>
      </c>
      <c r="S4" s="135">
        <f>IF(SER_hh_tes_in!S4=0,"",SER_hh_tes_in!S4/SER_hh_fec_in!S4)</f>
        <v>0.76466996761311057</v>
      </c>
      <c r="T4" s="135">
        <f>IF(SER_hh_tes_in!T4=0,"",SER_hh_tes_in!T4/SER_hh_fec_in!T4)</f>
        <v>0.79234904861462474</v>
      </c>
      <c r="U4" s="135">
        <f>IF(SER_hh_tes_in!U4=0,"",SER_hh_tes_in!U4/SER_hh_fec_in!U4)</f>
        <v>0.80197339338045248</v>
      </c>
      <c r="V4" s="135">
        <f>IF(SER_hh_tes_in!V4=0,"",SER_hh_tes_in!V4/SER_hh_fec_in!V4)</f>
        <v>0.80275735506689161</v>
      </c>
      <c r="W4" s="135">
        <f>IF(SER_hh_tes_in!W4=0,"",SER_hh_tes_in!W4/SER_hh_fec_in!W4)</f>
        <v>0.77690706621957872</v>
      </c>
      <c r="X4" s="135">
        <f>IF(SER_hh_tes_in!X4=0,"",SER_hh_tes_in!X4/SER_hh_fec_in!X4)</f>
        <v>0.76708946411846657</v>
      </c>
      <c r="Y4" s="135">
        <f>IF(SER_hh_tes_in!Y4=0,"",SER_hh_tes_in!Y4/SER_hh_fec_in!Y4)</f>
        <v>0.77529245226720322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0.58844843199862551</v>
      </c>
      <c r="D5" s="136">
        <f>IF(SER_hh_tes_in!D5=0,"",SER_hh_tes_in!D5/SER_hh_fec_in!D5)</f>
        <v>0.59535223696984996</v>
      </c>
      <c r="E5" s="136">
        <f>IF(SER_hh_tes_in!E5=0,"",SER_hh_tes_in!E5/SER_hh_fec_in!E5)</f>
        <v>0.60223594041732964</v>
      </c>
      <c r="F5" s="136">
        <f>IF(SER_hh_tes_in!F5=0,"",SER_hh_tes_in!F5/SER_hh_fec_in!F5)</f>
        <v>0.60911690274793517</v>
      </c>
      <c r="G5" s="136">
        <f>IF(SER_hh_tes_in!G5=0,"",SER_hh_tes_in!G5/SER_hh_fec_in!G5)</f>
        <v>0.61597935275752469</v>
      </c>
      <c r="H5" s="136">
        <f>IF(SER_hh_tes_in!H5=0,"",SER_hh_tes_in!H5/SER_hh_fec_in!H5)</f>
        <v>0.62282522064070678</v>
      </c>
      <c r="I5" s="136">
        <f>IF(SER_hh_tes_in!I5=0,"",SER_hh_tes_in!I5/SER_hh_fec_in!I5)</f>
        <v>0.62965062037232078</v>
      </c>
      <c r="J5" s="136">
        <f>IF(SER_hh_tes_in!J5=0,"",SER_hh_tes_in!J5/SER_hh_fec_in!J5)</f>
        <v>0.63643963227892519</v>
      </c>
      <c r="K5" s="136">
        <f>IF(SER_hh_tes_in!K5=0,"",SER_hh_tes_in!K5/SER_hh_fec_in!K5)</f>
        <v>0.643178720450719</v>
      </c>
      <c r="L5" s="136">
        <f>IF(SER_hh_tes_in!L5=0,"",SER_hh_tes_in!L5/SER_hh_fec_in!L5)</f>
        <v>0.6498642634768873</v>
      </c>
      <c r="M5" s="136">
        <f>IF(SER_hh_tes_in!M5=0,"",SER_hh_tes_in!M5/SER_hh_fec_in!M5)</f>
        <v>0.65604332969592127</v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>
        <f>IF(SER_hh_tes_in!X5=0,"",SER_hh_tes_in!X5/SER_hh_fec_in!X5)</f>
        <v>0.74405231068539868</v>
      </c>
      <c r="Y5" s="136">
        <f>IF(SER_hh_tes_in!Y5=0,"",SER_hh_tes_in!Y5/SER_hh_fec_in!Y5)</f>
        <v>0.74956285946147694</v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0.49341277931748279</v>
      </c>
      <c r="D7" s="136">
        <f>IF(SER_hh_tes_in!D7=0,"",SER_hh_tes_in!D7/SER_hh_fec_in!D7)</f>
        <v>0.49873796604406395</v>
      </c>
      <c r="E7" s="136">
        <f>IF(SER_hh_tes_in!E7=0,"",SER_hh_tes_in!E7/SER_hh_fec_in!E7)</f>
        <v>0.50434664099493454</v>
      </c>
      <c r="F7" s="136">
        <f>IF(SER_hh_tes_in!F7=0,"",SER_hh_tes_in!F7/SER_hh_fec_in!F7)</f>
        <v>0.50992467288977339</v>
      </c>
      <c r="G7" s="136">
        <f>IF(SER_hh_tes_in!G7=0,"",SER_hh_tes_in!G7/SER_hh_fec_in!G7)</f>
        <v>0.51575217863877365</v>
      </c>
      <c r="H7" s="136">
        <f>IF(SER_hh_tes_in!H7=0,"",SER_hh_tes_in!H7/SER_hh_fec_in!H7)</f>
        <v>0.52179117312505763</v>
      </c>
      <c r="I7" s="136">
        <f>IF(SER_hh_tes_in!I7=0,"",SER_hh_tes_in!I7/SER_hh_fec_in!I7)</f>
        <v>0.52810685048126438</v>
      </c>
      <c r="J7" s="136">
        <f>IF(SER_hh_tes_in!J7=0,"",SER_hh_tes_in!J7/SER_hh_fec_in!J7)</f>
        <v>0.53497487219220707</v>
      </c>
      <c r="K7" s="136">
        <f>IF(SER_hh_tes_in!K7=0,"",SER_hh_tes_in!K7/SER_hh_fec_in!K7)</f>
        <v>0.54262440709849935</v>
      </c>
      <c r="L7" s="136">
        <f>IF(SER_hh_tes_in!L7=0,"",SER_hh_tes_in!L7/SER_hh_fec_in!L7)</f>
        <v>0.55110739404562992</v>
      </c>
      <c r="M7" s="136">
        <f>IF(SER_hh_tes_in!M7=0,"",SER_hh_tes_in!M7/SER_hh_fec_in!M7)</f>
        <v>0.56645636267261568</v>
      </c>
      <c r="N7" s="136">
        <f>IF(SER_hh_tes_in!N7=0,"",SER_hh_tes_in!N7/SER_hh_fec_in!N7)</f>
        <v>0.59047669667542335</v>
      </c>
      <c r="O7" s="136">
        <f>IF(SER_hh_tes_in!O7=0,"",SER_hh_tes_in!O7/SER_hh_fec_in!O7)</f>
        <v>0.62408731194515665</v>
      </c>
      <c r="P7" s="136">
        <f>IF(SER_hh_tes_in!P7=0,"",SER_hh_tes_in!P7/SER_hh_fec_in!P7)</f>
        <v>0.66282200455198881</v>
      </c>
      <c r="Q7" s="136">
        <f>IF(SER_hh_tes_in!Q7=0,"",SER_hh_tes_in!Q7/SER_hh_fec_in!Q7)</f>
        <v>0.69375211583908947</v>
      </c>
      <c r="R7" s="136" t="str">
        <f>IF(SER_hh_tes_in!R7=0,"",SER_hh_tes_in!R7/SER_hh_fec_in!R7)</f>
        <v/>
      </c>
      <c r="S7" s="136" t="str">
        <f>IF(SER_hh_tes_in!S7=0,"",SER_hh_tes_in!S7/SER_hh_fec_in!S7)</f>
        <v/>
      </c>
      <c r="T7" s="136">
        <f>IF(SER_hh_tes_in!T7=0,"",SER_hh_tes_in!T7/SER_hh_fec_in!T7)</f>
        <v>0.71292335474532598</v>
      </c>
      <c r="U7" s="136">
        <f>IF(SER_hh_tes_in!U7=0,"",SER_hh_tes_in!U7/SER_hh_fec_in!U7)</f>
        <v>0.71346297299037165</v>
      </c>
      <c r="V7" s="136">
        <f>IF(SER_hh_tes_in!V7=0,"",SER_hh_tes_in!V7/SER_hh_fec_in!V7)</f>
        <v>0.71501263585766273</v>
      </c>
      <c r="W7" s="136">
        <f>IF(SER_hh_tes_in!W7=0,"",SER_hh_tes_in!W7/SER_hh_fec_in!W7)</f>
        <v>0.717156928452644</v>
      </c>
      <c r="X7" s="136">
        <f>IF(SER_hh_tes_in!X7=0,"",SER_hh_tes_in!X7/SER_hh_fec_in!X7)</f>
        <v>0.71831091146542492</v>
      </c>
      <c r="Y7" s="136">
        <f>IF(SER_hh_tes_in!Y7=0,"",SER_hh_tes_in!Y7/SER_hh_fec_in!Y7)</f>
        <v>0.71905045670720169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0.52648347281262309</v>
      </c>
      <c r="D9" s="136">
        <f>IF(SER_hh_tes_in!D9=0,"",SER_hh_tes_in!D9/SER_hh_fec_in!D9)</f>
        <v>0.53072229054203623</v>
      </c>
      <c r="E9" s="136">
        <f>IF(SER_hh_tes_in!E9=0,"",SER_hh_tes_in!E9/SER_hh_fec_in!E9)</f>
        <v>0.5352277813061127</v>
      </c>
      <c r="F9" s="136">
        <f>IF(SER_hh_tes_in!F9=0,"",SER_hh_tes_in!F9/SER_hh_fec_in!F9)</f>
        <v>0.53971674679454473</v>
      </c>
      <c r="G9" s="136">
        <f>IF(SER_hh_tes_in!G9=0,"",SER_hh_tes_in!G9/SER_hh_fec_in!G9)</f>
        <v>0.54444452743194338</v>
      </c>
      <c r="H9" s="136">
        <f>IF(SER_hh_tes_in!H9=0,"",SER_hh_tes_in!H9/SER_hh_fec_in!H9)</f>
        <v>0.54937849078594059</v>
      </c>
      <c r="I9" s="136">
        <f>IF(SER_hh_tes_in!I9=0,"",SER_hh_tes_in!I9/SER_hh_fec_in!I9)</f>
        <v>0.55458010125055945</v>
      </c>
      <c r="J9" s="136">
        <f>IF(SER_hh_tes_in!J9=0,"",SER_hh_tes_in!J9/SER_hh_fec_in!J9)</f>
        <v>0.56030436475008216</v>
      </c>
      <c r="K9" s="136">
        <f>IF(SER_hh_tes_in!K9=0,"",SER_hh_tes_in!K9/SER_hh_fec_in!K9)</f>
        <v>0.56676600048710191</v>
      </c>
      <c r="L9" s="136">
        <f>IF(SER_hh_tes_in!L9=0,"",SER_hh_tes_in!L9/SER_hh_fec_in!L9)</f>
        <v>0.57401861557541034</v>
      </c>
      <c r="M9" s="136">
        <f>IF(SER_hh_tes_in!M9=0,"",SER_hh_tes_in!M9/SER_hh_fec_in!M9)</f>
        <v>0.58743362776340879</v>
      </c>
      <c r="N9" s="136" t="str">
        <f>IF(SER_hh_tes_in!N9=0,"",SER_hh_tes_in!N9/SER_hh_fec_in!N9)</f>
        <v/>
      </c>
      <c r="O9" s="136" t="str">
        <f>IF(SER_hh_tes_in!O9=0,"",SER_hh_tes_in!O9/SER_hh_fec_in!O9)</f>
        <v/>
      </c>
      <c r="P9" s="136">
        <f>IF(SER_hh_tes_in!P9=0,"",SER_hh_tes_in!P9/SER_hh_fec_in!P9)</f>
        <v>0.67442735994979186</v>
      </c>
      <c r="Q9" s="136">
        <f>IF(SER_hh_tes_in!Q9=0,"",SER_hh_tes_in!Q9/SER_hh_fec_in!Q9)</f>
        <v>0.70439475464789625</v>
      </c>
      <c r="R9" s="136">
        <f>IF(SER_hh_tes_in!R9=0,"",SER_hh_tes_in!R9/SER_hh_fec_in!R9)</f>
        <v>0.71958600530093164</v>
      </c>
      <c r="S9" s="136">
        <f>IF(SER_hh_tes_in!S9=0,"",SER_hh_tes_in!S9/SER_hh_fec_in!S9)</f>
        <v>0.73119201021826885</v>
      </c>
      <c r="T9" s="136">
        <f>IF(SER_hh_tes_in!T9=0,"",SER_hh_tes_in!T9/SER_hh_fec_in!T9)</f>
        <v>0.74060248115832095</v>
      </c>
      <c r="U9" s="136">
        <f>IF(SER_hh_tes_in!U9=0,"",SER_hh_tes_in!U9/SER_hh_fec_in!U9)</f>
        <v>0.74877693338554874</v>
      </c>
      <c r="V9" s="136">
        <f>IF(SER_hh_tes_in!V9=0,"",SER_hh_tes_in!V9/SER_hh_fec_in!V9)</f>
        <v>0.75618922329999583</v>
      </c>
      <c r="W9" s="136">
        <f>IF(SER_hh_tes_in!W9=0,"",SER_hh_tes_in!W9/SER_hh_fec_in!W9)</f>
        <v>0.76170239274487372</v>
      </c>
      <c r="X9" s="136">
        <f>IF(SER_hh_tes_in!X9=0,"",SER_hh_tes_in!X9/SER_hh_fec_in!X9)</f>
        <v>0.76526264381204445</v>
      </c>
      <c r="Y9" s="136">
        <f>IF(SER_hh_tes_in!Y9=0,"",SER_hh_tes_in!Y9/SER_hh_fec_in!Y9)</f>
        <v>0.76769291453390409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0.53055096911082922</v>
      </c>
      <c r="D10" s="136">
        <f>IF(SER_hh_tes_in!D10=0,"",SER_hh_tes_in!D10/SER_hh_fec_in!D10)</f>
        <v>0.53081894696017862</v>
      </c>
      <c r="E10" s="136">
        <f>IF(SER_hh_tes_in!E10=0,"",SER_hh_tes_in!E10/SER_hh_fec_in!E10)</f>
        <v>0.53108947592716194</v>
      </c>
      <c r="F10" s="136">
        <f>IF(SER_hh_tes_in!F10=0,"",SER_hh_tes_in!F10/SER_hh_fec_in!F10)</f>
        <v>0.5313622914209537</v>
      </c>
      <c r="G10" s="136">
        <f>IF(SER_hh_tes_in!G10=0,"",SER_hh_tes_in!G10/SER_hh_fec_in!G10)</f>
        <v>0.53163712426758392</v>
      </c>
      <c r="H10" s="136">
        <f>IF(SER_hh_tes_in!H10=0,"",SER_hh_tes_in!H10/SER_hh_fec_in!H10)</f>
        <v>0.53191365747470565</v>
      </c>
      <c r="I10" s="136">
        <f>IF(SER_hh_tes_in!I10=0,"",SER_hh_tes_in!I10/SER_hh_fec_in!I10)</f>
        <v>0.53219147289409507</v>
      </c>
      <c r="J10" s="136" t="str">
        <f>IF(SER_hh_tes_in!J10=0,"",SER_hh_tes_in!J10/SER_hh_fec_in!J10)</f>
        <v/>
      </c>
      <c r="K10" s="136">
        <f>IF(SER_hh_tes_in!K10=0,"",SER_hh_tes_in!K10/SER_hh_fec_in!K10)</f>
        <v>0.53274704623491309</v>
      </c>
      <c r="L10" s="136">
        <f>IF(SER_hh_tes_in!L10=0,"",SER_hh_tes_in!L10/SER_hh_fec_in!L10)</f>
        <v>0.53302254971812013</v>
      </c>
      <c r="M10" s="136">
        <f>IF(SER_hh_tes_in!M10=0,"",SER_hh_tes_in!M10/SER_hh_fec_in!M10)</f>
        <v>0.53327562232908132</v>
      </c>
      <c r="N10" s="136">
        <f>IF(SER_hh_tes_in!N10=0,"",SER_hh_tes_in!N10/SER_hh_fec_in!N10)</f>
        <v>0.53349501655232867</v>
      </c>
      <c r="O10" s="136">
        <f>IF(SER_hh_tes_in!O10=0,"",SER_hh_tes_in!O10/SER_hh_fec_in!O10)</f>
        <v>0.53367423633283495</v>
      </c>
      <c r="P10" s="136">
        <f>IF(SER_hh_tes_in!P10=0,"",SER_hh_tes_in!P10/SER_hh_fec_in!P10)</f>
        <v>0.53382880749887185</v>
      </c>
      <c r="Q10" s="136">
        <f>IF(SER_hh_tes_in!Q10=0,"",SER_hh_tes_in!Q10/SER_hh_fec_in!Q10)</f>
        <v>0.53401323979925286</v>
      </c>
      <c r="R10" s="136">
        <f>IF(SER_hh_tes_in!R10=0,"",SER_hh_tes_in!R10/SER_hh_fec_in!R10)</f>
        <v>0.53428949553317162</v>
      </c>
      <c r="S10" s="136">
        <f>IF(SER_hh_tes_in!S10=0,"",SER_hh_tes_in!S10/SER_hh_fec_in!S10)</f>
        <v>0.53460041806167724</v>
      </c>
      <c r="T10" s="136" t="str">
        <f>IF(SER_hh_tes_in!T10=0,"",SER_hh_tes_in!T10/SER_hh_fec_in!T10)</f>
        <v/>
      </c>
      <c r="U10" s="136" t="str">
        <f>IF(SER_hh_tes_in!U10=0,"",SER_hh_tes_in!U10/SER_hh_fec_in!U10)</f>
        <v/>
      </c>
      <c r="V10" s="136" t="str">
        <f>IF(SER_hh_tes_in!V10=0,"",SER_hh_tes_in!V10/SER_hh_fec_in!V10)</f>
        <v/>
      </c>
      <c r="W10" s="136">
        <f>IF(SER_hh_tes_in!W10=0,"",SER_hh_tes_in!W10/SER_hh_fec_in!W10)</f>
        <v>0.5356419790087924</v>
      </c>
      <c r="X10" s="136">
        <f>IF(SER_hh_tes_in!X10=0,"",SER_hh_tes_in!X10/SER_hh_fec_in!X10)</f>
        <v>0.54079292480534014</v>
      </c>
      <c r="Y10" s="136">
        <f>IF(SER_hh_tes_in!Y10=0,"",SER_hh_tes_in!Y10/SER_hh_fec_in!Y10)</f>
        <v>0.54564719415237395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 t="str">
        <f>IF(SER_hh_tes_in!I11=0,"",SER_hh_tes_in!I11/SER_hh_fec_in!I11)</f>
        <v/>
      </c>
      <c r="J11" s="136" t="str">
        <f>IF(SER_hh_tes_in!J11=0,"",SER_hh_tes_in!J11/SER_hh_fec_in!J11)</f>
        <v/>
      </c>
      <c r="K11" s="136" t="str">
        <f>IF(SER_hh_tes_in!K11=0,"",SER_hh_tes_in!K11/SER_hh_fec_in!K11)</f>
        <v/>
      </c>
      <c r="L11" s="136" t="str">
        <f>IF(SER_hh_tes_in!L11=0,"",SER_hh_tes_in!L11/SER_hh_fec_in!L11)</f>
        <v/>
      </c>
      <c r="M11" s="136" t="str">
        <f>IF(SER_hh_tes_in!M11=0,"",SER_hh_tes_in!M11/SER_hh_fec_in!M11)</f>
        <v/>
      </c>
      <c r="N11" s="136" t="str">
        <f>IF(SER_hh_tes_in!N11=0,"",SER_hh_tes_in!N11/SER_hh_fec_in!N11)</f>
        <v/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 t="str">
        <f>IF(SER_hh_tes_in!Y11=0,"",SER_hh_tes_in!Y11/SER_hh_fec_in!Y11)</f>
        <v/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0.78303422482112661</v>
      </c>
      <c r="D12" s="136">
        <f>IF(SER_hh_tes_in!D12=0,"",SER_hh_tes_in!D12/SER_hh_fec_in!D12)</f>
        <v>0.78562597732326411</v>
      </c>
      <c r="E12" s="136">
        <f>IF(SER_hh_tes_in!E12=0,"",SER_hh_tes_in!E12/SER_hh_fec_in!E12)</f>
        <v>0.78828770038129881</v>
      </c>
      <c r="F12" s="136">
        <f>IF(SER_hh_tes_in!F12=0,"",SER_hh_tes_in!F12/SER_hh_fec_in!F12)</f>
        <v>0.79095896487877415</v>
      </c>
      <c r="G12" s="136">
        <f>IF(SER_hh_tes_in!G12=0,"",SER_hh_tes_in!G12/SER_hh_fec_in!G12)</f>
        <v>0.79369466814263012</v>
      </c>
      <c r="H12" s="136">
        <f>IF(SER_hh_tes_in!H12=0,"",SER_hh_tes_in!H12/SER_hh_fec_in!H12)</f>
        <v>0.79648809143893151</v>
      </c>
      <c r="I12" s="136">
        <f>IF(SER_hh_tes_in!I12=0,"",SER_hh_tes_in!I12/SER_hh_fec_in!I12)</f>
        <v>0.79935276147064049</v>
      </c>
      <c r="J12" s="136">
        <f>IF(SER_hh_tes_in!J12=0,"",SER_hh_tes_in!J12/SER_hh_fec_in!J12)</f>
        <v>0.80234409236529658</v>
      </c>
      <c r="K12" s="136">
        <f>IF(SER_hh_tes_in!K12=0,"",SER_hh_tes_in!K12/SER_hh_fec_in!K12)</f>
        <v>0.80550920070695642</v>
      </c>
      <c r="L12" s="136">
        <f>IF(SER_hh_tes_in!L12=0,"",SER_hh_tes_in!L12/SER_hh_fec_in!L12)</f>
        <v>0.80886069211353762</v>
      </c>
      <c r="M12" s="136">
        <f>IF(SER_hh_tes_in!M12=0,"",SER_hh_tes_in!M12/SER_hh_fec_in!M12)</f>
        <v>0.8135012503694411</v>
      </c>
      <c r="N12" s="136">
        <f>IF(SER_hh_tes_in!N12=0,"",SER_hh_tes_in!N12/SER_hh_fec_in!N12)</f>
        <v>0.81977951642401459</v>
      </c>
      <c r="O12" s="136">
        <f>IF(SER_hh_tes_in!O12=0,"",SER_hh_tes_in!O12/SER_hh_fec_in!O12)</f>
        <v>0.82800111643424101</v>
      </c>
      <c r="P12" s="136">
        <f>IF(SER_hh_tes_in!P12=0,"",SER_hh_tes_in!P12/SER_hh_fec_in!P12)</f>
        <v>0.83758457422881782</v>
      </c>
      <c r="Q12" s="136">
        <f>IF(SER_hh_tes_in!Q12=0,"",SER_hh_tes_in!Q12/SER_hh_fec_in!Q12)</f>
        <v>0.84662634677412929</v>
      </c>
      <c r="R12" s="136">
        <f>IF(SER_hh_tes_in!R12=0,"",SER_hh_tes_in!R12/SER_hh_fec_in!R12)</f>
        <v>0.8535547552985997</v>
      </c>
      <c r="S12" s="136">
        <f>IF(SER_hh_tes_in!S12=0,"",SER_hh_tes_in!S12/SER_hh_fec_in!S12)</f>
        <v>0.86029493858260242</v>
      </c>
      <c r="T12" s="136">
        <f>IF(SER_hh_tes_in!T12=0,"",SER_hh_tes_in!T12/SER_hh_fec_in!T12)</f>
        <v>0.86680186161145956</v>
      </c>
      <c r="U12" s="136">
        <f>IF(SER_hh_tes_in!U12=0,"",SER_hh_tes_in!U12/SER_hh_fec_in!U12)</f>
        <v>0.8730304893705142</v>
      </c>
      <c r="V12" s="136">
        <f>IF(SER_hh_tes_in!V12=0,"",SER_hh_tes_in!V12/SER_hh_fec_in!V12)</f>
        <v>0.87893578684510099</v>
      </c>
      <c r="W12" s="136">
        <f>IF(SER_hh_tes_in!W12=0,"",SER_hh_tes_in!W12/SER_hh_fec_in!W12)</f>
        <v>0.88437570403671129</v>
      </c>
      <c r="X12" s="136">
        <f>IF(SER_hh_tes_in!X12=0,"",SER_hh_tes_in!X12/SER_hh_fec_in!X12)</f>
        <v>0.88908301848997873</v>
      </c>
      <c r="Y12" s="136">
        <f>IF(SER_hh_tes_in!Y12=0,"",SER_hh_tes_in!Y12/SER_hh_fec_in!Y12)</f>
        <v>0.89360649103184797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1.4921547144455309</v>
      </c>
      <c r="D13" s="136">
        <f>IF(SER_hh_tes_in!D13=0,"",SER_hh_tes_in!D13/SER_hh_fec_in!D13)</f>
        <v>1.5773702649038805</v>
      </c>
      <c r="E13" s="136">
        <f>IF(SER_hh_tes_in!E13=0,"",SER_hh_tes_in!E13/SER_hh_fec_in!E13)</f>
        <v>1.6640205314455332</v>
      </c>
      <c r="F13" s="136">
        <f>IF(SER_hh_tes_in!F13=0,"",SER_hh_tes_in!F13/SER_hh_fec_in!F13)</f>
        <v>1.7512701412867142</v>
      </c>
      <c r="G13" s="136">
        <f>IF(SER_hh_tes_in!G13=0,"",SER_hh_tes_in!G13/SER_hh_fec_in!G13)</f>
        <v>1.8398802259769336</v>
      </c>
      <c r="H13" s="136">
        <f>IF(SER_hh_tes_in!H13=0,"",SER_hh_tes_in!H13/SER_hh_fec_in!H13)</f>
        <v>1.9297592224416744</v>
      </c>
      <c r="I13" s="136">
        <f>IF(SER_hh_tes_in!I13=0,"",SER_hh_tes_in!I13/SER_hh_fec_in!I13)</f>
        <v>2.0210963382413425</v>
      </c>
      <c r="J13" s="136">
        <f>IF(SER_hh_tes_in!J13=0,"",SER_hh_tes_in!J13/SER_hh_fec_in!J13)</f>
        <v>2.1146630005920013</v>
      </c>
      <c r="K13" s="136">
        <f>IF(SER_hh_tes_in!K13=0,"",SER_hh_tes_in!K13/SER_hh_fec_in!K13)</f>
        <v>2.2111175111774548</v>
      </c>
      <c r="L13" s="136">
        <f>IF(SER_hh_tes_in!L13=0,"",SER_hh_tes_in!L13/SER_hh_fec_in!L13)</f>
        <v>2.3106403360273906</v>
      </c>
      <c r="M13" s="136">
        <f>IF(SER_hh_tes_in!M13=0,"",SER_hh_tes_in!M13/SER_hh_fec_in!M13)</f>
        <v>2.432336152163959</v>
      </c>
      <c r="N13" s="136">
        <f>IF(SER_hh_tes_in!N13=0,"",SER_hh_tes_in!N13/SER_hh_fec_in!N13)</f>
        <v>2.5827930032719113</v>
      </c>
      <c r="O13" s="136">
        <f>IF(SER_hh_tes_in!O13=0,"",SER_hh_tes_in!O13/SER_hh_fec_in!O13)</f>
        <v>2.7642742367858868</v>
      </c>
      <c r="P13" s="136">
        <f>IF(SER_hh_tes_in!P13=0,"",SER_hh_tes_in!P13/SER_hh_fec_in!P13)</f>
        <v>2.9584808181438449</v>
      </c>
      <c r="Q13" s="136">
        <f>IF(SER_hh_tes_in!Q13=0,"",SER_hh_tes_in!Q13/SER_hh_fec_in!Q13)</f>
        <v>3.1095090663897409</v>
      </c>
      <c r="R13" s="136">
        <f>IF(SER_hh_tes_in!R13=0,"",SER_hh_tes_in!R13/SER_hh_fec_in!R13)</f>
        <v>3.2559193375339883</v>
      </c>
      <c r="S13" s="136">
        <f>IF(SER_hh_tes_in!S13=0,"",SER_hh_tes_in!S13/SER_hh_fec_in!S13)</f>
        <v>3.35073979191014</v>
      </c>
      <c r="T13" s="136">
        <f>IF(SER_hh_tes_in!T13=0,"",SER_hh_tes_in!T13/SER_hh_fec_in!T13)</f>
        <v>3.4098487498292647</v>
      </c>
      <c r="U13" s="136">
        <f>IF(SER_hh_tes_in!U13=0,"",SER_hh_tes_in!U13/SER_hh_fec_in!U13)</f>
        <v>3.4496122855409364</v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0.70967609858615899</v>
      </c>
      <c r="D14" s="137">
        <f>IF(SER_hh_tes_in!D14=0,"",SER_hh_tes_in!D14/SER_hh_fec_in!D14)</f>
        <v>0.71359258470572107</v>
      </c>
      <c r="E14" s="137">
        <f>IF(SER_hh_tes_in!E14=0,"",SER_hh_tes_in!E14/SER_hh_fec_in!E14)</f>
        <v>0.71749816213750683</v>
      </c>
      <c r="F14" s="137">
        <f>IF(SER_hh_tes_in!F14=0,"",SER_hh_tes_in!F14/SER_hh_fec_in!F14)</f>
        <v>0.72140187175800663</v>
      </c>
      <c r="G14" s="137">
        <f>IF(SER_hh_tes_in!G14=0,"",SER_hh_tes_in!G14/SER_hh_fec_in!G14)</f>
        <v>0.72529554232464133</v>
      </c>
      <c r="H14" s="137">
        <f>IF(SER_hh_tes_in!H14=0,"",SER_hh_tes_in!H14/SER_hh_fec_in!H14)</f>
        <v>0.72918020483484602</v>
      </c>
      <c r="I14" s="137">
        <f>IF(SER_hh_tes_in!I14=0,"",SER_hh_tes_in!I14/SER_hh_fec_in!I14)</f>
        <v>0.73305387938901689</v>
      </c>
      <c r="J14" s="137">
        <f>IF(SER_hh_tes_in!J14=0,"",SER_hh_tes_in!J14/SER_hh_fec_in!J14)</f>
        <v>0.7369083830536356</v>
      </c>
      <c r="K14" s="137" t="str">
        <f>IF(SER_hh_tes_in!K14=0,"",SER_hh_tes_in!K14/SER_hh_fec_in!K14)</f>
        <v/>
      </c>
      <c r="L14" s="137">
        <f>IF(SER_hh_tes_in!L14=0,"",SER_hh_tes_in!L14/SER_hh_fec_in!L14)</f>
        <v>0.74453741985566468</v>
      </c>
      <c r="M14" s="137">
        <f>IF(SER_hh_tes_in!M14=0,"",SER_hh_tes_in!M14/SER_hh_fec_in!M14)</f>
        <v>0.74761097685279043</v>
      </c>
      <c r="N14" s="137">
        <f>IF(SER_hh_tes_in!N14=0,"",SER_hh_tes_in!N14/SER_hh_fec_in!N14)</f>
        <v>0.74970484814236205</v>
      </c>
      <c r="O14" s="137">
        <f>IF(SER_hh_tes_in!O14=0,"",SER_hh_tes_in!O14/SER_hh_fec_in!O14)</f>
        <v>0.75115312846218674</v>
      </c>
      <c r="P14" s="137">
        <f>IF(SER_hh_tes_in!P14=0,"",SER_hh_tes_in!P14/SER_hh_fec_in!P14)</f>
        <v>0.75342127241307544</v>
      </c>
      <c r="Q14" s="137">
        <f>IF(SER_hh_tes_in!Q14=0,"",SER_hh_tes_in!Q14/SER_hh_fec_in!Q14)</f>
        <v>0.76048990960719276</v>
      </c>
      <c r="R14" s="137">
        <f>IF(SER_hh_tes_in!R14=0,"",SER_hh_tes_in!R14/SER_hh_fec_in!R14)</f>
        <v>0.77704543721056774</v>
      </c>
      <c r="S14" s="137">
        <f>IF(SER_hh_tes_in!S14=0,"",SER_hh_tes_in!S14/SER_hh_fec_in!S14)</f>
        <v>0.79934892551357928</v>
      </c>
      <c r="T14" s="137">
        <f>IF(SER_hh_tes_in!T14=0,"",SER_hh_tes_in!T14/SER_hh_fec_in!T14)</f>
        <v>0.82433562052057063</v>
      </c>
      <c r="U14" s="137">
        <f>IF(SER_hh_tes_in!U14=0,"",SER_hh_tes_in!U14/SER_hh_fec_in!U14)</f>
        <v>0.84896889047307766</v>
      </c>
      <c r="V14" s="137">
        <f>IF(SER_hh_tes_in!V14=0,"",SER_hh_tes_in!V14/SER_hh_fec_in!V14)</f>
        <v>0.87020911365990972</v>
      </c>
      <c r="W14" s="137">
        <f>IF(SER_hh_tes_in!W14=0,"",SER_hh_tes_in!W14/SER_hh_fec_in!W14)</f>
        <v>0.88745510463824018</v>
      </c>
      <c r="X14" s="137">
        <f>IF(SER_hh_tes_in!X14=0,"",SER_hh_tes_in!X14/SER_hh_fec_in!X14)</f>
        <v>0.90216016524018705</v>
      </c>
      <c r="Y14" s="137">
        <f>IF(SER_hh_tes_in!Y14=0,"",SER_hh_tes_in!Y14/SER_hh_fec_in!Y14)</f>
        <v>0.91603038649572699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2.6978191081046989</v>
      </c>
      <c r="D16" s="135">
        <f>IF(SER_hh_tes_in!D16=0,"",SER_hh_tes_in!D16/SER_hh_fec_in!D16)</f>
        <v>2.823974957230738</v>
      </c>
      <c r="E16" s="135">
        <f>IF(SER_hh_tes_in!E16=0,"",SER_hh_tes_in!E16/SER_hh_fec_in!E16)</f>
        <v>2.9520221251203083</v>
      </c>
      <c r="F16" s="135">
        <f>IF(SER_hh_tes_in!F16=0,"",SER_hh_tes_in!F16/SER_hh_fec_in!F16)</f>
        <v>3.0810977113801314</v>
      </c>
      <c r="G16" s="135">
        <f>IF(SER_hh_tes_in!G16=0,"",SER_hh_tes_in!G16/SER_hh_fec_in!G16)</f>
        <v>3.2119494927848118</v>
      </c>
      <c r="H16" s="135">
        <f>IF(SER_hh_tes_in!H16=0,"",SER_hh_tes_in!H16/SER_hh_fec_in!H16)</f>
        <v>3.344459947529232</v>
      </c>
      <c r="I16" s="135">
        <f>IF(SER_hh_tes_in!I16=0,"",SER_hh_tes_in!I16/SER_hh_fec_in!I16)</f>
        <v>3.4787858238386113</v>
      </c>
      <c r="J16" s="135">
        <f>IF(SER_hh_tes_in!J16=0,"",SER_hh_tes_in!J16/SER_hh_fec_in!J16)</f>
        <v>3.6156296554736187</v>
      </c>
      <c r="K16" s="135">
        <f>IF(SER_hh_tes_in!K16=0,"",SER_hh_tes_in!K16/SER_hh_fec_in!K16)</f>
        <v>3.7555479077498313</v>
      </c>
      <c r="L16" s="135">
        <f>IF(SER_hh_tes_in!L16=0,"",SER_hh_tes_in!L16/SER_hh_fec_in!L16)</f>
        <v>3.8986143739571211</v>
      </c>
      <c r="M16" s="135">
        <f>IF(SER_hh_tes_in!M16=0,"",SER_hh_tes_in!M16/SER_hh_fec_in!M16)</f>
        <v>4.0625579988235314</v>
      </c>
      <c r="N16" s="135">
        <f>IF(SER_hh_tes_in!N16=0,"",SER_hh_tes_in!N16/SER_hh_fec_in!N16)</f>
        <v>4.2526416921009407</v>
      </c>
      <c r="O16" s="135">
        <f>IF(SER_hh_tes_in!O16=0,"",SER_hh_tes_in!O16/SER_hh_fec_in!O16)</f>
        <v>4.4685263632810486</v>
      </c>
      <c r="P16" s="135">
        <f>IF(SER_hh_tes_in!P16=0,"",SER_hh_tes_in!P16/SER_hh_fec_in!P16)</f>
        <v>4.6892021154799748</v>
      </c>
      <c r="Q16" s="135">
        <f>IF(SER_hh_tes_in!Q16=0,"",SER_hh_tes_in!Q16/SER_hh_fec_in!Q16)</f>
        <v>4.8585673718483955</v>
      </c>
      <c r="R16" s="135">
        <f>IF(SER_hh_tes_in!R16=0,"",SER_hh_tes_in!R16/SER_hh_fec_in!R16)</f>
        <v>5.0085889058598685</v>
      </c>
      <c r="S16" s="135">
        <f>IF(SER_hh_tes_in!S16=0,"",SER_hh_tes_in!S16/SER_hh_fec_in!S16)</f>
        <v>5.0851617208867603</v>
      </c>
      <c r="T16" s="135">
        <f>IF(SER_hh_tes_in!T16=0,"",SER_hh_tes_in!T16/SER_hh_fec_in!T16)</f>
        <v>5.1344864292333252</v>
      </c>
      <c r="U16" s="135">
        <f>IF(SER_hh_tes_in!U16=0,"",SER_hh_tes_in!U16/SER_hh_fec_in!U16)</f>
        <v>5.1695541501327833</v>
      </c>
      <c r="V16" s="135">
        <f>IF(SER_hh_tes_in!V16=0,"",SER_hh_tes_in!V16/SER_hh_fec_in!V16)</f>
        <v>5.2044723745105941</v>
      </c>
      <c r="W16" s="135">
        <f>IF(SER_hh_tes_in!W16=0,"",SER_hh_tes_in!W16/SER_hh_fec_in!W16)</f>
        <v>5.2411244626384681</v>
      </c>
      <c r="X16" s="135">
        <f>IF(SER_hh_tes_in!X16=0,"",SER_hh_tes_in!X16/SER_hh_fec_in!X16)</f>
        <v>5.267140815493188</v>
      </c>
      <c r="Y16" s="135">
        <f>IF(SER_hh_tes_in!Y16=0,"",SER_hh_tes_in!Y16/SER_hh_fec_in!Y16)</f>
        <v>5.2897747636619146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 t="str">
        <f>IF(SER_hh_tes_in!C17=0,"",SER_hh_tes_in!C17/SER_hh_fec_in!C17)</f>
        <v/>
      </c>
      <c r="D17" s="136" t="str">
        <f>IF(SER_hh_tes_in!D17=0,"",SER_hh_tes_in!D17/SER_hh_fec_in!D17)</f>
        <v/>
      </c>
      <c r="E17" s="136" t="str">
        <f>IF(SER_hh_tes_in!E17=0,"",SER_hh_tes_in!E17/SER_hh_fec_in!E17)</f>
        <v/>
      </c>
      <c r="F17" s="136" t="str">
        <f>IF(SER_hh_tes_in!F17=0,"",SER_hh_tes_in!F17/SER_hh_fec_in!F17)</f>
        <v/>
      </c>
      <c r="G17" s="136" t="str">
        <f>IF(SER_hh_tes_in!G17=0,"",SER_hh_tes_in!G17/SER_hh_fec_in!G17)</f>
        <v/>
      </c>
      <c r="H17" s="136" t="str">
        <f>IF(SER_hh_tes_in!H17=0,"",SER_hh_tes_in!H17/SER_hh_fec_in!H17)</f>
        <v/>
      </c>
      <c r="I17" s="136" t="str">
        <f>IF(SER_hh_tes_in!I17=0,"",SER_hh_tes_in!I17/SER_hh_fec_in!I17)</f>
        <v/>
      </c>
      <c r="J17" s="136" t="str">
        <f>IF(SER_hh_tes_in!J17=0,"",SER_hh_tes_in!J17/SER_hh_fec_in!J17)</f>
        <v/>
      </c>
      <c r="K17" s="136" t="str">
        <f>IF(SER_hh_tes_in!K17=0,"",SER_hh_tes_in!K17/SER_hh_fec_in!K17)</f>
        <v/>
      </c>
      <c r="L17" s="136" t="str">
        <f>IF(SER_hh_tes_in!L17=0,"",SER_hh_tes_in!L17/SER_hh_fec_in!L17)</f>
        <v/>
      </c>
      <c r="M17" s="136" t="str">
        <f>IF(SER_hh_tes_in!M17=0,"",SER_hh_tes_in!M17/SER_hh_fec_in!M17)</f>
        <v/>
      </c>
      <c r="N17" s="136" t="str">
        <f>IF(SER_hh_tes_in!N17=0,"",SER_hh_tes_in!N17/SER_hh_fec_in!N17)</f>
        <v/>
      </c>
      <c r="O17" s="136" t="str">
        <f>IF(SER_hh_tes_in!O17=0,"",SER_hh_tes_in!O17/SER_hh_fec_in!O17)</f>
        <v/>
      </c>
      <c r="P17" s="136" t="str">
        <f>IF(SER_hh_tes_in!P17=0,"",SER_hh_tes_in!P17/SER_hh_fec_in!P17)</f>
        <v/>
      </c>
      <c r="Q17" s="136" t="str">
        <f>IF(SER_hh_tes_in!Q17=0,"",SER_hh_tes_in!Q17/SER_hh_fec_in!Q17)</f>
        <v/>
      </c>
      <c r="R17" s="136" t="str">
        <f>IF(SER_hh_tes_in!R17=0,"",SER_hh_tes_in!R17/SER_hh_fec_in!R17)</f>
        <v/>
      </c>
      <c r="S17" s="136" t="str">
        <f>IF(SER_hh_tes_in!S17=0,"",SER_hh_tes_in!S17/SER_hh_fec_in!S17)</f>
        <v/>
      </c>
      <c r="T17" s="136" t="str">
        <f>IF(SER_hh_tes_in!T17=0,"",SER_hh_tes_in!T17/SER_hh_fec_in!T17)</f>
        <v/>
      </c>
      <c r="U17" s="136" t="str">
        <f>IF(SER_hh_tes_in!U17=0,"",SER_hh_tes_in!U17/SER_hh_fec_in!U17)</f>
        <v/>
      </c>
      <c r="V17" s="136" t="str">
        <f>IF(SER_hh_tes_in!V17=0,"",SER_hh_tes_in!V17/SER_hh_fec_in!V17)</f>
        <v/>
      </c>
      <c r="W17" s="136" t="str">
        <f>IF(SER_hh_tes_in!W17=0,"",SER_hh_tes_in!W17/SER_hh_fec_in!W17)</f>
        <v/>
      </c>
      <c r="X17" s="136" t="str">
        <f>IF(SER_hh_tes_in!X17=0,"",SER_hh_tes_in!X17/SER_hh_fec_in!X17)</f>
        <v/>
      </c>
      <c r="Y17" s="136" t="str">
        <f>IF(SER_hh_tes_in!Y17=0,"",SER_hh_tes_in!Y17/SER_hh_fec_in!Y17)</f>
        <v/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2.6978191081046989</v>
      </c>
      <c r="D18" s="136">
        <f>IF(SER_hh_tes_in!D18=0,"",SER_hh_tes_in!D18/SER_hh_fec_in!D18)</f>
        <v>2.823974957230738</v>
      </c>
      <c r="E18" s="136">
        <f>IF(SER_hh_tes_in!E18=0,"",SER_hh_tes_in!E18/SER_hh_fec_in!E18)</f>
        <v>2.9520221251203083</v>
      </c>
      <c r="F18" s="136">
        <f>IF(SER_hh_tes_in!F18=0,"",SER_hh_tes_in!F18/SER_hh_fec_in!F18)</f>
        <v>3.0810977113801314</v>
      </c>
      <c r="G18" s="136">
        <f>IF(SER_hh_tes_in!G18=0,"",SER_hh_tes_in!G18/SER_hh_fec_in!G18)</f>
        <v>3.2119494927848118</v>
      </c>
      <c r="H18" s="136">
        <f>IF(SER_hh_tes_in!H18=0,"",SER_hh_tes_in!H18/SER_hh_fec_in!H18)</f>
        <v>3.344459947529232</v>
      </c>
      <c r="I18" s="136">
        <f>IF(SER_hh_tes_in!I18=0,"",SER_hh_tes_in!I18/SER_hh_fec_in!I18)</f>
        <v>3.4787858238386113</v>
      </c>
      <c r="J18" s="136">
        <f>IF(SER_hh_tes_in!J18=0,"",SER_hh_tes_in!J18/SER_hh_fec_in!J18)</f>
        <v>3.6156296554736187</v>
      </c>
      <c r="K18" s="136">
        <f>IF(SER_hh_tes_in!K18=0,"",SER_hh_tes_in!K18/SER_hh_fec_in!K18)</f>
        <v>3.7555479077498313</v>
      </c>
      <c r="L18" s="136">
        <f>IF(SER_hh_tes_in!L18=0,"",SER_hh_tes_in!L18/SER_hh_fec_in!L18)</f>
        <v>3.8986143739571211</v>
      </c>
      <c r="M18" s="136">
        <f>IF(SER_hh_tes_in!M18=0,"",SER_hh_tes_in!M18/SER_hh_fec_in!M18)</f>
        <v>4.0625579988235314</v>
      </c>
      <c r="N18" s="136">
        <f>IF(SER_hh_tes_in!N18=0,"",SER_hh_tes_in!N18/SER_hh_fec_in!N18)</f>
        <v>4.2526416921009407</v>
      </c>
      <c r="O18" s="136">
        <f>IF(SER_hh_tes_in!O18=0,"",SER_hh_tes_in!O18/SER_hh_fec_in!O18)</f>
        <v>4.4685263632810486</v>
      </c>
      <c r="P18" s="136">
        <f>IF(SER_hh_tes_in!P18=0,"",SER_hh_tes_in!P18/SER_hh_fec_in!P18)</f>
        <v>4.6892021154799748</v>
      </c>
      <c r="Q18" s="136">
        <f>IF(SER_hh_tes_in!Q18=0,"",SER_hh_tes_in!Q18/SER_hh_fec_in!Q18)</f>
        <v>4.8585673718483955</v>
      </c>
      <c r="R18" s="136">
        <f>IF(SER_hh_tes_in!R18=0,"",SER_hh_tes_in!R18/SER_hh_fec_in!R18)</f>
        <v>5.0085889058598685</v>
      </c>
      <c r="S18" s="136">
        <f>IF(SER_hh_tes_in!S18=0,"",SER_hh_tes_in!S18/SER_hh_fec_in!S18)</f>
        <v>5.0851617208867603</v>
      </c>
      <c r="T18" s="136">
        <f>IF(SER_hh_tes_in!T18=0,"",SER_hh_tes_in!T18/SER_hh_fec_in!T18)</f>
        <v>5.1344864292333252</v>
      </c>
      <c r="U18" s="136">
        <f>IF(SER_hh_tes_in!U18=0,"",SER_hh_tes_in!U18/SER_hh_fec_in!U18)</f>
        <v>5.1695541501327833</v>
      </c>
      <c r="V18" s="136">
        <f>IF(SER_hh_tes_in!V18=0,"",SER_hh_tes_in!V18/SER_hh_fec_in!V18)</f>
        <v>5.2044723745105941</v>
      </c>
      <c r="W18" s="136">
        <f>IF(SER_hh_tes_in!W18=0,"",SER_hh_tes_in!W18/SER_hh_fec_in!W18)</f>
        <v>5.2411244626384681</v>
      </c>
      <c r="X18" s="136">
        <f>IF(SER_hh_tes_in!X18=0,"",SER_hh_tes_in!X18/SER_hh_fec_in!X18)</f>
        <v>5.267140815493188</v>
      </c>
      <c r="Y18" s="136">
        <f>IF(SER_hh_tes_in!Y18=0,"",SER_hh_tes_in!Y18/SER_hh_fec_in!Y18)</f>
        <v>5.2897747636619146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0.66084690023313741</v>
      </c>
      <c r="D19" s="135">
        <f>IF(SER_hh_tes_in!D19=0,"",SER_hh_tes_in!D19/SER_hh_fec_in!D19)</f>
        <v>0.64841690037480137</v>
      </c>
      <c r="E19" s="135">
        <f>IF(SER_hh_tes_in!E19=0,"",SER_hh_tes_in!E19/SER_hh_fec_in!E19)</f>
        <v>0.65233660871032517</v>
      </c>
      <c r="F19" s="135">
        <f>IF(SER_hh_tes_in!F19=0,"",SER_hh_tes_in!F19/SER_hh_fec_in!F19)</f>
        <v>0.65564686359342772</v>
      </c>
      <c r="G19" s="135">
        <f>IF(SER_hh_tes_in!G19=0,"",SER_hh_tes_in!G19/SER_hh_fec_in!G19)</f>
        <v>0.65644652208167398</v>
      </c>
      <c r="H19" s="135">
        <f>IF(SER_hh_tes_in!H19=0,"",SER_hh_tes_in!H19/SER_hh_fec_in!H19)</f>
        <v>0.66275269462853637</v>
      </c>
      <c r="I19" s="135">
        <f>IF(SER_hh_tes_in!I19=0,"",SER_hh_tes_in!I19/SER_hh_fec_in!I19)</f>
        <v>0.66946825673450305</v>
      </c>
      <c r="J19" s="135">
        <f>IF(SER_hh_tes_in!J19=0,"",SER_hh_tes_in!J19/SER_hh_fec_in!J19)</f>
        <v>0.67001771449626346</v>
      </c>
      <c r="K19" s="135">
        <f>IF(SER_hh_tes_in!K19=0,"",SER_hh_tes_in!K19/SER_hh_fec_in!K19)</f>
        <v>0.68630227853240489</v>
      </c>
      <c r="L19" s="135">
        <f>IF(SER_hh_tes_in!L19=0,"",SER_hh_tes_in!L19/SER_hh_fec_in!L19)</f>
        <v>0.70022573730270221</v>
      </c>
      <c r="M19" s="135">
        <f>IF(SER_hh_tes_in!M19=0,"",SER_hh_tes_in!M19/SER_hh_fec_in!M19)</f>
        <v>0.70909462657116762</v>
      </c>
      <c r="N19" s="135">
        <f>IF(SER_hh_tes_in!N19=0,"",SER_hh_tes_in!N19/SER_hh_fec_in!N19)</f>
        <v>0.72564536074360309</v>
      </c>
      <c r="O19" s="135">
        <f>IF(SER_hh_tes_in!O19=0,"",SER_hh_tes_in!O19/SER_hh_fec_in!O19)</f>
        <v>0.74118991732711259</v>
      </c>
      <c r="P19" s="135">
        <f>IF(SER_hh_tes_in!P19=0,"",SER_hh_tes_in!P19/SER_hh_fec_in!P19)</f>
        <v>0.76338736450129629</v>
      </c>
      <c r="Q19" s="135">
        <f>IF(SER_hh_tes_in!Q19=0,"",SER_hh_tes_in!Q19/SER_hh_fec_in!Q19)</f>
        <v>0.79181444561542069</v>
      </c>
      <c r="R19" s="135">
        <f>IF(SER_hh_tes_in!R19=0,"",SER_hh_tes_in!R19/SER_hh_fec_in!R19)</f>
        <v>0.81217098655949527</v>
      </c>
      <c r="S19" s="135">
        <f>IF(SER_hh_tes_in!S19=0,"",SER_hh_tes_in!S19/SER_hh_fec_in!S19)</f>
        <v>0.82866668305825109</v>
      </c>
      <c r="T19" s="135">
        <f>IF(SER_hh_tes_in!T19=0,"",SER_hh_tes_in!T19/SER_hh_fec_in!T19)</f>
        <v>0.84846811371654784</v>
      </c>
      <c r="U19" s="135">
        <f>IF(SER_hh_tes_in!U19=0,"",SER_hh_tes_in!U19/SER_hh_fec_in!U19)</f>
        <v>0.86321362626500764</v>
      </c>
      <c r="V19" s="135">
        <f>IF(SER_hh_tes_in!V19=0,"",SER_hh_tes_in!V19/SER_hh_fec_in!V19)</f>
        <v>0.86689012200079418</v>
      </c>
      <c r="W19" s="135">
        <f>IF(SER_hh_tes_in!W19=0,"",SER_hh_tes_in!W19/SER_hh_fec_in!W19)</f>
        <v>0.87171933855354244</v>
      </c>
      <c r="X19" s="135">
        <f>IF(SER_hh_tes_in!X19=0,"",SER_hh_tes_in!X19/SER_hh_fec_in!X19)</f>
        <v>0.87269063164320315</v>
      </c>
      <c r="Y19" s="135">
        <f>IF(SER_hh_tes_in!Y19=0,"",SER_hh_tes_in!Y19/SER_hh_fec_in!Y19)</f>
        <v>0.88965275853986581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 t="str">
        <f>IF(SER_hh_tes_in!C21=0,"",SER_hh_tes_in!C21/SER_hh_fec_in!C21)</f>
        <v/>
      </c>
      <c r="D21" s="136" t="str">
        <f>IF(SER_hh_tes_in!D21=0,"",SER_hh_tes_in!D21/SER_hh_fec_in!D21)</f>
        <v/>
      </c>
      <c r="E21" s="136" t="str">
        <f>IF(SER_hh_tes_in!E21=0,"",SER_hh_tes_in!E21/SER_hh_fec_in!E21)</f>
        <v/>
      </c>
      <c r="F21" s="136" t="str">
        <f>IF(SER_hh_tes_in!F21=0,"",SER_hh_tes_in!F21/SER_hh_fec_in!F21)</f>
        <v/>
      </c>
      <c r="G21" s="136" t="str">
        <f>IF(SER_hh_tes_in!G21=0,"",SER_hh_tes_in!G21/SER_hh_fec_in!G21)</f>
        <v/>
      </c>
      <c r="H21" s="136" t="str">
        <f>IF(SER_hh_tes_in!H21=0,"",SER_hh_tes_in!H21/SER_hh_fec_in!H21)</f>
        <v/>
      </c>
      <c r="I21" s="136" t="str">
        <f>IF(SER_hh_tes_in!I21=0,"",SER_hh_tes_in!I21/SER_hh_fec_in!I21)</f>
        <v/>
      </c>
      <c r="J21" s="136" t="str">
        <f>IF(SER_hh_tes_in!J21=0,"",SER_hh_tes_in!J21/SER_hh_fec_in!J21)</f>
        <v/>
      </c>
      <c r="K21" s="136" t="str">
        <f>IF(SER_hh_tes_in!K21=0,"",SER_hh_tes_in!K21/SER_hh_fec_in!K21)</f>
        <v/>
      </c>
      <c r="L21" s="136" t="str">
        <f>IF(SER_hh_tes_in!L21=0,"",SER_hh_tes_in!L21/SER_hh_fec_in!L21)</f>
        <v/>
      </c>
      <c r="M21" s="136" t="str">
        <f>IF(SER_hh_tes_in!M21=0,"",SER_hh_tes_in!M21/SER_hh_fec_in!M21)</f>
        <v/>
      </c>
      <c r="N21" s="136" t="str">
        <f>IF(SER_hh_tes_in!N21=0,"",SER_hh_tes_in!N21/SER_hh_fec_in!N21)</f>
        <v/>
      </c>
      <c r="O21" s="136" t="str">
        <f>IF(SER_hh_tes_in!O21=0,"",SER_hh_tes_in!O21/SER_hh_fec_in!O21)</f>
        <v/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 t="str">
        <f>IF(SER_hh_tes_in!R21=0,"",SER_hh_tes_in!R21/SER_hh_fec_in!R21)</f>
        <v/>
      </c>
      <c r="S21" s="136" t="str">
        <f>IF(SER_hh_tes_in!S21=0,"",SER_hh_tes_in!S21/SER_hh_fec_in!S21)</f>
        <v/>
      </c>
      <c r="T21" s="136" t="str">
        <f>IF(SER_hh_tes_in!T21=0,"",SER_hh_tes_in!T21/SER_hh_fec_in!T21)</f>
        <v/>
      </c>
      <c r="U21" s="136" t="str">
        <f>IF(SER_hh_tes_in!U21=0,"",SER_hh_tes_in!U21/SER_hh_fec_in!U21)</f>
        <v/>
      </c>
      <c r="V21" s="136" t="str">
        <f>IF(SER_hh_tes_in!V21=0,"",SER_hh_tes_in!V21/SER_hh_fec_in!V21)</f>
        <v/>
      </c>
      <c r="W21" s="136" t="str">
        <f>IF(SER_hh_tes_in!W21=0,"",SER_hh_tes_in!W21/SER_hh_fec_in!W21)</f>
        <v/>
      </c>
      <c r="X21" s="136" t="str">
        <f>IF(SER_hh_tes_in!X21=0,"",SER_hh_tes_in!X21/SER_hh_fec_in!X21)</f>
        <v/>
      </c>
      <c r="Y21" s="136" t="str">
        <f>IF(SER_hh_tes_in!Y21=0,"",SER_hh_tes_in!Y21/SER_hh_fec_in!Y21)</f>
        <v/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0.51754630511432576</v>
      </c>
      <c r="D22" s="136">
        <f>IF(SER_hh_tes_in!D22=0,"",SER_hh_tes_in!D22/SER_hh_fec_in!D22)</f>
        <v>0.52008677661590252</v>
      </c>
      <c r="E22" s="136">
        <f>IF(SER_hh_tes_in!E22=0,"",SER_hh_tes_in!E22/SER_hh_fec_in!E22)</f>
        <v>0.52298038490049636</v>
      </c>
      <c r="F22" s="136">
        <f>IF(SER_hh_tes_in!F22=0,"",SER_hh_tes_in!F22/SER_hh_fec_in!F22)</f>
        <v>0.52592214820095617</v>
      </c>
      <c r="G22" s="136">
        <f>IF(SER_hh_tes_in!G22=0,"",SER_hh_tes_in!G22/SER_hh_fec_in!G22)</f>
        <v>0.52918912970740695</v>
      </c>
      <c r="H22" s="136">
        <f>IF(SER_hh_tes_in!H22=0,"",SER_hh_tes_in!H22/SER_hh_fec_in!H22)</f>
        <v>0.53274742041258882</v>
      </c>
      <c r="I22" s="136">
        <f>IF(SER_hh_tes_in!I22=0,"",SER_hh_tes_in!I22/SER_hh_fec_in!I22)</f>
        <v>0.53666528869464447</v>
      </c>
      <c r="J22" s="136">
        <f>IF(SER_hh_tes_in!J22=0,"",SER_hh_tes_in!J22/SER_hh_fec_in!J22)</f>
        <v>0.54122240600225524</v>
      </c>
      <c r="K22" s="136">
        <f>IF(SER_hh_tes_in!K22=0,"",SER_hh_tes_in!K22/SER_hh_fec_in!K22)</f>
        <v>0.54665656662913931</v>
      </c>
      <c r="L22" s="136">
        <f>IF(SER_hh_tes_in!L22=0,"",SER_hh_tes_in!L22/SER_hh_fec_in!L22)</f>
        <v>0.55303139029793813</v>
      </c>
      <c r="M22" s="136">
        <f>IF(SER_hh_tes_in!M22=0,"",SER_hh_tes_in!M22/SER_hh_fec_in!M22)</f>
        <v>0.5660268725638633</v>
      </c>
      <c r="N22" s="136">
        <f>IF(SER_hh_tes_in!N22=0,"",SER_hh_tes_in!N22/SER_hh_fec_in!N22)</f>
        <v>0.58744846530580153</v>
      </c>
      <c r="O22" s="136">
        <f>IF(SER_hh_tes_in!O22=0,"",SER_hh_tes_in!O22/SER_hh_fec_in!O22)</f>
        <v>0.61876556911234515</v>
      </c>
      <c r="P22" s="136">
        <f>IF(SER_hh_tes_in!P22=0,"",SER_hh_tes_in!P22/SER_hh_fec_in!P22)</f>
        <v>0.65674093588279681</v>
      </c>
      <c r="Q22" s="136">
        <f>IF(SER_hh_tes_in!Q22=0,"",SER_hh_tes_in!Q22/SER_hh_fec_in!Q22)</f>
        <v>0.69093249716647842</v>
      </c>
      <c r="R22" s="136">
        <f>IF(SER_hh_tes_in!R22=0,"",SER_hh_tes_in!R22/SER_hh_fec_in!R22)</f>
        <v>0.71311522762497148</v>
      </c>
      <c r="S22" s="136">
        <f>IF(SER_hh_tes_in!S22=0,"",SER_hh_tes_in!S22/SER_hh_fec_in!S22)</f>
        <v>0.73376946380856778</v>
      </c>
      <c r="T22" s="136">
        <f>IF(SER_hh_tes_in!T22=0,"",SER_hh_tes_in!T22/SER_hh_fec_in!T22)</f>
        <v>0.75228619964939214</v>
      </c>
      <c r="U22" s="136">
        <f>IF(SER_hh_tes_in!U22=0,"",SER_hh_tes_in!U22/SER_hh_fec_in!U22)</f>
        <v>0.76805642907963256</v>
      </c>
      <c r="V22" s="136">
        <f>IF(SER_hh_tes_in!V22=0,"",SER_hh_tes_in!V22/SER_hh_fec_in!V22)</f>
        <v>0.78047114603145151</v>
      </c>
      <c r="W22" s="136">
        <f>IF(SER_hh_tes_in!W22=0,"",SER_hh_tes_in!W22/SER_hh_fec_in!W22)</f>
        <v>0.78810188902150247</v>
      </c>
      <c r="X22" s="136">
        <f>IF(SER_hh_tes_in!X22=0,"",SER_hh_tes_in!X22/SER_hh_fec_in!X22)</f>
        <v>0.79153029247396456</v>
      </c>
      <c r="Y22" s="136">
        <f>IF(SER_hh_tes_in!Y22=0,"",SER_hh_tes_in!Y22/SER_hh_fec_in!Y22)</f>
        <v>0.79326635207023921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0.56148642742509847</v>
      </c>
      <c r="D23" s="136">
        <f>IF(SER_hh_tes_in!D23=0,"",SER_hh_tes_in!D23/SER_hh_fec_in!D23)</f>
        <v>0.56786889241933114</v>
      </c>
      <c r="E23" s="136">
        <f>IF(SER_hh_tes_in!E23=0,"",SER_hh_tes_in!E23/SER_hh_fec_in!E23)</f>
        <v>0.57454044550813499</v>
      </c>
      <c r="F23" s="136">
        <f>IF(SER_hh_tes_in!F23=0,"",SER_hh_tes_in!F23/SER_hh_fec_in!F23)</f>
        <v>0.58126339754471879</v>
      </c>
      <c r="G23" s="136">
        <f>IF(SER_hh_tes_in!G23=0,"",SER_hh_tes_in!G23/SER_hh_fec_in!G23)</f>
        <v>0.58825051592292321</v>
      </c>
      <c r="H23" s="136">
        <f>IF(SER_hh_tes_in!H23=0,"",SER_hh_tes_in!H23/SER_hh_fec_in!H23)</f>
        <v>0.59547355256526913</v>
      </c>
      <c r="I23" s="136">
        <f>IF(SER_hh_tes_in!I23=0,"",SER_hh_tes_in!I23/SER_hh_fec_in!I23)</f>
        <v>0.602982672622143</v>
      </c>
      <c r="J23" s="136">
        <f>IF(SER_hh_tes_in!J23=0,"",SER_hh_tes_in!J23/SER_hh_fec_in!J23)</f>
        <v>0.61098850103302582</v>
      </c>
      <c r="K23" s="136">
        <f>IF(SER_hh_tes_in!K23=0,"",SER_hh_tes_in!K23/SER_hh_fec_in!K23)</f>
        <v>0.61966715860720822</v>
      </c>
      <c r="L23" s="136">
        <f>IF(SER_hh_tes_in!L23=0,"",SER_hh_tes_in!L23/SER_hh_fec_in!L23)</f>
        <v>0.62906049109260642</v>
      </c>
      <c r="M23" s="136">
        <f>IF(SER_hh_tes_in!M23=0,"",SER_hh_tes_in!M23/SER_hh_fec_in!M23)</f>
        <v>0.64355273925877499</v>
      </c>
      <c r="N23" s="136">
        <f>IF(SER_hh_tes_in!N23=0,"",SER_hh_tes_in!N23/SER_hh_fec_in!N23)</f>
        <v>0.66449760196851304</v>
      </c>
      <c r="O23" s="136">
        <f>IF(SER_hh_tes_in!O23=0,"",SER_hh_tes_in!O23/SER_hh_fec_in!O23)</f>
        <v>0.69286126772750389</v>
      </c>
      <c r="P23" s="136">
        <f>IF(SER_hh_tes_in!P23=0,"",SER_hh_tes_in!P23/SER_hh_fec_in!P23)</f>
        <v>0.72584067477455871</v>
      </c>
      <c r="Q23" s="136">
        <f>IF(SER_hh_tes_in!Q23=0,"",SER_hh_tes_in!Q23/SER_hh_fec_in!Q23)</f>
        <v>0.75471495694614887</v>
      </c>
      <c r="R23" s="136">
        <f>IF(SER_hh_tes_in!R23=0,"",SER_hh_tes_in!R23/SER_hh_fec_in!R23)</f>
        <v>0.77236503149927271</v>
      </c>
      <c r="S23" s="136">
        <f>IF(SER_hh_tes_in!S23=0,"",SER_hh_tes_in!S23/SER_hh_fec_in!S23)</f>
        <v>0.78739606542833662</v>
      </c>
      <c r="T23" s="136">
        <f>IF(SER_hh_tes_in!T23=0,"",SER_hh_tes_in!T23/SER_hh_fec_in!T23)</f>
        <v>0.80004399107111579</v>
      </c>
      <c r="U23" s="136">
        <f>IF(SER_hh_tes_in!U23=0,"",SER_hh_tes_in!U23/SER_hh_fec_in!U23)</f>
        <v>0.81053348059808994</v>
      </c>
      <c r="V23" s="136">
        <f>IF(SER_hh_tes_in!V23=0,"",SER_hh_tes_in!V23/SER_hh_fec_in!V23)</f>
        <v>0.8190615863060885</v>
      </c>
      <c r="W23" s="136">
        <f>IF(SER_hh_tes_in!W23=0,"",SER_hh_tes_in!W23/SER_hh_fec_in!W23)</f>
        <v>0.82470553621613552</v>
      </c>
      <c r="X23" s="136">
        <f>IF(SER_hh_tes_in!X23=0,"",SER_hh_tes_in!X23/SER_hh_fec_in!X23)</f>
        <v>0.8273898201167178</v>
      </c>
      <c r="Y23" s="136">
        <f>IF(SER_hh_tes_in!Y23=0,"",SER_hh_tes_in!Y23/SER_hh_fec_in!Y23)</f>
        <v>0.82896369132889536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>
        <f>IF(SER_hh_tes_in!C24=0,"",SER_hh_tes_in!C24/SER_hh_fec_in!C24)</f>
        <v>0.55067087149877525</v>
      </c>
      <c r="D24" s="136">
        <f>IF(SER_hh_tes_in!D24=0,"",SER_hh_tes_in!D24/SER_hh_fec_in!D24)</f>
        <v>0.56235147430842314</v>
      </c>
      <c r="E24" s="136">
        <f>IF(SER_hh_tes_in!E24=0,"",SER_hh_tes_in!E24/SER_hh_fec_in!E24)</f>
        <v>0.57414327508414853</v>
      </c>
      <c r="F24" s="136">
        <f>IF(SER_hh_tes_in!F24=0,"",SER_hh_tes_in!F24/SER_hh_fec_in!F24)</f>
        <v>0.58603474085654461</v>
      </c>
      <c r="G24" s="136">
        <f>IF(SER_hh_tes_in!G24=0,"",SER_hh_tes_in!G24/SER_hh_fec_in!G24)</f>
        <v>0.5980141388863659</v>
      </c>
      <c r="H24" s="136">
        <f>IF(SER_hh_tes_in!H24=0,"",SER_hh_tes_in!H24/SER_hh_fec_in!H24)</f>
        <v>0.61006765212974612</v>
      </c>
      <c r="I24" s="136">
        <f>IF(SER_hh_tes_in!I24=0,"",SER_hh_tes_in!I24/SER_hh_fec_in!I24)</f>
        <v>0.62217705436639059</v>
      </c>
      <c r="J24" s="136">
        <f>IF(SER_hh_tes_in!J24=0,"",SER_hh_tes_in!J24/SER_hh_fec_in!J24)</f>
        <v>0.63430297457971208</v>
      </c>
      <c r="K24" s="136">
        <f>IF(SER_hh_tes_in!K24=0,"",SER_hh_tes_in!K24/SER_hh_fec_in!K24)</f>
        <v>0.64639335262193076</v>
      </c>
      <c r="L24" s="136">
        <f>IF(SER_hh_tes_in!L24=0,"",SER_hh_tes_in!L24/SER_hh_fec_in!L24)</f>
        <v>0.65840198231959701</v>
      </c>
      <c r="M24" s="136">
        <f>IF(SER_hh_tes_in!M24=0,"",SER_hh_tes_in!M24/SER_hh_fec_in!M24)</f>
        <v>0.6694328964709545</v>
      </c>
      <c r="N24" s="136">
        <f>IF(SER_hh_tes_in!N24=0,"",SER_hh_tes_in!N24/SER_hh_fec_in!N24)</f>
        <v>0.67899583903021576</v>
      </c>
      <c r="O24" s="136">
        <f>IF(SER_hh_tes_in!O24=0,"",SER_hh_tes_in!O24/SER_hh_fec_in!O24)</f>
        <v>0.68680766033114449</v>
      </c>
      <c r="P24" s="136">
        <f>IF(SER_hh_tes_in!P24=0,"",SER_hh_tes_in!P24/SER_hh_fec_in!P24)</f>
        <v>0.69354509926754981</v>
      </c>
      <c r="Q24" s="136">
        <f>IF(SER_hh_tes_in!Q24=0,"",SER_hh_tes_in!Q24/SER_hh_fec_in!Q24)</f>
        <v>0.70158412357963618</v>
      </c>
      <c r="R24" s="136">
        <f>IF(SER_hh_tes_in!R24=0,"",SER_hh_tes_in!R24/SER_hh_fec_in!R24)</f>
        <v>0.71362554233729214</v>
      </c>
      <c r="S24" s="136">
        <f>IF(SER_hh_tes_in!S24=0,"",SER_hh_tes_in!S24/SER_hh_fec_in!S24)</f>
        <v>0.72717801530795245</v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>
        <f>IF(SER_hh_tes_in!V24=0,"",SER_hh_tes_in!V24/SER_hh_fec_in!V24)</f>
        <v>0.76406832676193381</v>
      </c>
      <c r="W24" s="136">
        <f>IF(SER_hh_tes_in!W24=0,"",SER_hh_tes_in!W24/SER_hh_fec_in!W24)</f>
        <v>0.77257751289638055</v>
      </c>
      <c r="X24" s="136">
        <f>IF(SER_hh_tes_in!X24=0,"",SER_hh_tes_in!X24/SER_hh_fec_in!X24)</f>
        <v>0.78000692479558409</v>
      </c>
      <c r="Y24" s="136">
        <f>IF(SER_hh_tes_in!Y24=0,"",SER_hh_tes_in!Y24/SER_hh_fec_in!Y24)</f>
        <v>0.7870084285724176</v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0.78521454724970408</v>
      </c>
      <c r="D25" s="136">
        <f>IF(SER_hh_tes_in!D25=0,"",SER_hh_tes_in!D25/SER_hh_fec_in!D25)</f>
        <v>0.7881538262314145</v>
      </c>
      <c r="E25" s="136">
        <f>IF(SER_hh_tes_in!E25=0,"",SER_hh_tes_in!E25/SER_hh_fec_in!E25)</f>
        <v>0.79117245807730396</v>
      </c>
      <c r="F25" s="136">
        <f>IF(SER_hh_tes_in!F25=0,"",SER_hh_tes_in!F25/SER_hh_fec_in!F25)</f>
        <v>0.79420191076830871</v>
      </c>
      <c r="G25" s="136">
        <f>IF(SER_hh_tes_in!G25=0,"",SER_hh_tes_in!G25/SER_hh_fec_in!G25)</f>
        <v>0.79730444277976309</v>
      </c>
      <c r="H25" s="136">
        <f>IF(SER_hh_tes_in!H25=0,"",SER_hh_tes_in!H25/SER_hh_fec_in!H25)</f>
        <v>0.80047243446688132</v>
      </c>
      <c r="I25" s="136">
        <f>IF(SER_hh_tes_in!I25=0,"",SER_hh_tes_in!I25/SER_hh_fec_in!I25)</f>
        <v>0.80372122631980469</v>
      </c>
      <c r="J25" s="136">
        <f>IF(SER_hh_tes_in!J25=0,"",SER_hh_tes_in!J25/SER_hh_fec_in!J25)</f>
        <v>0.80711366291193776</v>
      </c>
      <c r="K25" s="136">
        <f>IF(SER_hh_tes_in!K25=0,"",SER_hh_tes_in!K25/SER_hh_fec_in!K25)</f>
        <v>0.81070317866076225</v>
      </c>
      <c r="L25" s="136">
        <f>IF(SER_hh_tes_in!L25=0,"",SER_hh_tes_in!L25/SER_hh_fec_in!L25)</f>
        <v>0.81450406946365439</v>
      </c>
      <c r="M25" s="136">
        <f>IF(SER_hh_tes_in!M25=0,"",SER_hh_tes_in!M25/SER_hh_fec_in!M25)</f>
        <v>0.8197668772872142</v>
      </c>
      <c r="N25" s="136">
        <f>IF(SER_hh_tes_in!N25=0,"",SER_hh_tes_in!N25/SER_hh_fec_in!N25)</f>
        <v>0.8268869921286488</v>
      </c>
      <c r="O25" s="136">
        <f>IF(SER_hh_tes_in!O25=0,"",SER_hh_tes_in!O25/SER_hh_fec_in!O25)</f>
        <v>0.83621102136606984</v>
      </c>
      <c r="P25" s="136">
        <f>IF(SER_hh_tes_in!P25=0,"",SER_hh_tes_in!P25/SER_hh_fec_in!P25)</f>
        <v>0.8470795190503505</v>
      </c>
      <c r="Q25" s="136">
        <f>IF(SER_hh_tes_in!Q25=0,"",SER_hh_tes_in!Q25/SER_hh_fec_in!Q25)</f>
        <v>0.85733369724750585</v>
      </c>
      <c r="R25" s="136">
        <f>IF(SER_hh_tes_in!R25=0,"",SER_hh_tes_in!R25/SER_hh_fec_in!R25)</f>
        <v>0.86519113175789386</v>
      </c>
      <c r="S25" s="136">
        <f>IF(SER_hh_tes_in!S25=0,"",SER_hh_tes_in!S25/SER_hh_fec_in!S25)</f>
        <v>0.87283510202249537</v>
      </c>
      <c r="T25" s="136">
        <f>IF(SER_hh_tes_in!T25=0,"",SER_hh_tes_in!T25/SER_hh_fec_in!T25)</f>
        <v>0.88021453430954988</v>
      </c>
      <c r="U25" s="136">
        <f>IF(SER_hh_tes_in!U25=0,"",SER_hh_tes_in!U25/SER_hh_fec_in!U25)</f>
        <v>0.88727835488732065</v>
      </c>
      <c r="V25" s="136">
        <f>IF(SER_hh_tes_in!V25=0,"",SER_hh_tes_in!V25/SER_hh_fec_in!V25)</f>
        <v>0.89397549002406163</v>
      </c>
      <c r="W25" s="136">
        <f>IF(SER_hh_tes_in!W25=0,"",SER_hh_tes_in!W25/SER_hh_fec_in!W25)</f>
        <v>0.90014484232539405</v>
      </c>
      <c r="X25" s="136">
        <f>IF(SER_hh_tes_in!X25=0,"",SER_hh_tes_in!X25/SER_hh_fec_in!X25)</f>
        <v>0.9049360920250088</v>
      </c>
      <c r="Y25" s="136">
        <f>IF(SER_hh_tes_in!Y25=0,"",SER_hh_tes_in!Y25/SER_hh_fec_in!Y25)</f>
        <v>0.90954022176238014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0.65199991506370103</v>
      </c>
      <c r="D26" s="137">
        <f>IF(SER_hh_tes_in!D26=0,"",SER_hh_tes_in!D26/SER_hh_fec_in!D26)</f>
        <v>0.65445274562567846</v>
      </c>
      <c r="E26" s="137">
        <f>IF(SER_hh_tes_in!E26=0,"",SER_hh_tes_in!E26/SER_hh_fec_in!E26)</f>
        <v>0.65713798760153497</v>
      </c>
      <c r="F26" s="137">
        <f>IF(SER_hh_tes_in!F26=0,"",SER_hh_tes_in!F26/SER_hh_fec_in!F26)</f>
        <v>0.65985562830562761</v>
      </c>
      <c r="G26" s="137">
        <f>IF(SER_hh_tes_in!G26=0,"",SER_hh_tes_in!G26/SER_hh_fec_in!G26)</f>
        <v>0.6627891197574014</v>
      </c>
      <c r="H26" s="137">
        <f>IF(SER_hh_tes_in!H26=0,"",SER_hh_tes_in!H26/SER_hh_fec_in!H26)</f>
        <v>0.6659177541608855</v>
      </c>
      <c r="I26" s="137">
        <f>IF(SER_hh_tes_in!I26=0,"",SER_hh_tes_in!I26/SER_hh_fec_in!I26)</f>
        <v>0.66928910940717468</v>
      </c>
      <c r="J26" s="137">
        <f>IF(SER_hh_tes_in!J26=0,"",SER_hh_tes_in!J26/SER_hh_fec_in!J26)</f>
        <v>0.6730939584245087</v>
      </c>
      <c r="K26" s="137">
        <f>IF(SER_hh_tes_in!K26=0,"",SER_hh_tes_in!K26/SER_hh_fec_in!K26)</f>
        <v>0.67750083279816897</v>
      </c>
      <c r="L26" s="137">
        <f>IF(SER_hh_tes_in!L26=0,"",SER_hh_tes_in!L26/SER_hh_fec_in!L26)</f>
        <v>0.68256767676627383</v>
      </c>
      <c r="M26" s="137">
        <f>IF(SER_hh_tes_in!M26=0,"",SER_hh_tes_in!M26/SER_hh_fec_in!M26)</f>
        <v>0.69220035742298958</v>
      </c>
      <c r="N26" s="137">
        <f>IF(SER_hh_tes_in!N26=0,"",SER_hh_tes_in!N26/SER_hh_fec_in!N26)</f>
        <v>0.70808378028725905</v>
      </c>
      <c r="O26" s="137">
        <f>IF(SER_hh_tes_in!O26=0,"",SER_hh_tes_in!O26/SER_hh_fec_in!O26)</f>
        <v>0.732303935450063</v>
      </c>
      <c r="P26" s="137">
        <f>IF(SER_hh_tes_in!P26=0,"",SER_hh_tes_in!P26/SER_hh_fec_in!P26)</f>
        <v>0.76371253845353804</v>
      </c>
      <c r="Q26" s="137">
        <f>IF(SER_hh_tes_in!Q26=0,"",SER_hh_tes_in!Q26/SER_hh_fec_in!Q26)</f>
        <v>0.79401515787407329</v>
      </c>
      <c r="R26" s="137">
        <f>IF(SER_hh_tes_in!R26=0,"",SER_hh_tes_in!R26/SER_hh_fec_in!R26)</f>
        <v>0.81452213299547305</v>
      </c>
      <c r="S26" s="137">
        <f>IF(SER_hh_tes_in!S26=0,"",SER_hh_tes_in!S26/SER_hh_fec_in!S26)</f>
        <v>0.8343898571285171</v>
      </c>
      <c r="T26" s="137">
        <f>IF(SER_hh_tes_in!T26=0,"",SER_hh_tes_in!T26/SER_hh_fec_in!T26)</f>
        <v>0.8541033970950006</v>
      </c>
      <c r="U26" s="137">
        <f>IF(SER_hh_tes_in!U26=0,"",SER_hh_tes_in!U26/SER_hh_fec_in!U26)</f>
        <v>0.87386092766226608</v>
      </c>
      <c r="V26" s="137">
        <f>IF(SER_hh_tes_in!V26=0,"",SER_hh_tes_in!V26/SER_hh_fec_in!V26)</f>
        <v>0.89327041113631145</v>
      </c>
      <c r="W26" s="137">
        <f>IF(SER_hh_tes_in!W26=0,"",SER_hh_tes_in!W26/SER_hh_fec_in!W26)</f>
        <v>0.9109977086169655</v>
      </c>
      <c r="X26" s="137">
        <f>IF(SER_hh_tes_in!X26=0,"",SER_hh_tes_in!X26/SER_hh_fec_in!X26)</f>
        <v>0.92397935547517807</v>
      </c>
      <c r="Y26" s="137">
        <f>IF(SER_hh_tes_in!Y26=0,"",SER_hh_tes_in!Y26/SER_hh_fec_in!Y26)</f>
        <v>0.9360904429677539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 t="str">
        <f>IF(SER_hh_tes_in!C27=0,"",SER_hh_tes_in!C27/SER_hh_fec_in!C27)</f>
        <v/>
      </c>
      <c r="D27" s="148" t="str">
        <f>IF(SER_hh_tes_in!D27=0,"",SER_hh_tes_in!D27/SER_hh_fec_in!D27)</f>
        <v/>
      </c>
      <c r="E27" s="148" t="str">
        <f>IF(SER_hh_tes_in!E27=0,"",SER_hh_tes_in!E27/SER_hh_fec_in!E27)</f>
        <v/>
      </c>
      <c r="F27" s="148" t="str">
        <f>IF(SER_hh_tes_in!F27=0,"",SER_hh_tes_in!F27/SER_hh_fec_in!F27)</f>
        <v/>
      </c>
      <c r="G27" s="148" t="str">
        <f>IF(SER_hh_tes_in!G27=0,"",SER_hh_tes_in!G27/SER_hh_fec_in!G27)</f>
        <v/>
      </c>
      <c r="H27" s="148" t="str">
        <f>IF(SER_hh_tes_in!H27=0,"",SER_hh_tes_in!H27/SER_hh_fec_in!H27)</f>
        <v/>
      </c>
      <c r="I27" s="148" t="str">
        <f>IF(SER_hh_tes_in!I27=0,"",SER_hh_tes_in!I27/SER_hh_fec_in!I27)</f>
        <v/>
      </c>
      <c r="J27" s="148" t="str">
        <f>IF(SER_hh_tes_in!J27=0,"",SER_hh_tes_in!J27/SER_hh_fec_in!J27)</f>
        <v/>
      </c>
      <c r="K27" s="148" t="str">
        <f>IF(SER_hh_tes_in!K27=0,"",SER_hh_tes_in!K27/SER_hh_fec_in!K27)</f>
        <v/>
      </c>
      <c r="L27" s="148" t="str">
        <f>IF(SER_hh_tes_in!L27=0,"",SER_hh_tes_in!L27/SER_hh_fec_in!L27)</f>
        <v/>
      </c>
      <c r="M27" s="148" t="str">
        <f>IF(SER_hh_tes_in!M27=0,"",SER_hh_tes_in!M27/SER_hh_fec_in!M27)</f>
        <v/>
      </c>
      <c r="N27" s="148" t="str">
        <f>IF(SER_hh_tes_in!N27=0,"",SER_hh_tes_in!N27/SER_hh_fec_in!N27)</f>
        <v/>
      </c>
      <c r="O27" s="148" t="str">
        <f>IF(SER_hh_tes_in!O27=0,"",SER_hh_tes_in!O27/SER_hh_fec_in!O27)</f>
        <v/>
      </c>
      <c r="P27" s="148" t="str">
        <f>IF(SER_hh_tes_in!P27=0,"",SER_hh_tes_in!P27/SER_hh_fec_in!P27)</f>
        <v/>
      </c>
      <c r="Q27" s="148" t="str">
        <f>IF(SER_hh_tes_in!Q27=0,"",SER_hh_tes_in!Q27/SER_hh_fec_in!Q27)</f>
        <v/>
      </c>
      <c r="R27" s="148" t="str">
        <f>IF(SER_hh_tes_in!R27=0,"",SER_hh_tes_in!R27/SER_hh_fec_in!R27)</f>
        <v/>
      </c>
      <c r="S27" s="148" t="str">
        <f>IF(SER_hh_tes_in!S27=0,"",SER_hh_tes_in!S27/SER_hh_fec_in!S27)</f>
        <v/>
      </c>
      <c r="T27" s="148" t="str">
        <f>IF(SER_hh_tes_in!T27=0,"",SER_hh_tes_in!T27/SER_hh_fec_in!T27)</f>
        <v/>
      </c>
      <c r="U27" s="148" t="str">
        <f>IF(SER_hh_tes_in!U27=0,"",SER_hh_tes_in!U27/SER_hh_fec_in!U27)</f>
        <v/>
      </c>
      <c r="V27" s="148" t="str">
        <f>IF(SER_hh_tes_in!V27=0,"",SER_hh_tes_in!V27/SER_hh_fec_in!V27)</f>
        <v/>
      </c>
      <c r="W27" s="148" t="str">
        <f>IF(SER_hh_tes_in!W27=0,"",SER_hh_tes_in!W27/SER_hh_fec_in!W27)</f>
        <v/>
      </c>
      <c r="X27" s="148" t="str">
        <f>IF(SER_hh_tes_in!X27=0,"",SER_hh_tes_in!X27/SER_hh_fec_in!X27)</f>
        <v/>
      </c>
      <c r="Y27" s="148" t="str">
        <f>IF(SER_hh_tes_in!Y27=0,"",SER_hh_tes_in!Y27/SER_hh_fec_in!Y27)</f>
        <v/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0.64185105804489884</v>
      </c>
      <c r="D29" s="135">
        <f>IF(SER_hh_tes_in!D29=0,"",SER_hh_tes_in!D29/SER_hh_fec_in!D29)</f>
        <v>0.67024284945850299</v>
      </c>
      <c r="E29" s="135">
        <f>IF(SER_hh_tes_in!E29=0,"",SER_hh_tes_in!E29/SER_hh_fec_in!E29)</f>
        <v>0.6770611835184791</v>
      </c>
      <c r="F29" s="135">
        <f>IF(SER_hh_tes_in!F29=0,"",SER_hh_tes_in!F29/SER_hh_fec_in!F29)</f>
        <v>0.71795786795302419</v>
      </c>
      <c r="G29" s="135">
        <f>IF(SER_hh_tes_in!G29=0,"",SER_hh_tes_in!G29/SER_hh_fec_in!G29)</f>
        <v>0.72555776492072388</v>
      </c>
      <c r="H29" s="135">
        <f>IF(SER_hh_tes_in!H29=0,"",SER_hh_tes_in!H29/SER_hh_fec_in!H29)</f>
        <v>0.73025711557809858</v>
      </c>
      <c r="I29" s="135">
        <f>IF(SER_hh_tes_in!I29=0,"",SER_hh_tes_in!I29/SER_hh_fec_in!I29)</f>
        <v>0.72340735246694499</v>
      </c>
      <c r="J29" s="135">
        <f>IF(SER_hh_tes_in!J29=0,"",SER_hh_tes_in!J29/SER_hh_fec_in!J29)</f>
        <v>0.71872911701824527</v>
      </c>
      <c r="K29" s="135">
        <f>IF(SER_hh_tes_in!K29=0,"",SER_hh_tes_in!K29/SER_hh_fec_in!K29)</f>
        <v>0.71788532854373432</v>
      </c>
      <c r="L29" s="135">
        <f>IF(SER_hh_tes_in!L29=0,"",SER_hh_tes_in!L29/SER_hh_fec_in!L29)</f>
        <v>0.73353125887388915</v>
      </c>
      <c r="M29" s="135">
        <f>IF(SER_hh_tes_in!M29=0,"",SER_hh_tes_in!M29/SER_hh_fec_in!M29)</f>
        <v>0.7656686303606729</v>
      </c>
      <c r="N29" s="135">
        <f>IF(SER_hh_tes_in!N29=0,"",SER_hh_tes_in!N29/SER_hh_fec_in!N29)</f>
        <v>0.75164219764881923</v>
      </c>
      <c r="O29" s="135">
        <f>IF(SER_hh_tes_in!O29=0,"",SER_hh_tes_in!O29/SER_hh_fec_in!O29)</f>
        <v>0.74062082696654663</v>
      </c>
      <c r="P29" s="135">
        <f>IF(SER_hh_tes_in!P29=0,"",SER_hh_tes_in!P29/SER_hh_fec_in!P29)</f>
        <v>0.71933082593115438</v>
      </c>
      <c r="Q29" s="135">
        <f>IF(SER_hh_tes_in!Q29=0,"",SER_hh_tes_in!Q29/SER_hh_fec_in!Q29)</f>
        <v>0.72359191299009806</v>
      </c>
      <c r="R29" s="135">
        <f>IF(SER_hh_tes_in!R29=0,"",SER_hh_tes_in!R29/SER_hh_fec_in!R29)</f>
        <v>0.69323064033328963</v>
      </c>
      <c r="S29" s="135">
        <f>IF(SER_hh_tes_in!S29=0,"",SER_hh_tes_in!S29/SER_hh_fec_in!S29)</f>
        <v>0.70968604382406641</v>
      </c>
      <c r="T29" s="135">
        <f>IF(SER_hh_tes_in!T29=0,"",SER_hh_tes_in!T29/SER_hh_fec_in!T29)</f>
        <v>0.74650357184600058</v>
      </c>
      <c r="U29" s="135">
        <f>IF(SER_hh_tes_in!U29=0,"",SER_hh_tes_in!U29/SER_hh_fec_in!U29)</f>
        <v>0.77039668101143288</v>
      </c>
      <c r="V29" s="135">
        <f>IF(SER_hh_tes_in!V29=0,"",SER_hh_tes_in!V29/SER_hh_fec_in!V29)</f>
        <v>0.77060477249950332</v>
      </c>
      <c r="W29" s="135">
        <f>IF(SER_hh_tes_in!W29=0,"",SER_hh_tes_in!W29/SER_hh_fec_in!W29)</f>
        <v>0.80708482450705099</v>
      </c>
      <c r="X29" s="135">
        <f>IF(SER_hh_tes_in!X29=0,"",SER_hh_tes_in!X29/SER_hh_fec_in!X29)</f>
        <v>0.77367511705383885</v>
      </c>
      <c r="Y29" s="135">
        <f>IF(SER_hh_tes_in!Y29=0,"",SER_hh_tes_in!Y29/SER_hh_fec_in!Y29)</f>
        <v>0.8063873253688334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0.59550036143636353</v>
      </c>
      <c r="D30" s="136">
        <f>IF(SER_hh_tes_in!D30=0,"",SER_hh_tes_in!D30/SER_hh_fec_in!D30)</f>
        <v>0.59579784992271467</v>
      </c>
      <c r="E30" s="136">
        <f>IF(SER_hh_tes_in!E30=0,"",SER_hh_tes_in!E30/SER_hh_fec_in!E30)</f>
        <v>0.59609536520641271</v>
      </c>
      <c r="F30" s="136">
        <f>IF(SER_hh_tes_in!F30=0,"",SER_hh_tes_in!F30/SER_hh_fec_in!F30)</f>
        <v>0.59639288414429426</v>
      </c>
      <c r="G30" s="136">
        <f>IF(SER_hh_tes_in!G30=0,"",SER_hh_tes_in!G30/SER_hh_fec_in!G30)</f>
        <v>0.59669042776095593</v>
      </c>
      <c r="H30" s="136" t="str">
        <f>IF(SER_hh_tes_in!H30=0,"",SER_hh_tes_in!H30/SER_hh_fec_in!H30)</f>
        <v/>
      </c>
      <c r="I30" s="136" t="str">
        <f>IF(SER_hh_tes_in!I30=0,"",SER_hh_tes_in!I30/SER_hh_fec_in!I30)</f>
        <v/>
      </c>
      <c r="J30" s="136" t="str">
        <f>IF(SER_hh_tes_in!J30=0,"",SER_hh_tes_in!J30/SER_hh_fec_in!J30)</f>
        <v/>
      </c>
      <c r="K30" s="136" t="str">
        <f>IF(SER_hh_tes_in!K30=0,"",SER_hh_tes_in!K30/SER_hh_fec_in!K30)</f>
        <v/>
      </c>
      <c r="L30" s="136" t="str">
        <f>IF(SER_hh_tes_in!L30=0,"",SER_hh_tes_in!L30/SER_hh_fec_in!L30)</f>
        <v/>
      </c>
      <c r="M30" s="136" t="str">
        <f>IF(SER_hh_tes_in!M30=0,"",SER_hh_tes_in!M30/SER_hh_fec_in!M30)</f>
        <v/>
      </c>
      <c r="N30" s="136">
        <f>IF(SER_hh_tes_in!N30=0,"",SER_hh_tes_in!N30/SER_hh_fec_in!N30)</f>
        <v>0.5985312672831844</v>
      </c>
      <c r="O30" s="136">
        <f>IF(SER_hh_tes_in!O30=0,"",SER_hh_tes_in!O30/SER_hh_fec_in!O30)</f>
        <v>0.59860681638346758</v>
      </c>
      <c r="P30" s="136">
        <f>IF(SER_hh_tes_in!P30=0,"",SER_hh_tes_in!P30/SER_hh_fec_in!P30)</f>
        <v>0.59881762365860902</v>
      </c>
      <c r="Q30" s="136">
        <f>IF(SER_hh_tes_in!Q30=0,"",SER_hh_tes_in!Q30/SER_hh_fec_in!Q30)</f>
        <v>0.59967565851396276</v>
      </c>
      <c r="R30" s="136">
        <f>IF(SER_hh_tes_in!R30=0,"",SER_hh_tes_in!R30/SER_hh_fec_in!R30)</f>
        <v>0.60192950242192289</v>
      </c>
      <c r="S30" s="136">
        <f>IF(SER_hh_tes_in!S30=0,"",SER_hh_tes_in!S30/SER_hh_fec_in!S30)</f>
        <v>0.60510880679972834</v>
      </c>
      <c r="T30" s="136">
        <f>IF(SER_hh_tes_in!T30=0,"",SER_hh_tes_in!T30/SER_hh_fec_in!T30)</f>
        <v>0.60859712707366997</v>
      </c>
      <c r="U30" s="136" t="str">
        <f>IF(SER_hh_tes_in!U30=0,"",SER_hh_tes_in!U30/SER_hh_fec_in!U30)</f>
        <v/>
      </c>
      <c r="V30" s="136">
        <f>IF(SER_hh_tes_in!V30=0,"",SER_hh_tes_in!V30/SER_hh_fec_in!V30)</f>
        <v>0.61403503701515583</v>
      </c>
      <c r="W30" s="136">
        <f>IF(SER_hh_tes_in!W30=0,"",SER_hh_tes_in!W30/SER_hh_fec_in!W30)</f>
        <v>0.61511977716805144</v>
      </c>
      <c r="X30" s="136">
        <f>IF(SER_hh_tes_in!X30=0,"",SER_hh_tes_in!X30/SER_hh_fec_in!X30)</f>
        <v>0.61551605840592016</v>
      </c>
      <c r="Y30" s="136">
        <f>IF(SER_hh_tes_in!Y30=0,"",SER_hh_tes_in!Y30/SER_hh_fec_in!Y30)</f>
        <v>0.61555568652970705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0.57530496447762858</v>
      </c>
      <c r="D31" s="136">
        <f>IF(SER_hh_tes_in!D31=0,"",SER_hh_tes_in!D31/SER_hh_fec_in!D31)</f>
        <v>0.57610955433315514</v>
      </c>
      <c r="E31" s="136">
        <f>IF(SER_hh_tes_in!E31=0,"",SER_hh_tes_in!E31/SER_hh_fec_in!E31)</f>
        <v>0.57691421666501064</v>
      </c>
      <c r="F31" s="136">
        <f>IF(SER_hh_tes_in!F31=0,"",SER_hh_tes_in!F31/SER_hh_fec_in!F31)</f>
        <v>0.57771888888000167</v>
      </c>
      <c r="G31" s="136">
        <f>IF(SER_hh_tes_in!G31=0,"",SER_hh_tes_in!G31/SER_hh_fec_in!G31)</f>
        <v>0.57852362784142819</v>
      </c>
      <c r="H31" s="136">
        <f>IF(SER_hh_tes_in!H31=0,"",SER_hh_tes_in!H31/SER_hh_fec_in!H31)</f>
        <v>0.57932842658994654</v>
      </c>
      <c r="I31" s="136">
        <f>IF(SER_hh_tes_in!I31=0,"",SER_hh_tes_in!I31/SER_hh_fec_in!I31)</f>
        <v>0.580133299136675</v>
      </c>
      <c r="J31" s="136">
        <f>IF(SER_hh_tes_in!J31=0,"",SER_hh_tes_in!J31/SER_hh_fec_in!J31)</f>
        <v>0.58093830288022241</v>
      </c>
      <c r="K31" s="136">
        <f>IF(SER_hh_tes_in!K31=0,"",SER_hh_tes_in!K31/SER_hh_fec_in!K31)</f>
        <v>0.5817434866245027</v>
      </c>
      <c r="L31" s="136">
        <f>IF(SER_hh_tes_in!L31=0,"",SER_hh_tes_in!L31/SER_hh_fec_in!L31)</f>
        <v>0.58254886342656353</v>
      </c>
      <c r="M31" s="136">
        <f>IF(SER_hh_tes_in!M31=0,"",SER_hh_tes_in!M31/SER_hh_fec_in!M31)</f>
        <v>0.58316050114185114</v>
      </c>
      <c r="N31" s="136" t="str">
        <f>IF(SER_hh_tes_in!N31=0,"",SER_hh_tes_in!N31/SER_hh_fec_in!N31)</f>
        <v/>
      </c>
      <c r="O31" s="136">
        <f>IF(SER_hh_tes_in!O31=0,"",SER_hh_tes_in!O31/SER_hh_fec_in!O31)</f>
        <v>0.58370670858458928</v>
      </c>
      <c r="P31" s="136">
        <f>IF(SER_hh_tes_in!P31=0,"",SER_hh_tes_in!P31/SER_hh_fec_in!P31)</f>
        <v>0.58427685970919385</v>
      </c>
      <c r="Q31" s="136">
        <f>IF(SER_hh_tes_in!Q31=0,"",SER_hh_tes_in!Q31/SER_hh_fec_in!Q31)</f>
        <v>0.58659750797620169</v>
      </c>
      <c r="R31" s="136">
        <f>IF(SER_hh_tes_in!R31=0,"",SER_hh_tes_in!R31/SER_hh_fec_in!R31)</f>
        <v>0.59269327311497078</v>
      </c>
      <c r="S31" s="136">
        <f>IF(SER_hh_tes_in!S31=0,"",SER_hh_tes_in!S31/SER_hh_fec_in!S31)</f>
        <v>0.60129204640326928</v>
      </c>
      <c r="T31" s="136">
        <f>IF(SER_hh_tes_in!T31=0,"",SER_hh_tes_in!T31/SER_hh_fec_in!T31)</f>
        <v>0.61072658667629121</v>
      </c>
      <c r="U31" s="136">
        <f>IF(SER_hh_tes_in!U31=0,"",SER_hh_tes_in!U31/SER_hh_fec_in!U31)</f>
        <v>0.61932965276925322</v>
      </c>
      <c r="V31" s="136">
        <f>IF(SER_hh_tes_in!V31=0,"",SER_hh_tes_in!V31/SER_hh_fec_in!V31)</f>
        <v>0.62543400351736045</v>
      </c>
      <c r="W31" s="136">
        <f>IF(SER_hh_tes_in!W31=0,"",SER_hh_tes_in!W31/SER_hh_fec_in!W31)</f>
        <v>0.62836780083371013</v>
      </c>
      <c r="X31" s="136">
        <f>IF(SER_hh_tes_in!X31=0,"",SER_hh_tes_in!X31/SER_hh_fec_in!X31)</f>
        <v>0.62877754704803479</v>
      </c>
      <c r="Y31" s="136">
        <f>IF(SER_hh_tes_in!Y31=0,"",SER_hh_tes_in!Y31/SER_hh_fec_in!Y31)</f>
        <v>0.62881852166946728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0.75617049071429288</v>
      </c>
      <c r="D33" s="149">
        <f>IF(SER_hh_tes_in!D33=0,"",SER_hh_tes_in!D33/SER_hh_fec_in!D33)</f>
        <v>0.75746652906131462</v>
      </c>
      <c r="E33" s="149">
        <f>IF(SER_hh_tes_in!E33=0,"",SER_hh_tes_in!E33/SER_hh_fec_in!E33)</f>
        <v>0.75882367591621158</v>
      </c>
      <c r="F33" s="149">
        <f>IF(SER_hh_tes_in!F33=0,"",SER_hh_tes_in!F33/SER_hh_fec_in!F33)</f>
        <v>0.76018915574945534</v>
      </c>
      <c r="G33" s="149">
        <f>IF(SER_hh_tes_in!G33=0,"",SER_hh_tes_in!G33/SER_hh_fec_in!G33)</f>
        <v>0.76161091292410821</v>
      </c>
      <c r="H33" s="149">
        <f>IF(SER_hh_tes_in!H33=0,"",SER_hh_tes_in!H33/SER_hh_fec_in!H33)</f>
        <v>0.76308307966049738</v>
      </c>
      <c r="I33" s="149">
        <f>IF(SER_hh_tes_in!I33=0,"",SER_hh_tes_in!I33/SER_hh_fec_in!I33)</f>
        <v>0.76461746945108255</v>
      </c>
      <c r="J33" s="149">
        <f>IF(SER_hh_tes_in!J33=0,"",SER_hh_tes_in!J33/SER_hh_fec_in!J33)</f>
        <v>0.76626247800468295</v>
      </c>
      <c r="K33" s="149">
        <f>IF(SER_hh_tes_in!K33=0,"",SER_hh_tes_in!K33/SER_hh_fec_in!K33)</f>
        <v>0.76805925440337974</v>
      </c>
      <c r="L33" s="149">
        <f>IF(SER_hh_tes_in!L33=0,"",SER_hh_tes_in!L33/SER_hh_fec_in!L33)</f>
        <v>0.77001880771365683</v>
      </c>
      <c r="M33" s="149">
        <f>IF(SER_hh_tes_in!M33=0,"",SER_hh_tes_in!M33/SER_hh_fec_in!M33)</f>
        <v>0.77282053592984312</v>
      </c>
      <c r="N33" s="149">
        <f>IF(SER_hh_tes_in!N33=0,"",SER_hh_tes_in!N33/SER_hh_fec_in!N33)</f>
        <v>0.77665785720363512</v>
      </c>
      <c r="O33" s="149">
        <f>IF(SER_hh_tes_in!O33=0,"",SER_hh_tes_in!O33/SER_hh_fec_in!O33)</f>
        <v>0.78198943109332431</v>
      </c>
      <c r="P33" s="149">
        <f>IF(SER_hh_tes_in!P33=0,"",SER_hh_tes_in!P33/SER_hh_fec_in!P33)</f>
        <v>0.78904021600876906</v>
      </c>
      <c r="Q33" s="149">
        <f>IF(SER_hh_tes_in!Q33=0,"",SER_hh_tes_in!Q33/SER_hh_fec_in!Q33)</f>
        <v>0.79816400046035441</v>
      </c>
      <c r="R33" s="149">
        <f>IF(SER_hh_tes_in!R33=0,"",SER_hh_tes_in!R33/SER_hh_fec_in!R33)</f>
        <v>0.81057928975099669</v>
      </c>
      <c r="S33" s="149">
        <f>IF(SER_hh_tes_in!S33=0,"",SER_hh_tes_in!S33/SER_hh_fec_in!S33)</f>
        <v>0.82611486950790136</v>
      </c>
      <c r="T33" s="149">
        <f>IF(SER_hh_tes_in!T33=0,"",SER_hh_tes_in!T33/SER_hh_fec_in!T33)</f>
        <v>0.84283977423796486</v>
      </c>
      <c r="U33" s="149">
        <f>IF(SER_hh_tes_in!U33=0,"",SER_hh_tes_in!U33/SER_hh_fec_in!U33)</f>
        <v>0.85882303844812957</v>
      </c>
      <c r="V33" s="149">
        <f>IF(SER_hh_tes_in!V33=0,"",SER_hh_tes_in!V33/SER_hh_fec_in!V33)</f>
        <v>0.87213369664531593</v>
      </c>
      <c r="W33" s="149">
        <f>IF(SER_hh_tes_in!W33=0,"",SER_hh_tes_in!W33/SER_hh_fec_in!W33)</f>
        <v>0.88210084329633465</v>
      </c>
      <c r="X33" s="149">
        <f>IF(SER_hh_tes_in!X33=0,"",SER_hh_tes_in!X33/SER_hh_fec_in!X33)</f>
        <v>0.88984024821415397</v>
      </c>
      <c r="Y33" s="149">
        <f>IF(SER_hh_tes_in!Y33=0,"",SER_hh_tes_in!Y33/SER_hh_fec_in!Y33)</f>
        <v>0.89670352017892363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17.014937114586676</v>
      </c>
      <c r="D3" s="125">
        <f t="shared" si="0"/>
        <v>23.478774098808607</v>
      </c>
      <c r="E3" s="125">
        <f t="shared" si="0"/>
        <v>22.14517868396679</v>
      </c>
      <c r="F3" s="125">
        <f t="shared" si="0"/>
        <v>25.434538369295211</v>
      </c>
      <c r="G3" s="125">
        <f t="shared" si="0"/>
        <v>15.401754679838934</v>
      </c>
      <c r="H3" s="125">
        <f t="shared" si="0"/>
        <v>26.17913529945173</v>
      </c>
      <c r="I3" s="125">
        <f t="shared" si="0"/>
        <v>22.303880890387148</v>
      </c>
      <c r="J3" s="125">
        <f t="shared" si="0"/>
        <v>17.27382788192844</v>
      </c>
      <c r="K3" s="125">
        <f t="shared" si="0"/>
        <v>2.6862315571545876</v>
      </c>
      <c r="L3" s="125">
        <f t="shared" si="0"/>
        <v>1.9165276758161456</v>
      </c>
      <c r="M3" s="125">
        <f t="shared" si="0"/>
        <v>3.5346285069470187</v>
      </c>
      <c r="N3" s="125">
        <f t="shared" si="0"/>
        <v>0.9798459120542462</v>
      </c>
      <c r="O3" s="125">
        <f t="shared" si="0"/>
        <v>3.5445440511336344</v>
      </c>
      <c r="P3" s="125">
        <f t="shared" si="0"/>
        <v>4.4937776150737658</v>
      </c>
      <c r="Q3" s="125">
        <f t="shared" si="0"/>
        <v>4.8914333292161825</v>
      </c>
      <c r="R3" s="125">
        <f t="shared" ref="R3:W3" si="1">SUM(R4,R16,R19,R29)</f>
        <v>2.7377710479923243</v>
      </c>
      <c r="S3" s="125">
        <f t="shared" si="1"/>
        <v>4.6124595762260361</v>
      </c>
      <c r="T3" s="125">
        <f t="shared" si="1"/>
        <v>3.9343531794772462</v>
      </c>
      <c r="U3" s="125">
        <f t="shared" si="1"/>
        <v>3.6883115668905946</v>
      </c>
      <c r="V3" s="125">
        <f t="shared" si="1"/>
        <v>3.7039255643050324</v>
      </c>
      <c r="W3" s="125">
        <f t="shared" si="1"/>
        <v>4.152073887834673</v>
      </c>
      <c r="X3" s="125">
        <f t="shared" ref="X3:Y3" si="2">SUM(X4,X16,X19,X29)</f>
        <v>3.0924462786673725</v>
      </c>
      <c r="Y3" s="125">
        <f t="shared" si="2"/>
        <v>2.3166191509696317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11.787565664341599</v>
      </c>
      <c r="D4" s="130">
        <f t="shared" si="3"/>
        <v>19.177472176216941</v>
      </c>
      <c r="E4" s="130">
        <f t="shared" si="3"/>
        <v>17.74569683270493</v>
      </c>
      <c r="F4" s="130">
        <f t="shared" si="3"/>
        <v>22.520470803522532</v>
      </c>
      <c r="G4" s="130">
        <f t="shared" si="3"/>
        <v>13.061968799827563</v>
      </c>
      <c r="H4" s="130">
        <f t="shared" si="3"/>
        <v>23.214451454295407</v>
      </c>
      <c r="I4" s="130">
        <f t="shared" si="3"/>
        <v>18.940382997362612</v>
      </c>
      <c r="J4" s="130">
        <f t="shared" si="3"/>
        <v>14.711606948282171</v>
      </c>
      <c r="K4" s="130">
        <f t="shared" si="3"/>
        <v>2.2040470722284526</v>
      </c>
      <c r="L4" s="130">
        <f t="shared" si="3"/>
        <v>1.6270310305967393</v>
      </c>
      <c r="M4" s="130">
        <f t="shared" si="3"/>
        <v>2.8097140626566715</v>
      </c>
      <c r="N4" s="130">
        <f t="shared" si="3"/>
        <v>0.7202689272900803</v>
      </c>
      <c r="O4" s="130">
        <f t="shared" si="3"/>
        <v>2.6317504992185232</v>
      </c>
      <c r="P4" s="130">
        <f t="shared" si="3"/>
        <v>3.1820780085054086</v>
      </c>
      <c r="Q4" s="130">
        <f t="shared" si="3"/>
        <v>3.4843686739786746</v>
      </c>
      <c r="R4" s="130">
        <f t="shared" ref="R4:W4" si="4">SUM(R5:R15)</f>
        <v>1.6597613146228767</v>
      </c>
      <c r="S4" s="130">
        <f t="shared" si="4"/>
        <v>2.9110749822543918</v>
      </c>
      <c r="T4" s="130">
        <f t="shared" si="4"/>
        <v>2.8869230379572084</v>
      </c>
      <c r="U4" s="130">
        <f t="shared" si="4"/>
        <v>2.7209773921376237</v>
      </c>
      <c r="V4" s="130">
        <f t="shared" si="4"/>
        <v>2.7205606935663864</v>
      </c>
      <c r="W4" s="130">
        <f t="shared" si="4"/>
        <v>3.4389545082710935</v>
      </c>
      <c r="X4" s="130">
        <f t="shared" ref="X4:Y4" si="5">SUM(X5:X15)</f>
        <v>2.055062439028684</v>
      </c>
      <c r="Y4" s="130">
        <f t="shared" si="5"/>
        <v>1.5799950818052673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1.8663748675831484</v>
      </c>
      <c r="D5" s="132">
        <v>6.2839596046670998E-2</v>
      </c>
      <c r="E5" s="132">
        <v>0.32733426994234127</v>
      </c>
      <c r="F5" s="132">
        <v>1.3254358403058859</v>
      </c>
      <c r="G5" s="132">
        <v>0.98475148585363981</v>
      </c>
      <c r="H5" s="132">
        <v>3.5154355809124516</v>
      </c>
      <c r="I5" s="132">
        <v>3.7240102151738754</v>
      </c>
      <c r="J5" s="132">
        <v>3.280708208703536</v>
      </c>
      <c r="K5" s="132">
        <v>0.47074301801196083</v>
      </c>
      <c r="L5" s="132">
        <v>0.64904189008601387</v>
      </c>
      <c r="M5" s="132">
        <v>0.73719644768334169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2.4062652819416483E-2</v>
      </c>
      <c r="Y5" s="132">
        <v>8.0114837432863642E-2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5.0665638436333298</v>
      </c>
      <c r="D7" s="132">
        <v>5.4571238669189235</v>
      </c>
      <c r="E7" s="132">
        <v>5.952949418400622</v>
      </c>
      <c r="F7" s="132">
        <v>6.4556165999760822</v>
      </c>
      <c r="G7" s="132">
        <v>2.2227631337980904</v>
      </c>
      <c r="H7" s="132">
        <v>6.9796210791847395</v>
      </c>
      <c r="I7" s="132">
        <v>0.97887992468544616</v>
      </c>
      <c r="J7" s="132">
        <v>2.1469757962121871</v>
      </c>
      <c r="K7" s="132">
        <v>0.45263582681144626</v>
      </c>
      <c r="L7" s="132">
        <v>0.50226470123120392</v>
      </c>
      <c r="M7" s="132">
        <v>2.0394519511885267</v>
      </c>
      <c r="N7" s="132">
        <v>0.7202689272900803</v>
      </c>
      <c r="O7" s="132">
        <v>2.6317504992185232</v>
      </c>
      <c r="P7" s="132">
        <v>2.122245509193966</v>
      </c>
      <c r="Q7" s="132">
        <v>0.97791295733976336</v>
      </c>
      <c r="R7" s="132">
        <v>0</v>
      </c>
      <c r="S7" s="132">
        <v>0</v>
      </c>
      <c r="T7" s="132">
        <v>0.4525799985910654</v>
      </c>
      <c r="U7" s="132">
        <v>0.63648842052429899</v>
      </c>
      <c r="V7" s="132">
        <v>1.2140916730824671</v>
      </c>
      <c r="W7" s="132">
        <v>1.9463789363271506</v>
      </c>
      <c r="X7" s="132">
        <v>1.4194890225586416</v>
      </c>
      <c r="Y7" s="132">
        <v>0.94251583202939171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4.8546269531251216</v>
      </c>
      <c r="D9" s="132">
        <v>13.657508713251348</v>
      </c>
      <c r="E9" s="132">
        <v>11.465413144361966</v>
      </c>
      <c r="F9" s="132">
        <v>14.739418363240564</v>
      </c>
      <c r="G9" s="132">
        <v>9.8544541801758321</v>
      </c>
      <c r="H9" s="132">
        <v>12.719394794198216</v>
      </c>
      <c r="I9" s="132">
        <v>14.237492857503289</v>
      </c>
      <c r="J9" s="132">
        <v>9.2839229433664485</v>
      </c>
      <c r="K9" s="132">
        <v>1.2806682274050458</v>
      </c>
      <c r="L9" s="132">
        <v>0.4757244392795214</v>
      </c>
      <c r="M9" s="132">
        <v>3.3065663784802836E-2</v>
      </c>
      <c r="N9" s="132">
        <v>0</v>
      </c>
      <c r="O9" s="132">
        <v>0</v>
      </c>
      <c r="P9" s="132">
        <v>1.0598324993114423</v>
      </c>
      <c r="Q9" s="132">
        <v>2.5064557166389112</v>
      </c>
      <c r="R9" s="132">
        <v>1.6597613146228767</v>
      </c>
      <c r="S9" s="132">
        <v>2.9110749822543918</v>
      </c>
      <c r="T9" s="132">
        <v>2.4343430393661429</v>
      </c>
      <c r="U9" s="132">
        <v>2.0844889716133248</v>
      </c>
      <c r="V9" s="132">
        <v>1.5064690204839191</v>
      </c>
      <c r="W9" s="132">
        <v>1.4925755719439429</v>
      </c>
      <c r="X9" s="132">
        <v>0.61151076365062562</v>
      </c>
      <c r="Y9" s="132">
        <v>0.55736441234301182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</v>
      </c>
      <c r="D16" s="130">
        <f t="shared" si="6"/>
        <v>0</v>
      </c>
      <c r="E16" s="130">
        <f t="shared" si="6"/>
        <v>0</v>
      </c>
      <c r="F16" s="130">
        <f t="shared" si="6"/>
        <v>0</v>
      </c>
      <c r="G16" s="130">
        <f t="shared" si="6"/>
        <v>0</v>
      </c>
      <c r="H16" s="130">
        <f t="shared" si="6"/>
        <v>0</v>
      </c>
      <c r="I16" s="130">
        <f t="shared" si="6"/>
        <v>0</v>
      </c>
      <c r="J16" s="130">
        <f t="shared" si="6"/>
        <v>0</v>
      </c>
      <c r="K16" s="130">
        <f t="shared" si="6"/>
        <v>0</v>
      </c>
      <c r="L16" s="130">
        <f t="shared" si="6"/>
        <v>0</v>
      </c>
      <c r="M16" s="130">
        <f t="shared" si="6"/>
        <v>0</v>
      </c>
      <c r="N16" s="130">
        <f t="shared" si="6"/>
        <v>0</v>
      </c>
      <c r="O16" s="130">
        <f t="shared" si="6"/>
        <v>0</v>
      </c>
      <c r="P16" s="130">
        <f t="shared" si="6"/>
        <v>0</v>
      </c>
      <c r="Q16" s="130">
        <f t="shared" si="6"/>
        <v>0</v>
      </c>
      <c r="R16" s="130">
        <f t="shared" ref="R16:W16" si="7">SUM(R17:R18)</f>
        <v>0</v>
      </c>
      <c r="S16" s="130">
        <f t="shared" si="7"/>
        <v>0</v>
      </c>
      <c r="T16" s="130">
        <f t="shared" si="7"/>
        <v>0</v>
      </c>
      <c r="U16" s="130">
        <f t="shared" si="7"/>
        <v>0</v>
      </c>
      <c r="V16" s="130">
        <f t="shared" si="7"/>
        <v>0</v>
      </c>
      <c r="W16" s="130">
        <f t="shared" si="7"/>
        <v>0</v>
      </c>
      <c r="X16" s="130">
        <f t="shared" ref="X16:Y16" si="8">SUM(X17:X18)</f>
        <v>0</v>
      </c>
      <c r="Y16" s="130">
        <f t="shared" si="8"/>
        <v>0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32">
        <v>0</v>
      </c>
      <c r="J17" s="132">
        <v>0</v>
      </c>
      <c r="K17" s="132">
        <v>0</v>
      </c>
      <c r="L17" s="132">
        <v>0</v>
      </c>
      <c r="M17" s="132">
        <v>0</v>
      </c>
      <c r="N17" s="132">
        <v>0</v>
      </c>
      <c r="O17" s="132">
        <v>0</v>
      </c>
      <c r="P17" s="132">
        <v>0</v>
      </c>
      <c r="Q17" s="132">
        <v>0</v>
      </c>
      <c r="R17" s="132">
        <v>0</v>
      </c>
      <c r="S17" s="132">
        <v>0</v>
      </c>
      <c r="T17" s="132">
        <v>0</v>
      </c>
      <c r="U17" s="132">
        <v>0</v>
      </c>
      <c r="V17" s="132">
        <v>0</v>
      </c>
      <c r="W17" s="132">
        <v>0</v>
      </c>
      <c r="X17" s="132">
        <v>0</v>
      </c>
      <c r="Y17" s="132">
        <v>0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0.95652320370293809</v>
      </c>
      <c r="D19" s="130">
        <f t="shared" si="9"/>
        <v>1.4333117023692821</v>
      </c>
      <c r="E19" s="130">
        <f t="shared" si="9"/>
        <v>1.3156237834281634</v>
      </c>
      <c r="F19" s="130">
        <f t="shared" si="9"/>
        <v>1.3568484518884651</v>
      </c>
      <c r="G19" s="130">
        <f t="shared" si="9"/>
        <v>1.2339549927483109</v>
      </c>
      <c r="H19" s="130">
        <f t="shared" si="9"/>
        <v>1.5378094495219066</v>
      </c>
      <c r="I19" s="130">
        <f t="shared" si="9"/>
        <v>1.5461737699266249</v>
      </c>
      <c r="J19" s="130">
        <f t="shared" si="9"/>
        <v>1.3076118831750334</v>
      </c>
      <c r="K19" s="130">
        <f t="shared" si="9"/>
        <v>0.24775808628685947</v>
      </c>
      <c r="L19" s="130">
        <f t="shared" si="9"/>
        <v>0.1781666564524817</v>
      </c>
      <c r="M19" s="130">
        <f t="shared" si="9"/>
        <v>0.62038545502655706</v>
      </c>
      <c r="N19" s="130">
        <f t="shared" si="9"/>
        <v>0.16650266879579884</v>
      </c>
      <c r="O19" s="130">
        <f t="shared" si="9"/>
        <v>0.43095667022066392</v>
      </c>
      <c r="P19" s="130">
        <f t="shared" si="9"/>
        <v>0.46253194517028362</v>
      </c>
      <c r="Q19" s="130">
        <f t="shared" si="9"/>
        <v>0.4221820587134214</v>
      </c>
      <c r="R19" s="130">
        <f t="shared" ref="R19:W19" si="10">SUM(R20:R27)</f>
        <v>0.2262545964928204</v>
      </c>
      <c r="S19" s="130">
        <f t="shared" si="10"/>
        <v>0.3340295648844247</v>
      </c>
      <c r="T19" s="130">
        <f t="shared" si="10"/>
        <v>0.28578279242244775</v>
      </c>
      <c r="U19" s="130">
        <f t="shared" si="10"/>
        <v>0.29948303285570954</v>
      </c>
      <c r="V19" s="130">
        <f t="shared" si="10"/>
        <v>0.31473782407518969</v>
      </c>
      <c r="W19" s="130">
        <f t="shared" si="10"/>
        <v>0.2353621808700295</v>
      </c>
      <c r="X19" s="130">
        <f t="shared" ref="X19:Y19" si="11">SUM(X20:X27)</f>
        <v>0.19450574136486753</v>
      </c>
      <c r="Y19" s="130">
        <f t="shared" si="11"/>
        <v>0.20023323046868691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2">
        <v>0</v>
      </c>
      <c r="K21" s="132">
        <v>0</v>
      </c>
      <c r="L21" s="132">
        <v>0</v>
      </c>
      <c r="M21" s="132">
        <v>0</v>
      </c>
      <c r="N21" s="132">
        <v>0</v>
      </c>
      <c r="O21" s="132">
        <v>0</v>
      </c>
      <c r="P21" s="132">
        <v>0</v>
      </c>
      <c r="Q21" s="132">
        <v>0</v>
      </c>
      <c r="R21" s="132">
        <v>0</v>
      </c>
      <c r="S21" s="132">
        <v>0</v>
      </c>
      <c r="T21" s="132">
        <v>0</v>
      </c>
      <c r="U21" s="132">
        <v>0</v>
      </c>
      <c r="V21" s="132">
        <v>0</v>
      </c>
      <c r="W21" s="132">
        <v>0</v>
      </c>
      <c r="X21" s="132">
        <v>0</v>
      </c>
      <c r="Y21" s="132">
        <v>0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0.47708835376699471</v>
      </c>
      <c r="D22" s="132">
        <v>0.58979558111943287</v>
      </c>
      <c r="E22" s="132">
        <v>0.55154695987747904</v>
      </c>
      <c r="F22" s="132">
        <v>0.55296551730334842</v>
      </c>
      <c r="G22" s="132">
        <v>0.49020735780011548</v>
      </c>
      <c r="H22" s="132">
        <v>0.63527062616488572</v>
      </c>
      <c r="I22" s="132">
        <v>0.53415582551488461</v>
      </c>
      <c r="J22" s="132">
        <v>0.41973715719706073</v>
      </c>
      <c r="K22" s="132">
        <v>7.821835292445134E-2</v>
      </c>
      <c r="L22" s="132">
        <v>7.5406553838202023E-2</v>
      </c>
      <c r="M22" s="132">
        <v>0.3009480735355633</v>
      </c>
      <c r="N22" s="132">
        <v>8.5222437275550136E-2</v>
      </c>
      <c r="O22" s="132">
        <v>0.21436216780558071</v>
      </c>
      <c r="P22" s="132">
        <v>0.17724107737943098</v>
      </c>
      <c r="Q22" s="132">
        <v>0.13207180971907584</v>
      </c>
      <c r="R22" s="132">
        <v>5.7917187011208848E-2</v>
      </c>
      <c r="S22" s="132">
        <v>7.1079827052853178E-2</v>
      </c>
      <c r="T22" s="132">
        <v>4.8377442818137412E-2</v>
      </c>
      <c r="U22" s="132">
        <v>3.8011696381771681E-2</v>
      </c>
      <c r="V22" s="132">
        <v>4.0952371477946586E-2</v>
      </c>
      <c r="W22" s="132">
        <v>5.9505287353237901E-2</v>
      </c>
      <c r="X22" s="132">
        <v>6.4600877165926912E-2</v>
      </c>
      <c r="Y22" s="132">
        <v>0.10306764781866434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0.47943484993594337</v>
      </c>
      <c r="D23" s="132">
        <v>0.84351612124984909</v>
      </c>
      <c r="E23" s="132">
        <v>0.7640768235506844</v>
      </c>
      <c r="F23" s="132">
        <v>0.80388293458511684</v>
      </c>
      <c r="G23" s="132">
        <v>0.74374763494819551</v>
      </c>
      <c r="H23" s="132">
        <v>0.90253882335702074</v>
      </c>
      <c r="I23" s="132">
        <v>1.0120179444117403</v>
      </c>
      <c r="J23" s="132">
        <v>0.88787472597797268</v>
      </c>
      <c r="K23" s="132">
        <v>0.16953973336240813</v>
      </c>
      <c r="L23" s="132">
        <v>0.10276010261427966</v>
      </c>
      <c r="M23" s="132">
        <v>0.31943738149099371</v>
      </c>
      <c r="N23" s="132">
        <v>8.12802315202487E-2</v>
      </c>
      <c r="O23" s="132">
        <v>0.21659450241508321</v>
      </c>
      <c r="P23" s="132">
        <v>0.28529086779085266</v>
      </c>
      <c r="Q23" s="132">
        <v>0.29011024899434557</v>
      </c>
      <c r="R23" s="132">
        <v>0.16833740948161155</v>
      </c>
      <c r="S23" s="132">
        <v>0.2629497378315715</v>
      </c>
      <c r="T23" s="132">
        <v>0.23740534960431037</v>
      </c>
      <c r="U23" s="132">
        <v>0.26147133647393783</v>
      </c>
      <c r="V23" s="132">
        <v>0.27378545259724307</v>
      </c>
      <c r="W23" s="132">
        <v>0.1758568935167916</v>
      </c>
      <c r="X23" s="132">
        <v>0.12990486419894062</v>
      </c>
      <c r="Y23" s="132">
        <v>9.7165582650022578E-2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4.2708482465421387</v>
      </c>
      <c r="D29" s="130">
        <f t="shared" si="12"/>
        <v>2.8679902202223841</v>
      </c>
      <c r="E29" s="130">
        <f t="shared" si="12"/>
        <v>3.0838580678337006</v>
      </c>
      <c r="F29" s="130">
        <f t="shared" si="12"/>
        <v>1.5572191138842146</v>
      </c>
      <c r="G29" s="130">
        <f t="shared" si="12"/>
        <v>1.1058308872630613</v>
      </c>
      <c r="H29" s="130">
        <f t="shared" si="12"/>
        <v>1.426874395634419</v>
      </c>
      <c r="I29" s="130">
        <f t="shared" si="12"/>
        <v>1.8173241230979116</v>
      </c>
      <c r="J29" s="130">
        <f t="shared" si="12"/>
        <v>1.2546090504712346</v>
      </c>
      <c r="K29" s="130">
        <f t="shared" si="12"/>
        <v>0.23442639863927534</v>
      </c>
      <c r="L29" s="130">
        <f t="shared" si="12"/>
        <v>0.11132998876692454</v>
      </c>
      <c r="M29" s="130">
        <f t="shared" si="12"/>
        <v>0.10452898926379017</v>
      </c>
      <c r="N29" s="130">
        <f t="shared" si="12"/>
        <v>9.30743159683671E-2</v>
      </c>
      <c r="O29" s="130">
        <f t="shared" si="12"/>
        <v>0.48183688169444733</v>
      </c>
      <c r="P29" s="130">
        <f t="shared" si="12"/>
        <v>0.84916766139807365</v>
      </c>
      <c r="Q29" s="130">
        <f t="shared" si="12"/>
        <v>0.98488259652408616</v>
      </c>
      <c r="R29" s="130">
        <f t="shared" ref="R29:W29" si="13">SUM(R30:R33)</f>
        <v>0.85175513687662718</v>
      </c>
      <c r="S29" s="130">
        <f t="shared" si="13"/>
        <v>1.3673550290872196</v>
      </c>
      <c r="T29" s="130">
        <f t="shared" si="13"/>
        <v>0.76164734909758969</v>
      </c>
      <c r="U29" s="130">
        <f t="shared" si="13"/>
        <v>0.66785114189726125</v>
      </c>
      <c r="V29" s="130">
        <f t="shared" si="13"/>
        <v>0.66862704666345663</v>
      </c>
      <c r="W29" s="130">
        <f t="shared" si="13"/>
        <v>0.47775719869355038</v>
      </c>
      <c r="X29" s="130">
        <f t="shared" ref="X29:Y29" si="14">SUM(X30:X33)</f>
        <v>0.84287809827382099</v>
      </c>
      <c r="Y29" s="130">
        <f t="shared" si="14"/>
        <v>0.53639083869567727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1.8124408842811963</v>
      </c>
      <c r="D30" s="132">
        <v>0.37031046288962177</v>
      </c>
      <c r="E30" s="132">
        <v>1.468951066270876</v>
      </c>
      <c r="F30" s="132">
        <v>0.12798684897751794</v>
      </c>
      <c r="G30" s="132">
        <v>0.11881385122055699</v>
      </c>
      <c r="H30" s="132">
        <v>0</v>
      </c>
      <c r="I30" s="132">
        <v>0</v>
      </c>
      <c r="J30" s="132">
        <v>0</v>
      </c>
      <c r="K30" s="132">
        <v>0</v>
      </c>
      <c r="L30" s="132">
        <v>0</v>
      </c>
      <c r="M30" s="132">
        <v>0</v>
      </c>
      <c r="N30" s="132">
        <v>9.30743159683671E-2</v>
      </c>
      <c r="O30" s="132">
        <v>0.26602857815518222</v>
      </c>
      <c r="P30" s="132">
        <v>0.40356567515940822</v>
      </c>
      <c r="Q30" s="132">
        <v>0.37331946233776198</v>
      </c>
      <c r="R30" s="132">
        <v>0.3214699273451691</v>
      </c>
      <c r="S30" s="132">
        <v>0.48814376037408602</v>
      </c>
      <c r="T30" s="132">
        <v>2.1475241866632154E-2</v>
      </c>
      <c r="U30" s="132">
        <v>0</v>
      </c>
      <c r="V30" s="132">
        <v>5.4097074442185838E-2</v>
      </c>
      <c r="W30" s="132">
        <v>0.14062396843216649</v>
      </c>
      <c r="X30" s="132">
        <v>0.73239545173404363</v>
      </c>
      <c r="Y30" s="132">
        <v>0.23484472568184012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2.4584073622609419</v>
      </c>
      <c r="D31" s="132">
        <v>2.4976797573327625</v>
      </c>
      <c r="E31" s="132">
        <v>1.6149070015628244</v>
      </c>
      <c r="F31" s="132">
        <v>1.4292322649066966</v>
      </c>
      <c r="G31" s="132">
        <v>0.98701703604250446</v>
      </c>
      <c r="H31" s="132">
        <v>1.426874395634419</v>
      </c>
      <c r="I31" s="132">
        <v>1.8173241230979116</v>
      </c>
      <c r="J31" s="132">
        <v>1.2546090504712346</v>
      </c>
      <c r="K31" s="132">
        <v>0.23442639863927534</v>
      </c>
      <c r="L31" s="132">
        <v>0.11132998876692454</v>
      </c>
      <c r="M31" s="132">
        <v>0.10452898926379017</v>
      </c>
      <c r="N31" s="132">
        <v>0</v>
      </c>
      <c r="O31" s="132">
        <v>0.21580830353926511</v>
      </c>
      <c r="P31" s="132">
        <v>0.44560198623866537</v>
      </c>
      <c r="Q31" s="132">
        <v>0.61156313418632424</v>
      </c>
      <c r="R31" s="132">
        <v>0.53028520953145808</v>
      </c>
      <c r="S31" s="132">
        <v>0.87921126871313371</v>
      </c>
      <c r="T31" s="132">
        <v>0.7401721072309575</v>
      </c>
      <c r="U31" s="132">
        <v>0.66785114189726125</v>
      </c>
      <c r="V31" s="132">
        <v>0.61452997222127081</v>
      </c>
      <c r="W31" s="132">
        <v>0.33713323026138386</v>
      </c>
      <c r="X31" s="132">
        <v>0.11048264653977731</v>
      </c>
      <c r="Y31" s="132">
        <v>0.3015461130138371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365541.08301495115</v>
      </c>
      <c r="D3" s="125">
        <f>IF(SER_hh_fec_in!D3=0,0,11630*1000*SER_hh_fec_in!D3/SER_hh_num_in!D3)</f>
        <v>391379.52977165778</v>
      </c>
      <c r="E3" s="125">
        <f>IF(SER_hh_fec_in!E3=0,0,11630*1000*SER_hh_fec_in!E3/SER_hh_num_in!E3)</f>
        <v>382327.41223374096</v>
      </c>
      <c r="F3" s="125">
        <f>IF(SER_hh_fec_in!F3=0,0,11630*1000*SER_hh_fec_in!F3/SER_hh_num_in!F3)</f>
        <v>379268.75139762938</v>
      </c>
      <c r="G3" s="125">
        <f>IF(SER_hh_fec_in!G3=0,0,11630*1000*SER_hh_fec_in!G3/SER_hh_num_in!G3)</f>
        <v>352481.4573458652</v>
      </c>
      <c r="H3" s="125">
        <f>IF(SER_hh_fec_in!H3=0,0,11630*1000*SER_hh_fec_in!H3/SER_hh_num_in!H3)</f>
        <v>341697.10504561942</v>
      </c>
      <c r="I3" s="125">
        <f>IF(SER_hh_fec_in!I3=0,0,11630*1000*SER_hh_fec_in!I3/SER_hh_num_in!I3)</f>
        <v>331680.21922148875</v>
      </c>
      <c r="J3" s="125">
        <f>IF(SER_hh_fec_in!J3=0,0,11630*1000*SER_hh_fec_in!J3/SER_hh_num_in!J3)</f>
        <v>280398.23455166275</v>
      </c>
      <c r="K3" s="125">
        <f>IF(SER_hh_fec_in!K3=0,0,11630*1000*SER_hh_fec_in!K3/SER_hh_num_in!K3)</f>
        <v>265386.60735134588</v>
      </c>
      <c r="L3" s="125">
        <f>IF(SER_hh_fec_in!L3=0,0,11630*1000*SER_hh_fec_in!L3/SER_hh_num_in!L3)</f>
        <v>274791.78449432901</v>
      </c>
      <c r="M3" s="125">
        <f>IF(SER_hh_fec_in!M3=0,0,11630*1000*SER_hh_fec_in!M3/SER_hh_num_in!M3)</f>
        <v>228766.42474999413</v>
      </c>
      <c r="N3" s="125">
        <f>IF(SER_hh_fec_in!N3=0,0,11630*1000*SER_hh_fec_in!N3/SER_hh_num_in!N3)</f>
        <v>281649.48021921224</v>
      </c>
      <c r="O3" s="125">
        <f>IF(SER_hh_fec_in!O3=0,0,11630*1000*SER_hh_fec_in!O3/SER_hh_num_in!O3)</f>
        <v>251643.51567005215</v>
      </c>
      <c r="P3" s="125">
        <f>IF(SER_hh_fec_in!P3=0,0,11630*1000*SER_hh_fec_in!P3/SER_hh_num_in!P3)</f>
        <v>235324.81470680228</v>
      </c>
      <c r="Q3" s="125">
        <f>IF(SER_hh_fec_in!Q3=0,0,11630*1000*SER_hh_fec_in!Q3/SER_hh_num_in!Q3)</f>
        <v>206704.73046795011</v>
      </c>
      <c r="R3" s="125">
        <f>IF(SER_hh_fec_in!R3=0,0,11630*1000*SER_hh_fec_in!R3/SER_hh_num_in!R3)</f>
        <v>204684.08795100689</v>
      </c>
      <c r="S3" s="125">
        <f>IF(SER_hh_fec_in!S3=0,0,11630*1000*SER_hh_fec_in!S3/SER_hh_num_in!S3)</f>
        <v>200520.79036424097</v>
      </c>
      <c r="T3" s="125">
        <f>IF(SER_hh_fec_in!T3=0,0,11630*1000*SER_hh_fec_in!T3/SER_hh_num_in!T3)</f>
        <v>184403.14331202098</v>
      </c>
      <c r="U3" s="125">
        <f>IF(SER_hh_fec_in!U3=0,0,11630*1000*SER_hh_fec_in!U3/SER_hh_num_in!U3)</f>
        <v>168673.13390075939</v>
      </c>
      <c r="V3" s="125">
        <f>IF(SER_hh_fec_in!V3=0,0,11630*1000*SER_hh_fec_in!V3/SER_hh_num_in!V3)</f>
        <v>154012.21356389197</v>
      </c>
      <c r="W3" s="125">
        <f>IF(SER_hh_fec_in!W3=0,0,11630*1000*SER_hh_fec_in!W3/SER_hh_num_in!W3)</f>
        <v>154568.92874868994</v>
      </c>
      <c r="X3" s="125">
        <f>IF(SER_hh_fec_in!X3=0,0,11630*1000*SER_hh_fec_in!X3/SER_hh_num_in!X3)</f>
        <v>131281.96213855827</v>
      </c>
      <c r="Y3" s="125">
        <f>IF(SER_hh_fec_in!Y3=0,0,11630*1000*SER_hh_fec_in!Y3/SER_hh_num_in!Y3)</f>
        <v>124064.93735049087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276259.55263846519</v>
      </c>
      <c r="D4" s="130">
        <f>IF(SER_hh_fec_in!D4=0,0,11630*1000*SER_hh_fec_in!D4/SER_hh_num_in!D4)</f>
        <v>312021.72513853002</v>
      </c>
      <c r="E4" s="130">
        <f>IF(SER_hh_fec_in!E4=0,0,11630*1000*SER_hh_fec_in!E4/SER_hh_num_in!E4)</f>
        <v>302821.96646746277</v>
      </c>
      <c r="F4" s="130">
        <f>IF(SER_hh_fec_in!F4=0,0,11630*1000*SER_hh_fec_in!F4/SER_hh_num_in!F4)</f>
        <v>303429.93983553548</v>
      </c>
      <c r="G4" s="130">
        <f>IF(SER_hh_fec_in!G4=0,0,11630*1000*SER_hh_fec_in!G4/SER_hh_num_in!G4)</f>
        <v>275848.0799596599</v>
      </c>
      <c r="H4" s="130">
        <f>IF(SER_hh_fec_in!H4=0,0,11630*1000*SER_hh_fec_in!H4/SER_hh_num_in!H4)</f>
        <v>266000.90599215572</v>
      </c>
      <c r="I4" s="130">
        <f>IF(SER_hh_fec_in!I4=0,0,11630*1000*SER_hh_fec_in!I4/SER_hh_num_in!I4)</f>
        <v>257999.88378845475</v>
      </c>
      <c r="J4" s="130">
        <f>IF(SER_hh_fec_in!J4=0,0,11630*1000*SER_hh_fec_in!J4/SER_hh_num_in!J4)</f>
        <v>204754.88617430729</v>
      </c>
      <c r="K4" s="130">
        <f>IF(SER_hh_fec_in!K4=0,0,11630*1000*SER_hh_fec_in!K4/SER_hh_num_in!K4)</f>
        <v>185664.02736927255</v>
      </c>
      <c r="L4" s="130">
        <f>IF(SER_hh_fec_in!L4=0,0,11630*1000*SER_hh_fec_in!L4/SER_hh_num_in!L4)</f>
        <v>197031.70173954571</v>
      </c>
      <c r="M4" s="130">
        <f>IF(SER_hh_fec_in!M4=0,0,11630*1000*SER_hh_fec_in!M4/SER_hh_num_in!M4)</f>
        <v>154245.45355166003</v>
      </c>
      <c r="N4" s="130">
        <f>IF(SER_hh_fec_in!N4=0,0,11630*1000*SER_hh_fec_in!N4/SER_hh_num_in!N4)</f>
        <v>206340.38088833194</v>
      </c>
      <c r="O4" s="130">
        <f>IF(SER_hh_fec_in!O4=0,0,11630*1000*SER_hh_fec_in!O4/SER_hh_num_in!O4)</f>
        <v>176054.03776479739</v>
      </c>
      <c r="P4" s="130">
        <f>IF(SER_hh_fec_in!P4=0,0,11630*1000*SER_hh_fec_in!P4/SER_hh_num_in!P4)</f>
        <v>160452.40108171062</v>
      </c>
      <c r="Q4" s="130">
        <f>IF(SER_hh_fec_in!Q4=0,0,11630*1000*SER_hh_fec_in!Q4/SER_hh_num_in!Q4)</f>
        <v>134470.56761257706</v>
      </c>
      <c r="R4" s="130">
        <f>IF(SER_hh_fec_in!R4=0,0,11630*1000*SER_hh_fec_in!R4/SER_hh_num_in!R4)</f>
        <v>131465.69484962171</v>
      </c>
      <c r="S4" s="130">
        <f>IF(SER_hh_fec_in!S4=0,0,11630*1000*SER_hh_fec_in!S4/SER_hh_num_in!S4)</f>
        <v>128157.31907770103</v>
      </c>
      <c r="T4" s="130">
        <f>IF(SER_hh_fec_in!T4=0,0,11630*1000*SER_hh_fec_in!T4/SER_hh_num_in!T4)</f>
        <v>115468.47474495116</v>
      </c>
      <c r="U4" s="130">
        <f>IF(SER_hh_fec_in!U4=0,0,11630*1000*SER_hh_fec_in!U4/SER_hh_num_in!U4)</f>
        <v>101460.1637186</v>
      </c>
      <c r="V4" s="130">
        <f>IF(SER_hh_fec_in!V4=0,0,11630*1000*SER_hh_fec_in!V4/SER_hh_num_in!V4)</f>
        <v>92259.48264006828</v>
      </c>
      <c r="W4" s="130">
        <f>IF(SER_hh_fec_in!W4=0,0,11630*1000*SER_hh_fec_in!W4/SER_hh_num_in!W4)</f>
        <v>92191.076630915792</v>
      </c>
      <c r="X4" s="130">
        <f>IF(SER_hh_fec_in!X4=0,0,11630*1000*SER_hh_fec_in!X4/SER_hh_num_in!X4)</f>
        <v>65251.100797500585</v>
      </c>
      <c r="Y4" s="130">
        <f>IF(SER_hh_fec_in!Y4=0,0,11630*1000*SER_hh_fec_in!Y4/SER_hh_num_in!Y4)</f>
        <v>61677.079613904622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311975.673212544</v>
      </c>
      <c r="D5" s="132">
        <f>IF(SER_hh_fec_in!D5=0,0,11630*1000*SER_hh_fec_in!D5/SER_hh_num_in!D5)</f>
        <v>308768.62249870657</v>
      </c>
      <c r="E5" s="132">
        <f>IF(SER_hh_fec_in!E5=0,0,11630*1000*SER_hh_fec_in!E5/SER_hh_num_in!E5)</f>
        <v>302727.74778399779</v>
      </c>
      <c r="F5" s="132">
        <f>IF(SER_hh_fec_in!F5=0,0,11630*1000*SER_hh_fec_in!F5/SER_hh_num_in!F5)</f>
        <v>305230.72651811782</v>
      </c>
      <c r="G5" s="132">
        <f>IF(SER_hh_fec_in!G5=0,0,11630*1000*SER_hh_fec_in!G5/SER_hh_num_in!G5)</f>
        <v>259806.3445933593</v>
      </c>
      <c r="H5" s="132">
        <f>IF(SER_hh_fec_in!H5=0,0,11630*1000*SER_hh_fec_in!H5/SER_hh_num_in!H5)</f>
        <v>270341.62921057257</v>
      </c>
      <c r="I5" s="132">
        <f>IF(SER_hh_fec_in!I5=0,0,11630*1000*SER_hh_fec_in!I5/SER_hh_num_in!I5)</f>
        <v>269012.83597719832</v>
      </c>
      <c r="J5" s="132">
        <f>IF(SER_hh_fec_in!J5=0,0,11630*1000*SER_hh_fec_in!J5/SER_hh_num_in!J5)</f>
        <v>225741.65131765479</v>
      </c>
      <c r="K5" s="132">
        <f>IF(SER_hh_fec_in!K5=0,0,11630*1000*SER_hh_fec_in!K5/SER_hh_num_in!K5)</f>
        <v>165097.11343133007</v>
      </c>
      <c r="L5" s="132">
        <f>IF(SER_hh_fec_in!L5=0,0,11630*1000*SER_hh_fec_in!L5/SER_hh_num_in!L5)</f>
        <v>220859.07012650752</v>
      </c>
      <c r="M5" s="132">
        <f>IF(SER_hh_fec_in!M5=0,0,11630*1000*SER_hh_fec_in!M5/SER_hh_num_in!M5)</f>
        <v>205063.82165333378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36373.500051189156</v>
      </c>
      <c r="Y5" s="132">
        <f>IF(SER_hh_fec_in!Y5=0,0,11630*1000*SER_hh_fec_in!Y5/SER_hh_num_in!Y5)</f>
        <v>75403.6589006617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374499.44800347462</v>
      </c>
      <c r="D7" s="132">
        <f>IF(SER_hh_fec_in!D7=0,0,11630*1000*SER_hh_fec_in!D7/SER_hh_num_in!D7)</f>
        <v>355477.90598297742</v>
      </c>
      <c r="E7" s="132">
        <f>IF(SER_hh_fec_in!E7=0,0,11630*1000*SER_hh_fec_in!E7/SER_hh_num_in!E7)</f>
        <v>375608.02983492316</v>
      </c>
      <c r="F7" s="132">
        <f>IF(SER_hh_fec_in!F7=0,0,11630*1000*SER_hh_fec_in!F7/SER_hh_num_in!F7)</f>
        <v>373428.2166514282</v>
      </c>
      <c r="G7" s="132">
        <f>IF(SER_hh_fec_in!G7=0,0,11630*1000*SER_hh_fec_in!G7/SER_hh_num_in!G7)</f>
        <v>292562.86871579295</v>
      </c>
      <c r="H7" s="132">
        <f>IF(SER_hh_fec_in!H7=0,0,11630*1000*SER_hh_fec_in!H7/SER_hh_num_in!H7)</f>
        <v>371198.08844808943</v>
      </c>
      <c r="I7" s="132">
        <f>IF(SER_hh_fec_in!I7=0,0,11630*1000*SER_hh_fec_in!I7/SER_hh_num_in!I7)</f>
        <v>300555.86873833241</v>
      </c>
      <c r="J7" s="132">
        <f>IF(SER_hh_fec_in!J7=0,0,11630*1000*SER_hh_fec_in!J7/SER_hh_num_in!J7)</f>
        <v>248352.71340101361</v>
      </c>
      <c r="K7" s="132">
        <f>IF(SER_hh_fec_in!K7=0,0,11630*1000*SER_hh_fec_in!K7/SER_hh_num_in!K7)</f>
        <v>229597.50795316667</v>
      </c>
      <c r="L7" s="132">
        <f>IF(SER_hh_fec_in!L7=0,0,11630*1000*SER_hh_fec_in!L7/SER_hh_num_in!L7)</f>
        <v>221795.767184906</v>
      </c>
      <c r="M7" s="132">
        <f>IF(SER_hh_fec_in!M7=0,0,11630*1000*SER_hh_fec_in!M7/SER_hh_num_in!M7)</f>
        <v>176619.7121464074</v>
      </c>
      <c r="N7" s="132">
        <f>IF(SER_hh_fec_in!N7=0,0,11630*1000*SER_hh_fec_in!N7/SER_hh_num_in!N7)</f>
        <v>215064.86718050874</v>
      </c>
      <c r="O7" s="132">
        <f>IF(SER_hh_fec_in!O7=0,0,11630*1000*SER_hh_fec_in!O7/SER_hh_num_in!O7)</f>
        <v>189013.40722366242</v>
      </c>
      <c r="P7" s="132">
        <f>IF(SER_hh_fec_in!P7=0,0,11630*1000*SER_hh_fec_in!P7/SER_hh_num_in!P7)</f>
        <v>177178.29734998834</v>
      </c>
      <c r="Q7" s="132">
        <f>IF(SER_hh_fec_in!Q7=0,0,11630*1000*SER_hh_fec_in!Q7/SER_hh_num_in!Q7)</f>
        <v>171635.2895904133</v>
      </c>
      <c r="R7" s="132">
        <f>IF(SER_hh_fec_in!R7=0,0,11630*1000*SER_hh_fec_in!R7/SER_hh_num_in!R7)</f>
        <v>0</v>
      </c>
      <c r="S7" s="132">
        <f>IF(SER_hh_fec_in!S7=0,0,11630*1000*SER_hh_fec_in!S7/SER_hh_num_in!S7)</f>
        <v>0</v>
      </c>
      <c r="T7" s="132">
        <f>IF(SER_hh_fec_in!T7=0,0,11630*1000*SER_hh_fec_in!T7/SER_hh_num_in!T7)</f>
        <v>133065.47266333087</v>
      </c>
      <c r="U7" s="132">
        <f>IF(SER_hh_fec_in!U7=0,0,11630*1000*SER_hh_fec_in!U7/SER_hh_num_in!U7)</f>
        <v>94814.067406438116</v>
      </c>
      <c r="V7" s="132">
        <f>IF(SER_hh_fec_in!V7=0,0,11630*1000*SER_hh_fec_in!V7/SER_hh_num_in!V7)</f>
        <v>94893.917331813092</v>
      </c>
      <c r="W7" s="132">
        <f>IF(SER_hh_fec_in!W7=0,0,11630*1000*SER_hh_fec_in!W7/SER_hh_num_in!W7)</f>
        <v>102865.8992236544</v>
      </c>
      <c r="X7" s="132">
        <f>IF(SER_hh_fec_in!X7=0,0,11630*1000*SER_hh_fec_in!X7/SER_hh_num_in!X7)</f>
        <v>64616.724398144819</v>
      </c>
      <c r="Y7" s="132">
        <f>IF(SER_hh_fec_in!Y7=0,0,11630*1000*SER_hh_fec_in!Y7/SER_hh_num_in!Y7)</f>
        <v>71084.675998885723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295872.2604325873</v>
      </c>
      <c r="D9" s="132">
        <f>IF(SER_hh_fec_in!D9=0,0,11630*1000*SER_hh_fec_in!D9/SER_hh_num_in!D9)</f>
        <v>359739.41970262874</v>
      </c>
      <c r="E9" s="132">
        <f>IF(SER_hh_fec_in!E9=0,0,11630*1000*SER_hh_fec_in!E9/SER_hh_num_in!E9)</f>
        <v>336212.03488345142</v>
      </c>
      <c r="F9" s="132">
        <f>IF(SER_hh_fec_in!F9=0,0,11630*1000*SER_hh_fec_in!F9/SER_hh_num_in!F9)</f>
        <v>348594.79594591178</v>
      </c>
      <c r="G9" s="132">
        <f>IF(SER_hh_fec_in!G9=0,0,11630*1000*SER_hh_fec_in!G9/SER_hh_num_in!G9)</f>
        <v>313296.46409474855</v>
      </c>
      <c r="H9" s="132">
        <f>IF(SER_hh_fec_in!H9=0,0,11630*1000*SER_hh_fec_in!H9/SER_hh_num_in!H9)</f>
        <v>302964.01012104185</v>
      </c>
      <c r="I9" s="132">
        <f>IF(SER_hh_fec_in!I9=0,0,11630*1000*SER_hh_fec_in!I9/SER_hh_num_in!I9)</f>
        <v>301244.54302074824</v>
      </c>
      <c r="J9" s="132">
        <f>IF(SER_hh_fec_in!J9=0,0,11630*1000*SER_hh_fec_in!J9/SER_hh_num_in!J9)</f>
        <v>258637.24353546978</v>
      </c>
      <c r="K9" s="132">
        <f>IF(SER_hh_fec_in!K9=0,0,11630*1000*SER_hh_fec_in!K9/SER_hh_num_in!K9)</f>
        <v>221945.02195098475</v>
      </c>
      <c r="L9" s="132">
        <f>IF(SER_hh_fec_in!L9=0,0,11630*1000*SER_hh_fec_in!L9/SER_hh_num_in!L9)</f>
        <v>226010.63359383904</v>
      </c>
      <c r="M9" s="132">
        <f>IF(SER_hh_fec_in!M9=0,0,11630*1000*SER_hh_fec_in!M9/SER_hh_num_in!M9)</f>
        <v>199222.44099116648</v>
      </c>
      <c r="N9" s="132">
        <f>IF(SER_hh_fec_in!N9=0,0,11630*1000*SER_hh_fec_in!N9/SER_hh_num_in!N9)</f>
        <v>0</v>
      </c>
      <c r="O9" s="132">
        <f>IF(SER_hh_fec_in!O9=0,0,11630*1000*SER_hh_fec_in!O9/SER_hh_num_in!O9)</f>
        <v>0</v>
      </c>
      <c r="P9" s="132">
        <f>IF(SER_hh_fec_in!P9=0,0,11630*1000*SER_hh_fec_in!P9/SER_hh_num_in!P9)</f>
        <v>166516.08570068603</v>
      </c>
      <c r="Q9" s="132">
        <f>IF(SER_hh_fec_in!Q9=0,0,11630*1000*SER_hh_fec_in!Q9/SER_hh_num_in!Q9)</f>
        <v>139066.8848815393</v>
      </c>
      <c r="R9" s="132">
        <f>IF(SER_hh_fec_in!R9=0,0,11630*1000*SER_hh_fec_in!R9/SER_hh_num_in!R9)</f>
        <v>135970.70546176596</v>
      </c>
      <c r="S9" s="132">
        <f>IF(SER_hh_fec_in!S9=0,0,11630*1000*SER_hh_fec_in!S9/SER_hh_num_in!S9)</f>
        <v>130565.08066813234</v>
      </c>
      <c r="T9" s="132">
        <f>IF(SER_hh_fec_in!T9=0,0,11630*1000*SER_hh_fec_in!T9/SER_hh_num_in!T9)</f>
        <v>120145.15595620143</v>
      </c>
      <c r="U9" s="132">
        <f>IF(SER_hh_fec_in!U9=0,0,11630*1000*SER_hh_fec_in!U9/SER_hh_num_in!U9)</f>
        <v>110808.75948031314</v>
      </c>
      <c r="V9" s="132">
        <f>IF(SER_hh_fec_in!V9=0,0,11630*1000*SER_hh_fec_in!V9/SER_hh_num_in!V9)</f>
        <v>99450.825126953801</v>
      </c>
      <c r="W9" s="132">
        <f>IF(SER_hh_fec_in!W9=0,0,11630*1000*SER_hh_fec_in!W9/SER_hh_num_in!W9)</f>
        <v>86325.216260785484</v>
      </c>
      <c r="X9" s="132">
        <f>IF(SER_hh_fec_in!X9=0,0,11630*1000*SER_hh_fec_in!X9/SER_hh_num_in!X9)</f>
        <v>66039.343467583778</v>
      </c>
      <c r="Y9" s="132">
        <f>IF(SER_hh_fec_in!Y9=0,0,11630*1000*SER_hh_fec_in!Y9/SER_hh_num_in!Y9)</f>
        <v>61559.368829237304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355607.48260404577</v>
      </c>
      <c r="D10" s="132">
        <f>IF(SER_hh_fec_in!D10=0,0,11630*1000*SER_hh_fec_in!D10/SER_hh_num_in!D10)</f>
        <v>341080.94552963402</v>
      </c>
      <c r="E10" s="132">
        <f>IF(SER_hh_fec_in!E10=0,0,11630*1000*SER_hh_fec_in!E10/SER_hh_num_in!E10)</f>
        <v>330308.5422393909</v>
      </c>
      <c r="F10" s="132">
        <f>IF(SER_hh_fec_in!F10=0,0,11630*1000*SER_hh_fec_in!F10/SER_hh_num_in!F10)</f>
        <v>354362.82324237964</v>
      </c>
      <c r="G10" s="132">
        <f>IF(SER_hh_fec_in!G10=0,0,11630*1000*SER_hh_fec_in!G10/SER_hh_num_in!G10)</f>
        <v>321050.94076966919</v>
      </c>
      <c r="H10" s="132">
        <f>IF(SER_hh_fec_in!H10=0,0,11630*1000*SER_hh_fec_in!H10/SER_hh_num_in!H10)</f>
        <v>324414.10582232755</v>
      </c>
      <c r="I10" s="132">
        <f>IF(SER_hh_fec_in!I10=0,0,11630*1000*SER_hh_fec_in!I10/SER_hh_num_in!I10)</f>
        <v>374010.04666622926</v>
      </c>
      <c r="J10" s="132">
        <f>IF(SER_hh_fec_in!J10=0,0,11630*1000*SER_hh_fec_in!J10/SER_hh_num_in!J10)</f>
        <v>0</v>
      </c>
      <c r="K10" s="132">
        <f>IF(SER_hh_fec_in!K10=0,0,11630*1000*SER_hh_fec_in!K10/SER_hh_num_in!K10)</f>
        <v>227180.68786981911</v>
      </c>
      <c r="L10" s="132">
        <f>IF(SER_hh_fec_in!L10=0,0,11630*1000*SER_hh_fec_in!L10/SER_hh_num_in!L10)</f>
        <v>238909.0489577913</v>
      </c>
      <c r="M10" s="132">
        <f>IF(SER_hh_fec_in!M10=0,0,11630*1000*SER_hh_fec_in!M10/SER_hh_num_in!M10)</f>
        <v>189924.82538099989</v>
      </c>
      <c r="N10" s="132">
        <f>IF(SER_hh_fec_in!N10=0,0,11630*1000*SER_hh_fec_in!N10/SER_hh_num_in!N10)</f>
        <v>250170.26557586913</v>
      </c>
      <c r="O10" s="132">
        <f>IF(SER_hh_fec_in!O10=0,0,11630*1000*SER_hh_fec_in!O10/SER_hh_num_in!O10)</f>
        <v>236331.16376490949</v>
      </c>
      <c r="P10" s="132">
        <f>IF(SER_hh_fec_in!P10=0,0,11630*1000*SER_hh_fec_in!P10/SER_hh_num_in!P10)</f>
        <v>205731.10575778718</v>
      </c>
      <c r="Q10" s="132">
        <f>IF(SER_hh_fec_in!Q10=0,0,11630*1000*SER_hh_fec_in!Q10/SER_hh_num_in!Q10)</f>
        <v>190085.18489044352</v>
      </c>
      <c r="R10" s="132">
        <f>IF(SER_hh_fec_in!R10=0,0,11630*1000*SER_hh_fec_in!R10/SER_hh_num_in!R10)</f>
        <v>183033.62052372214</v>
      </c>
      <c r="S10" s="132">
        <f>IF(SER_hh_fec_in!S10=0,0,11630*1000*SER_hh_fec_in!S10/SER_hh_num_in!S10)</f>
        <v>193165.41883668926</v>
      </c>
      <c r="T10" s="132">
        <f>IF(SER_hh_fec_in!T10=0,0,11630*1000*SER_hh_fec_in!T10/SER_hh_num_in!T10)</f>
        <v>0</v>
      </c>
      <c r="U10" s="132">
        <f>IF(SER_hh_fec_in!U10=0,0,11630*1000*SER_hh_fec_in!U10/SER_hh_num_in!U10)</f>
        <v>0</v>
      </c>
      <c r="V10" s="132">
        <f>IF(SER_hh_fec_in!V10=0,0,11630*1000*SER_hh_fec_in!V10/SER_hh_num_in!V10)</f>
        <v>0</v>
      </c>
      <c r="W10" s="132">
        <f>IF(SER_hh_fec_in!W10=0,0,11630*1000*SER_hh_fec_in!W10/SER_hh_num_in!W10)</f>
        <v>117351.09943799104</v>
      </c>
      <c r="X10" s="132">
        <f>IF(SER_hh_fec_in!X10=0,0,11630*1000*SER_hh_fec_in!X10/SER_hh_num_in!X10)</f>
        <v>108779.21723626954</v>
      </c>
      <c r="Y10" s="132">
        <f>IF(SER_hh_fec_in!Y10=0,0,11630*1000*SER_hh_fec_in!Y10/SER_hh_num_in!Y10)</f>
        <v>76727.298915160092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0</v>
      </c>
      <c r="J11" s="132">
        <f>IF(SER_hh_fec_in!J11=0,0,11630*1000*SER_hh_fec_in!J11/SER_hh_num_in!J11)</f>
        <v>0</v>
      </c>
      <c r="K11" s="132">
        <f>IF(SER_hh_fec_in!K11=0,0,11630*1000*SER_hh_fec_in!K11/SER_hh_num_in!K11)</f>
        <v>0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0</v>
      </c>
      <c r="N11" s="132">
        <f>IF(SER_hh_fec_in!N11=0,0,11630*1000*SER_hh_fec_in!N11/SER_hh_num_in!N11)</f>
        <v>0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0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242376.9200849089</v>
      </c>
      <c r="D12" s="132">
        <f>IF(SER_hh_fec_in!D12=0,0,11630*1000*SER_hh_fec_in!D12/SER_hh_num_in!D12)</f>
        <v>234341.59101411005</v>
      </c>
      <c r="E12" s="132">
        <f>IF(SER_hh_fec_in!E12=0,0,11630*1000*SER_hh_fec_in!E12/SER_hh_num_in!E12)</f>
        <v>240672.13234051681</v>
      </c>
      <c r="F12" s="132">
        <f>IF(SER_hh_fec_in!F12=0,0,11630*1000*SER_hh_fec_in!F12/SER_hh_num_in!F12)</f>
        <v>223630.77367406682</v>
      </c>
      <c r="G12" s="132">
        <f>IF(SER_hh_fec_in!G12=0,0,11630*1000*SER_hh_fec_in!G12/SER_hh_num_in!G12)</f>
        <v>224048.83090050437</v>
      </c>
      <c r="H12" s="132">
        <f>IF(SER_hh_fec_in!H12=0,0,11630*1000*SER_hh_fec_in!H12/SER_hh_num_in!H12)</f>
        <v>216211.41930369128</v>
      </c>
      <c r="I12" s="132">
        <f>IF(SER_hh_fec_in!I12=0,0,11630*1000*SER_hh_fec_in!I12/SER_hh_num_in!I12)</f>
        <v>193030.40757859821</v>
      </c>
      <c r="J12" s="132">
        <f>IF(SER_hh_fec_in!J12=0,0,11630*1000*SER_hh_fec_in!J12/SER_hh_num_in!J12)</f>
        <v>170080.45854544692</v>
      </c>
      <c r="K12" s="132">
        <f>IF(SER_hh_fec_in!K12=0,0,11630*1000*SER_hh_fec_in!K12/SER_hh_num_in!K12)</f>
        <v>158233.76008353144</v>
      </c>
      <c r="L12" s="132">
        <f>IF(SER_hh_fec_in!L12=0,0,11630*1000*SER_hh_fec_in!L12/SER_hh_num_in!L12)</f>
        <v>163225.80110530282</v>
      </c>
      <c r="M12" s="132">
        <f>IF(SER_hh_fec_in!M12=0,0,11630*1000*SER_hh_fec_in!M12/SER_hh_num_in!M12)</f>
        <v>133112.40271305799</v>
      </c>
      <c r="N12" s="132">
        <f>IF(SER_hh_fec_in!N12=0,0,11630*1000*SER_hh_fec_in!N12/SER_hh_num_in!N12)</f>
        <v>158281.2089429007</v>
      </c>
      <c r="O12" s="132">
        <f>IF(SER_hh_fec_in!O12=0,0,11630*1000*SER_hh_fec_in!O12/SER_hh_num_in!O12)</f>
        <v>146082.6132471991</v>
      </c>
      <c r="P12" s="132">
        <f>IF(SER_hh_fec_in!P12=0,0,11630*1000*SER_hh_fec_in!P12/SER_hh_num_in!P12)</f>
        <v>130486.10270714467</v>
      </c>
      <c r="Q12" s="132">
        <f>IF(SER_hh_fec_in!Q12=0,0,11630*1000*SER_hh_fec_in!Q12/SER_hh_num_in!Q12)</f>
        <v>116311.22617272403</v>
      </c>
      <c r="R12" s="132">
        <f>IF(SER_hh_fec_in!R12=0,0,11630*1000*SER_hh_fec_in!R12/SER_hh_num_in!R12)</f>
        <v>123782.16360219536</v>
      </c>
      <c r="S12" s="132">
        <f>IF(SER_hh_fec_in!S12=0,0,11630*1000*SER_hh_fec_in!S12/SER_hh_num_in!S12)</f>
        <v>116632.6073950424</v>
      </c>
      <c r="T12" s="132">
        <f>IF(SER_hh_fec_in!T12=0,0,11630*1000*SER_hh_fec_in!T12/SER_hh_num_in!T12)</f>
        <v>100025.14867935747</v>
      </c>
      <c r="U12" s="132">
        <f>IF(SER_hh_fec_in!U12=0,0,11630*1000*SER_hh_fec_in!U12/SER_hh_num_in!U12)</f>
        <v>89262.354850011514</v>
      </c>
      <c r="V12" s="132">
        <f>IF(SER_hh_fec_in!V12=0,0,11630*1000*SER_hh_fec_in!V12/SER_hh_num_in!V12)</f>
        <v>85029.909118322146</v>
      </c>
      <c r="W12" s="132">
        <f>IF(SER_hh_fec_in!W12=0,0,11630*1000*SER_hh_fec_in!W12/SER_hh_num_in!W12)</f>
        <v>85248.77565995646</v>
      </c>
      <c r="X12" s="132">
        <f>IF(SER_hh_fec_in!X12=0,0,11630*1000*SER_hh_fec_in!X12/SER_hh_num_in!X12)</f>
        <v>56694.151423078329</v>
      </c>
      <c r="Y12" s="132">
        <f>IF(SER_hh_fec_in!Y12=0,0,11630*1000*SER_hh_fec_in!Y12/SER_hh_num_in!Y12)</f>
        <v>52372.090165214271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42588.659785409778</v>
      </c>
      <c r="D13" s="132">
        <f>IF(SER_hh_fec_in!D13=0,0,11630*1000*SER_hh_fec_in!D13/SER_hh_num_in!D13)</f>
        <v>94146.934442383426</v>
      </c>
      <c r="E13" s="132">
        <f>IF(SER_hh_fec_in!E13=0,0,11630*1000*SER_hh_fec_in!E13/SER_hh_num_in!E13)</f>
        <v>81656.338959626082</v>
      </c>
      <c r="F13" s="132">
        <f>IF(SER_hh_fec_in!F13=0,0,11630*1000*SER_hh_fec_in!F13/SER_hh_num_in!F13)</f>
        <v>75481.562273406831</v>
      </c>
      <c r="G13" s="132">
        <f>IF(SER_hh_fec_in!G13=0,0,11630*1000*SER_hh_fec_in!G13/SER_hh_num_in!G13)</f>
        <v>70191.804431515266</v>
      </c>
      <c r="H13" s="132">
        <f>IF(SER_hh_fec_in!H13=0,0,11630*1000*SER_hh_fec_in!H13/SER_hh_num_in!H13)</f>
        <v>63510.001153071134</v>
      </c>
      <c r="I13" s="132">
        <f>IF(SER_hh_fec_in!I13=0,0,11630*1000*SER_hh_fec_in!I13/SER_hh_num_in!I13)</f>
        <v>55173.917501389624</v>
      </c>
      <c r="J13" s="132">
        <f>IF(SER_hh_fec_in!J13=0,0,11630*1000*SER_hh_fec_in!J13/SER_hh_num_in!J13)</f>
        <v>47696.634068291743</v>
      </c>
      <c r="K13" s="132">
        <f>IF(SER_hh_fec_in!K13=0,0,11630*1000*SER_hh_fec_in!K13/SER_hh_num_in!K13)</f>
        <v>41260.295646168423</v>
      </c>
      <c r="L13" s="132">
        <f>IF(SER_hh_fec_in!L13=0,0,11630*1000*SER_hh_fec_in!L13/SER_hh_num_in!L13)</f>
        <v>41613.035934584623</v>
      </c>
      <c r="M13" s="132">
        <f>IF(SER_hh_fec_in!M13=0,0,11630*1000*SER_hh_fec_in!M13/SER_hh_num_in!M13)</f>
        <v>43181.546702741565</v>
      </c>
      <c r="N13" s="132">
        <f>IF(SER_hh_fec_in!N13=0,0,11630*1000*SER_hh_fec_in!N13/SER_hh_num_in!N13)</f>
        <v>40215.399266958244</v>
      </c>
      <c r="O13" s="132">
        <f>IF(SER_hh_fec_in!O13=0,0,11630*1000*SER_hh_fec_in!O13/SER_hh_num_in!O13)</f>
        <v>41664.825176030332</v>
      </c>
      <c r="P13" s="132">
        <f>IF(SER_hh_fec_in!P13=0,0,11630*1000*SER_hh_fec_in!P13/SER_hh_num_in!P13)</f>
        <v>38541.236539298843</v>
      </c>
      <c r="Q13" s="132">
        <f>IF(SER_hh_fec_in!Q13=0,0,11630*1000*SER_hh_fec_in!Q13/SER_hh_num_in!Q13)</f>
        <v>35409.724576783934</v>
      </c>
      <c r="R13" s="132">
        <f>IF(SER_hh_fec_in!R13=0,0,11630*1000*SER_hh_fec_in!R13/SER_hh_num_in!R13)</f>
        <v>32143.702606881288</v>
      </c>
      <c r="S13" s="132">
        <f>IF(SER_hh_fec_in!S13=0,0,11630*1000*SER_hh_fec_in!S13/SER_hh_num_in!S13)</f>
        <v>30849.024015583509</v>
      </c>
      <c r="T13" s="132">
        <f>IF(SER_hh_fec_in!T13=0,0,11630*1000*SER_hh_fec_in!T13/SER_hh_num_in!T13)</f>
        <v>26912.731721356366</v>
      </c>
      <c r="U13" s="132">
        <f>IF(SER_hh_fec_in!U13=0,0,11630*1000*SER_hh_fec_in!U13/SER_hh_num_in!U13)</f>
        <v>24769.045371264569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174560.28831844099</v>
      </c>
      <c r="D14" s="65">
        <f>IF(SER_hh_fec_in!D14=0,0,11630*1000*SER_hh_fec_in!D14/SER_hh_num_in!D14)</f>
        <v>283779.35784135095</v>
      </c>
      <c r="E14" s="65">
        <f>IF(SER_hh_fec_in!E14=0,0,11630*1000*SER_hh_fec_in!E14/SER_hh_num_in!E14)</f>
        <v>283437.39142411255</v>
      </c>
      <c r="F14" s="65">
        <f>IF(SER_hh_fec_in!F14=0,0,11630*1000*SER_hh_fec_in!F14/SER_hh_num_in!F14)</f>
        <v>248456.77251457708</v>
      </c>
      <c r="G14" s="65">
        <f>IF(SER_hh_fec_in!G14=0,0,11630*1000*SER_hh_fec_in!G14/SER_hh_num_in!G14)</f>
        <v>233509.74966271367</v>
      </c>
      <c r="H14" s="65">
        <f>IF(SER_hh_fec_in!H14=0,0,11630*1000*SER_hh_fec_in!H14/SER_hh_num_in!H14)</f>
        <v>221002.3331971622</v>
      </c>
      <c r="I14" s="65">
        <f>IF(SER_hh_fec_in!I14=0,0,11630*1000*SER_hh_fec_in!I14/SER_hh_num_in!I14)</f>
        <v>277566.43935217918</v>
      </c>
      <c r="J14" s="65">
        <f>IF(SER_hh_fec_in!J14=0,0,11630*1000*SER_hh_fec_in!J14/SER_hh_num_in!J14)</f>
        <v>225887.03184572892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151286.05543752218</v>
      </c>
      <c r="M14" s="65">
        <f>IF(SER_hh_fec_in!M14=0,0,11630*1000*SER_hh_fec_in!M14/SER_hh_num_in!M14)</f>
        <v>143122.15203411967</v>
      </c>
      <c r="N14" s="65">
        <f>IF(SER_hh_fec_in!N14=0,0,11630*1000*SER_hh_fec_in!N14/SER_hh_num_in!N14)</f>
        <v>197923.11882066369</v>
      </c>
      <c r="O14" s="65">
        <f>IF(SER_hh_fec_in!O14=0,0,11630*1000*SER_hh_fec_in!O14/SER_hh_num_in!O14)</f>
        <v>146542.04425604254</v>
      </c>
      <c r="P14" s="65">
        <f>IF(SER_hh_fec_in!P14=0,0,11630*1000*SER_hh_fec_in!P14/SER_hh_num_in!P14)</f>
        <v>172238.09879786131</v>
      </c>
      <c r="Q14" s="65">
        <f>IF(SER_hh_fec_in!Q14=0,0,11630*1000*SER_hh_fec_in!Q14/SER_hh_num_in!Q14)</f>
        <v>122875.837883945</v>
      </c>
      <c r="R14" s="65">
        <f>IF(SER_hh_fec_in!R14=0,0,11630*1000*SER_hh_fec_in!R14/SER_hh_num_in!R14)</f>
        <v>123715.99741629804</v>
      </c>
      <c r="S14" s="65">
        <f>IF(SER_hh_fec_in!S14=0,0,11630*1000*SER_hh_fec_in!S14/SER_hh_num_in!S14)</f>
        <v>116754.78608268604</v>
      </c>
      <c r="T14" s="65">
        <f>IF(SER_hh_fec_in!T14=0,0,11630*1000*SER_hh_fec_in!T14/SER_hh_num_in!T14)</f>
        <v>115197.34030360484</v>
      </c>
      <c r="U14" s="65">
        <f>IF(SER_hh_fec_in!U14=0,0,11630*1000*SER_hh_fec_in!U14/SER_hh_num_in!U14)</f>
        <v>102191.81058070692</v>
      </c>
      <c r="V14" s="65">
        <f>IF(SER_hh_fec_in!V14=0,0,11630*1000*SER_hh_fec_in!V14/SER_hh_num_in!V14)</f>
        <v>83849.642063349718</v>
      </c>
      <c r="W14" s="65">
        <f>IF(SER_hh_fec_in!W14=0,0,11630*1000*SER_hh_fec_in!W14/SER_hh_num_in!W14)</f>
        <v>76989.87459984544</v>
      </c>
      <c r="X14" s="65">
        <f>IF(SER_hh_fec_in!X14=0,0,11630*1000*SER_hh_fec_in!X14/SER_hh_num_in!X14)</f>
        <v>58904.586684195303</v>
      </c>
      <c r="Y14" s="65">
        <f>IF(SER_hh_fec_in!Y14=0,0,11630*1000*SER_hh_fec_in!Y14/SER_hh_num_in!Y14)</f>
        <v>48445.142404830971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1762.689086477036</v>
      </c>
      <c r="D15" s="134">
        <f>IF(SER_hh_fec_in!D15=0,0,11630*1000*SER_hh_fec_in!D15/SER_hh_num_in!D15)</f>
        <v>2479.5472699281859</v>
      </c>
      <c r="E15" s="134">
        <f>IF(SER_hh_fec_in!E15=0,0,11630*1000*SER_hh_fec_in!E15/SER_hh_num_in!E15)</f>
        <v>2128.5804856268401</v>
      </c>
      <c r="F15" s="134">
        <f>IF(SER_hh_fec_in!F15=0,0,11630*1000*SER_hh_fec_in!F15/SER_hh_num_in!F15)</f>
        <v>2158.719400934755</v>
      </c>
      <c r="G15" s="134">
        <f>IF(SER_hh_fec_in!G15=0,0,11630*1000*SER_hh_fec_in!G15/SER_hh_num_in!G15)</f>
        <v>1845.4327707887944</v>
      </c>
      <c r="H15" s="134">
        <f>IF(SER_hh_fec_in!H15=0,0,11630*1000*SER_hh_fec_in!H15/SER_hh_num_in!H15)</f>
        <v>1762.2503670685273</v>
      </c>
      <c r="I15" s="134">
        <f>IF(SER_hh_fec_in!I15=0,0,11630*1000*SER_hh_fec_in!I15/SER_hh_num_in!I15)</f>
        <v>1502.678621274694</v>
      </c>
      <c r="J15" s="134">
        <f>IF(SER_hh_fec_in!J15=0,0,11630*1000*SER_hh_fec_in!J15/SER_hh_num_in!J15)</f>
        <v>1282.8375361799858</v>
      </c>
      <c r="K15" s="134">
        <f>IF(SER_hh_fec_in!K15=0,0,11630*1000*SER_hh_fec_in!K15/SER_hh_num_in!K15)</f>
        <v>1145.2344382049307</v>
      </c>
      <c r="L15" s="134">
        <f>IF(SER_hh_fec_in!L15=0,0,11630*1000*SER_hh_fec_in!L15/SER_hh_num_in!L15)</f>
        <v>1124.6604804204865</v>
      </c>
      <c r="M15" s="134">
        <f>IF(SER_hh_fec_in!M15=0,0,11630*1000*SER_hh_fec_in!M15/SER_hh_num_in!M15)</f>
        <v>755.31677876116782</v>
      </c>
      <c r="N15" s="134">
        <f>IF(SER_hh_fec_in!N15=0,0,11630*1000*SER_hh_fec_in!N15/SER_hh_num_in!N15)</f>
        <v>1184.2462704556726</v>
      </c>
      <c r="O15" s="134">
        <f>IF(SER_hh_fec_in!O15=0,0,11630*1000*SER_hh_fec_in!O15/SER_hh_num_in!O15)</f>
        <v>993.83866661281922</v>
      </c>
      <c r="P15" s="134">
        <f>IF(SER_hh_fec_in!P15=0,0,11630*1000*SER_hh_fec_in!P15/SER_hh_num_in!P15)</f>
        <v>1067.0845386085598</v>
      </c>
      <c r="Q15" s="134">
        <f>IF(SER_hh_fec_in!Q15=0,0,11630*1000*SER_hh_fec_in!Q15/SER_hh_num_in!Q15)</f>
        <v>881.81407014140439</v>
      </c>
      <c r="R15" s="134">
        <f>IF(SER_hh_fec_in!R15=0,0,11630*1000*SER_hh_fec_in!R15/SER_hh_num_in!R15)</f>
        <v>936.31059476606868</v>
      </c>
      <c r="S15" s="134">
        <f>IF(SER_hh_fec_in!S15=0,0,11630*1000*SER_hh_fec_in!S15/SER_hh_num_in!S15)</f>
        <v>975.86688484874094</v>
      </c>
      <c r="T15" s="134">
        <f>IF(SER_hh_fec_in!T15=0,0,11630*1000*SER_hh_fec_in!T15/SER_hh_num_in!T15)</f>
        <v>1097.5043160195</v>
      </c>
      <c r="U15" s="134">
        <f>IF(SER_hh_fec_in!U15=0,0,11630*1000*SER_hh_fec_in!U15/SER_hh_num_in!U15)</f>
        <v>899.14871923415819</v>
      </c>
      <c r="V15" s="134">
        <f>IF(SER_hh_fec_in!V15=0,0,11630*1000*SER_hh_fec_in!V15/SER_hh_num_in!V15)</f>
        <v>786.42225636812827</v>
      </c>
      <c r="W15" s="134">
        <f>IF(SER_hh_fec_in!W15=0,0,11630*1000*SER_hh_fec_in!W15/SER_hh_num_in!W15)</f>
        <v>860.87772867950332</v>
      </c>
      <c r="X15" s="134">
        <f>IF(SER_hh_fec_in!X15=0,0,11630*1000*SER_hh_fec_in!X15/SER_hh_num_in!X15)</f>
        <v>545.17849569421617</v>
      </c>
      <c r="Y15" s="134">
        <f>IF(SER_hh_fec_in!Y15=0,0,11630*1000*SER_hh_fec_in!Y15/SER_hh_num_in!Y15)</f>
        <v>465.86603578556031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7281.0900336665854</v>
      </c>
      <c r="D16" s="130">
        <f>IF(SER_hh_fec_in!D16=0,0,11630*1000*SER_hh_fec_in!D16/SER_hh_num_in!D16)</f>
        <v>7174.5674903494892</v>
      </c>
      <c r="E16" s="130">
        <f>IF(SER_hh_fec_in!E16=0,0,11630*1000*SER_hh_fec_in!E16/SER_hh_num_in!E16)</f>
        <v>6577.18419278084</v>
      </c>
      <c r="F16" s="130">
        <f>IF(SER_hh_fec_in!F16=0,0,11630*1000*SER_hh_fec_in!F16/SER_hh_num_in!F16)</f>
        <v>6100.8303271766044</v>
      </c>
      <c r="G16" s="130">
        <f>IF(SER_hh_fec_in!G16=0,0,11630*1000*SER_hh_fec_in!G16/SER_hh_num_in!G16)</f>
        <v>5833.5554817076318</v>
      </c>
      <c r="H16" s="130">
        <f>IF(SER_hh_fec_in!H16=0,0,11630*1000*SER_hh_fec_in!H16/SER_hh_num_in!H16)</f>
        <v>5939.365089558004</v>
      </c>
      <c r="I16" s="130">
        <f>IF(SER_hh_fec_in!I16=0,0,11630*1000*SER_hh_fec_in!I16/SER_hh_num_in!I16)</f>
        <v>5375.1909860892902</v>
      </c>
      <c r="J16" s="130">
        <f>IF(SER_hh_fec_in!J16=0,0,11630*1000*SER_hh_fec_in!J16/SER_hh_num_in!J16)</f>
        <v>5144.0366705145043</v>
      </c>
      <c r="K16" s="130">
        <f>IF(SER_hh_fec_in!K16=0,0,11630*1000*SER_hh_fec_in!K16/SER_hh_num_in!K16)</f>
        <v>4902.2484015681275</v>
      </c>
      <c r="L16" s="130">
        <f>IF(SER_hh_fec_in!L16=0,0,11630*1000*SER_hh_fec_in!L16/SER_hh_num_in!L16)</f>
        <v>5668.3005853304685</v>
      </c>
      <c r="M16" s="130">
        <f>IF(SER_hh_fec_in!M16=0,0,11630*1000*SER_hh_fec_in!M16/SER_hh_num_in!M16)</f>
        <v>4540.1011083376379</v>
      </c>
      <c r="N16" s="130">
        <f>IF(SER_hh_fec_in!N16=0,0,11630*1000*SER_hh_fec_in!N16/SER_hh_num_in!N16)</f>
        <v>4309.2724415797165</v>
      </c>
      <c r="O16" s="130">
        <f>IF(SER_hh_fec_in!O16=0,0,11630*1000*SER_hh_fec_in!O16/SER_hh_num_in!O16)</f>
        <v>3993.4924091353823</v>
      </c>
      <c r="P16" s="130">
        <f>IF(SER_hh_fec_in!P16=0,0,11630*1000*SER_hh_fec_in!P16/SER_hh_num_in!P16)</f>
        <v>3981.9378511253367</v>
      </c>
      <c r="Q16" s="130">
        <f>IF(SER_hh_fec_in!Q16=0,0,11630*1000*SER_hh_fec_in!Q16/SER_hh_num_in!Q16)</f>
        <v>3608.7328691233852</v>
      </c>
      <c r="R16" s="130">
        <f>IF(SER_hh_fec_in!R16=0,0,11630*1000*SER_hh_fec_in!R16/SER_hh_num_in!R16)</f>
        <v>3448.1428842734226</v>
      </c>
      <c r="S16" s="130">
        <f>IF(SER_hh_fec_in!S16=0,0,11630*1000*SER_hh_fec_in!S16/SER_hh_num_in!S16)</f>
        <v>3362.4991337176184</v>
      </c>
      <c r="T16" s="130">
        <f>IF(SER_hh_fec_in!T16=0,0,11630*1000*SER_hh_fec_in!T16/SER_hh_num_in!T16)</f>
        <v>3479.5880707143306</v>
      </c>
      <c r="U16" s="130">
        <f>IF(SER_hh_fec_in!U16=0,0,11630*1000*SER_hh_fec_in!U16/SER_hh_num_in!U16)</f>
        <v>3173.6001682886845</v>
      </c>
      <c r="V16" s="130">
        <f>IF(SER_hh_fec_in!V16=0,0,11630*1000*SER_hh_fec_in!V16/SER_hh_num_in!V16)</f>
        <v>3053.9302099025813</v>
      </c>
      <c r="W16" s="130">
        <f>IF(SER_hh_fec_in!W16=0,0,11630*1000*SER_hh_fec_in!W16/SER_hh_num_in!W16)</f>
        <v>3212.66893880515</v>
      </c>
      <c r="X16" s="130">
        <f>IF(SER_hh_fec_in!X16=0,0,11630*1000*SER_hh_fec_in!X16/SER_hh_num_in!X16)</f>
        <v>2481.3213646678087</v>
      </c>
      <c r="Y16" s="130">
        <f>IF(SER_hh_fec_in!Y16=0,0,11630*1000*SER_hh_fec_in!Y16/SER_hh_num_in!Y16)</f>
        <v>2572.0900931968799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0</v>
      </c>
      <c r="D17" s="132">
        <f>IF(SER_hh_fec_in!D17=0,0,11630*1000*SER_hh_fec_in!D17/SER_hh_num_in!D17)</f>
        <v>0</v>
      </c>
      <c r="E17" s="132">
        <f>IF(SER_hh_fec_in!E17=0,0,11630*1000*SER_hh_fec_in!E17/SER_hh_num_in!E17)</f>
        <v>0</v>
      </c>
      <c r="F17" s="132">
        <f>IF(SER_hh_fec_in!F17=0,0,11630*1000*SER_hh_fec_in!F17/SER_hh_num_in!F17)</f>
        <v>0</v>
      </c>
      <c r="G17" s="132">
        <f>IF(SER_hh_fec_in!G17=0,0,11630*1000*SER_hh_fec_in!G17/SER_hh_num_in!G17)</f>
        <v>0</v>
      </c>
      <c r="H17" s="132">
        <f>IF(SER_hh_fec_in!H17=0,0,11630*1000*SER_hh_fec_in!H17/SER_hh_num_in!H17)</f>
        <v>0</v>
      </c>
      <c r="I17" s="132">
        <f>IF(SER_hh_fec_in!I17=0,0,11630*1000*SER_hh_fec_in!I17/SER_hh_num_in!I17)</f>
        <v>0</v>
      </c>
      <c r="J17" s="132">
        <f>IF(SER_hh_fec_in!J17=0,0,11630*1000*SER_hh_fec_in!J17/SER_hh_num_in!J17)</f>
        <v>0</v>
      </c>
      <c r="K17" s="132">
        <f>IF(SER_hh_fec_in!K17=0,0,11630*1000*SER_hh_fec_in!K17/SER_hh_num_in!K17)</f>
        <v>0</v>
      </c>
      <c r="L17" s="132">
        <f>IF(SER_hh_fec_in!L17=0,0,11630*1000*SER_hh_fec_in!L17/SER_hh_num_in!L17)</f>
        <v>0</v>
      </c>
      <c r="M17" s="132">
        <f>IF(SER_hh_fec_in!M17=0,0,11630*1000*SER_hh_fec_in!M17/SER_hh_num_in!M17)</f>
        <v>0</v>
      </c>
      <c r="N17" s="132">
        <f>IF(SER_hh_fec_in!N17=0,0,11630*1000*SER_hh_fec_in!N17/SER_hh_num_in!N17)</f>
        <v>0</v>
      </c>
      <c r="O17" s="132">
        <f>IF(SER_hh_fec_in!O17=0,0,11630*1000*SER_hh_fec_in!O17/SER_hh_num_in!O17)</f>
        <v>0</v>
      </c>
      <c r="P17" s="132">
        <f>IF(SER_hh_fec_in!P17=0,0,11630*1000*SER_hh_fec_in!P17/SER_hh_num_in!P17)</f>
        <v>0</v>
      </c>
      <c r="Q17" s="132">
        <f>IF(SER_hh_fec_in!Q17=0,0,11630*1000*SER_hh_fec_in!Q17/SER_hh_num_in!Q17)</f>
        <v>0</v>
      </c>
      <c r="R17" s="132">
        <f>IF(SER_hh_fec_in!R17=0,0,11630*1000*SER_hh_fec_in!R17/SER_hh_num_in!R17)</f>
        <v>0</v>
      </c>
      <c r="S17" s="132">
        <f>IF(SER_hh_fec_in!S17=0,0,11630*1000*SER_hh_fec_in!S17/SER_hh_num_in!S17)</f>
        <v>0</v>
      </c>
      <c r="T17" s="132">
        <f>IF(SER_hh_fec_in!T17=0,0,11630*1000*SER_hh_fec_in!T17/SER_hh_num_in!T17)</f>
        <v>0</v>
      </c>
      <c r="U17" s="132">
        <f>IF(SER_hh_fec_in!U17=0,0,11630*1000*SER_hh_fec_in!U17/SER_hh_num_in!U17)</f>
        <v>0</v>
      </c>
      <c r="V17" s="132">
        <f>IF(SER_hh_fec_in!V17=0,0,11630*1000*SER_hh_fec_in!V17/SER_hh_num_in!V17)</f>
        <v>0</v>
      </c>
      <c r="W17" s="132">
        <f>IF(SER_hh_fec_in!W17=0,0,11630*1000*SER_hh_fec_in!W17/SER_hh_num_in!W17)</f>
        <v>0</v>
      </c>
      <c r="X17" s="132">
        <f>IF(SER_hh_fec_in!X17=0,0,11630*1000*SER_hh_fec_in!X17/SER_hh_num_in!X17)</f>
        <v>0</v>
      </c>
      <c r="Y17" s="132">
        <f>IF(SER_hh_fec_in!Y17=0,0,11630*1000*SER_hh_fec_in!Y17/SER_hh_num_in!Y17)</f>
        <v>0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7281.0900336665854</v>
      </c>
      <c r="D18" s="132">
        <f>IF(SER_hh_fec_in!D18=0,0,11630*1000*SER_hh_fec_in!D18/SER_hh_num_in!D18)</f>
        <v>7174.5674903494892</v>
      </c>
      <c r="E18" s="132">
        <f>IF(SER_hh_fec_in!E18=0,0,11630*1000*SER_hh_fec_in!E18/SER_hh_num_in!E18)</f>
        <v>6577.18419278084</v>
      </c>
      <c r="F18" s="132">
        <f>IF(SER_hh_fec_in!F18=0,0,11630*1000*SER_hh_fec_in!F18/SER_hh_num_in!F18)</f>
        <v>6100.8303271766044</v>
      </c>
      <c r="G18" s="132">
        <f>IF(SER_hh_fec_in!G18=0,0,11630*1000*SER_hh_fec_in!G18/SER_hh_num_in!G18)</f>
        <v>5833.5554817076318</v>
      </c>
      <c r="H18" s="132">
        <f>IF(SER_hh_fec_in!H18=0,0,11630*1000*SER_hh_fec_in!H18/SER_hh_num_in!H18)</f>
        <v>5939.365089558004</v>
      </c>
      <c r="I18" s="132">
        <f>IF(SER_hh_fec_in!I18=0,0,11630*1000*SER_hh_fec_in!I18/SER_hh_num_in!I18)</f>
        <v>5375.1909860892902</v>
      </c>
      <c r="J18" s="132">
        <f>IF(SER_hh_fec_in!J18=0,0,11630*1000*SER_hh_fec_in!J18/SER_hh_num_in!J18)</f>
        <v>5144.0366705145043</v>
      </c>
      <c r="K18" s="132">
        <f>IF(SER_hh_fec_in!K18=0,0,11630*1000*SER_hh_fec_in!K18/SER_hh_num_in!K18)</f>
        <v>4902.2484015681275</v>
      </c>
      <c r="L18" s="132">
        <f>IF(SER_hh_fec_in!L18=0,0,11630*1000*SER_hh_fec_in!L18/SER_hh_num_in!L18)</f>
        <v>5668.3005853304685</v>
      </c>
      <c r="M18" s="132">
        <f>IF(SER_hh_fec_in!M18=0,0,11630*1000*SER_hh_fec_in!M18/SER_hh_num_in!M18)</f>
        <v>4540.1011083376379</v>
      </c>
      <c r="N18" s="132">
        <f>IF(SER_hh_fec_in!N18=0,0,11630*1000*SER_hh_fec_in!N18/SER_hh_num_in!N18)</f>
        <v>4309.2724415797165</v>
      </c>
      <c r="O18" s="132">
        <f>IF(SER_hh_fec_in!O18=0,0,11630*1000*SER_hh_fec_in!O18/SER_hh_num_in!O18)</f>
        <v>3993.4924091353823</v>
      </c>
      <c r="P18" s="132">
        <f>IF(SER_hh_fec_in!P18=0,0,11630*1000*SER_hh_fec_in!P18/SER_hh_num_in!P18)</f>
        <v>3981.9378511253367</v>
      </c>
      <c r="Q18" s="132">
        <f>IF(SER_hh_fec_in!Q18=0,0,11630*1000*SER_hh_fec_in!Q18/SER_hh_num_in!Q18)</f>
        <v>3608.7328691233852</v>
      </c>
      <c r="R18" s="132">
        <f>IF(SER_hh_fec_in!R18=0,0,11630*1000*SER_hh_fec_in!R18/SER_hh_num_in!R18)</f>
        <v>3448.1428842734226</v>
      </c>
      <c r="S18" s="132">
        <f>IF(SER_hh_fec_in!S18=0,0,11630*1000*SER_hh_fec_in!S18/SER_hh_num_in!S18)</f>
        <v>3362.4991337176184</v>
      </c>
      <c r="T18" s="132">
        <f>IF(SER_hh_fec_in!T18=0,0,11630*1000*SER_hh_fec_in!T18/SER_hh_num_in!T18)</f>
        <v>3479.5880707143306</v>
      </c>
      <c r="U18" s="132">
        <f>IF(SER_hh_fec_in!U18=0,0,11630*1000*SER_hh_fec_in!U18/SER_hh_num_in!U18)</f>
        <v>3173.6001682886845</v>
      </c>
      <c r="V18" s="132">
        <f>IF(SER_hh_fec_in!V18=0,0,11630*1000*SER_hh_fec_in!V18/SER_hh_num_in!V18)</f>
        <v>3053.9302099025813</v>
      </c>
      <c r="W18" s="132">
        <f>IF(SER_hh_fec_in!W18=0,0,11630*1000*SER_hh_fec_in!W18/SER_hh_num_in!W18)</f>
        <v>3212.66893880515</v>
      </c>
      <c r="X18" s="132">
        <f>IF(SER_hh_fec_in!X18=0,0,11630*1000*SER_hh_fec_in!X18/SER_hh_num_in!X18)</f>
        <v>2481.3213646678087</v>
      </c>
      <c r="Y18" s="132">
        <f>IF(SER_hh_fec_in!Y18=0,0,11630*1000*SER_hh_fec_in!Y18/SER_hh_num_in!Y18)</f>
        <v>2572.0900931968799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35807.007389932616</v>
      </c>
      <c r="D19" s="130">
        <f>IF(SER_hh_fec_in!D19=0,0,11630*1000*SER_hh_fec_in!D19/SER_hh_num_in!D19)</f>
        <v>35372.675206116073</v>
      </c>
      <c r="E19" s="130">
        <f>IF(SER_hh_fec_in!E19=0,0,11630*1000*SER_hh_fec_in!E19/SER_hh_num_in!E19)</f>
        <v>34968.523453003501</v>
      </c>
      <c r="F19" s="130">
        <f>IF(SER_hh_fec_in!F19=0,0,11630*1000*SER_hh_fec_in!F19/SER_hh_num_in!F19)</f>
        <v>35293.750634623662</v>
      </c>
      <c r="G19" s="130">
        <f>IF(SER_hh_fec_in!G19=0,0,11630*1000*SER_hh_fec_in!G19/SER_hh_num_in!G19)</f>
        <v>34864.158264360085</v>
      </c>
      <c r="H19" s="130">
        <f>IF(SER_hh_fec_in!H19=0,0,11630*1000*SER_hh_fec_in!H19/SER_hh_num_in!H19)</f>
        <v>34805.844498724924</v>
      </c>
      <c r="I19" s="130">
        <f>IF(SER_hh_fec_in!I19=0,0,11630*1000*SER_hh_fec_in!I19/SER_hh_num_in!I19)</f>
        <v>34310.340537856246</v>
      </c>
      <c r="J19" s="130">
        <f>IF(SER_hh_fec_in!J19=0,0,11630*1000*SER_hh_fec_in!J19/SER_hh_num_in!J19)</f>
        <v>33956.507373545341</v>
      </c>
      <c r="K19" s="130">
        <f>IF(SER_hh_fec_in!K19=0,0,11630*1000*SER_hh_fec_in!K19/SER_hh_num_in!K19)</f>
        <v>34323.858417078933</v>
      </c>
      <c r="L19" s="130">
        <f>IF(SER_hh_fec_in!L19=0,0,11630*1000*SER_hh_fec_in!L19/SER_hh_num_in!L19)</f>
        <v>33171.491894677376</v>
      </c>
      <c r="M19" s="130">
        <f>IF(SER_hh_fec_in!M19=0,0,11630*1000*SER_hh_fec_in!M19/SER_hh_num_in!M19)</f>
        <v>33446.071823320759</v>
      </c>
      <c r="N19" s="130">
        <f>IF(SER_hh_fec_in!N19=0,0,11630*1000*SER_hh_fec_in!N19/SER_hh_num_in!N19)</f>
        <v>32226.008199673564</v>
      </c>
      <c r="O19" s="130">
        <f>IF(SER_hh_fec_in!O19=0,0,11630*1000*SER_hh_fec_in!O19/SER_hh_num_in!O19)</f>
        <v>31986.175098564643</v>
      </c>
      <c r="P19" s="130">
        <f>IF(SER_hh_fec_in!P19=0,0,11630*1000*SER_hh_fec_in!P19/SER_hh_num_in!P19)</f>
        <v>30462.447291853045</v>
      </c>
      <c r="Q19" s="130">
        <f>IF(SER_hh_fec_in!Q19=0,0,11630*1000*SER_hh_fec_in!Q19/SER_hh_num_in!Q19)</f>
        <v>29552.06066999715</v>
      </c>
      <c r="R19" s="130">
        <f>IF(SER_hh_fec_in!R19=0,0,11630*1000*SER_hh_fec_in!R19/SER_hh_num_in!R19)</f>
        <v>29049.409097642889</v>
      </c>
      <c r="S19" s="130">
        <f>IF(SER_hh_fec_in!S19=0,0,11630*1000*SER_hh_fec_in!S19/SER_hh_num_in!S19)</f>
        <v>28745.023505999114</v>
      </c>
      <c r="T19" s="130">
        <f>IF(SER_hh_fec_in!T19=0,0,11630*1000*SER_hh_fec_in!T19/SER_hh_num_in!T19)</f>
        <v>27999.840057024885</v>
      </c>
      <c r="U19" s="130">
        <f>IF(SER_hh_fec_in!U19=0,0,11630*1000*SER_hh_fec_in!U19/SER_hh_num_in!U19)</f>
        <v>27032.735562049125</v>
      </c>
      <c r="V19" s="130">
        <f>IF(SER_hh_fec_in!V19=0,0,11630*1000*SER_hh_fec_in!V19/SER_hh_num_in!V19)</f>
        <v>24455.561478154574</v>
      </c>
      <c r="W19" s="130">
        <f>IF(SER_hh_fec_in!W19=0,0,11630*1000*SER_hh_fec_in!W19/SER_hh_num_in!W19)</f>
        <v>25430.624676356103</v>
      </c>
      <c r="X19" s="130">
        <f>IF(SER_hh_fec_in!X19=0,0,11630*1000*SER_hh_fec_in!X19/SER_hh_num_in!X19)</f>
        <v>25726.469889191376</v>
      </c>
      <c r="Y19" s="130">
        <f>IF(SER_hh_fec_in!Y19=0,0,11630*1000*SER_hh_fec_in!Y19/SER_hh_num_in!Y19)</f>
        <v>25475.364507790087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0</v>
      </c>
      <c r="D21" s="132">
        <f>IF(SER_hh_fec_in!D21=0,0,11630*1000*SER_hh_fec_in!D21/SER_hh_num_in!D21)</f>
        <v>0</v>
      </c>
      <c r="E21" s="132">
        <f>IF(SER_hh_fec_in!E21=0,0,11630*1000*SER_hh_fec_in!E21/SER_hh_num_in!E21)</f>
        <v>0</v>
      </c>
      <c r="F21" s="132">
        <f>IF(SER_hh_fec_in!F21=0,0,11630*1000*SER_hh_fec_in!F21/SER_hh_num_in!F21)</f>
        <v>0</v>
      </c>
      <c r="G21" s="132">
        <f>IF(SER_hh_fec_in!G21=0,0,11630*1000*SER_hh_fec_in!G21/SER_hh_num_in!G21)</f>
        <v>0</v>
      </c>
      <c r="H21" s="132">
        <f>IF(SER_hh_fec_in!H21=0,0,11630*1000*SER_hh_fec_in!H21/SER_hh_num_in!H21)</f>
        <v>0</v>
      </c>
      <c r="I21" s="132">
        <f>IF(SER_hh_fec_in!I21=0,0,11630*1000*SER_hh_fec_in!I21/SER_hh_num_in!I21)</f>
        <v>0</v>
      </c>
      <c r="J21" s="132">
        <f>IF(SER_hh_fec_in!J21=0,0,11630*1000*SER_hh_fec_in!J21/SER_hh_num_in!J21)</f>
        <v>0</v>
      </c>
      <c r="K21" s="132">
        <f>IF(SER_hh_fec_in!K21=0,0,11630*1000*SER_hh_fec_in!K21/SER_hh_num_in!K21)</f>
        <v>0</v>
      </c>
      <c r="L21" s="132">
        <f>IF(SER_hh_fec_in!L21=0,0,11630*1000*SER_hh_fec_in!L21/SER_hh_num_in!L21)</f>
        <v>0</v>
      </c>
      <c r="M21" s="132">
        <f>IF(SER_hh_fec_in!M21=0,0,11630*1000*SER_hh_fec_in!M21/SER_hh_num_in!M21)</f>
        <v>0</v>
      </c>
      <c r="N21" s="132">
        <f>IF(SER_hh_fec_in!N21=0,0,11630*1000*SER_hh_fec_in!N21/SER_hh_num_in!N21)</f>
        <v>0</v>
      </c>
      <c r="O21" s="132">
        <f>IF(SER_hh_fec_in!O21=0,0,11630*1000*SER_hh_fec_in!O21/SER_hh_num_in!O21)</f>
        <v>0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0</v>
      </c>
      <c r="S21" s="132">
        <f>IF(SER_hh_fec_in!S21=0,0,11630*1000*SER_hh_fec_in!S21/SER_hh_num_in!S21)</f>
        <v>0</v>
      </c>
      <c r="T21" s="132">
        <f>IF(SER_hh_fec_in!T21=0,0,11630*1000*SER_hh_fec_in!T21/SER_hh_num_in!T21)</f>
        <v>0</v>
      </c>
      <c r="U21" s="132">
        <f>IF(SER_hh_fec_in!U21=0,0,11630*1000*SER_hh_fec_in!U21/SER_hh_num_in!U21)</f>
        <v>0</v>
      </c>
      <c r="V21" s="132">
        <f>IF(SER_hh_fec_in!V21=0,0,11630*1000*SER_hh_fec_in!V21/SER_hh_num_in!V21)</f>
        <v>0</v>
      </c>
      <c r="W21" s="132">
        <f>IF(SER_hh_fec_in!W21=0,0,11630*1000*SER_hh_fec_in!W21/SER_hh_num_in!W21)</f>
        <v>0</v>
      </c>
      <c r="X21" s="132">
        <f>IF(SER_hh_fec_in!X21=0,0,11630*1000*SER_hh_fec_in!X21/SER_hh_num_in!X21)</f>
        <v>0</v>
      </c>
      <c r="Y21" s="132">
        <f>IF(SER_hh_fec_in!Y21=0,0,11630*1000*SER_hh_fec_in!Y21/SER_hh_num_in!Y21)</f>
        <v>0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45252.948552197493</v>
      </c>
      <c r="D22" s="132">
        <f>IF(SER_hh_fec_in!D22=0,0,11630*1000*SER_hh_fec_in!D22/SER_hh_num_in!D22)</f>
        <v>44595.842717767533</v>
      </c>
      <c r="E22" s="132">
        <f>IF(SER_hh_fec_in!E22=0,0,11630*1000*SER_hh_fec_in!E22/SER_hh_num_in!E22)</f>
        <v>44241.873881036001</v>
      </c>
      <c r="F22" s="132">
        <f>IF(SER_hh_fec_in!F22=0,0,11630*1000*SER_hh_fec_in!F22/SER_hh_num_in!F22)</f>
        <v>43521.908474058393</v>
      </c>
      <c r="G22" s="132">
        <f>IF(SER_hh_fec_in!G22=0,0,11630*1000*SER_hh_fec_in!G22/SER_hh_num_in!G22)</f>
        <v>43110.391117047904</v>
      </c>
      <c r="H22" s="132">
        <f>IF(SER_hh_fec_in!H22=0,0,11630*1000*SER_hh_fec_in!H22/SER_hh_num_in!H22)</f>
        <v>43885.712270606105</v>
      </c>
      <c r="I22" s="132">
        <f>IF(SER_hh_fec_in!I22=0,0,11630*1000*SER_hh_fec_in!I22/SER_hh_num_in!I22)</f>
        <v>42444.022169352698</v>
      </c>
      <c r="J22" s="132">
        <f>IF(SER_hh_fec_in!J22=0,0,11630*1000*SER_hh_fec_in!J22/SER_hh_num_in!J22)</f>
        <v>43074.647595579307</v>
      </c>
      <c r="K22" s="132">
        <f>IF(SER_hh_fec_in!K22=0,0,11630*1000*SER_hh_fec_in!K22/SER_hh_num_in!K22)</f>
        <v>42279.958585394357</v>
      </c>
      <c r="L22" s="132">
        <f>IF(SER_hh_fec_in!L22=0,0,11630*1000*SER_hh_fec_in!L22/SER_hh_num_in!L22)</f>
        <v>41702.755492976299</v>
      </c>
      <c r="M22" s="132">
        <f>IF(SER_hh_fec_in!M22=0,0,11630*1000*SER_hh_fec_in!M22/SER_hh_num_in!M22)</f>
        <v>41302.799322641091</v>
      </c>
      <c r="N22" s="132">
        <f>IF(SER_hh_fec_in!N22=0,0,11630*1000*SER_hh_fec_in!N22/SER_hh_num_in!N22)</f>
        <v>39997.19289042028</v>
      </c>
      <c r="O22" s="132">
        <f>IF(SER_hh_fec_in!O22=0,0,11630*1000*SER_hh_fec_in!O22/SER_hh_num_in!O22)</f>
        <v>38345.904820949952</v>
      </c>
      <c r="P22" s="132">
        <f>IF(SER_hh_fec_in!P22=0,0,11630*1000*SER_hh_fec_in!P22/SER_hh_num_in!P22)</f>
        <v>35891.817146121874</v>
      </c>
      <c r="Q22" s="132">
        <f>IF(SER_hh_fec_in!Q22=0,0,11630*1000*SER_hh_fec_in!Q22/SER_hh_num_in!Q22)</f>
        <v>34451.95882690954</v>
      </c>
      <c r="R22" s="132">
        <f>IF(SER_hh_fec_in!R22=0,0,11630*1000*SER_hh_fec_in!R22/SER_hh_num_in!R22)</f>
        <v>33379.704065329533</v>
      </c>
      <c r="S22" s="132">
        <f>IF(SER_hh_fec_in!S22=0,0,11630*1000*SER_hh_fec_in!S22/SER_hh_num_in!S22)</f>
        <v>32672.881562372069</v>
      </c>
      <c r="T22" s="132">
        <f>IF(SER_hh_fec_in!T22=0,0,11630*1000*SER_hh_fec_in!T22/SER_hh_num_in!T22)</f>
        <v>31593.807549272155</v>
      </c>
      <c r="U22" s="132">
        <f>IF(SER_hh_fec_in!U22=0,0,11630*1000*SER_hh_fec_in!U22/SER_hh_num_in!U22)</f>
        <v>29799.268142318677</v>
      </c>
      <c r="V22" s="132">
        <f>IF(SER_hh_fec_in!V22=0,0,11630*1000*SER_hh_fec_in!V22/SER_hh_num_in!V22)</f>
        <v>26633.501109431352</v>
      </c>
      <c r="W22" s="132">
        <f>IF(SER_hh_fec_in!W22=0,0,11630*1000*SER_hh_fec_in!W22/SER_hh_num_in!W22)</f>
        <v>27944.222148475899</v>
      </c>
      <c r="X22" s="132">
        <f>IF(SER_hh_fec_in!X22=0,0,11630*1000*SER_hh_fec_in!X22/SER_hh_num_in!X22)</f>
        <v>27599.205505327183</v>
      </c>
      <c r="Y22" s="132">
        <f>IF(SER_hh_fec_in!Y22=0,0,11630*1000*SER_hh_fec_in!Y22/SER_hh_num_in!Y22)</f>
        <v>28766.595330958095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40158.067423002656</v>
      </c>
      <c r="D23" s="132">
        <f>IF(SER_hh_fec_in!D23=0,0,11630*1000*SER_hh_fec_in!D23/SER_hh_num_in!D23)</f>
        <v>41331.077740513087</v>
      </c>
      <c r="E23" s="132">
        <f>IF(SER_hh_fec_in!E23=0,0,11630*1000*SER_hh_fec_in!E23/SER_hh_num_in!E23)</f>
        <v>40062.626294967224</v>
      </c>
      <c r="F23" s="132">
        <f>IF(SER_hh_fec_in!F23=0,0,11630*1000*SER_hh_fec_in!F23/SER_hh_num_in!F23)</f>
        <v>39233.232399167187</v>
      </c>
      <c r="G23" s="132">
        <f>IF(SER_hh_fec_in!G23=0,0,11630*1000*SER_hh_fec_in!G23/SER_hh_num_in!G23)</f>
        <v>39584.858705263541</v>
      </c>
      <c r="H23" s="132">
        <f>IF(SER_hh_fec_in!H23=0,0,11630*1000*SER_hh_fec_in!H23/SER_hh_num_in!H23)</f>
        <v>37989.959249888925</v>
      </c>
      <c r="I23" s="132">
        <f>IF(SER_hh_fec_in!I23=0,0,11630*1000*SER_hh_fec_in!I23/SER_hh_num_in!I23)</f>
        <v>36832.065278424277</v>
      </c>
      <c r="J23" s="132">
        <f>IF(SER_hh_fec_in!J23=0,0,11630*1000*SER_hh_fec_in!J23/SER_hh_num_in!J23)</f>
        <v>38716.703151427282</v>
      </c>
      <c r="K23" s="132">
        <f>IF(SER_hh_fec_in!K23=0,0,11630*1000*SER_hh_fec_in!K23/SER_hh_num_in!K23)</f>
        <v>38749.528648578264</v>
      </c>
      <c r="L23" s="132">
        <f>IF(SER_hh_fec_in!L23=0,0,11630*1000*SER_hh_fec_in!L23/SER_hh_num_in!L23)</f>
        <v>37139.197476686088</v>
      </c>
      <c r="M23" s="132">
        <f>IF(SER_hh_fec_in!M23=0,0,11630*1000*SER_hh_fec_in!M23/SER_hh_num_in!M23)</f>
        <v>36612.634308142275</v>
      </c>
      <c r="N23" s="132">
        <f>IF(SER_hh_fec_in!N23=0,0,11630*1000*SER_hh_fec_in!N23/SER_hh_num_in!N23)</f>
        <v>35343.766887209727</v>
      </c>
      <c r="O23" s="132">
        <f>IF(SER_hh_fec_in!O23=0,0,11630*1000*SER_hh_fec_in!O23/SER_hh_num_in!O23)</f>
        <v>34089.160279656295</v>
      </c>
      <c r="P23" s="132">
        <f>IF(SER_hh_fec_in!P23=0,0,11630*1000*SER_hh_fec_in!P23/SER_hh_num_in!P23)</f>
        <v>32101.868776611176</v>
      </c>
      <c r="Q23" s="132">
        <f>IF(SER_hh_fec_in!Q23=0,0,11630*1000*SER_hh_fec_in!Q23/SER_hh_num_in!Q23)</f>
        <v>31173.35381935626</v>
      </c>
      <c r="R23" s="132">
        <f>IF(SER_hh_fec_in!R23=0,0,11630*1000*SER_hh_fec_in!R23/SER_hh_num_in!R23)</f>
        <v>30581.368629224005</v>
      </c>
      <c r="S23" s="132">
        <f>IF(SER_hh_fec_in!S23=0,0,11630*1000*SER_hh_fec_in!S23/SER_hh_num_in!S23)</f>
        <v>30427.677480815648</v>
      </c>
      <c r="T23" s="132">
        <f>IF(SER_hh_fec_in!T23=0,0,11630*1000*SER_hh_fec_in!T23/SER_hh_num_in!T23)</f>
        <v>28891.137356664276</v>
      </c>
      <c r="U23" s="132">
        <f>IF(SER_hh_fec_in!U23=0,0,11630*1000*SER_hh_fec_in!U23/SER_hh_num_in!U23)</f>
        <v>27945.778234346741</v>
      </c>
      <c r="V23" s="132">
        <f>IF(SER_hh_fec_in!V23=0,0,11630*1000*SER_hh_fec_in!V23/SER_hh_num_in!V23)</f>
        <v>27067.911263329825</v>
      </c>
      <c r="W23" s="132">
        <f>IF(SER_hh_fec_in!W23=0,0,11630*1000*SER_hh_fec_in!W23/SER_hh_num_in!W23)</f>
        <v>27319.052392706661</v>
      </c>
      <c r="X23" s="132">
        <f>IF(SER_hh_fec_in!X23=0,0,11630*1000*SER_hh_fec_in!X23/SER_hh_num_in!X23)</f>
        <v>27414.799245033322</v>
      </c>
      <c r="Y23" s="132">
        <f>IF(SER_hh_fec_in!Y23=0,0,11630*1000*SER_hh_fec_in!Y23/SER_hh_num_in!Y23)</f>
        <v>26566.822445416587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41110.113838215948</v>
      </c>
      <c r="D24" s="132">
        <f>IF(SER_hh_fec_in!D24=0,0,11630*1000*SER_hh_fec_in!D24/SER_hh_num_in!D24)</f>
        <v>40220.007173232771</v>
      </c>
      <c r="E24" s="132">
        <f>IF(SER_hh_fec_in!E24=0,0,11630*1000*SER_hh_fec_in!E24/SER_hh_num_in!E24)</f>
        <v>38717.074681214217</v>
      </c>
      <c r="F24" s="132">
        <f>IF(SER_hh_fec_in!F24=0,0,11630*1000*SER_hh_fec_in!F24/SER_hh_num_in!F24)</f>
        <v>39421.60729239713</v>
      </c>
      <c r="G24" s="132">
        <f>IF(SER_hh_fec_in!G24=0,0,11630*1000*SER_hh_fec_in!G24/SER_hh_num_in!G24)</f>
        <v>39117.615005900152</v>
      </c>
      <c r="H24" s="132">
        <f>IF(SER_hh_fec_in!H24=0,0,11630*1000*SER_hh_fec_in!H24/SER_hh_num_in!H24)</f>
        <v>38086.761110440748</v>
      </c>
      <c r="I24" s="132">
        <f>IF(SER_hh_fec_in!I24=0,0,11630*1000*SER_hh_fec_in!I24/SER_hh_num_in!I24)</f>
        <v>37415.530863120504</v>
      </c>
      <c r="J24" s="132">
        <f>IF(SER_hh_fec_in!J24=0,0,11630*1000*SER_hh_fec_in!J24/SER_hh_num_in!J24)</f>
        <v>35958.192128232222</v>
      </c>
      <c r="K24" s="132">
        <f>IF(SER_hh_fec_in!K24=0,0,11630*1000*SER_hh_fec_in!K24/SER_hh_num_in!K24)</f>
        <v>35734.641793266062</v>
      </c>
      <c r="L24" s="132">
        <f>IF(SER_hh_fec_in!L24=0,0,11630*1000*SER_hh_fec_in!L24/SER_hh_num_in!L24)</f>
        <v>35296.623342042811</v>
      </c>
      <c r="M24" s="132">
        <f>IF(SER_hh_fec_in!M24=0,0,11630*1000*SER_hh_fec_in!M24/SER_hh_num_in!M24)</f>
        <v>35449.644905289497</v>
      </c>
      <c r="N24" s="132">
        <f>IF(SER_hh_fec_in!N24=0,0,11630*1000*SER_hh_fec_in!N24/SER_hh_num_in!N24)</f>
        <v>34486.584383315989</v>
      </c>
      <c r="O24" s="132">
        <f>IF(SER_hh_fec_in!O24=0,0,11630*1000*SER_hh_fec_in!O24/SER_hh_num_in!O24)</f>
        <v>34559.940213411959</v>
      </c>
      <c r="P24" s="132">
        <f>IF(SER_hh_fec_in!P24=0,0,11630*1000*SER_hh_fec_in!P24/SER_hh_num_in!P24)</f>
        <v>33900.332915395229</v>
      </c>
      <c r="Q24" s="132">
        <f>IF(SER_hh_fec_in!Q24=0,0,11630*1000*SER_hh_fec_in!Q24/SER_hh_num_in!Q24)</f>
        <v>34126.523115886957</v>
      </c>
      <c r="R24" s="132">
        <f>IF(SER_hh_fec_in!R24=0,0,11630*1000*SER_hh_fec_in!R24/SER_hh_num_in!R24)</f>
        <v>32788.970742184407</v>
      </c>
      <c r="S24" s="132">
        <f>IF(SER_hh_fec_in!S24=0,0,11630*1000*SER_hh_fec_in!S24/SER_hh_num_in!S24)</f>
        <v>35443.173319831614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26081.197408583295</v>
      </c>
      <c r="W24" s="132">
        <f>IF(SER_hh_fec_in!W24=0,0,11630*1000*SER_hh_fec_in!W24/SER_hh_num_in!W24)</f>
        <v>27374.614134068139</v>
      </c>
      <c r="X24" s="132">
        <f>IF(SER_hh_fec_in!X24=0,0,11630*1000*SER_hh_fec_in!X24/SER_hh_num_in!X24)</f>
        <v>30351.024656244757</v>
      </c>
      <c r="Y24" s="132">
        <f>IF(SER_hh_fec_in!Y24=0,0,11630*1000*SER_hh_fec_in!Y24/SER_hh_num_in!Y24)</f>
        <v>28016.107148974505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30002.829488811545</v>
      </c>
      <c r="D25" s="132">
        <f>IF(SER_hh_fec_in!D25=0,0,11630*1000*SER_hh_fec_in!D25/SER_hh_num_in!D25)</f>
        <v>29618.052527102151</v>
      </c>
      <c r="E25" s="132">
        <f>IF(SER_hh_fec_in!E25=0,0,11630*1000*SER_hh_fec_in!E25/SER_hh_num_in!E25)</f>
        <v>29332.288443139492</v>
      </c>
      <c r="F25" s="132">
        <f>IF(SER_hh_fec_in!F25=0,0,11630*1000*SER_hh_fec_in!F25/SER_hh_num_in!F25)</f>
        <v>29086.2417613082</v>
      </c>
      <c r="G25" s="132">
        <f>IF(SER_hh_fec_in!G25=0,0,11630*1000*SER_hh_fec_in!G25/SER_hh_num_in!G25)</f>
        <v>28673.548630537116</v>
      </c>
      <c r="H25" s="132">
        <f>IF(SER_hh_fec_in!H25=0,0,11630*1000*SER_hh_fec_in!H25/SER_hh_num_in!H25)</f>
        <v>28778.722324526603</v>
      </c>
      <c r="I25" s="132">
        <f>IF(SER_hh_fec_in!I25=0,0,11630*1000*SER_hh_fec_in!I25/SER_hh_num_in!I25)</f>
        <v>28994.979037636003</v>
      </c>
      <c r="J25" s="132">
        <f>IF(SER_hh_fec_in!J25=0,0,11630*1000*SER_hh_fec_in!J25/SER_hh_num_in!J25)</f>
        <v>27982.952785957681</v>
      </c>
      <c r="K25" s="132">
        <f>IF(SER_hh_fec_in!K25=0,0,11630*1000*SER_hh_fec_in!K25/SER_hh_num_in!K25)</f>
        <v>28639.108532812501</v>
      </c>
      <c r="L25" s="132">
        <f>IF(SER_hh_fec_in!L25=0,0,11630*1000*SER_hh_fec_in!L25/SER_hh_num_in!L25)</f>
        <v>28418.881502746201</v>
      </c>
      <c r="M25" s="132">
        <f>IF(SER_hh_fec_in!M25=0,0,11630*1000*SER_hh_fec_in!M25/SER_hh_num_in!M25)</f>
        <v>28842.429958919878</v>
      </c>
      <c r="N25" s="132">
        <f>IF(SER_hh_fec_in!N25=0,0,11630*1000*SER_hh_fec_in!N25/SER_hh_num_in!N25)</f>
        <v>28377.650278205365</v>
      </c>
      <c r="O25" s="132">
        <f>IF(SER_hh_fec_in!O25=0,0,11630*1000*SER_hh_fec_in!O25/SER_hh_num_in!O25)</f>
        <v>28147.696551084129</v>
      </c>
      <c r="P25" s="132">
        <f>IF(SER_hh_fec_in!P25=0,0,11630*1000*SER_hh_fec_in!P25/SER_hh_num_in!P25)</f>
        <v>27068.820739092906</v>
      </c>
      <c r="Q25" s="132">
        <f>IF(SER_hh_fec_in!Q25=0,0,11630*1000*SER_hh_fec_in!Q25/SER_hh_num_in!Q25)</f>
        <v>27760.25727262556</v>
      </c>
      <c r="R25" s="132">
        <f>IF(SER_hh_fec_in!R25=0,0,11630*1000*SER_hh_fec_in!R25/SER_hh_num_in!R25)</f>
        <v>27538.924554715784</v>
      </c>
      <c r="S25" s="132">
        <f>IF(SER_hh_fec_in!S25=0,0,11630*1000*SER_hh_fec_in!S25/SER_hh_num_in!S25)</f>
        <v>27485.872318714533</v>
      </c>
      <c r="T25" s="132">
        <f>IF(SER_hh_fec_in!T25=0,0,11630*1000*SER_hh_fec_in!T25/SER_hh_num_in!T25)</f>
        <v>26290.492508787818</v>
      </c>
      <c r="U25" s="132">
        <f>IF(SER_hh_fec_in!U25=0,0,11630*1000*SER_hh_fec_in!U25/SER_hh_num_in!U25)</f>
        <v>25936.142899273538</v>
      </c>
      <c r="V25" s="132">
        <f>IF(SER_hh_fec_in!V25=0,0,11630*1000*SER_hh_fec_in!V25/SER_hh_num_in!V25)</f>
        <v>23606.261806331615</v>
      </c>
      <c r="W25" s="132">
        <f>IF(SER_hh_fec_in!W25=0,0,11630*1000*SER_hh_fec_in!W25/SER_hh_num_in!W25)</f>
        <v>24959.258044047372</v>
      </c>
      <c r="X25" s="132">
        <f>IF(SER_hh_fec_in!X25=0,0,11630*1000*SER_hh_fec_in!X25/SER_hh_num_in!X25)</f>
        <v>25747.926639206897</v>
      </c>
      <c r="Y25" s="132">
        <f>IF(SER_hh_fec_in!Y25=0,0,11630*1000*SER_hh_fec_in!Y25/SER_hh_num_in!Y25)</f>
        <v>24245.636842956348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37596.105492148512</v>
      </c>
      <c r="D26" s="65">
        <f>IF(SER_hh_fec_in!D26=0,0,11630*1000*SER_hh_fec_in!D26/SER_hh_num_in!D26)</f>
        <v>34312.447341738465</v>
      </c>
      <c r="E26" s="65">
        <f>IF(SER_hh_fec_in!E26=0,0,11630*1000*SER_hh_fec_in!E26/SER_hh_num_in!E26)</f>
        <v>34410.337231697427</v>
      </c>
      <c r="F26" s="65">
        <f>IF(SER_hh_fec_in!F26=0,0,11630*1000*SER_hh_fec_in!F26/SER_hh_num_in!F26)</f>
        <v>35318.155238233296</v>
      </c>
      <c r="G26" s="65">
        <f>IF(SER_hh_fec_in!G26=0,0,11630*1000*SER_hh_fec_in!G26/SER_hh_num_in!G26)</f>
        <v>34054.076201894044</v>
      </c>
      <c r="H26" s="65">
        <f>IF(SER_hh_fec_in!H26=0,0,11630*1000*SER_hh_fec_in!H26/SER_hh_num_in!H26)</f>
        <v>34705.529194714669</v>
      </c>
      <c r="I26" s="65">
        <f>IF(SER_hh_fec_in!I26=0,0,11630*1000*SER_hh_fec_in!I26/SER_hh_num_in!I26)</f>
        <v>34356.269443333142</v>
      </c>
      <c r="J26" s="65">
        <f>IF(SER_hh_fec_in!J26=0,0,11630*1000*SER_hh_fec_in!J26/SER_hh_num_in!J26)</f>
        <v>33225.021275243431</v>
      </c>
      <c r="K26" s="65">
        <f>IF(SER_hh_fec_in!K26=0,0,11630*1000*SER_hh_fec_in!K26/SER_hh_num_in!K26)</f>
        <v>35458.25019824005</v>
      </c>
      <c r="L26" s="65">
        <f>IF(SER_hh_fec_in!L26=0,0,11630*1000*SER_hh_fec_in!L26/SER_hh_num_in!L26)</f>
        <v>34369.835913811643</v>
      </c>
      <c r="M26" s="65">
        <f>IF(SER_hh_fec_in!M26=0,0,11630*1000*SER_hh_fec_in!M26/SER_hh_num_in!M26)</f>
        <v>34569.173134686294</v>
      </c>
      <c r="N26" s="65">
        <f>IF(SER_hh_fec_in!N26=0,0,11630*1000*SER_hh_fec_in!N26/SER_hh_num_in!N26)</f>
        <v>31998.335989671657</v>
      </c>
      <c r="O26" s="65">
        <f>IF(SER_hh_fec_in!O26=0,0,11630*1000*SER_hh_fec_in!O26/SER_hh_num_in!O26)</f>
        <v>32670.241814518606</v>
      </c>
      <c r="P26" s="65">
        <f>IF(SER_hh_fec_in!P26=0,0,11630*1000*SER_hh_fec_in!P26/SER_hh_num_in!P26)</f>
        <v>30642.345304858558</v>
      </c>
      <c r="Q26" s="65">
        <f>IF(SER_hh_fec_in!Q26=0,0,11630*1000*SER_hh_fec_in!Q26/SER_hh_num_in!Q26)</f>
        <v>28715.639517790798</v>
      </c>
      <c r="R26" s="65">
        <f>IF(SER_hh_fec_in!R26=0,0,11630*1000*SER_hh_fec_in!R26/SER_hh_num_in!R26)</f>
        <v>28755.404482127622</v>
      </c>
      <c r="S26" s="65">
        <f>IF(SER_hh_fec_in!S26=0,0,11630*1000*SER_hh_fec_in!S26/SER_hh_num_in!S26)</f>
        <v>28186.993643974667</v>
      </c>
      <c r="T26" s="65">
        <f>IF(SER_hh_fec_in!T26=0,0,11630*1000*SER_hh_fec_in!T26/SER_hh_num_in!T26)</f>
        <v>28390.536046976616</v>
      </c>
      <c r="U26" s="65">
        <f>IF(SER_hh_fec_in!U26=0,0,11630*1000*SER_hh_fec_in!U26/SER_hh_num_in!U26)</f>
        <v>27297.625741022068</v>
      </c>
      <c r="V26" s="65">
        <f>IF(SER_hh_fec_in!V26=0,0,11630*1000*SER_hh_fec_in!V26/SER_hh_num_in!V26)</f>
        <v>23393.922794651811</v>
      </c>
      <c r="W26" s="65">
        <f>IF(SER_hh_fec_in!W26=0,0,11630*1000*SER_hh_fec_in!W26/SER_hh_num_in!W26)</f>
        <v>24274.022632200384</v>
      </c>
      <c r="X26" s="65">
        <f>IF(SER_hh_fec_in!X26=0,0,11630*1000*SER_hh_fec_in!X26/SER_hh_num_in!X26)</f>
        <v>23150.177009475294</v>
      </c>
      <c r="Y26" s="65">
        <f>IF(SER_hh_fec_in!Y26=0,0,11630*1000*SER_hh_fec_in!Y26/SER_hh_num_in!Y26)</f>
        <v>24850.249369411249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0</v>
      </c>
      <c r="D27" s="145">
        <f>IF(SER_hh_fec_in!D27=0,0,11630*1000*SER_hh_fec_in!D27/SER_hh_num_in!D19)</f>
        <v>0</v>
      </c>
      <c r="E27" s="145">
        <f>IF(SER_hh_fec_in!E27=0,0,11630*1000*SER_hh_fec_in!E27/SER_hh_num_in!E19)</f>
        <v>0</v>
      </c>
      <c r="F27" s="145">
        <f>IF(SER_hh_fec_in!F27=0,0,11630*1000*SER_hh_fec_in!F27/SER_hh_num_in!F19)</f>
        <v>0</v>
      </c>
      <c r="G27" s="145">
        <f>IF(SER_hh_fec_in!G27=0,0,11630*1000*SER_hh_fec_in!G27/SER_hh_num_in!G19)</f>
        <v>0</v>
      </c>
      <c r="H27" s="145">
        <f>IF(SER_hh_fec_in!H27=0,0,11630*1000*SER_hh_fec_in!H27/SER_hh_num_in!H19)</f>
        <v>0</v>
      </c>
      <c r="I27" s="145">
        <f>IF(SER_hh_fec_in!I27=0,0,11630*1000*SER_hh_fec_in!I27/SER_hh_num_in!I19)</f>
        <v>0</v>
      </c>
      <c r="J27" s="145">
        <f>IF(SER_hh_fec_in!J27=0,0,11630*1000*SER_hh_fec_in!J27/SER_hh_num_in!J19)</f>
        <v>0</v>
      </c>
      <c r="K27" s="145">
        <f>IF(SER_hh_fec_in!K27=0,0,11630*1000*SER_hh_fec_in!K27/SER_hh_num_in!K19)</f>
        <v>0</v>
      </c>
      <c r="L27" s="145">
        <f>IF(SER_hh_fec_in!L27=0,0,11630*1000*SER_hh_fec_in!L27/SER_hh_num_in!L19)</f>
        <v>0</v>
      </c>
      <c r="M27" s="145">
        <f>IF(SER_hh_fec_in!M27=0,0,11630*1000*SER_hh_fec_in!M27/SER_hh_num_in!M19)</f>
        <v>0</v>
      </c>
      <c r="N27" s="145">
        <f>IF(SER_hh_fec_in!N27=0,0,11630*1000*SER_hh_fec_in!N27/SER_hh_num_in!N19)</f>
        <v>0</v>
      </c>
      <c r="O27" s="145">
        <f>IF(SER_hh_fec_in!O27=0,0,11630*1000*SER_hh_fec_in!O27/SER_hh_num_in!O19)</f>
        <v>0</v>
      </c>
      <c r="P27" s="145">
        <f>IF(SER_hh_fec_in!P27=0,0,11630*1000*SER_hh_fec_in!P27/SER_hh_num_in!P19)</f>
        <v>0</v>
      </c>
      <c r="Q27" s="145">
        <f>IF(SER_hh_fec_in!Q27=0,0,11630*1000*SER_hh_fec_in!Q27/SER_hh_num_in!Q19)</f>
        <v>0</v>
      </c>
      <c r="R27" s="145">
        <f>IF(SER_hh_fec_in!R27=0,0,11630*1000*SER_hh_fec_in!R27/SER_hh_num_in!R19)</f>
        <v>0</v>
      </c>
      <c r="S27" s="145">
        <f>IF(SER_hh_fec_in!S27=0,0,11630*1000*SER_hh_fec_in!S27/SER_hh_num_in!S19)</f>
        <v>0</v>
      </c>
      <c r="T27" s="145">
        <f>IF(SER_hh_fec_in!T27=0,0,11630*1000*SER_hh_fec_in!T27/SER_hh_num_in!T19)</f>
        <v>0</v>
      </c>
      <c r="U27" s="145">
        <f>IF(SER_hh_fec_in!U27=0,0,11630*1000*SER_hh_fec_in!U27/SER_hh_num_in!U19)</f>
        <v>0</v>
      </c>
      <c r="V27" s="145">
        <f>IF(SER_hh_fec_in!V27=0,0,11630*1000*SER_hh_fec_in!V27/SER_hh_num_in!V19)</f>
        <v>0</v>
      </c>
      <c r="W27" s="145">
        <f>IF(SER_hh_fec_in!W27=0,0,11630*1000*SER_hh_fec_in!W27/SER_hh_num_in!W19)</f>
        <v>0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0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0</v>
      </c>
      <c r="D28" s="146">
        <f>IF(SER_hh_fec_in!D27=0,0,11630*1000*SER_hh_fec_in!D27/SER_hh_num_in!D27)</f>
        <v>0</v>
      </c>
      <c r="E28" s="146">
        <f>IF(SER_hh_fec_in!E27=0,0,11630*1000*SER_hh_fec_in!E27/SER_hh_num_in!E27)</f>
        <v>0</v>
      </c>
      <c r="F28" s="146">
        <f>IF(SER_hh_fec_in!F27=0,0,11630*1000*SER_hh_fec_in!F27/SER_hh_num_in!F27)</f>
        <v>0</v>
      </c>
      <c r="G28" s="146">
        <f>IF(SER_hh_fec_in!G27=0,0,11630*1000*SER_hh_fec_in!G27/SER_hh_num_in!G27)</f>
        <v>0</v>
      </c>
      <c r="H28" s="146">
        <f>IF(SER_hh_fec_in!H27=0,0,11630*1000*SER_hh_fec_in!H27/SER_hh_num_in!H27)</f>
        <v>0</v>
      </c>
      <c r="I28" s="146">
        <f>IF(SER_hh_fec_in!I27=0,0,11630*1000*SER_hh_fec_in!I27/SER_hh_num_in!I27)</f>
        <v>0</v>
      </c>
      <c r="J28" s="146">
        <f>IF(SER_hh_fec_in!J27=0,0,11630*1000*SER_hh_fec_in!J27/SER_hh_num_in!J27)</f>
        <v>0</v>
      </c>
      <c r="K28" s="146">
        <f>IF(SER_hh_fec_in!K27=0,0,11630*1000*SER_hh_fec_in!K27/SER_hh_num_in!K27)</f>
        <v>0</v>
      </c>
      <c r="L28" s="146">
        <f>IF(SER_hh_fec_in!L27=0,0,11630*1000*SER_hh_fec_in!L27/SER_hh_num_in!L27)</f>
        <v>0</v>
      </c>
      <c r="M28" s="146">
        <f>IF(SER_hh_fec_in!M27=0,0,11630*1000*SER_hh_fec_in!M27/SER_hh_num_in!M27)</f>
        <v>0</v>
      </c>
      <c r="N28" s="146">
        <f>IF(SER_hh_fec_in!N27=0,0,11630*1000*SER_hh_fec_in!N27/SER_hh_num_in!N27)</f>
        <v>0</v>
      </c>
      <c r="O28" s="146">
        <f>IF(SER_hh_fec_in!O27=0,0,11630*1000*SER_hh_fec_in!O27/SER_hh_num_in!O27)</f>
        <v>0</v>
      </c>
      <c r="P28" s="146">
        <f>IF(SER_hh_fec_in!P27=0,0,11630*1000*SER_hh_fec_in!P27/SER_hh_num_in!P27)</f>
        <v>0</v>
      </c>
      <c r="Q28" s="146">
        <f>IF(SER_hh_fec_in!Q27=0,0,11630*1000*SER_hh_fec_in!Q27/SER_hh_num_in!Q27)</f>
        <v>0</v>
      </c>
      <c r="R28" s="146">
        <f>IF(SER_hh_fec_in!R27=0,0,11630*1000*SER_hh_fec_in!R27/SER_hh_num_in!R27)</f>
        <v>0</v>
      </c>
      <c r="S28" s="146">
        <f>IF(SER_hh_fec_in!S27=0,0,11630*1000*SER_hh_fec_in!S27/SER_hh_num_in!S27)</f>
        <v>0</v>
      </c>
      <c r="T28" s="146">
        <f>IF(SER_hh_fec_in!T27=0,0,11630*1000*SER_hh_fec_in!T27/SER_hh_num_in!T27)</f>
        <v>0</v>
      </c>
      <c r="U28" s="146">
        <f>IF(SER_hh_fec_in!U27=0,0,11630*1000*SER_hh_fec_in!U27/SER_hh_num_in!U27)</f>
        <v>0</v>
      </c>
      <c r="V28" s="146">
        <f>IF(SER_hh_fec_in!V27=0,0,11630*1000*SER_hh_fec_in!V27/SER_hh_num_in!V27)</f>
        <v>0</v>
      </c>
      <c r="W28" s="146">
        <f>IF(SER_hh_fec_in!W27=0,0,11630*1000*SER_hh_fec_in!W27/SER_hh_num_in!W27)</f>
        <v>0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51692.102887258545</v>
      </c>
      <c r="D29" s="130">
        <f>IF(SER_hh_fec_in!D29=0,0,11630*1000*SER_hh_fec_in!D29/SER_hh_num_in!D29)</f>
        <v>42186.929314376706</v>
      </c>
      <c r="E29" s="130">
        <f>IF(SER_hh_fec_in!E29=0,0,11630*1000*SER_hh_fec_in!E29/SER_hh_num_in!E29)</f>
        <v>42783.519627448462</v>
      </c>
      <c r="F29" s="130">
        <f>IF(SER_hh_fec_in!F29=0,0,11630*1000*SER_hh_fec_in!F29/SER_hh_num_in!F29)</f>
        <v>39259.955488110485</v>
      </c>
      <c r="G29" s="130">
        <f>IF(SER_hh_fec_in!G29=0,0,11630*1000*SER_hh_fec_in!G29/SER_hh_num_in!G29)</f>
        <v>39825.115211278455</v>
      </c>
      <c r="H29" s="130">
        <f>IF(SER_hh_fec_in!H29=0,0,11630*1000*SER_hh_fec_in!H29/SER_hh_num_in!H29)</f>
        <v>39448.578889819815</v>
      </c>
      <c r="I29" s="130">
        <f>IF(SER_hh_fec_in!I29=0,0,11630*1000*SER_hh_fec_in!I29/SER_hh_num_in!I29)</f>
        <v>37852.093616384307</v>
      </c>
      <c r="J29" s="130">
        <f>IF(SER_hh_fec_in!J29=0,0,11630*1000*SER_hh_fec_in!J29/SER_hh_num_in!J29)</f>
        <v>39184.664481376662</v>
      </c>
      <c r="K29" s="130">
        <f>IF(SER_hh_fec_in!K29=0,0,11630*1000*SER_hh_fec_in!K29/SER_hh_num_in!K29)</f>
        <v>40496.473163426279</v>
      </c>
      <c r="L29" s="130">
        <f>IF(SER_hh_fec_in!L29=0,0,11630*1000*SER_hh_fec_in!L29/SER_hh_num_in!L29)</f>
        <v>38920.290274775442</v>
      </c>
      <c r="M29" s="130">
        <f>IF(SER_hh_fec_in!M29=0,0,11630*1000*SER_hh_fec_in!M29/SER_hh_num_in!M29)</f>
        <v>37542.086916567983</v>
      </c>
      <c r="N29" s="130">
        <f>IF(SER_hh_fec_in!N29=0,0,11630*1000*SER_hh_fec_in!N29/SER_hh_num_in!N29)</f>
        <v>38773.818689627064</v>
      </c>
      <c r="O29" s="130">
        <f>IF(SER_hh_fec_in!O29=0,0,11630*1000*SER_hh_fec_in!O29/SER_hh_num_in!O29)</f>
        <v>39609.810397554764</v>
      </c>
      <c r="P29" s="130">
        <f>IF(SER_hh_fec_in!P29=0,0,11630*1000*SER_hh_fec_in!P29/SER_hh_num_in!P29)</f>
        <v>40428.028482113266</v>
      </c>
      <c r="Q29" s="130">
        <f>IF(SER_hh_fec_in!Q29=0,0,11630*1000*SER_hh_fec_in!Q29/SER_hh_num_in!Q29)</f>
        <v>39073.369316252501</v>
      </c>
      <c r="R29" s="130">
        <f>IF(SER_hh_fec_in!R29=0,0,11630*1000*SER_hh_fec_in!R29/SER_hh_num_in!R29)</f>
        <v>40720.841119468838</v>
      </c>
      <c r="S29" s="130">
        <f>IF(SER_hh_fec_in!S29=0,0,11630*1000*SER_hh_fec_in!S29/SER_hh_num_in!S29)</f>
        <v>40255.948646823155</v>
      </c>
      <c r="T29" s="130">
        <f>IF(SER_hh_fec_in!T29=0,0,11630*1000*SER_hh_fec_in!T29/SER_hh_num_in!T29)</f>
        <v>37455.240439330599</v>
      </c>
      <c r="U29" s="130">
        <f>IF(SER_hh_fec_in!U29=0,0,11630*1000*SER_hh_fec_in!U29/SER_hh_num_in!U29)</f>
        <v>37006.63445182157</v>
      </c>
      <c r="V29" s="130">
        <f>IF(SER_hh_fec_in!V29=0,0,11630*1000*SER_hh_fec_in!V29/SER_hh_num_in!V29)</f>
        <v>34243.239235766559</v>
      </c>
      <c r="W29" s="130">
        <f>IF(SER_hh_fec_in!W29=0,0,11630*1000*SER_hh_fec_in!W29/SER_hh_num_in!W29)</f>
        <v>33734.558502612883</v>
      </c>
      <c r="X29" s="130">
        <f>IF(SER_hh_fec_in!X29=0,0,11630*1000*SER_hh_fec_in!X29/SER_hh_num_in!X29)</f>
        <v>37823.070087198488</v>
      </c>
      <c r="Y29" s="130">
        <f>IF(SER_hh_fec_in!Y29=0,0,11630*1000*SER_hh_fec_in!Y29/SER_hh_num_in!Y29)</f>
        <v>34340.403135599292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80258.667733977563</v>
      </c>
      <c r="D30" s="132">
        <f>IF(SER_hh_fec_in!D30=0,0,11630*1000*SER_hh_fec_in!D30/SER_hh_num_in!D30)</f>
        <v>25253.844131952781</v>
      </c>
      <c r="E30" s="132">
        <f>IF(SER_hh_fec_in!E30=0,0,11630*1000*SER_hh_fec_in!E30/SER_hh_num_in!E30)</f>
        <v>65468.230584106495</v>
      </c>
      <c r="F30" s="132">
        <f>IF(SER_hh_fec_in!F30=0,0,11630*1000*SER_hh_fec_in!F30/SER_hh_num_in!F30)</f>
        <v>47515.942104224174</v>
      </c>
      <c r="G30" s="132">
        <f>IF(SER_hh_fec_in!G30=0,0,11630*1000*SER_hh_fec_in!G30/SER_hh_num_in!G30)</f>
        <v>46149.822134828217</v>
      </c>
      <c r="H30" s="132">
        <f>IF(SER_hh_fec_in!H30=0,0,11630*1000*SER_hh_fec_in!H30/SER_hh_num_in!H30)</f>
        <v>0</v>
      </c>
      <c r="I30" s="132">
        <f>IF(SER_hh_fec_in!I30=0,0,11630*1000*SER_hh_fec_in!I30/SER_hh_num_in!I30)</f>
        <v>0</v>
      </c>
      <c r="J30" s="132">
        <f>IF(SER_hh_fec_in!J30=0,0,11630*1000*SER_hh_fec_in!J30/SER_hh_num_in!J30)</f>
        <v>0</v>
      </c>
      <c r="K30" s="132">
        <f>IF(SER_hh_fec_in!K30=0,0,11630*1000*SER_hh_fec_in!K30/SER_hh_num_in!K30)</f>
        <v>0</v>
      </c>
      <c r="L30" s="132">
        <f>IF(SER_hh_fec_in!L30=0,0,11630*1000*SER_hh_fec_in!L30/SER_hh_num_in!L30)</f>
        <v>0</v>
      </c>
      <c r="M30" s="132">
        <f>IF(SER_hh_fec_in!M30=0,0,11630*1000*SER_hh_fec_in!M30/SER_hh_num_in!M30)</f>
        <v>0</v>
      </c>
      <c r="N30" s="132">
        <f>IF(SER_hh_fec_in!N30=0,0,11630*1000*SER_hh_fec_in!N30/SER_hh_num_in!N30)</f>
        <v>50884.760697352758</v>
      </c>
      <c r="O30" s="132">
        <f>IF(SER_hh_fec_in!O30=0,0,11630*1000*SER_hh_fec_in!O30/SER_hh_num_in!O30)</f>
        <v>44191.337581728978</v>
      </c>
      <c r="P30" s="132">
        <f>IF(SER_hh_fec_in!P30=0,0,11630*1000*SER_hh_fec_in!P30/SER_hh_num_in!P30)</f>
        <v>49907.459826265527</v>
      </c>
      <c r="Q30" s="132">
        <f>IF(SER_hh_fec_in!Q30=0,0,11630*1000*SER_hh_fec_in!Q30/SER_hh_num_in!Q30)</f>
        <v>38399.453687191366</v>
      </c>
      <c r="R30" s="132">
        <f>IF(SER_hh_fec_in!R30=0,0,11630*1000*SER_hh_fec_in!R30/SER_hh_num_in!R30)</f>
        <v>47336.008917537685</v>
      </c>
      <c r="S30" s="132">
        <f>IF(SER_hh_fec_in!S30=0,0,11630*1000*SER_hh_fec_in!S30/SER_hh_num_in!S30)</f>
        <v>57367.030733967287</v>
      </c>
      <c r="T30" s="132">
        <f>IF(SER_hh_fec_in!T30=0,0,11630*1000*SER_hh_fec_in!T30/SER_hh_num_in!T30)</f>
        <v>48329.653600175065</v>
      </c>
      <c r="U30" s="132">
        <f>IF(SER_hh_fec_in!U30=0,0,11630*1000*SER_hh_fec_in!U30/SER_hh_num_in!U30)</f>
        <v>0</v>
      </c>
      <c r="V30" s="132">
        <f>IF(SER_hh_fec_in!V30=0,0,11630*1000*SER_hh_fec_in!V30/SER_hh_num_in!V30)</f>
        <v>39234.163514198568</v>
      </c>
      <c r="W30" s="132">
        <f>IF(SER_hh_fec_in!W30=0,0,11630*1000*SER_hh_fec_in!W30/SER_hh_num_in!W30)</f>
        <v>40152.929075325468</v>
      </c>
      <c r="X30" s="132">
        <f>IF(SER_hh_fec_in!X30=0,0,11630*1000*SER_hh_fec_in!X30/SER_hh_num_in!X30)</f>
        <v>58051.095070238778</v>
      </c>
      <c r="Y30" s="132">
        <f>IF(SER_hh_fec_in!Y30=0,0,11630*1000*SER_hh_fec_in!Y30/SER_hh_num_in!Y30)</f>
        <v>39792.979079812416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53916.965313076114</v>
      </c>
      <c r="D31" s="132">
        <f>IF(SER_hh_fec_in!D31=0,0,11630*1000*SER_hh_fec_in!D31/SER_hh_num_in!D31)</f>
        <v>54660.272519720107</v>
      </c>
      <c r="E31" s="132">
        <f>IF(SER_hh_fec_in!E31=0,0,11630*1000*SER_hh_fec_in!E31/SER_hh_num_in!E31)</f>
        <v>48475.255679071488</v>
      </c>
      <c r="F31" s="132">
        <f>IF(SER_hh_fec_in!F31=0,0,11630*1000*SER_hh_fec_in!F31/SER_hh_num_in!F31)</f>
        <v>50128.787981625021</v>
      </c>
      <c r="G31" s="132">
        <f>IF(SER_hh_fec_in!G31=0,0,11630*1000*SER_hh_fec_in!G31/SER_hh_num_in!G31)</f>
        <v>49350.983523531315</v>
      </c>
      <c r="H31" s="132">
        <f>IF(SER_hh_fec_in!H31=0,0,11630*1000*SER_hh_fec_in!H31/SER_hh_num_in!H31)</f>
        <v>47939.891553319736</v>
      </c>
      <c r="I31" s="132">
        <f>IF(SER_hh_fec_in!I31=0,0,11630*1000*SER_hh_fec_in!I31/SER_hh_num_in!I31)</f>
        <v>47839.739286585667</v>
      </c>
      <c r="J31" s="132">
        <f>IF(SER_hh_fec_in!J31=0,0,11630*1000*SER_hh_fec_in!J31/SER_hh_num_in!J31)</f>
        <v>49510.854852910023</v>
      </c>
      <c r="K31" s="132">
        <f>IF(SER_hh_fec_in!K31=0,0,11630*1000*SER_hh_fec_in!K31/SER_hh_num_in!K31)</f>
        <v>51256.276320941877</v>
      </c>
      <c r="L31" s="132">
        <f>IF(SER_hh_fec_in!L31=0,0,11630*1000*SER_hh_fec_in!L31/SER_hh_num_in!L31)</f>
        <v>50819.469499353108</v>
      </c>
      <c r="M31" s="132">
        <f>IF(SER_hh_fec_in!M31=0,0,11630*1000*SER_hh_fec_in!M31/SER_hh_num_in!M31)</f>
        <v>52049.141566134997</v>
      </c>
      <c r="N31" s="132">
        <f>IF(SER_hh_fec_in!N31=0,0,11630*1000*SER_hh_fec_in!N31/SER_hh_num_in!N31)</f>
        <v>0</v>
      </c>
      <c r="O31" s="132">
        <f>IF(SER_hh_fec_in!O31=0,0,11630*1000*SER_hh_fec_in!O31/SER_hh_num_in!O31)</f>
        <v>46489.66306623954</v>
      </c>
      <c r="P31" s="132">
        <f>IF(SER_hh_fec_in!P31=0,0,11630*1000*SER_hh_fec_in!P31/SER_hh_num_in!P31)</f>
        <v>48801.966240157737</v>
      </c>
      <c r="Q31" s="132">
        <f>IF(SER_hh_fec_in!Q31=0,0,11630*1000*SER_hh_fec_in!Q31/SER_hh_num_in!Q31)</f>
        <v>45527.808842996732</v>
      </c>
      <c r="R31" s="132">
        <f>IF(SER_hh_fec_in!R31=0,0,11630*1000*SER_hh_fec_in!R31/SER_hh_num_in!R31)</f>
        <v>47670.351510982495</v>
      </c>
      <c r="S31" s="132">
        <f>IF(SER_hh_fec_in!S31=0,0,11630*1000*SER_hh_fec_in!S31/SER_hh_num_in!S31)</f>
        <v>47153.09298103919</v>
      </c>
      <c r="T31" s="132">
        <f>IF(SER_hh_fec_in!T31=0,0,11630*1000*SER_hh_fec_in!T31/SER_hh_num_in!T31)</f>
        <v>45915.721679662536</v>
      </c>
      <c r="U31" s="132">
        <f>IF(SER_hh_fec_in!U31=0,0,11630*1000*SER_hh_fec_in!U31/SER_hh_num_in!U31)</f>
        <v>45258.952878449461</v>
      </c>
      <c r="V31" s="132">
        <f>IF(SER_hh_fec_in!V31=0,0,11630*1000*SER_hh_fec_in!V31/SER_hh_num_in!V31)</f>
        <v>44664.395765109155</v>
      </c>
      <c r="W31" s="132">
        <f>IF(SER_hh_fec_in!W31=0,0,11630*1000*SER_hh_fec_in!W31/SER_hh_num_in!W31)</f>
        <v>44546.031718472681</v>
      </c>
      <c r="X31" s="132">
        <f>IF(SER_hh_fec_in!X31=0,0,11630*1000*SER_hh_fec_in!X31/SER_hh_num_in!X31)</f>
        <v>42364.71924193234</v>
      </c>
      <c r="Y31" s="132">
        <f>IF(SER_hh_fec_in!Y31=0,0,11630*1000*SER_hh_fec_in!Y31/SER_hh_num_in!Y31)</f>
        <v>45390.857353820116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39047.416482822227</v>
      </c>
      <c r="D33" s="68">
        <f>IF(SER_hh_fec_in!D33=0,0,11630*1000*SER_hh_fec_in!D33/SER_hh_num_in!D33)</f>
        <v>37757.207179522287</v>
      </c>
      <c r="E33" s="68">
        <f>IF(SER_hh_fec_in!E33=0,0,11630*1000*SER_hh_fec_in!E33/SER_hh_num_in!E33)</f>
        <v>35809.116969695795</v>
      </c>
      <c r="F33" s="68">
        <f>IF(SER_hh_fec_in!F33=0,0,11630*1000*SER_hh_fec_in!F33/SER_hh_num_in!F33)</f>
        <v>36864.370690969357</v>
      </c>
      <c r="G33" s="68">
        <f>IF(SER_hh_fec_in!G33=0,0,11630*1000*SER_hh_fec_in!G33/SER_hh_num_in!G33)</f>
        <v>38052.902640553446</v>
      </c>
      <c r="H33" s="68">
        <f>IF(SER_hh_fec_in!H33=0,0,11630*1000*SER_hh_fec_in!H33/SER_hh_num_in!H33)</f>
        <v>37985.261297344507</v>
      </c>
      <c r="I33" s="68">
        <f>IF(SER_hh_fec_in!I33=0,0,11630*1000*SER_hh_fec_in!I33/SER_hh_num_in!I33)</f>
        <v>35707.849077411469</v>
      </c>
      <c r="J33" s="68">
        <f>IF(SER_hh_fec_in!J33=0,0,11630*1000*SER_hh_fec_in!J33/SER_hh_num_in!J33)</f>
        <v>36554.636159427559</v>
      </c>
      <c r="K33" s="68">
        <f>IF(SER_hh_fec_in!K33=0,0,11630*1000*SER_hh_fec_in!K33/SER_hh_num_in!K33)</f>
        <v>37588.448186984926</v>
      </c>
      <c r="L33" s="68">
        <f>IF(SER_hh_fec_in!L33=0,0,11630*1000*SER_hh_fec_in!L33/SER_hh_num_in!L33)</f>
        <v>36835.911339540005</v>
      </c>
      <c r="M33" s="68">
        <f>IF(SER_hh_fec_in!M33=0,0,11630*1000*SER_hh_fec_in!M33/SER_hh_num_in!M33)</f>
        <v>37136.479428663639</v>
      </c>
      <c r="N33" s="68">
        <f>IF(SER_hh_fec_in!N33=0,0,11630*1000*SER_hh_fec_in!N33/SER_hh_num_in!N33)</f>
        <v>37322.487489565763</v>
      </c>
      <c r="O33" s="68">
        <f>IF(SER_hh_fec_in!O33=0,0,11630*1000*SER_hh_fec_in!O33/SER_hh_num_in!O33)</f>
        <v>38281.134189537115</v>
      </c>
      <c r="P33" s="68">
        <f>IF(SER_hh_fec_in!P33=0,0,11630*1000*SER_hh_fec_in!P33/SER_hh_num_in!P33)</f>
        <v>36843.684568817727</v>
      </c>
      <c r="Q33" s="68">
        <f>IF(SER_hh_fec_in!Q33=0,0,11630*1000*SER_hh_fec_in!Q33/SER_hh_num_in!Q33)</f>
        <v>37248.723147445235</v>
      </c>
      <c r="R33" s="68">
        <f>IF(SER_hh_fec_in!R33=0,0,11630*1000*SER_hh_fec_in!R33/SER_hh_num_in!R33)</f>
        <v>34709.008643999492</v>
      </c>
      <c r="S33" s="68">
        <f>IF(SER_hh_fec_in!S33=0,0,11630*1000*SER_hh_fec_in!S33/SER_hh_num_in!S33)</f>
        <v>33201.00224902686</v>
      </c>
      <c r="T33" s="68">
        <f>IF(SER_hh_fec_in!T33=0,0,11630*1000*SER_hh_fec_in!T33/SER_hh_num_in!T33)</f>
        <v>33105.445711030283</v>
      </c>
      <c r="U33" s="68">
        <f>IF(SER_hh_fec_in!U33=0,0,11630*1000*SER_hh_fec_in!U33/SER_hh_num_in!U33)</f>
        <v>33437.838474905533</v>
      </c>
      <c r="V33" s="68">
        <f>IF(SER_hh_fec_in!V33=0,0,11630*1000*SER_hh_fec_in!V33/SER_hh_num_in!V33)</f>
        <v>29595.257028232365</v>
      </c>
      <c r="W33" s="68">
        <f>IF(SER_hh_fec_in!W33=0,0,11630*1000*SER_hh_fec_in!W33/SER_hh_num_in!W33)</f>
        <v>30924.801324959499</v>
      </c>
      <c r="X33" s="68">
        <f>IF(SER_hh_fec_in!X33=0,0,11630*1000*SER_hh_fec_in!X33/SER_hh_num_in!X33)</f>
        <v>30687.305074991138</v>
      </c>
      <c r="Y33" s="68">
        <f>IF(SER_hh_fec_in!Y33=0,0,11630*1000*SER_hh_fec_in!Y33/SER_hh_num_in!Y33)</f>
        <v>31245.709363947677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238340.04769143419</v>
      </c>
      <c r="D3" s="125">
        <f>IF(SER_hh_tes_in!D3=0,0,11630*1000*SER_hh_tes_in!D3/SER_hh_num_in!D3)</f>
        <v>248589.68766725567</v>
      </c>
      <c r="E3" s="125">
        <f>IF(SER_hh_tes_in!E3=0,0,11630*1000*SER_hh_tes_in!E3/SER_hh_num_in!E3)</f>
        <v>246296.21524973924</v>
      </c>
      <c r="F3" s="125">
        <f>IF(SER_hh_tes_in!F3=0,0,11630*1000*SER_hh_tes_in!F3/SER_hh_num_in!F3)</f>
        <v>240929.81258721207</v>
      </c>
      <c r="G3" s="125">
        <f>IF(SER_hh_tes_in!G3=0,0,11630*1000*SER_hh_tes_in!G3/SER_hh_num_in!G3)</f>
        <v>230504.59508742084</v>
      </c>
      <c r="H3" s="125">
        <f>IF(SER_hh_tes_in!H3=0,0,11630*1000*SER_hh_tes_in!H3/SER_hh_num_in!H3)</f>
        <v>228250.44714986536</v>
      </c>
      <c r="I3" s="125">
        <f>IF(SER_hh_tes_in!I3=0,0,11630*1000*SER_hh_tes_in!I3/SER_hh_num_in!I3)</f>
        <v>228446.48901923362</v>
      </c>
      <c r="J3" s="125">
        <f>IF(SER_hh_tes_in!J3=0,0,11630*1000*SER_hh_tes_in!J3/SER_hh_num_in!J3)</f>
        <v>200508.56313908988</v>
      </c>
      <c r="K3" s="125">
        <f>IF(SER_hh_tes_in!K3=0,0,11630*1000*SER_hh_tes_in!K3/SER_hh_num_in!K3)</f>
        <v>196927.99409377563</v>
      </c>
      <c r="L3" s="125">
        <f>IF(SER_hh_tes_in!L3=0,0,11630*1000*SER_hh_tes_in!L3/SER_hh_num_in!L3)</f>
        <v>205956.53338016832</v>
      </c>
      <c r="M3" s="125">
        <f>IF(SER_hh_tes_in!M3=0,0,11630*1000*SER_hh_tes_in!M3/SER_hh_num_in!M3)</f>
        <v>173816.72853660793</v>
      </c>
      <c r="N3" s="125">
        <f>IF(SER_hh_tes_in!N3=0,0,11630*1000*SER_hh_tes_in!N3/SER_hh_num_in!N3)</f>
        <v>208301.05216040293</v>
      </c>
      <c r="O3" s="125">
        <f>IF(SER_hh_tes_in!O3=0,0,11630*1000*SER_hh_tes_in!O3/SER_hh_num_in!O3)</f>
        <v>191568.26275534034</v>
      </c>
      <c r="P3" s="125">
        <f>IF(SER_hh_tes_in!P3=0,0,11630*1000*SER_hh_tes_in!P3/SER_hh_num_in!P3)</f>
        <v>188644.17337528261</v>
      </c>
      <c r="Q3" s="125">
        <f>IF(SER_hh_tes_in!Q3=0,0,11630*1000*SER_hh_tes_in!Q3/SER_hh_num_in!Q3)</f>
        <v>170141.40253110908</v>
      </c>
      <c r="R3" s="125">
        <f>IF(SER_hh_tes_in!R3=0,0,11630*1000*SER_hh_tes_in!R3/SER_hh_num_in!R3)</f>
        <v>170569.62243191194</v>
      </c>
      <c r="S3" s="125">
        <f>IF(SER_hh_tes_in!S3=0,0,11630*1000*SER_hh_tes_in!S3/SER_hh_num_in!S3)</f>
        <v>167486.03312852091</v>
      </c>
      <c r="T3" s="125">
        <f>IF(SER_hh_tes_in!T3=0,0,11630*1000*SER_hh_tes_in!T3/SER_hh_num_in!T3)</f>
        <v>161074.67608740879</v>
      </c>
      <c r="U3" s="125">
        <f>IF(SER_hh_tes_in!U3=0,0,11630*1000*SER_hh_tes_in!U3/SER_hh_num_in!U3)</f>
        <v>149619.26376064692</v>
      </c>
      <c r="V3" s="125">
        <f>IF(SER_hh_tes_in!V3=0,0,11630*1000*SER_hh_tes_in!V3/SER_hh_num_in!V3)</f>
        <v>137544.36192942163</v>
      </c>
      <c r="W3" s="125">
        <f>IF(SER_hh_tes_in!W3=0,0,11630*1000*SER_hh_tes_in!W3/SER_hh_num_in!W3)</f>
        <v>137856.91419326028</v>
      </c>
      <c r="X3" s="125">
        <f>IF(SER_hh_tes_in!X3=0,0,11630*1000*SER_hh_tes_in!X3/SER_hh_num_in!X3)</f>
        <v>114836.91841468896</v>
      </c>
      <c r="Y3" s="125">
        <f>IF(SER_hh_tes_in!Y3=0,0,11630*1000*SER_hh_tes_in!Y3/SER_hh_num_in!Y3)</f>
        <v>111779.44571316878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176689.81991787208</v>
      </c>
      <c r="D4" s="130">
        <f>IF(SER_hh_tes_in!D4=0,0,11630*1000*SER_hh_tes_in!D4/SER_hh_num_in!D4)</f>
        <v>192299.88745239819</v>
      </c>
      <c r="E4" s="130">
        <f>IF(SER_hh_tes_in!E4=0,0,11630*1000*SER_hh_tes_in!E4/SER_hh_num_in!E4)</f>
        <v>189341.82329194888</v>
      </c>
      <c r="F4" s="130">
        <f>IF(SER_hh_tes_in!F4=0,0,11630*1000*SER_hh_tes_in!F4/SER_hh_num_in!F4)</f>
        <v>185643.04631290451</v>
      </c>
      <c r="G4" s="130">
        <f>IF(SER_hh_tes_in!G4=0,0,11630*1000*SER_hh_tes_in!G4/SER_hh_num_in!G4)</f>
        <v>172478.35449960505</v>
      </c>
      <c r="H4" s="130">
        <f>IF(SER_hh_tes_in!H4=0,0,11630*1000*SER_hh_tes_in!H4/SER_hh_num_in!H4)</f>
        <v>171553.21352113513</v>
      </c>
      <c r="I4" s="130">
        <f>IF(SER_hh_tes_in!I4=0,0,11630*1000*SER_hh_tes_in!I4/SER_hh_num_in!I4)</f>
        <v>172813.86887237499</v>
      </c>
      <c r="J4" s="130">
        <f>IF(SER_hh_tes_in!J4=0,0,11630*1000*SER_hh_tes_in!J4/SER_hh_num_in!J4)</f>
        <v>140546.9987352952</v>
      </c>
      <c r="K4" s="130">
        <f>IF(SER_hh_tes_in!K4=0,0,11630*1000*SER_hh_tes_in!K4/SER_hh_num_in!K4)</f>
        <v>125888.9991845428</v>
      </c>
      <c r="L4" s="130">
        <f>IF(SER_hh_tes_in!L4=0,0,11630*1000*SER_hh_tes_in!L4/SER_hh_num_in!L4)</f>
        <v>132081.23335191509</v>
      </c>
      <c r="M4" s="130">
        <f>IF(SER_hh_tes_in!M4=0,0,11630*1000*SER_hh_tes_in!M4/SER_hh_num_in!M4)</f>
        <v>107003.24494508737</v>
      </c>
      <c r="N4" s="130">
        <f>IF(SER_hh_tes_in!N4=0,0,11630*1000*SER_hh_tes_in!N4/SER_hh_num_in!N4)</f>
        <v>137446.56887623284</v>
      </c>
      <c r="O4" s="130">
        <f>IF(SER_hh_tes_in!O4=0,0,11630*1000*SER_hh_tes_in!O4/SER_hh_num_in!O4)</f>
        <v>120679.55563401531</v>
      </c>
      <c r="P4" s="130">
        <f>IF(SER_hh_tes_in!P4=0,0,11630*1000*SER_hh_tes_in!P4/SER_hh_num_in!P4)</f>
        <v>117636.28750688175</v>
      </c>
      <c r="Q4" s="130">
        <f>IF(SER_hh_tes_in!Q4=0,0,11630*1000*SER_hh_tes_in!Q4/SER_hh_num_in!Q4)</f>
        <v>100935.20817274653</v>
      </c>
      <c r="R4" s="130">
        <f>IF(SER_hh_tes_in!R4=0,0,11630*1000*SER_hh_tes_in!R4/SER_hh_num_in!R4)</f>
        <v>101477.27022595788</v>
      </c>
      <c r="S4" s="130">
        <f>IF(SER_hh_tes_in!S4=0,0,11630*1000*SER_hh_tes_in!S4/SER_hh_num_in!S4)</f>
        <v>97998.053028528724</v>
      </c>
      <c r="T4" s="130">
        <f>IF(SER_hh_tes_in!T4=0,0,11630*1000*SER_hh_tes_in!T4/SER_hh_num_in!T4)</f>
        <v>91491.336109143871</v>
      </c>
      <c r="U4" s="130">
        <f>IF(SER_hh_tes_in!U4=0,0,11630*1000*SER_hh_tes_in!U4/SER_hh_num_in!U4)</f>
        <v>81368.351790341912</v>
      </c>
      <c r="V4" s="130">
        <f>IF(SER_hh_tes_in!V4=0,0,11630*1000*SER_hh_tes_in!V4/SER_hh_num_in!V4)</f>
        <v>74061.978263981</v>
      </c>
      <c r="W4" s="130">
        <f>IF(SER_hh_tes_in!W4=0,0,11630*1000*SER_hh_tes_in!W4/SER_hh_num_in!W4)</f>
        <v>71623.898876949155</v>
      </c>
      <c r="X4" s="130">
        <f>IF(SER_hh_tes_in!X4=0,0,11630*1000*SER_hh_tes_in!X4/SER_hh_num_in!X4)</f>
        <v>50053.431943894764</v>
      </c>
      <c r="Y4" s="130">
        <f>IF(SER_hh_tes_in!Y4=0,0,11630*1000*SER_hh_tes_in!Y4/SER_hh_num_in!Y4)</f>
        <v>47817.774302543636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183581.59572363712</v>
      </c>
      <c r="D5" s="132">
        <f>IF(SER_hh_tes_in!D5=0,0,11630*1000*SER_hh_tes_in!D5/SER_hh_num_in!D5)</f>
        <v>183826.0901107041</v>
      </c>
      <c r="E5" s="132">
        <f>IF(SER_hh_tes_in!E5=0,0,11630*1000*SER_hh_tes_in!E5/SER_hh_num_in!E5)</f>
        <v>182313.52987711609</v>
      </c>
      <c r="F5" s="132">
        <f>IF(SER_hh_tes_in!F5=0,0,11630*1000*SER_hh_tes_in!F5/SER_hh_num_in!F5)</f>
        <v>185921.194760218</v>
      </c>
      <c r="G5" s="132">
        <f>IF(SER_hh_tes_in!G5=0,0,11630*1000*SER_hh_tes_in!G5/SER_hh_num_in!G5)</f>
        <v>160035.3439849159</v>
      </c>
      <c r="H5" s="132">
        <f>IF(SER_hh_tes_in!H5=0,0,11630*1000*SER_hh_tes_in!H5/SER_hh_num_in!H5)</f>
        <v>168375.584861443</v>
      </c>
      <c r="I5" s="132">
        <f>IF(SER_hh_tes_in!I5=0,0,11630*1000*SER_hh_tes_in!I5/SER_hh_num_in!I5)</f>
        <v>169384.09906116029</v>
      </c>
      <c r="J5" s="132">
        <f>IF(SER_hh_tes_in!J5=0,0,11630*1000*SER_hh_tes_in!J5/SER_hh_num_in!J5)</f>
        <v>143670.93355464554</v>
      </c>
      <c r="K5" s="132">
        <f>IF(SER_hh_tes_in!K5=0,0,11630*1000*SER_hh_tes_in!K5/SER_hh_num_in!K5)</f>
        <v>106186.95016687008</v>
      </c>
      <c r="L5" s="132">
        <f>IF(SER_hh_tes_in!L5=0,0,11630*1000*SER_hh_tes_in!L5/SER_hh_num_in!L5)</f>
        <v>143528.41693995299</v>
      </c>
      <c r="M5" s="132">
        <f>IF(SER_hh_tes_in!M5=0,0,11630*1000*SER_hh_tes_in!M5/SER_hh_num_in!M5)</f>
        <v>134530.75235762366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27063.786760802755</v>
      </c>
      <c r="Y5" s="132">
        <f>IF(SER_hh_tes_in!Y5=0,0,11630*1000*SER_hh_tes_in!Y5/SER_hh_num_in!Y5)</f>
        <v>56519.78217943784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184782.81349225756</v>
      </c>
      <c r="D7" s="132">
        <f>IF(SER_hh_tes_in!D7=0,0,11630*1000*SER_hh_tes_in!D7/SER_hh_num_in!D7)</f>
        <v>177290.32780355314</v>
      </c>
      <c r="E7" s="132">
        <f>IF(SER_hh_tes_in!E7=0,0,11630*1000*SER_hh_tes_in!E7/SER_hh_num_in!E7)</f>
        <v>189436.64817796866</v>
      </c>
      <c r="F7" s="132">
        <f>IF(SER_hh_tes_in!F7=0,0,11630*1000*SER_hh_tes_in!F7/SER_hh_num_in!F7)</f>
        <v>190420.26122379093</v>
      </c>
      <c r="G7" s="132">
        <f>IF(SER_hh_tes_in!G7=0,0,11630*1000*SER_hh_tes_in!G7/SER_hh_num_in!G7)</f>
        <v>150889.93692897973</v>
      </c>
      <c r="H7" s="132">
        <f>IF(SER_hh_tes_in!H7=0,0,11630*1000*SER_hh_tes_in!H7/SER_hh_num_in!H7)</f>
        <v>193687.88603310744</v>
      </c>
      <c r="I7" s="132">
        <f>IF(SER_hh_tes_in!I7=0,0,11630*1000*SER_hh_tes_in!I7/SER_hh_num_in!I7)</f>
        <v>158725.61323306104</v>
      </c>
      <c r="J7" s="132">
        <f>IF(SER_hh_tes_in!J7=0,0,11630*1000*SER_hh_tes_in!J7/SER_hh_num_in!J7)</f>
        <v>132862.46111029509</v>
      </c>
      <c r="K7" s="132">
        <f>IF(SER_hh_tes_in!K7=0,0,11630*1000*SER_hh_tes_in!K7/SER_hh_num_in!K7)</f>
        <v>124585.21162438006</v>
      </c>
      <c r="L7" s="132">
        <f>IF(SER_hh_tes_in!L7=0,0,11630*1000*SER_hh_tes_in!L7/SER_hh_num_in!L7)</f>
        <v>122233.28726362476</v>
      </c>
      <c r="M7" s="132">
        <f>IF(SER_hh_tes_in!M7=0,0,11630*1000*SER_hh_tes_in!M7/SER_hh_num_in!M7)</f>
        <v>100047.35971873833</v>
      </c>
      <c r="N7" s="132">
        <f>IF(SER_hh_tes_in!N7=0,0,11630*1000*SER_hh_tes_in!N7/SER_hh_num_in!N7)</f>
        <v>126990.79234368546</v>
      </c>
      <c r="O7" s="132">
        <f>IF(SER_hh_tes_in!O7=0,0,11630*1000*SER_hh_tes_in!O7/SER_hh_num_in!O7)</f>
        <v>117960.86923581072</v>
      </c>
      <c r="P7" s="132">
        <f>IF(SER_hh_tes_in!P7=0,0,11630*1000*SER_hh_tes_in!P7/SER_hh_num_in!P7)</f>
        <v>117437.67421262759</v>
      </c>
      <c r="Q7" s="132">
        <f>IF(SER_hh_tes_in!Q7=0,0,11630*1000*SER_hh_tes_in!Q7/SER_hh_num_in!Q7)</f>
        <v>119072.34530600408</v>
      </c>
      <c r="R7" s="132">
        <f>IF(SER_hh_tes_in!R7=0,0,11630*1000*SER_hh_tes_in!R7/SER_hh_num_in!R7)</f>
        <v>0</v>
      </c>
      <c r="S7" s="132">
        <f>IF(SER_hh_tes_in!S7=0,0,11630*1000*SER_hh_tes_in!S7/SER_hh_num_in!S7)</f>
        <v>0</v>
      </c>
      <c r="T7" s="132">
        <f>IF(SER_hh_tes_in!T7=0,0,11630*1000*SER_hh_tes_in!T7/SER_hh_num_in!T7)</f>
        <v>94865.483171914311</v>
      </c>
      <c r="U7" s="132">
        <f>IF(SER_hh_tes_in!U7=0,0,11630*1000*SER_hh_tes_in!U7/SER_hh_num_in!U7)</f>
        <v>67646.326413106843</v>
      </c>
      <c r="V7" s="132">
        <f>IF(SER_hh_tes_in!V7=0,0,11630*1000*SER_hh_tes_in!V7/SER_hh_num_in!V7)</f>
        <v>67850.349958278821</v>
      </c>
      <c r="W7" s="132">
        <f>IF(SER_hh_tes_in!W7=0,0,11630*1000*SER_hh_tes_in!W7/SER_hh_num_in!W7)</f>
        <v>73770.992329755216</v>
      </c>
      <c r="X7" s="132">
        <f>IF(SER_hh_tes_in!X7=0,0,11630*1000*SER_hh_tes_in!X7/SER_hh_num_in!X7)</f>
        <v>46414.898198341572</v>
      </c>
      <c r="Y7" s="132">
        <f>IF(SER_hh_tes_in!Y7=0,0,11630*1000*SER_hh_tes_in!Y7/SER_hh_num_in!Y7)</f>
        <v>51113.468741882243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155771.85518146938</v>
      </c>
      <c r="D9" s="132">
        <f>IF(SER_hh_tes_in!D9=0,0,11630*1000*SER_hh_tes_in!D9/SER_hh_num_in!D9)</f>
        <v>190921.72882284204</v>
      </c>
      <c r="E9" s="132">
        <f>IF(SER_hh_tes_in!E9=0,0,11630*1000*SER_hh_tes_in!E9/SER_hh_num_in!E9)</f>
        <v>179950.02147908305</v>
      </c>
      <c r="F9" s="132">
        <f>IF(SER_hh_tes_in!F9=0,0,11630*1000*SER_hh_tes_in!F9/SER_hh_num_in!F9)</f>
        <v>188142.44921743564</v>
      </c>
      <c r="G9" s="132">
        <f>IF(SER_hh_tes_in!G9=0,0,11630*1000*SER_hh_tes_in!G9/SER_hh_num_in!G9)</f>
        <v>170572.54534016419</v>
      </c>
      <c r="H9" s="132">
        <f>IF(SER_hh_tes_in!H9=0,0,11630*1000*SER_hh_tes_in!H9/SER_hh_num_in!H9)</f>
        <v>166441.9106427544</v>
      </c>
      <c r="I9" s="132">
        <f>IF(SER_hh_tes_in!I9=0,0,11630*1000*SER_hh_tes_in!I9/SER_hh_num_in!I9)</f>
        <v>167064.22916962506</v>
      </c>
      <c r="J9" s="132">
        <f>IF(SER_hh_tes_in!J9=0,0,11630*1000*SER_hh_tes_in!J9/SER_hh_num_in!J9)</f>
        <v>144915.5764398537</v>
      </c>
      <c r="K9" s="132">
        <f>IF(SER_hh_tes_in!K9=0,0,11630*1000*SER_hh_tes_in!K9/SER_hh_num_in!K9)</f>
        <v>125790.89241918166</v>
      </c>
      <c r="L9" s="132">
        <f>IF(SER_hh_tes_in!L9=0,0,11630*1000*SER_hh_tes_in!L9/SER_hh_num_in!L9)</f>
        <v>129734.31100085683</v>
      </c>
      <c r="M9" s="132">
        <f>IF(SER_hh_tes_in!M9=0,0,11630*1000*SER_hh_tes_in!M9/SER_hh_num_in!M9)</f>
        <v>117029.96124332258</v>
      </c>
      <c r="N9" s="132">
        <f>IF(SER_hh_tes_in!N9=0,0,11630*1000*SER_hh_tes_in!N9/SER_hh_num_in!N9)</f>
        <v>0</v>
      </c>
      <c r="O9" s="132">
        <f>IF(SER_hh_tes_in!O9=0,0,11630*1000*SER_hh_tes_in!O9/SER_hh_num_in!O9)</f>
        <v>0</v>
      </c>
      <c r="P9" s="132">
        <f>IF(SER_hh_tes_in!P9=0,0,11630*1000*SER_hh_tes_in!P9/SER_hh_num_in!P9)</f>
        <v>112303.00406828699</v>
      </c>
      <c r="Q9" s="132">
        <f>IF(SER_hh_tes_in!Q9=0,0,11630*1000*SER_hh_tes_in!Q9/SER_hh_num_in!Q9)</f>
        <v>97957.984255779098</v>
      </c>
      <c r="R9" s="132">
        <f>IF(SER_hh_tes_in!R9=0,0,11630*1000*SER_hh_tes_in!R9/SER_hh_num_in!R9)</f>
        <v>97842.616781181729</v>
      </c>
      <c r="S9" s="132">
        <f>IF(SER_hh_tes_in!S9=0,0,11630*1000*SER_hh_tes_in!S9/SER_hh_num_in!S9)</f>
        <v>95468.143798042118</v>
      </c>
      <c r="T9" s="132">
        <f>IF(SER_hh_tes_in!T9=0,0,11630*1000*SER_hh_tes_in!T9/SER_hh_num_in!T9)</f>
        <v>88979.800600316201</v>
      </c>
      <c r="U9" s="132">
        <f>IF(SER_hh_tes_in!U9=0,0,11630*1000*SER_hh_tes_in!U9/SER_hh_num_in!U9)</f>
        <v>82971.043115925728</v>
      </c>
      <c r="V9" s="132">
        <f>IF(SER_hh_tes_in!V9=0,0,11630*1000*SER_hh_tes_in!V9/SER_hh_num_in!V9)</f>
        <v>75203.642209294907</v>
      </c>
      <c r="W9" s="132">
        <f>IF(SER_hh_tes_in!W9=0,0,11630*1000*SER_hh_tes_in!W9/SER_hh_num_in!W9)</f>
        <v>65754.123780058973</v>
      </c>
      <c r="X9" s="132">
        <f>IF(SER_hh_tes_in!X9=0,0,11630*1000*SER_hh_tes_in!X9/SER_hh_num_in!X9)</f>
        <v>50537.442577614827</v>
      </c>
      <c r="Y9" s="132">
        <f>IF(SER_hh_tes_in!Y9=0,0,11630*1000*SER_hh_tes_in!Y9/SER_hh_num_in!Y9)</f>
        <v>47258.691273384757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188667.89451863879</v>
      </c>
      <c r="D10" s="132">
        <f>IF(SER_hh_tes_in!D10=0,0,11630*1000*SER_hh_tes_in!D10/SER_hh_num_in!D10)</f>
        <v>181052.2283342224</v>
      </c>
      <c r="E10" s="132">
        <f>IF(SER_hh_tes_in!E10=0,0,11630*1000*SER_hh_tes_in!E10/SER_hh_num_in!E10)</f>
        <v>175423.39059218296</v>
      </c>
      <c r="F10" s="132">
        <f>IF(SER_hh_tes_in!F10=0,0,11630*1000*SER_hh_tes_in!F10/SER_hh_num_in!F10)</f>
        <v>188295.04175246923</v>
      </c>
      <c r="G10" s="132">
        <f>IF(SER_hh_tes_in!G10=0,0,11630*1000*SER_hh_tes_in!G10/SER_hh_num_in!G10)</f>
        <v>170682.59889418934</v>
      </c>
      <c r="H10" s="132">
        <f>IF(SER_hh_tes_in!H10=0,0,11630*1000*SER_hh_tes_in!H10/SER_hh_num_in!H10)</f>
        <v>172560.29356434045</v>
      </c>
      <c r="I10" s="132">
        <f>IF(SER_hh_tes_in!I10=0,0,11630*1000*SER_hh_tes_in!I10/SER_hh_num_in!I10)</f>
        <v>199044.95761248979</v>
      </c>
      <c r="J10" s="132">
        <f>IF(SER_hh_tes_in!J10=0,0,11630*1000*SER_hh_tes_in!J10/SER_hh_num_in!J10)</f>
        <v>0</v>
      </c>
      <c r="K10" s="132">
        <f>IF(SER_hh_tes_in!K10=0,0,11630*1000*SER_hh_tes_in!K10/SER_hh_num_in!K10)</f>
        <v>121029.84042426189</v>
      </c>
      <c r="L10" s="132">
        <f>IF(SER_hh_tes_in!L10=0,0,11630*1000*SER_hh_tes_in!L10/SER_hh_num_in!L10)</f>
        <v>127343.91042621311</v>
      </c>
      <c r="M10" s="132">
        <f>IF(SER_hh_tes_in!M10=0,0,11630*1000*SER_hh_tes_in!M10/SER_hh_num_in!M10)</f>
        <v>101282.2794507948</v>
      </c>
      <c r="N10" s="132">
        <f>IF(SER_hh_tes_in!N10=0,0,11630*1000*SER_hh_tes_in!N10/SER_hh_num_in!N10)</f>
        <v>133464.58997429878</v>
      </c>
      <c r="O10" s="132">
        <f>IF(SER_hh_tes_in!O10=0,0,11630*1000*SER_hh_tes_in!O10/SER_hh_num_in!O10)</f>
        <v>126123.85334388822</v>
      </c>
      <c r="P10" s="132">
        <f>IF(SER_hh_tes_in!P10=0,0,11630*1000*SER_hh_tes_in!P10/SER_hh_num_in!P10)</f>
        <v>109825.19085210381</v>
      </c>
      <c r="Q10" s="132">
        <f>IF(SER_hh_tes_in!Q10=0,0,11630*1000*SER_hh_tes_in!Q10/SER_hh_num_in!Q10)</f>
        <v>101508.00542118572</v>
      </c>
      <c r="R10" s="132">
        <f>IF(SER_hh_tes_in!R10=0,0,11630*1000*SER_hh_tes_in!R10/SER_hh_num_in!R10)</f>
        <v>97792.940775229465</v>
      </c>
      <c r="S10" s="132">
        <f>IF(SER_hh_tes_in!S10=0,0,11630*1000*SER_hh_tes_in!S10/SER_hh_num_in!S10)</f>
        <v>103266.31366515307</v>
      </c>
      <c r="T10" s="132">
        <f>IF(SER_hh_tes_in!T10=0,0,11630*1000*SER_hh_tes_in!T10/SER_hh_num_in!T10)</f>
        <v>0</v>
      </c>
      <c r="U10" s="132">
        <f>IF(SER_hh_tes_in!U10=0,0,11630*1000*SER_hh_tes_in!U10/SER_hh_num_in!U10)</f>
        <v>0</v>
      </c>
      <c r="V10" s="132">
        <f>IF(SER_hh_tes_in!V10=0,0,11630*1000*SER_hh_tes_in!V10/SER_hh_num_in!V10)</f>
        <v>0</v>
      </c>
      <c r="W10" s="132">
        <f>IF(SER_hh_tes_in!W10=0,0,11630*1000*SER_hh_tes_in!W10/SER_hh_num_in!W10)</f>
        <v>62858.175141823114</v>
      </c>
      <c r="X10" s="132">
        <f>IF(SER_hh_tes_in!X10=0,0,11630*1000*SER_hh_tes_in!X10/SER_hh_num_in!X10)</f>
        <v>58827.03104723768</v>
      </c>
      <c r="Y10" s="132">
        <f>IF(SER_hh_tes_in!Y10=0,0,11630*1000*SER_hh_tes_in!Y10/SER_hh_num_in!Y10)</f>
        <v>41866.035367947596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0</v>
      </c>
      <c r="J11" s="132">
        <f>IF(SER_hh_tes_in!J11=0,0,11630*1000*SER_hh_tes_in!J11/SER_hh_num_in!J11)</f>
        <v>0</v>
      </c>
      <c r="K11" s="132">
        <f>IF(SER_hh_tes_in!K11=0,0,11630*1000*SER_hh_tes_in!K11/SER_hh_num_in!K11)</f>
        <v>0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0</v>
      </c>
      <c r="N11" s="132">
        <f>IF(SER_hh_tes_in!N11=0,0,11630*1000*SER_hh_tes_in!N11/SER_hh_num_in!N11)</f>
        <v>0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0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189789.42373321881</v>
      </c>
      <c r="D12" s="132">
        <f>IF(SER_hh_tes_in!D12=0,0,11630*1000*SER_hh_tes_in!D12/SER_hh_num_in!D12)</f>
        <v>184104.84146794886</v>
      </c>
      <c r="E12" s="132">
        <f>IF(SER_hh_tes_in!E12=0,0,11630*1000*SER_hh_tes_in!E12/SER_hh_num_in!E12)</f>
        <v>189718.88174856961</v>
      </c>
      <c r="F12" s="132">
        <f>IF(SER_hh_tes_in!F12=0,0,11630*1000*SER_hh_tes_in!F12/SER_hh_num_in!F12)</f>
        <v>176882.7652602793</v>
      </c>
      <c r="G12" s="132">
        <f>IF(SER_hh_tes_in!G12=0,0,11630*1000*SER_hh_tes_in!G12/SER_hh_num_in!G12)</f>
        <v>177826.3624893201</v>
      </c>
      <c r="H12" s="132">
        <f>IF(SER_hh_tes_in!H12=0,0,11630*1000*SER_hh_tes_in!H12/SER_hh_num_in!H12)</f>
        <v>172209.82070849964</v>
      </c>
      <c r="I12" s="132">
        <f>IF(SER_hh_tes_in!I12=0,0,11630*1000*SER_hh_tes_in!I12/SER_hh_num_in!I12)</f>
        <v>154299.38934575571</v>
      </c>
      <c r="J12" s="132">
        <f>IF(SER_hh_tes_in!J12=0,0,11630*1000*SER_hh_tes_in!J12/SER_hh_num_in!J12)</f>
        <v>136463.05114072005</v>
      </c>
      <c r="K12" s="132">
        <f>IF(SER_hh_tes_in!K12=0,0,11630*1000*SER_hh_tes_in!K12/SER_hh_num_in!K12)</f>
        <v>127458.74960974172</v>
      </c>
      <c r="L12" s="132">
        <f>IF(SER_hh_tes_in!L12=0,0,11630*1000*SER_hh_tes_in!L12/SER_hh_num_in!L12)</f>
        <v>132026.93445282185</v>
      </c>
      <c r="M12" s="132">
        <f>IF(SER_hh_tes_in!M12=0,0,11630*1000*SER_hh_tes_in!M12/SER_hh_num_in!M12)</f>
        <v>108287.10604675325</v>
      </c>
      <c r="N12" s="132">
        <f>IF(SER_hh_tes_in!N12=0,0,11630*1000*SER_hh_tes_in!N12/SER_hh_num_in!N12)</f>
        <v>129755.69292621956</v>
      </c>
      <c r="O12" s="132">
        <f>IF(SER_hh_tes_in!O12=0,0,11630*1000*SER_hh_tes_in!O12/SER_hh_num_in!O12)</f>
        <v>120956.56686031228</v>
      </c>
      <c r="P12" s="132">
        <f>IF(SER_hh_tes_in!P12=0,0,11630*1000*SER_hh_tes_in!P12/SER_hh_num_in!P12)</f>
        <v>109293.14677874155</v>
      </c>
      <c r="Q12" s="132">
        <f>IF(SER_hh_tes_in!Q12=0,0,11630*1000*SER_hh_tes_in!Q12/SER_hh_num_in!Q12)</f>
        <v>98472.148503432836</v>
      </c>
      <c r="R12" s="132">
        <f>IF(SER_hh_tes_in!R12=0,0,11630*1000*SER_hh_tes_in!R12/SER_hh_num_in!R12)</f>
        <v>105654.8543638031</v>
      </c>
      <c r="S12" s="132">
        <f>IF(SER_hh_tes_in!S12=0,0,11630*1000*SER_hh_tes_in!S12/SER_hh_num_in!S12)</f>
        <v>100338.44181564679</v>
      </c>
      <c r="T12" s="132">
        <f>IF(SER_hh_tes_in!T12=0,0,11630*1000*SER_hh_tes_in!T12/SER_hh_num_in!T12)</f>
        <v>86701.985083230073</v>
      </c>
      <c r="U12" s="132">
        <f>IF(SER_hh_tes_in!U12=0,0,11630*1000*SER_hh_tes_in!U12/SER_hh_num_in!U12)</f>
        <v>77928.757337070041</v>
      </c>
      <c r="V12" s="132">
        <f>IF(SER_hh_tes_in!V12=0,0,11630*1000*SER_hh_tes_in!V12/SER_hh_num_in!V12)</f>
        <v>74735.83007627989</v>
      </c>
      <c r="W12" s="132">
        <f>IF(SER_hh_tes_in!W12=0,0,11630*1000*SER_hh_tes_in!W12/SER_hh_num_in!W12)</f>
        <v>75391.945992541645</v>
      </c>
      <c r="X12" s="132">
        <f>IF(SER_hh_tes_in!X12=0,0,11630*1000*SER_hh_tes_in!X12/SER_hh_num_in!X12)</f>
        <v>50405.807277958404</v>
      </c>
      <c r="Y12" s="132">
        <f>IF(SER_hh_tes_in!Y12=0,0,11630*1000*SER_hh_tes_in!Y12/SER_hh_num_in!Y12)</f>
        <v>46800.039720540677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63548.869480715992</v>
      </c>
      <c r="D13" s="132">
        <f>IF(SER_hh_tes_in!D13=0,0,11630*1000*SER_hh_tes_in!D13/SER_hh_num_in!D13)</f>
        <v>148504.57492127063</v>
      </c>
      <c r="E13" s="132">
        <f>IF(SER_hh_tes_in!E13=0,0,11630*1000*SER_hh_tes_in!E13/SER_hh_num_in!E13)</f>
        <v>135877.8245514936</v>
      </c>
      <c r="F13" s="132">
        <f>IF(SER_hh_tes_in!F13=0,0,11630*1000*SER_hh_tes_in!F13/SER_hh_num_in!F13)</f>
        <v>132188.60622709108</v>
      </c>
      <c r="G13" s="132">
        <f>IF(SER_hh_tes_in!G13=0,0,11630*1000*SER_hh_tes_in!G13/SER_hh_num_in!G13)</f>
        <v>129144.51299918504</v>
      </c>
      <c r="H13" s="132">
        <f>IF(SER_hh_tes_in!H13=0,0,11630*1000*SER_hh_tes_in!H13/SER_hh_num_in!H13)</f>
        <v>122559.01044242039</v>
      </c>
      <c r="I13" s="132">
        <f>IF(SER_hh_tes_in!I13=0,0,11630*1000*SER_hh_tes_in!I13/SER_hh_num_in!I13)</f>
        <v>111511.80262848847</v>
      </c>
      <c r="J13" s="132">
        <f>IF(SER_hh_tes_in!J13=0,0,11630*1000*SER_hh_tes_in!J13/SER_hh_num_in!J13)</f>
        <v>100862.30731699248</v>
      </c>
      <c r="K13" s="132">
        <f>IF(SER_hh_tes_in!K13=0,0,11630*1000*SER_hh_tes_in!K13/SER_hh_num_in!K13)</f>
        <v>91231.362219601884</v>
      </c>
      <c r="L13" s="132">
        <f>IF(SER_hh_tes_in!L13=0,0,11630*1000*SER_hh_tes_in!L13/SER_hh_num_in!L13)</f>
        <v>96152.759335008494</v>
      </c>
      <c r="M13" s="132">
        <f>IF(SER_hh_tes_in!M13=0,0,11630*1000*SER_hh_tes_in!M13/SER_hh_num_in!M13)</f>
        <v>105032.03715143471</v>
      </c>
      <c r="N13" s="132">
        <f>IF(SER_hh_tes_in!N13=0,0,11630*1000*SER_hh_tes_in!N13/SER_hh_num_in!N13)</f>
        <v>103868.0518504861</v>
      </c>
      <c r="O13" s="132">
        <f>IF(SER_hh_tes_in!O13=0,0,11630*1000*SER_hh_tes_in!O13/SER_hh_num_in!O13)</f>
        <v>115173.00281428864</v>
      </c>
      <c r="P13" s="132">
        <f>IF(SER_hh_tes_in!P13=0,0,11630*1000*SER_hh_tes_in!P13/SER_hh_num_in!P13)</f>
        <v>114023.50900906029</v>
      </c>
      <c r="Q13" s="132">
        <f>IF(SER_hh_tes_in!Q13=0,0,11630*1000*SER_hh_tes_in!Q13/SER_hh_num_in!Q13)</f>
        <v>110106.85960987325</v>
      </c>
      <c r="R13" s="132">
        <f>IF(SER_hh_tes_in!R13=0,0,11630*1000*SER_hh_tes_in!R13/SER_hh_num_in!R13)</f>
        <v>104657.30289768647</v>
      </c>
      <c r="S13" s="132">
        <f>IF(SER_hh_tes_in!S13=0,0,11630*1000*SER_hh_tes_in!S13/SER_hh_num_in!S13)</f>
        <v>103367.05231060721</v>
      </c>
      <c r="T13" s="132">
        <f>IF(SER_hh_tes_in!T13=0,0,11630*1000*SER_hh_tes_in!T13/SER_hh_num_in!T13)</f>
        <v>91768.344614557398</v>
      </c>
      <c r="U13" s="132">
        <f>IF(SER_hh_tes_in!U13=0,0,11630*1000*SER_hh_tes_in!U13/SER_hh_num_in!U13)</f>
        <v>85443.603213835129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123881.26438190625</v>
      </c>
      <c r="D14" s="65">
        <f>IF(SER_hh_tes_in!D14=0,0,11630*1000*SER_hh_tes_in!D14/SER_hh_num_in!D14)</f>
        <v>202502.84544813939</v>
      </c>
      <c r="E14" s="65">
        <f>IF(SER_hh_tes_in!E14=0,0,11630*1000*SER_hh_tes_in!E14/SER_hh_num_in!E14)</f>
        <v>203365.80742784988</v>
      </c>
      <c r="F14" s="65">
        <f>IF(SER_hh_tes_in!F14=0,0,11630*1000*SER_hh_tes_in!F14/SER_hh_num_in!F14)</f>
        <v>179237.18074296913</v>
      </c>
      <c r="G14" s="65">
        <f>IF(SER_hh_tes_in!G14=0,0,11630*1000*SER_hh_tes_in!G14/SER_hh_num_in!G14)</f>
        <v>169363.58051970915</v>
      </c>
      <c r="H14" s="65">
        <f>IF(SER_hh_tes_in!H14=0,0,11630*1000*SER_hh_tes_in!H14/SER_hh_num_in!H14)</f>
        <v>161150.52658968561</v>
      </c>
      <c r="I14" s="65">
        <f>IF(SER_hh_tes_in!I14=0,0,11630*1000*SER_hh_tes_in!I14/SER_hh_num_in!I14)</f>
        <v>203471.15515531122</v>
      </c>
      <c r="J14" s="65">
        <f>IF(SER_hh_tes_in!J14=0,0,11630*1000*SER_hh_tes_in!J14/SER_hh_num_in!J14)</f>
        <v>166458.04739022121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112638.12937559382</v>
      </c>
      <c r="M14" s="65">
        <f>IF(SER_hh_tes_in!M14=0,0,11630*1000*SER_hh_tes_in!M14/SER_hh_num_in!M14)</f>
        <v>106999.69189150179</v>
      </c>
      <c r="N14" s="65">
        <f>IF(SER_hh_tes_in!N14=0,0,11630*1000*SER_hh_tes_in!N14/SER_hh_num_in!N14)</f>
        <v>148383.92173930834</v>
      </c>
      <c r="O14" s="65">
        <f>IF(SER_hh_tes_in!O14=0,0,11630*1000*SER_hh_tes_in!O14/SER_hh_num_in!O14)</f>
        <v>110075.51499417059</v>
      </c>
      <c r="P14" s="65">
        <f>IF(SER_hh_tes_in!P14=0,0,11630*1000*SER_hh_tes_in!P14/SER_hh_num_in!P14)</f>
        <v>129767.84755429366</v>
      </c>
      <c r="Q14" s="65">
        <f>IF(SER_hh_tes_in!Q14=0,0,11630*1000*SER_hh_tes_in!Q14/SER_hh_num_in!Q14)</f>
        <v>93445.834845269419</v>
      </c>
      <c r="R14" s="65">
        <f>IF(SER_hh_tes_in!R14=0,0,11630*1000*SER_hh_tes_in!R14/SER_hh_num_in!R14)</f>
        <v>96132.951302288784</v>
      </c>
      <c r="S14" s="65">
        <f>IF(SER_hh_tes_in!S14=0,0,11630*1000*SER_hh_tes_in!S14/SER_hh_num_in!S14)</f>
        <v>93327.812803762892</v>
      </c>
      <c r="T14" s="65">
        <f>IF(SER_hh_tes_in!T14=0,0,11630*1000*SER_hh_tes_in!T14/SER_hh_num_in!T14)</f>
        <v>94961.271001491419</v>
      </c>
      <c r="U14" s="65">
        <f>IF(SER_hh_tes_in!U14=0,0,11630*1000*SER_hh_tes_in!U14/SER_hh_num_in!U14)</f>
        <v>86757.668044137667</v>
      </c>
      <c r="V14" s="65">
        <f>IF(SER_hh_tes_in!V14=0,0,11630*1000*SER_hh_tes_in!V14/SER_hh_num_in!V14)</f>
        <v>72966.722700648257</v>
      </c>
      <c r="W14" s="65">
        <f>IF(SER_hh_tes_in!W14=0,0,11630*1000*SER_hh_tes_in!W14/SER_hh_num_in!W14)</f>
        <v>68325.057219090828</v>
      </c>
      <c r="X14" s="65">
        <f>IF(SER_hh_tes_in!X14=0,0,11630*1000*SER_hh_tes_in!X14/SER_hh_num_in!X14)</f>
        <v>53141.37165641856</v>
      </c>
      <c r="Y14" s="65">
        <f>IF(SER_hh_tes_in!Y14=0,0,11630*1000*SER_hh_tes_in!Y14/SER_hh_num_in!Y14)</f>
        <v>44377.222520937838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1762.689086477036</v>
      </c>
      <c r="D15" s="134">
        <f>IF(SER_hh_tes_in!D15=0,0,11630*1000*SER_hh_tes_in!D15/SER_hh_num_in!D15)</f>
        <v>2479.5472699281859</v>
      </c>
      <c r="E15" s="134">
        <f>IF(SER_hh_tes_in!E15=0,0,11630*1000*SER_hh_tes_in!E15/SER_hh_num_in!E15)</f>
        <v>2128.5804856268401</v>
      </c>
      <c r="F15" s="134">
        <f>IF(SER_hh_tes_in!F15=0,0,11630*1000*SER_hh_tes_in!F15/SER_hh_num_in!F15)</f>
        <v>2158.719400934755</v>
      </c>
      <c r="G15" s="134">
        <f>IF(SER_hh_tes_in!G15=0,0,11630*1000*SER_hh_tes_in!G15/SER_hh_num_in!G15)</f>
        <v>1845.4327707887944</v>
      </c>
      <c r="H15" s="134">
        <f>IF(SER_hh_tes_in!H15=0,0,11630*1000*SER_hh_tes_in!H15/SER_hh_num_in!H15)</f>
        <v>1762.2503670685273</v>
      </c>
      <c r="I15" s="134">
        <f>IF(SER_hh_tes_in!I15=0,0,11630*1000*SER_hh_tes_in!I15/SER_hh_num_in!I15)</f>
        <v>1502.678621274694</v>
      </c>
      <c r="J15" s="134">
        <f>IF(SER_hh_tes_in!J15=0,0,11630*1000*SER_hh_tes_in!J15/SER_hh_num_in!J15)</f>
        <v>1282.8375361799858</v>
      </c>
      <c r="K15" s="134">
        <f>IF(SER_hh_tes_in!K15=0,0,11630*1000*SER_hh_tes_in!K15/SER_hh_num_in!K15)</f>
        <v>1145.2344382049307</v>
      </c>
      <c r="L15" s="134">
        <f>IF(SER_hh_tes_in!L15=0,0,11630*1000*SER_hh_tes_in!L15/SER_hh_num_in!L15)</f>
        <v>1124.6604804204865</v>
      </c>
      <c r="M15" s="134">
        <f>IF(SER_hh_tes_in!M15=0,0,11630*1000*SER_hh_tes_in!M15/SER_hh_num_in!M15)</f>
        <v>755.31677876116782</v>
      </c>
      <c r="N15" s="134">
        <f>IF(SER_hh_tes_in!N15=0,0,11630*1000*SER_hh_tes_in!N15/SER_hh_num_in!N15)</f>
        <v>1184.2462704556726</v>
      </c>
      <c r="O15" s="134">
        <f>IF(SER_hh_tes_in!O15=0,0,11630*1000*SER_hh_tes_in!O15/SER_hh_num_in!O15)</f>
        <v>993.83866661281922</v>
      </c>
      <c r="P15" s="134">
        <f>IF(SER_hh_tes_in!P15=0,0,11630*1000*SER_hh_tes_in!P15/SER_hh_num_in!P15)</f>
        <v>1067.0845386085598</v>
      </c>
      <c r="Q15" s="134">
        <f>IF(SER_hh_tes_in!Q15=0,0,11630*1000*SER_hh_tes_in!Q15/SER_hh_num_in!Q15)</f>
        <v>881.81407014140439</v>
      </c>
      <c r="R15" s="134">
        <f>IF(SER_hh_tes_in!R15=0,0,11630*1000*SER_hh_tes_in!R15/SER_hh_num_in!R15)</f>
        <v>936.31059476606868</v>
      </c>
      <c r="S15" s="134">
        <f>IF(SER_hh_tes_in!S15=0,0,11630*1000*SER_hh_tes_in!S15/SER_hh_num_in!S15)</f>
        <v>975.86688484874094</v>
      </c>
      <c r="T15" s="134">
        <f>IF(SER_hh_tes_in!T15=0,0,11630*1000*SER_hh_tes_in!T15/SER_hh_num_in!T15)</f>
        <v>1097.5043160195</v>
      </c>
      <c r="U15" s="134">
        <f>IF(SER_hh_tes_in!U15=0,0,11630*1000*SER_hh_tes_in!U15/SER_hh_num_in!U15)</f>
        <v>899.14871923415819</v>
      </c>
      <c r="V15" s="134">
        <f>IF(SER_hh_tes_in!V15=0,0,11630*1000*SER_hh_tes_in!V15/SER_hh_num_in!V15)</f>
        <v>786.42225636812827</v>
      </c>
      <c r="W15" s="134">
        <f>IF(SER_hh_tes_in!W15=0,0,11630*1000*SER_hh_tes_in!W15/SER_hh_num_in!W15)</f>
        <v>860.87772867950332</v>
      </c>
      <c r="X15" s="134">
        <f>IF(SER_hh_tes_in!X15=0,0,11630*1000*SER_hh_tes_in!X15/SER_hh_num_in!X15)</f>
        <v>545.17849569421617</v>
      </c>
      <c r="Y15" s="134">
        <f>IF(SER_hh_tes_in!Y15=0,0,11630*1000*SER_hh_tes_in!Y15/SER_hh_num_in!Y15)</f>
        <v>465.86603578556031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19643.0638206564</v>
      </c>
      <c r="D16" s="130">
        <f>IF(SER_hh_tes_in!D16=0,0,11630*1000*SER_hh_tes_in!D16/SER_hh_num_in!D16)</f>
        <v>20260.798921708742</v>
      </c>
      <c r="E16" s="130">
        <f>IF(SER_hh_tes_in!E16=0,0,11630*1000*SER_hh_tes_in!E16/SER_hh_num_in!E16)</f>
        <v>19415.993258080598</v>
      </c>
      <c r="F16" s="130">
        <f>IF(SER_hh_tes_in!F16=0,0,11630*1000*SER_hh_tes_in!F16/SER_hh_num_in!F16)</f>
        <v>18797.254358582337</v>
      </c>
      <c r="G16" s="130">
        <f>IF(SER_hh_tes_in!G16=0,0,11630*1000*SER_hh_tes_in!G16/SER_hh_num_in!G16)</f>
        <v>18737.085570602885</v>
      </c>
      <c r="H16" s="130">
        <f>IF(SER_hh_tes_in!H16=0,0,11630*1000*SER_hh_tes_in!H16/SER_hh_num_in!H16)</f>
        <v>19863.968655780118</v>
      </c>
      <c r="I16" s="130">
        <f>IF(SER_hh_tes_in!I16=0,0,11630*1000*SER_hh_tes_in!I16/SER_hh_num_in!I16)</f>
        <v>18699.13820283251</v>
      </c>
      <c r="J16" s="130">
        <f>IF(SER_hh_tes_in!J16=0,0,11630*1000*SER_hh_tes_in!J16/SER_hh_num_in!J16)</f>
        <v>18598.931534756019</v>
      </c>
      <c r="K16" s="130">
        <f>IF(SER_hh_tes_in!K16=0,0,11630*1000*SER_hh_tes_in!K16/SER_hh_num_in!K16)</f>
        <v>18410.628727779138</v>
      </c>
      <c r="L16" s="130">
        <f>IF(SER_hh_tes_in!L16=0,0,11630*1000*SER_hh_tes_in!L16/SER_hh_num_in!L16)</f>
        <v>22098.518137878931</v>
      </c>
      <c r="M16" s="130">
        <f>IF(SER_hh_tes_in!M16=0,0,11630*1000*SER_hh_tes_in!M16/SER_hh_num_in!M16)</f>
        <v>18444.424073144648</v>
      </c>
      <c r="N16" s="130">
        <f>IF(SER_hh_tes_in!N16=0,0,11630*1000*SER_hh_tes_in!N16/SER_hh_num_in!N16)</f>
        <v>18325.791647683516</v>
      </c>
      <c r="O16" s="130">
        <f>IF(SER_hh_tes_in!O16=0,0,11630*1000*SER_hh_tes_in!O16/SER_hh_num_in!O16)</f>
        <v>17845.026111784198</v>
      </c>
      <c r="P16" s="130">
        <f>IF(SER_hh_tes_in!P16=0,0,11630*1000*SER_hh_tes_in!P16/SER_hh_num_in!P16)</f>
        <v>18672.111395206713</v>
      </c>
      <c r="Q16" s="130">
        <f>IF(SER_hh_tes_in!Q16=0,0,11630*1000*SER_hh_tes_in!Q16/SER_hh_num_in!Q16)</f>
        <v>17533.271771639727</v>
      </c>
      <c r="R16" s="130">
        <f>IF(SER_hh_tes_in!R16=0,0,11630*1000*SER_hh_tes_in!R16/SER_hh_num_in!R16)</f>
        <v>17270.330195991515</v>
      </c>
      <c r="S16" s="130">
        <f>IF(SER_hh_tes_in!S16=0,0,11630*1000*SER_hh_tes_in!S16/SER_hh_num_in!S16)</f>
        <v>17098.851881295723</v>
      </c>
      <c r="T16" s="130">
        <f>IF(SER_hh_tes_in!T16=0,0,11630*1000*SER_hh_tes_in!T16/SER_hh_num_in!T16)</f>
        <v>17865.8977284049</v>
      </c>
      <c r="U16" s="130">
        <f>IF(SER_hh_tes_in!U16=0,0,11630*1000*SER_hh_tes_in!U16/SER_hh_num_in!U16)</f>
        <v>16406.097920838867</v>
      </c>
      <c r="V16" s="130">
        <f>IF(SER_hh_tes_in!V16=0,0,11630*1000*SER_hh_tes_in!V16/SER_hh_num_in!V16)</f>
        <v>15894.095411121323</v>
      </c>
      <c r="W16" s="130">
        <f>IF(SER_hh_tes_in!W16=0,0,11630*1000*SER_hh_tes_in!W16/SER_hh_num_in!W16)</f>
        <v>16837.997765530443</v>
      </c>
      <c r="X16" s="130">
        <f>IF(SER_hh_tes_in!X16=0,0,11630*1000*SER_hh_tes_in!X16/SER_hh_num_in!X16)</f>
        <v>13069.469036197072</v>
      </c>
      <c r="Y16" s="130">
        <f>IF(SER_hh_tes_in!Y16=0,0,11630*1000*SER_hh_tes_in!Y16/SER_hh_num_in!Y16)</f>
        <v>13605.777264857677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0</v>
      </c>
      <c r="D17" s="132">
        <f>IF(SER_hh_tes_in!D17=0,0,11630*1000*SER_hh_tes_in!D17/SER_hh_num_in!D17)</f>
        <v>0</v>
      </c>
      <c r="E17" s="132">
        <f>IF(SER_hh_tes_in!E17=0,0,11630*1000*SER_hh_tes_in!E17/SER_hh_num_in!E17)</f>
        <v>0</v>
      </c>
      <c r="F17" s="132">
        <f>IF(SER_hh_tes_in!F17=0,0,11630*1000*SER_hh_tes_in!F17/SER_hh_num_in!F17)</f>
        <v>0</v>
      </c>
      <c r="G17" s="132">
        <f>IF(SER_hh_tes_in!G17=0,0,11630*1000*SER_hh_tes_in!G17/SER_hh_num_in!G17)</f>
        <v>0</v>
      </c>
      <c r="H17" s="132">
        <f>IF(SER_hh_tes_in!H17=0,0,11630*1000*SER_hh_tes_in!H17/SER_hh_num_in!H17)</f>
        <v>0</v>
      </c>
      <c r="I17" s="132">
        <f>IF(SER_hh_tes_in!I17=0,0,11630*1000*SER_hh_tes_in!I17/SER_hh_num_in!I17)</f>
        <v>0</v>
      </c>
      <c r="J17" s="132">
        <f>IF(SER_hh_tes_in!J17=0,0,11630*1000*SER_hh_tes_in!J17/SER_hh_num_in!J17)</f>
        <v>0</v>
      </c>
      <c r="K17" s="132">
        <f>IF(SER_hh_tes_in!K17=0,0,11630*1000*SER_hh_tes_in!K17/SER_hh_num_in!K17)</f>
        <v>0</v>
      </c>
      <c r="L17" s="132">
        <f>IF(SER_hh_tes_in!L17=0,0,11630*1000*SER_hh_tes_in!L17/SER_hh_num_in!L17)</f>
        <v>0</v>
      </c>
      <c r="M17" s="132">
        <f>IF(SER_hh_tes_in!M17=0,0,11630*1000*SER_hh_tes_in!M17/SER_hh_num_in!M17)</f>
        <v>0</v>
      </c>
      <c r="N17" s="132">
        <f>IF(SER_hh_tes_in!N17=0,0,11630*1000*SER_hh_tes_in!N17/SER_hh_num_in!N17)</f>
        <v>0</v>
      </c>
      <c r="O17" s="132">
        <f>IF(SER_hh_tes_in!O17=0,0,11630*1000*SER_hh_tes_in!O17/SER_hh_num_in!O17)</f>
        <v>0</v>
      </c>
      <c r="P17" s="132">
        <f>IF(SER_hh_tes_in!P17=0,0,11630*1000*SER_hh_tes_in!P17/SER_hh_num_in!P17)</f>
        <v>0</v>
      </c>
      <c r="Q17" s="132">
        <f>IF(SER_hh_tes_in!Q17=0,0,11630*1000*SER_hh_tes_in!Q17/SER_hh_num_in!Q17)</f>
        <v>0</v>
      </c>
      <c r="R17" s="132">
        <f>IF(SER_hh_tes_in!R17=0,0,11630*1000*SER_hh_tes_in!R17/SER_hh_num_in!R17)</f>
        <v>0</v>
      </c>
      <c r="S17" s="132">
        <f>IF(SER_hh_tes_in!S17=0,0,11630*1000*SER_hh_tes_in!S17/SER_hh_num_in!S17)</f>
        <v>0</v>
      </c>
      <c r="T17" s="132">
        <f>IF(SER_hh_tes_in!T17=0,0,11630*1000*SER_hh_tes_in!T17/SER_hh_num_in!T17)</f>
        <v>0</v>
      </c>
      <c r="U17" s="132">
        <f>IF(SER_hh_tes_in!U17=0,0,11630*1000*SER_hh_tes_in!U17/SER_hh_num_in!U17)</f>
        <v>0</v>
      </c>
      <c r="V17" s="132">
        <f>IF(SER_hh_tes_in!V17=0,0,11630*1000*SER_hh_tes_in!V17/SER_hh_num_in!V17)</f>
        <v>0</v>
      </c>
      <c r="W17" s="132">
        <f>IF(SER_hh_tes_in!W17=0,0,11630*1000*SER_hh_tes_in!W17/SER_hh_num_in!W17)</f>
        <v>0</v>
      </c>
      <c r="X17" s="132">
        <f>IF(SER_hh_tes_in!X17=0,0,11630*1000*SER_hh_tes_in!X17/SER_hh_num_in!X17)</f>
        <v>0</v>
      </c>
      <c r="Y17" s="132">
        <f>IF(SER_hh_tes_in!Y17=0,0,11630*1000*SER_hh_tes_in!Y17/SER_hh_num_in!Y17)</f>
        <v>0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19643.0638206564</v>
      </c>
      <c r="D18" s="132">
        <f>IF(SER_hh_tes_in!D18=0,0,11630*1000*SER_hh_tes_in!D18/SER_hh_num_in!D18)</f>
        <v>20260.798921708742</v>
      </c>
      <c r="E18" s="132">
        <f>IF(SER_hh_tes_in!E18=0,0,11630*1000*SER_hh_tes_in!E18/SER_hh_num_in!E18)</f>
        <v>19415.993258080598</v>
      </c>
      <c r="F18" s="132">
        <f>IF(SER_hh_tes_in!F18=0,0,11630*1000*SER_hh_tes_in!F18/SER_hh_num_in!F18)</f>
        <v>18797.254358582337</v>
      </c>
      <c r="G18" s="132">
        <f>IF(SER_hh_tes_in!G18=0,0,11630*1000*SER_hh_tes_in!G18/SER_hh_num_in!G18)</f>
        <v>18737.085570602885</v>
      </c>
      <c r="H18" s="132">
        <f>IF(SER_hh_tes_in!H18=0,0,11630*1000*SER_hh_tes_in!H18/SER_hh_num_in!H18)</f>
        <v>19863.968655780118</v>
      </c>
      <c r="I18" s="132">
        <f>IF(SER_hh_tes_in!I18=0,0,11630*1000*SER_hh_tes_in!I18/SER_hh_num_in!I18)</f>
        <v>18699.13820283251</v>
      </c>
      <c r="J18" s="132">
        <f>IF(SER_hh_tes_in!J18=0,0,11630*1000*SER_hh_tes_in!J18/SER_hh_num_in!J18)</f>
        <v>18598.931534756019</v>
      </c>
      <c r="K18" s="132">
        <f>IF(SER_hh_tes_in!K18=0,0,11630*1000*SER_hh_tes_in!K18/SER_hh_num_in!K18)</f>
        <v>18410.628727779138</v>
      </c>
      <c r="L18" s="132">
        <f>IF(SER_hh_tes_in!L18=0,0,11630*1000*SER_hh_tes_in!L18/SER_hh_num_in!L18)</f>
        <v>22098.518137878931</v>
      </c>
      <c r="M18" s="132">
        <f>IF(SER_hh_tes_in!M18=0,0,11630*1000*SER_hh_tes_in!M18/SER_hh_num_in!M18)</f>
        <v>18444.424073144648</v>
      </c>
      <c r="N18" s="132">
        <f>IF(SER_hh_tes_in!N18=0,0,11630*1000*SER_hh_tes_in!N18/SER_hh_num_in!N18)</f>
        <v>18325.791647683516</v>
      </c>
      <c r="O18" s="132">
        <f>IF(SER_hh_tes_in!O18=0,0,11630*1000*SER_hh_tes_in!O18/SER_hh_num_in!O18)</f>
        <v>17845.026111784198</v>
      </c>
      <c r="P18" s="132">
        <f>IF(SER_hh_tes_in!P18=0,0,11630*1000*SER_hh_tes_in!P18/SER_hh_num_in!P18)</f>
        <v>18672.111395206713</v>
      </c>
      <c r="Q18" s="132">
        <f>IF(SER_hh_tes_in!Q18=0,0,11630*1000*SER_hh_tes_in!Q18/SER_hh_num_in!Q18)</f>
        <v>17533.271771639727</v>
      </c>
      <c r="R18" s="132">
        <f>IF(SER_hh_tes_in!R18=0,0,11630*1000*SER_hh_tes_in!R18/SER_hh_num_in!R18)</f>
        <v>17270.330195991515</v>
      </c>
      <c r="S18" s="132">
        <f>IF(SER_hh_tes_in!S18=0,0,11630*1000*SER_hh_tes_in!S18/SER_hh_num_in!S18)</f>
        <v>17098.851881295723</v>
      </c>
      <c r="T18" s="132">
        <f>IF(SER_hh_tes_in!T18=0,0,11630*1000*SER_hh_tes_in!T18/SER_hh_num_in!T18)</f>
        <v>17865.8977284049</v>
      </c>
      <c r="U18" s="132">
        <f>IF(SER_hh_tes_in!U18=0,0,11630*1000*SER_hh_tes_in!U18/SER_hh_num_in!U18)</f>
        <v>16406.097920838867</v>
      </c>
      <c r="V18" s="132">
        <f>IF(SER_hh_tes_in!V18=0,0,11630*1000*SER_hh_tes_in!V18/SER_hh_num_in!V18)</f>
        <v>15894.095411121323</v>
      </c>
      <c r="W18" s="132">
        <f>IF(SER_hh_tes_in!W18=0,0,11630*1000*SER_hh_tes_in!W18/SER_hh_num_in!W18)</f>
        <v>16837.997765530443</v>
      </c>
      <c r="X18" s="132">
        <f>IF(SER_hh_tes_in!X18=0,0,11630*1000*SER_hh_tes_in!X18/SER_hh_num_in!X18)</f>
        <v>13069.469036197072</v>
      </c>
      <c r="Y18" s="132">
        <f>IF(SER_hh_tes_in!Y18=0,0,11630*1000*SER_hh_tes_in!Y18/SER_hh_num_in!Y18)</f>
        <v>13605.777264857677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23662.949840262012</v>
      </c>
      <c r="D19" s="130">
        <f>IF(SER_hh_tes_in!D19=0,0,11630*1000*SER_hh_tes_in!D19/SER_hh_num_in!D19)</f>
        <v>22936.240415114371</v>
      </c>
      <c r="E19" s="130">
        <f>IF(SER_hh_tes_in!E19=0,0,11630*1000*SER_hh_tes_in!E19/SER_hh_num_in!E19)</f>
        <v>22811.248000939773</v>
      </c>
      <c r="F19" s="130">
        <f>IF(SER_hh_tes_in!F19=0,0,11630*1000*SER_hh_tes_in!F19/SER_hh_num_in!F19)</f>
        <v>23140.236908039558</v>
      </c>
      <c r="G19" s="130">
        <f>IF(SER_hh_tes_in!G19=0,0,11630*1000*SER_hh_tes_in!G19/SER_hh_num_in!G19)</f>
        <v>22886.455437944231</v>
      </c>
      <c r="H19" s="130">
        <f>IF(SER_hh_tes_in!H19=0,0,11630*1000*SER_hh_tes_in!H19/SER_hh_num_in!H19)</f>
        <v>23067.667230351763</v>
      </c>
      <c r="I19" s="130">
        <f>IF(SER_hh_tes_in!I19=0,0,11630*1000*SER_hh_tes_in!I19/SER_hh_num_in!I19)</f>
        <v>22969.683867845775</v>
      </c>
      <c r="J19" s="130">
        <f>IF(SER_hh_tes_in!J19=0,0,11630*1000*SER_hh_tes_in!J19/SER_hh_num_in!J19)</f>
        <v>22751.461462698368</v>
      </c>
      <c r="K19" s="130">
        <f>IF(SER_hh_tes_in!K19=0,0,11630*1000*SER_hh_tes_in!K19/SER_hh_num_in!K19)</f>
        <v>23556.54223966493</v>
      </c>
      <c r="L19" s="130">
        <f>IF(SER_hh_tes_in!L19=0,0,11630*1000*SER_hh_tes_in!L19/SER_hh_num_in!L19)</f>
        <v>23227.532369381075</v>
      </c>
      <c r="M19" s="130">
        <f>IF(SER_hh_tes_in!M19=0,0,11630*1000*SER_hh_tes_in!M19/SER_hh_num_in!M19)</f>
        <v>23716.429809830082</v>
      </c>
      <c r="N19" s="130">
        <f>IF(SER_hh_tes_in!N19=0,0,11630*1000*SER_hh_tes_in!N19/SER_hh_num_in!N19)</f>
        <v>23384.653345378436</v>
      </c>
      <c r="O19" s="130">
        <f>IF(SER_hh_tes_in!O19=0,0,11630*1000*SER_hh_tes_in!O19/SER_hh_num_in!O19)</f>
        <v>23707.830476915678</v>
      </c>
      <c r="P19" s="130">
        <f>IF(SER_hh_tes_in!P19=0,0,11630*1000*SER_hh_tes_in!P19/SER_hh_num_in!P19)</f>
        <v>23254.647354387347</v>
      </c>
      <c r="Q19" s="130">
        <f>IF(SER_hh_tes_in!Q19=0,0,11630*1000*SER_hh_tes_in!Q19/SER_hh_num_in!Q19)</f>
        <v>23399.748536207069</v>
      </c>
      <c r="R19" s="130">
        <f>IF(SER_hh_tes_in!R19=0,0,11630*1000*SER_hh_tes_in!R19/SER_hh_num_in!R19)</f>
        <v>23593.087245803006</v>
      </c>
      <c r="S19" s="130">
        <f>IF(SER_hh_tes_in!S19=0,0,11630*1000*SER_hh_tes_in!S19/SER_hh_num_in!S19)</f>
        <v>23820.043283147745</v>
      </c>
      <c r="T19" s="130">
        <f>IF(SER_hh_tes_in!T19=0,0,11630*1000*SER_hh_tes_in!T19/SER_hh_num_in!T19)</f>
        <v>23756.971477548941</v>
      </c>
      <c r="U19" s="130">
        <f>IF(SER_hh_tes_in!U19=0,0,11630*1000*SER_hh_tes_in!U19/SER_hh_num_in!U19)</f>
        <v>23335.025692379459</v>
      </c>
      <c r="V19" s="130">
        <f>IF(SER_hh_tes_in!V19=0,0,11630*1000*SER_hh_tes_in!V19/SER_hh_num_in!V19)</f>
        <v>21200.284673395337</v>
      </c>
      <c r="W19" s="130">
        <f>IF(SER_hh_tes_in!W19=0,0,11630*1000*SER_hh_tes_in!W19/SER_hh_num_in!W19)</f>
        <v>22168.367321876533</v>
      </c>
      <c r="X19" s="130">
        <f>IF(SER_hh_tes_in!X19=0,0,11630*1000*SER_hh_tes_in!X19/SER_hh_num_in!X19)</f>
        <v>22451.249257548272</v>
      </c>
      <c r="Y19" s="130">
        <f>IF(SER_hh_tes_in!Y19=0,0,11630*1000*SER_hh_tes_in!Y19/SER_hh_num_in!Y19)</f>
        <v>22664.228309164042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0</v>
      </c>
      <c r="D21" s="132">
        <f>IF(SER_hh_tes_in!D21=0,0,11630*1000*SER_hh_tes_in!D21/SER_hh_num_in!D21)</f>
        <v>0</v>
      </c>
      <c r="E21" s="132">
        <f>IF(SER_hh_tes_in!E21=0,0,11630*1000*SER_hh_tes_in!E21/SER_hh_num_in!E21)</f>
        <v>0</v>
      </c>
      <c r="F21" s="132">
        <f>IF(SER_hh_tes_in!F21=0,0,11630*1000*SER_hh_tes_in!F21/SER_hh_num_in!F21)</f>
        <v>0</v>
      </c>
      <c r="G21" s="132">
        <f>IF(SER_hh_tes_in!G21=0,0,11630*1000*SER_hh_tes_in!G21/SER_hh_num_in!G21)</f>
        <v>0</v>
      </c>
      <c r="H21" s="132">
        <f>IF(SER_hh_tes_in!H21=0,0,11630*1000*SER_hh_tes_in!H21/SER_hh_num_in!H21)</f>
        <v>0</v>
      </c>
      <c r="I21" s="132">
        <f>IF(SER_hh_tes_in!I21=0,0,11630*1000*SER_hh_tes_in!I21/SER_hh_num_in!I21)</f>
        <v>0</v>
      </c>
      <c r="J21" s="132">
        <f>IF(SER_hh_tes_in!J21=0,0,11630*1000*SER_hh_tes_in!J21/SER_hh_num_in!J21)</f>
        <v>0</v>
      </c>
      <c r="K21" s="132">
        <f>IF(SER_hh_tes_in!K21=0,0,11630*1000*SER_hh_tes_in!K21/SER_hh_num_in!K21)</f>
        <v>0</v>
      </c>
      <c r="L21" s="132">
        <f>IF(SER_hh_tes_in!L21=0,0,11630*1000*SER_hh_tes_in!L21/SER_hh_num_in!L21)</f>
        <v>0</v>
      </c>
      <c r="M21" s="132">
        <f>IF(SER_hh_tes_in!M21=0,0,11630*1000*SER_hh_tes_in!M21/SER_hh_num_in!M21)</f>
        <v>0</v>
      </c>
      <c r="N21" s="132">
        <f>IF(SER_hh_tes_in!N21=0,0,11630*1000*SER_hh_tes_in!N21/SER_hh_num_in!N21)</f>
        <v>0</v>
      </c>
      <c r="O21" s="132">
        <f>IF(SER_hh_tes_in!O21=0,0,11630*1000*SER_hh_tes_in!O21/SER_hh_num_in!O21)</f>
        <v>0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0</v>
      </c>
      <c r="S21" s="132">
        <f>IF(SER_hh_tes_in!S21=0,0,11630*1000*SER_hh_tes_in!S21/SER_hh_num_in!S21)</f>
        <v>0</v>
      </c>
      <c r="T21" s="132">
        <f>IF(SER_hh_tes_in!T21=0,0,11630*1000*SER_hh_tes_in!T21/SER_hh_num_in!T21)</f>
        <v>0</v>
      </c>
      <c r="U21" s="132">
        <f>IF(SER_hh_tes_in!U21=0,0,11630*1000*SER_hh_tes_in!U21/SER_hh_num_in!U21)</f>
        <v>0</v>
      </c>
      <c r="V21" s="132">
        <f>IF(SER_hh_tes_in!V21=0,0,11630*1000*SER_hh_tes_in!V21/SER_hh_num_in!V21)</f>
        <v>0</v>
      </c>
      <c r="W21" s="132">
        <f>IF(SER_hh_tes_in!W21=0,0,11630*1000*SER_hh_tes_in!W21/SER_hh_num_in!W21)</f>
        <v>0</v>
      </c>
      <c r="X21" s="132">
        <f>IF(SER_hh_tes_in!X21=0,0,11630*1000*SER_hh_tes_in!X21/SER_hh_num_in!X21)</f>
        <v>0</v>
      </c>
      <c r="Y21" s="132">
        <f>IF(SER_hh_tes_in!Y21=0,0,11630*1000*SER_hh_tes_in!Y21/SER_hh_num_in!Y21)</f>
        <v>0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23420.496318718491</v>
      </c>
      <c r="D22" s="132">
        <f>IF(SER_hh_tes_in!D22=0,0,11630*1000*SER_hh_tes_in!D22/SER_hh_num_in!D22)</f>
        <v>23193.708089553485</v>
      </c>
      <c r="E22" s="132">
        <f>IF(SER_hh_tes_in!E22=0,0,11630*1000*SER_hh_tes_in!E22/SER_hh_num_in!E22)</f>
        <v>23137.632231023425</v>
      </c>
      <c r="F22" s="132">
        <f>IF(SER_hh_tes_in!F22=0,0,11630*1000*SER_hh_tes_in!F22/SER_hh_num_in!F22)</f>
        <v>22889.135598482189</v>
      </c>
      <c r="G22" s="132">
        <f>IF(SER_hh_tes_in!G22=0,0,11630*1000*SER_hh_tes_in!G22/SER_hh_num_in!G22)</f>
        <v>22813.550356576503</v>
      </c>
      <c r="H22" s="132">
        <f>IF(SER_hh_tes_in!H22=0,0,11630*1000*SER_hh_tes_in!H22/SER_hh_num_in!H22)</f>
        <v>23380.000005134498</v>
      </c>
      <c r="I22" s="132">
        <f>IF(SER_hh_tes_in!I22=0,0,11630*1000*SER_hh_tes_in!I22/SER_hh_num_in!I22)</f>
        <v>22778.233410877554</v>
      </c>
      <c r="J22" s="132">
        <f>IF(SER_hh_tes_in!J22=0,0,11630*1000*SER_hh_tes_in!J22/SER_hh_num_in!J22)</f>
        <v>23312.964409378692</v>
      </c>
      <c r="K22" s="132">
        <f>IF(SER_hh_tes_in!K22=0,0,11630*1000*SER_hh_tes_in!K22/SER_hh_num_in!K22)</f>
        <v>23112.61699751388</v>
      </c>
      <c r="L22" s="132">
        <f>IF(SER_hh_tes_in!L22=0,0,11630*1000*SER_hh_tes_in!L22/SER_hh_num_in!L22)</f>
        <v>23062.932849535664</v>
      </c>
      <c r="M22" s="132">
        <f>IF(SER_hh_tes_in!M22=0,0,11630*1000*SER_hh_tes_in!M22/SER_hh_num_in!M22)</f>
        <v>23378.494328727393</v>
      </c>
      <c r="N22" s="132">
        <f>IF(SER_hh_tes_in!N22=0,0,11630*1000*SER_hh_tes_in!N22/SER_hh_num_in!N22)</f>
        <v>23496.28958001751</v>
      </c>
      <c r="O22" s="132">
        <f>IF(SER_hh_tes_in!O22=0,0,11630*1000*SER_hh_tes_in!O22/SER_hh_num_in!O22)</f>
        <v>23727.125619662915</v>
      </c>
      <c r="P22" s="132">
        <f>IF(SER_hh_tes_in!P22=0,0,11630*1000*SER_hh_tes_in!P22/SER_hh_num_in!P22)</f>
        <v>23571.625583078294</v>
      </c>
      <c r="Q22" s="132">
        <f>IF(SER_hh_tes_in!Q22=0,0,11630*1000*SER_hh_tes_in!Q22/SER_hh_num_in!Q22)</f>
        <v>23803.977944553309</v>
      </c>
      <c r="R22" s="132">
        <f>IF(SER_hh_tes_in!R22=0,0,11630*1000*SER_hh_tes_in!R22/SER_hh_num_in!R22)</f>
        <v>23803.575262601662</v>
      </c>
      <c r="S22" s="132">
        <f>IF(SER_hh_tes_in!S22=0,0,11630*1000*SER_hh_tes_in!S22/SER_hh_num_in!S22)</f>
        <v>23974.362785102596</v>
      </c>
      <c r="T22" s="132">
        <f>IF(SER_hh_tes_in!T22=0,0,11630*1000*SER_hh_tes_in!T22/SER_hh_num_in!T22)</f>
        <v>23767.585413696226</v>
      </c>
      <c r="U22" s="132">
        <f>IF(SER_hh_tes_in!U22=0,0,11630*1000*SER_hh_tes_in!U22/SER_hh_num_in!U22)</f>
        <v>22887.519478575738</v>
      </c>
      <c r="V22" s="132">
        <f>IF(SER_hh_tes_in!V22=0,0,11630*1000*SER_hh_tes_in!V22/SER_hh_num_in!V22)</f>
        <v>20786.679133707825</v>
      </c>
      <c r="W22" s="132">
        <f>IF(SER_hh_tes_in!W22=0,0,11630*1000*SER_hh_tes_in!W22/SER_hh_num_in!W22)</f>
        <v>22022.894262450365</v>
      </c>
      <c r="X22" s="132">
        <f>IF(SER_hh_tes_in!X22=0,0,11630*1000*SER_hh_tes_in!X22/SER_hh_num_in!X22)</f>
        <v>21845.607205680677</v>
      </c>
      <c r="Y22" s="132">
        <f>IF(SER_hh_tes_in!Y22=0,0,11630*1000*SER_hh_tes_in!Y22/SER_hh_num_in!Y22)</f>
        <v>22819.572139669905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22548.209809637992</v>
      </c>
      <c r="D23" s="132">
        <f>IF(SER_hh_tes_in!D23=0,0,11630*1000*SER_hh_tes_in!D23/SER_hh_num_in!D23)</f>
        <v>23470.633339002437</v>
      </c>
      <c r="E23" s="132">
        <f>IF(SER_hh_tes_in!E23=0,0,11630*1000*SER_hh_tes_in!E23/SER_hh_num_in!E23)</f>
        <v>23017.59915973639</v>
      </c>
      <c r="F23" s="132">
        <f>IF(SER_hh_tes_in!F23=0,0,11630*1000*SER_hh_tes_in!F23/SER_hh_num_in!F23)</f>
        <v>22804.841961001457</v>
      </c>
      <c r="G23" s="132">
        <f>IF(SER_hh_tes_in!G23=0,0,11630*1000*SER_hh_tes_in!G23/SER_hh_num_in!G23)</f>
        <v>23285.813556107296</v>
      </c>
      <c r="H23" s="132">
        <f>IF(SER_hh_tes_in!H23=0,0,11630*1000*SER_hh_tes_in!H23/SER_hh_num_in!H23)</f>
        <v>22622.015996341164</v>
      </c>
      <c r="I23" s="132">
        <f>IF(SER_hh_tes_in!I23=0,0,11630*1000*SER_hh_tes_in!I23/SER_hh_num_in!I23)</f>
        <v>22209.09715977751</v>
      </c>
      <c r="J23" s="132">
        <f>IF(SER_hh_tes_in!J23=0,0,11630*1000*SER_hh_tes_in!J23/SER_hh_num_in!J23)</f>
        <v>23655.460423431181</v>
      </c>
      <c r="K23" s="132">
        <f>IF(SER_hh_tes_in!K23=0,0,11630*1000*SER_hh_tes_in!K23/SER_hh_num_in!K23)</f>
        <v>24011.810315033101</v>
      </c>
      <c r="L23" s="132">
        <f>IF(SER_hh_tes_in!L23=0,0,11630*1000*SER_hh_tes_in!L23/SER_hh_num_in!L23)</f>
        <v>23362.801803469443</v>
      </c>
      <c r="M23" s="132">
        <f>IF(SER_hh_tes_in!M23=0,0,11630*1000*SER_hh_tes_in!M23/SER_hh_num_in!M23)</f>
        <v>23562.161100484762</v>
      </c>
      <c r="N23" s="132">
        <f>IF(SER_hh_tes_in!N23=0,0,11630*1000*SER_hh_tes_in!N23/SER_hh_num_in!N23)</f>
        <v>23485.848341084995</v>
      </c>
      <c r="O23" s="132">
        <f>IF(SER_hh_tes_in!O23=0,0,11630*1000*SER_hh_tes_in!O23/SER_hh_num_in!O23)</f>
        <v>23619.058807128731</v>
      </c>
      <c r="P23" s="132">
        <f>IF(SER_hh_tes_in!P23=0,0,11630*1000*SER_hh_tes_in!P23/SER_hh_num_in!P23)</f>
        <v>23300.842094339794</v>
      </c>
      <c r="Q23" s="132">
        <f>IF(SER_hh_tes_in!Q23=0,0,11630*1000*SER_hh_tes_in!Q23/SER_hh_num_in!Q23)</f>
        <v>23526.996385642524</v>
      </c>
      <c r="R23" s="132">
        <f>IF(SER_hh_tes_in!R23=0,0,11630*1000*SER_hh_tes_in!R23/SER_hh_num_in!R23)</f>
        <v>23619.979744601471</v>
      </c>
      <c r="S23" s="132">
        <f>IF(SER_hh_tes_in!S23=0,0,11630*1000*SER_hh_tes_in!S23/SER_hh_num_in!S23)</f>
        <v>23958.633528516639</v>
      </c>
      <c r="T23" s="132">
        <f>IF(SER_hh_tes_in!T23=0,0,11630*1000*SER_hh_tes_in!T23/SER_hh_num_in!T23)</f>
        <v>23114.180837409491</v>
      </c>
      <c r="U23" s="132">
        <f>IF(SER_hh_tes_in!U23=0,0,11630*1000*SER_hh_tes_in!U23/SER_hh_num_in!U23)</f>
        <v>22650.988900307406</v>
      </c>
      <c r="V23" s="132">
        <f>IF(SER_hh_tes_in!V23=0,0,11630*1000*SER_hh_tes_in!V23/SER_hh_num_in!V23)</f>
        <v>22170.286337335368</v>
      </c>
      <c r="W23" s="132">
        <f>IF(SER_hh_tes_in!W23=0,0,11630*1000*SER_hh_tes_in!W23/SER_hh_num_in!W23)</f>
        <v>22530.173752443847</v>
      </c>
      <c r="X23" s="132">
        <f>IF(SER_hh_tes_in!X23=0,0,11630*1000*SER_hh_tes_in!X23/SER_hh_num_in!X23)</f>
        <v>22682.725815884052</v>
      </c>
      <c r="Y23" s="132">
        <f>IF(SER_hh_tes_in!Y23=0,0,11630*1000*SER_hh_tes_in!Y23/SER_hh_num_in!Y23)</f>
        <v>22022.931201231884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22638.142214704236</v>
      </c>
      <c r="D24" s="132">
        <f>IF(SER_hh_tes_in!D24=0,0,11630*1000*SER_hh_tes_in!D24/SER_hh_num_in!D24)</f>
        <v>22617.780330562804</v>
      </c>
      <c r="E24" s="132">
        <f>IF(SER_hh_tes_in!E24=0,0,11630*1000*SER_hh_tes_in!E24/SER_hh_num_in!E24)</f>
        <v>22229.148059149895</v>
      </c>
      <c r="F24" s="132">
        <f>IF(SER_hh_tes_in!F24=0,0,11630*1000*SER_hh_tes_in!F24/SER_hh_num_in!F24)</f>
        <v>23102.431413748418</v>
      </c>
      <c r="G24" s="132">
        <f>IF(SER_hh_tes_in!G24=0,0,11630*1000*SER_hh_tes_in!G24/SER_hh_num_in!G24)</f>
        <v>23392.886853041768</v>
      </c>
      <c r="H24" s="132">
        <f>IF(SER_hh_tes_in!H24=0,0,11630*1000*SER_hh_tes_in!H24/SER_hh_num_in!H24)</f>
        <v>23235.500927873109</v>
      </c>
      <c r="I24" s="132">
        <f>IF(SER_hh_tes_in!I24=0,0,11630*1000*SER_hh_tes_in!I24/SER_hh_num_in!I24)</f>
        <v>23279.084779971086</v>
      </c>
      <c r="J24" s="132">
        <f>IF(SER_hh_tes_in!J24=0,0,11630*1000*SER_hh_tes_in!J24/SER_hh_num_in!J24)</f>
        <v>22808.388227446489</v>
      </c>
      <c r="K24" s="132">
        <f>IF(SER_hh_tes_in!K24=0,0,11630*1000*SER_hh_tes_in!K24/SER_hh_num_in!K24)</f>
        <v>23098.63491349301</v>
      </c>
      <c r="L24" s="132">
        <f>IF(SER_hh_tes_in!L24=0,0,11630*1000*SER_hh_tes_in!L24/SER_hh_num_in!L24)</f>
        <v>23239.366777589148</v>
      </c>
      <c r="M24" s="132">
        <f>IF(SER_hh_tes_in!M24=0,0,11630*1000*SER_hh_tes_in!M24/SER_hh_num_in!M24)</f>
        <v>23731.158467814763</v>
      </c>
      <c r="N24" s="132">
        <f>IF(SER_hh_tes_in!N24=0,0,11630*1000*SER_hh_tes_in!N24/SER_hh_num_in!N24)</f>
        <v>23416.247298635979</v>
      </c>
      <c r="O24" s="132">
        <f>IF(SER_hh_tes_in!O24=0,0,11630*1000*SER_hh_tes_in!O24/SER_hh_num_in!O24)</f>
        <v>23736.031679157702</v>
      </c>
      <c r="P24" s="132">
        <f>IF(SER_hh_tes_in!P24=0,0,11630*1000*SER_hh_tes_in!P24/SER_hh_num_in!P24)</f>
        <v>23511.40975701077</v>
      </c>
      <c r="Q24" s="132">
        <f>IF(SER_hh_tes_in!Q24=0,0,11630*1000*SER_hh_tes_in!Q24/SER_hh_num_in!Q24)</f>
        <v>23942.626811079739</v>
      </c>
      <c r="R24" s="132">
        <f>IF(SER_hh_tes_in!R24=0,0,11630*1000*SER_hh_tes_in!R24/SER_hh_num_in!R24)</f>
        <v>23399.04702857295</v>
      </c>
      <c r="S24" s="132">
        <f>IF(SER_hh_tes_in!S24=0,0,11630*1000*SER_hh_tes_in!S24/SER_hh_num_in!S24)</f>
        <v>25773.496430930922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19927.816863923923</v>
      </c>
      <c r="W24" s="132">
        <f>IF(SER_hh_tes_in!W24=0,0,11630*1000*SER_hh_tes_in!W24/SER_hh_num_in!W24)</f>
        <v>21149.011304196469</v>
      </c>
      <c r="X24" s="132">
        <f>IF(SER_hh_tes_in!X24=0,0,11630*1000*SER_hh_tes_in!X24/SER_hh_num_in!X24)</f>
        <v>23674.009406512421</v>
      </c>
      <c r="Y24" s="132">
        <f>IF(SER_hh_tes_in!Y24=0,0,11630*1000*SER_hh_tes_in!Y24/SER_hh_num_in!Y24)</f>
        <v>22048.912462030898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23558.658173267228</v>
      </c>
      <c r="D25" s="132">
        <f>IF(SER_hh_tes_in!D25=0,0,11630*1000*SER_hh_tes_in!D25/SER_hh_num_in!D25)</f>
        <v>23343.581424758573</v>
      </c>
      <c r="E25" s="132">
        <f>IF(SER_hh_tes_in!E25=0,0,11630*1000*SER_hh_tes_in!E25/SER_hh_num_in!E25)</f>
        <v>23206.898748591168</v>
      </c>
      <c r="F25" s="132">
        <f>IF(SER_hh_tes_in!F25=0,0,11630*1000*SER_hh_tes_in!F25/SER_hh_num_in!F25)</f>
        <v>23100.34878389995</v>
      </c>
      <c r="G25" s="132">
        <f>IF(SER_hh_tes_in!G25=0,0,11630*1000*SER_hh_tes_in!G25/SER_hh_num_in!G25)</f>
        <v>22861.547713388831</v>
      </c>
      <c r="H25" s="132">
        <f>IF(SER_hh_tes_in!H25=0,0,11630*1000*SER_hh_tes_in!H25/SER_hh_num_in!H25)</f>
        <v>23036.573919960196</v>
      </c>
      <c r="I25" s="132">
        <f>IF(SER_hh_tes_in!I25=0,0,11630*1000*SER_hh_tes_in!I25/SER_hh_num_in!I25)</f>
        <v>23303.880109245838</v>
      </c>
      <c r="J25" s="132">
        <f>IF(SER_hh_tes_in!J25=0,0,11630*1000*SER_hh_tes_in!J25/SER_hh_num_in!J25)</f>
        <v>22585.423522166115</v>
      </c>
      <c r="K25" s="132">
        <f>IF(SER_hh_tes_in!K25=0,0,11630*1000*SER_hh_tes_in!K25/SER_hh_num_in!K25)</f>
        <v>23217.816321561655</v>
      </c>
      <c r="L25" s="132">
        <f>IF(SER_hh_tes_in!L25=0,0,11630*1000*SER_hh_tes_in!L25/SER_hh_num_in!L25)</f>
        <v>23147.294633592155</v>
      </c>
      <c r="M25" s="132">
        <f>IF(SER_hh_tes_in!M25=0,0,11630*1000*SER_hh_tes_in!M25/SER_hh_num_in!M25)</f>
        <v>23644.068740798943</v>
      </c>
      <c r="N25" s="132">
        <f>IF(SER_hh_tes_in!N25=0,0,11630*1000*SER_hh_tes_in!N25/SER_hh_num_in!N25)</f>
        <v>23465.109882223947</v>
      </c>
      <c r="O25" s="132">
        <f>IF(SER_hh_tes_in!O25=0,0,11630*1000*SER_hh_tes_in!O25/SER_hh_num_in!O25)</f>
        <v>23537.414082084262</v>
      </c>
      <c r="P25" s="132">
        <f>IF(SER_hh_tes_in!P25=0,0,11630*1000*SER_hh_tes_in!P25/SER_hh_num_in!P25)</f>
        <v>22929.443652930971</v>
      </c>
      <c r="Q25" s="132">
        <f>IF(SER_hh_tes_in!Q25=0,0,11630*1000*SER_hh_tes_in!Q25/SER_hh_num_in!Q25)</f>
        <v>23799.804004082038</v>
      </c>
      <c r="R25" s="132">
        <f>IF(SER_hh_tes_in!R25=0,0,11630*1000*SER_hh_tes_in!R25/SER_hh_num_in!R25)</f>
        <v>23826.4333028898</v>
      </c>
      <c r="S25" s="132">
        <f>IF(SER_hh_tes_in!S25=0,0,11630*1000*SER_hh_tes_in!S25/SER_hh_num_in!S25)</f>
        <v>23990.634169482481</v>
      </c>
      <c r="T25" s="132">
        <f>IF(SER_hh_tes_in!T25=0,0,11630*1000*SER_hh_tes_in!T25/SER_hh_num_in!T25)</f>
        <v>23141.273620391377</v>
      </c>
      <c r="U25" s="132">
        <f>IF(SER_hh_tes_in!U25=0,0,11630*1000*SER_hh_tes_in!U25/SER_hh_num_in!U25)</f>
        <v>23012.578203789886</v>
      </c>
      <c r="V25" s="132">
        <f>IF(SER_hh_tes_in!V25=0,0,11630*1000*SER_hh_tes_in!V25/SER_hh_num_in!V25)</f>
        <v>21103.419465951596</v>
      </c>
      <c r="W25" s="132">
        <f>IF(SER_hh_tes_in!W25=0,0,11630*1000*SER_hh_tes_in!W25/SER_hh_num_in!W25)</f>
        <v>22466.947396617845</v>
      </c>
      <c r="X25" s="132">
        <f>IF(SER_hh_tes_in!X25=0,0,11630*1000*SER_hh_tes_in!X25/SER_hh_num_in!X25)</f>
        <v>23300.228110630509</v>
      </c>
      <c r="Y25" s="132">
        <f>IF(SER_hh_tes_in!Y25=0,0,11630*1000*SER_hh_tes_in!Y25/SER_hh_num_in!Y25)</f>
        <v>22052.381910912656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24512.657587606776</v>
      </c>
      <c r="D26" s="65">
        <f>IF(SER_hh_tes_in!D26=0,0,11630*1000*SER_hh_tes_in!D26/SER_hh_num_in!D26)</f>
        <v>22455.875371937251</v>
      </c>
      <c r="E26" s="65">
        <f>IF(SER_hh_tes_in!E26=0,0,11630*1000*SER_hh_tes_in!E26/SER_hh_num_in!E26)</f>
        <v>22612.33976112782</v>
      </c>
      <c r="F26" s="65">
        <f>IF(SER_hh_tes_in!F26=0,0,11630*1000*SER_hh_tes_in!F26/SER_hh_num_in!F26)</f>
        <v>23304.883515320125</v>
      </c>
      <c r="G26" s="65">
        <f>IF(SER_hh_tes_in!G26=0,0,11630*1000*SER_hh_tes_in!G26/SER_hh_num_in!G26)</f>
        <v>22570.671190004825</v>
      </c>
      <c r="H26" s="65">
        <f>IF(SER_hh_tes_in!H26=0,0,11630*1000*SER_hh_tes_in!H26/SER_hh_num_in!H26)</f>
        <v>23111.028058309439</v>
      </c>
      <c r="I26" s="65">
        <f>IF(SER_hh_tes_in!I26=0,0,11630*1000*SER_hh_tes_in!I26/SER_hh_num_in!I26)</f>
        <v>22994.276978281367</v>
      </c>
      <c r="J26" s="65">
        <f>IF(SER_hh_tes_in!J26=0,0,11630*1000*SER_hh_tes_in!J26/SER_hh_num_in!J26)</f>
        <v>22363.561088892122</v>
      </c>
      <c r="K26" s="65">
        <f>IF(SER_hh_tes_in!K26=0,0,11630*1000*SER_hh_tes_in!K26/SER_hh_num_in!K26)</f>
        <v>24022.994038873472</v>
      </c>
      <c r="L26" s="65">
        <f>IF(SER_hh_tes_in!L26=0,0,11630*1000*SER_hh_tes_in!L26/SER_hh_num_in!L26)</f>
        <v>23459.739050528457</v>
      </c>
      <c r="M26" s="65">
        <f>IF(SER_hh_tes_in!M26=0,0,11630*1000*SER_hh_tes_in!M26/SER_hh_num_in!M26)</f>
        <v>23928.793999647063</v>
      </c>
      <c r="N26" s="65">
        <f>IF(SER_hh_tes_in!N26=0,0,11630*1000*SER_hh_tes_in!N26/SER_hh_num_in!N26)</f>
        <v>22657.502710468561</v>
      </c>
      <c r="O26" s="65">
        <f>IF(SER_hh_tes_in!O26=0,0,11630*1000*SER_hh_tes_in!O26/SER_hh_num_in!O26)</f>
        <v>23924.546652877183</v>
      </c>
      <c r="P26" s="65">
        <f>IF(SER_hh_tes_in!P26=0,0,11630*1000*SER_hh_tes_in!P26/SER_hh_num_in!P26)</f>
        <v>23401.94331694338</v>
      </c>
      <c r="Q26" s="65">
        <f>IF(SER_hh_tes_in!Q26=0,0,11630*1000*SER_hh_tes_in!Q26/SER_hh_num_in!Q26)</f>
        <v>22800.653045173636</v>
      </c>
      <c r="R26" s="65">
        <f>IF(SER_hh_tes_in!R26=0,0,11630*1000*SER_hh_tes_in!R26/SER_hh_num_in!R26)</f>
        <v>23421.913393930176</v>
      </c>
      <c r="S26" s="65">
        <f>IF(SER_hh_tes_in!S26=0,0,11630*1000*SER_hh_tes_in!S26/SER_hh_num_in!S26)</f>
        <v>23518.941599478447</v>
      </c>
      <c r="T26" s="65">
        <f>IF(SER_hh_tes_in!T26=0,0,11630*1000*SER_hh_tes_in!T26/SER_hh_num_in!T26)</f>
        <v>24248.453283070798</v>
      </c>
      <c r="U26" s="65">
        <f>IF(SER_hh_tes_in!U26=0,0,11630*1000*SER_hh_tes_in!U26/SER_hh_num_in!U26)</f>
        <v>23854.328553026899</v>
      </c>
      <c r="V26" s="65">
        <f>IF(SER_hh_tes_in!V26=0,0,11630*1000*SER_hh_tes_in!V26/SER_hh_num_in!V26)</f>
        <v>20897.099032869755</v>
      </c>
      <c r="W26" s="65">
        <f>IF(SER_hh_tes_in!W26=0,0,11630*1000*SER_hh_tes_in!W26/SER_hh_num_in!W26)</f>
        <v>22113.578996850913</v>
      </c>
      <c r="X26" s="65">
        <f>IF(SER_hh_tes_in!X26=0,0,11630*1000*SER_hh_tes_in!X26/SER_hh_num_in!X26)</f>
        <v>21390.285632351268</v>
      </c>
      <c r="Y26" s="65">
        <f>IF(SER_hh_tes_in!Y26=0,0,11630*1000*SER_hh_tes_in!Y26/SER_hh_num_in!Y26)</f>
        <v>23262.080940071322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0</v>
      </c>
      <c r="D27" s="145">
        <f>IF(SER_hh_tes_in!D27=0,0,11630*1000*SER_hh_tes_in!D27/SER_hh_num_in!D19)</f>
        <v>0</v>
      </c>
      <c r="E27" s="145">
        <f>IF(SER_hh_tes_in!E27=0,0,11630*1000*SER_hh_tes_in!E27/SER_hh_num_in!E19)</f>
        <v>0</v>
      </c>
      <c r="F27" s="145">
        <f>IF(SER_hh_tes_in!F27=0,0,11630*1000*SER_hh_tes_in!F27/SER_hh_num_in!F19)</f>
        <v>0</v>
      </c>
      <c r="G27" s="145">
        <f>IF(SER_hh_tes_in!G27=0,0,11630*1000*SER_hh_tes_in!G27/SER_hh_num_in!G19)</f>
        <v>0</v>
      </c>
      <c r="H27" s="145">
        <f>IF(SER_hh_tes_in!H27=0,0,11630*1000*SER_hh_tes_in!H27/SER_hh_num_in!H19)</f>
        <v>0</v>
      </c>
      <c r="I27" s="145">
        <f>IF(SER_hh_tes_in!I27=0,0,11630*1000*SER_hh_tes_in!I27/SER_hh_num_in!I19)</f>
        <v>0</v>
      </c>
      <c r="J27" s="145">
        <f>IF(SER_hh_tes_in!J27=0,0,11630*1000*SER_hh_tes_in!J27/SER_hh_num_in!J19)</f>
        <v>0</v>
      </c>
      <c r="K27" s="145">
        <f>IF(SER_hh_tes_in!K27=0,0,11630*1000*SER_hh_tes_in!K27/SER_hh_num_in!K19)</f>
        <v>0</v>
      </c>
      <c r="L27" s="145">
        <f>IF(SER_hh_tes_in!L27=0,0,11630*1000*SER_hh_tes_in!L27/SER_hh_num_in!L19)</f>
        <v>0</v>
      </c>
      <c r="M27" s="145">
        <f>IF(SER_hh_tes_in!M27=0,0,11630*1000*SER_hh_tes_in!M27/SER_hh_num_in!M19)</f>
        <v>0</v>
      </c>
      <c r="N27" s="145">
        <f>IF(SER_hh_tes_in!N27=0,0,11630*1000*SER_hh_tes_in!N27/SER_hh_num_in!N19)</f>
        <v>0</v>
      </c>
      <c r="O27" s="145">
        <f>IF(SER_hh_tes_in!O27=0,0,11630*1000*SER_hh_tes_in!O27/SER_hh_num_in!O19)</f>
        <v>0</v>
      </c>
      <c r="P27" s="145">
        <f>IF(SER_hh_tes_in!P27=0,0,11630*1000*SER_hh_tes_in!P27/SER_hh_num_in!P19)</f>
        <v>0</v>
      </c>
      <c r="Q27" s="145">
        <f>IF(SER_hh_tes_in!Q27=0,0,11630*1000*SER_hh_tes_in!Q27/SER_hh_num_in!Q19)</f>
        <v>0</v>
      </c>
      <c r="R27" s="145">
        <f>IF(SER_hh_tes_in!R27=0,0,11630*1000*SER_hh_tes_in!R27/SER_hh_num_in!R19)</f>
        <v>0</v>
      </c>
      <c r="S27" s="145">
        <f>IF(SER_hh_tes_in!S27=0,0,11630*1000*SER_hh_tes_in!S27/SER_hh_num_in!S19)</f>
        <v>0</v>
      </c>
      <c r="T27" s="145">
        <f>IF(SER_hh_tes_in!T27=0,0,11630*1000*SER_hh_tes_in!T27/SER_hh_num_in!T19)</f>
        <v>0</v>
      </c>
      <c r="U27" s="145">
        <f>IF(SER_hh_tes_in!U27=0,0,11630*1000*SER_hh_tes_in!U27/SER_hh_num_in!U19)</f>
        <v>0</v>
      </c>
      <c r="V27" s="145">
        <f>IF(SER_hh_tes_in!V27=0,0,11630*1000*SER_hh_tes_in!V27/SER_hh_num_in!V19)</f>
        <v>0</v>
      </c>
      <c r="W27" s="145">
        <f>IF(SER_hh_tes_in!W27=0,0,11630*1000*SER_hh_tes_in!W27/SER_hh_num_in!W19)</f>
        <v>0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0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0</v>
      </c>
      <c r="D28" s="146">
        <f>IF(SER_hh_tes_in!D27=0,0,11630*1000*SER_hh_tes_in!D27/SER_hh_num_in!D27)</f>
        <v>0</v>
      </c>
      <c r="E28" s="146">
        <f>IF(SER_hh_tes_in!E27=0,0,11630*1000*SER_hh_tes_in!E27/SER_hh_num_in!E27)</f>
        <v>0</v>
      </c>
      <c r="F28" s="146">
        <f>IF(SER_hh_tes_in!F27=0,0,11630*1000*SER_hh_tes_in!F27/SER_hh_num_in!F27)</f>
        <v>0</v>
      </c>
      <c r="G28" s="146">
        <f>IF(SER_hh_tes_in!G27=0,0,11630*1000*SER_hh_tes_in!G27/SER_hh_num_in!G27)</f>
        <v>0</v>
      </c>
      <c r="H28" s="146">
        <f>IF(SER_hh_tes_in!H27=0,0,11630*1000*SER_hh_tes_in!H27/SER_hh_num_in!H27)</f>
        <v>0</v>
      </c>
      <c r="I28" s="146">
        <f>IF(SER_hh_tes_in!I27=0,0,11630*1000*SER_hh_tes_in!I27/SER_hh_num_in!I27)</f>
        <v>0</v>
      </c>
      <c r="J28" s="146">
        <f>IF(SER_hh_tes_in!J27=0,0,11630*1000*SER_hh_tes_in!J27/SER_hh_num_in!J27)</f>
        <v>0</v>
      </c>
      <c r="K28" s="146">
        <f>IF(SER_hh_tes_in!K27=0,0,11630*1000*SER_hh_tes_in!K27/SER_hh_num_in!K27)</f>
        <v>0</v>
      </c>
      <c r="L28" s="146">
        <f>IF(SER_hh_tes_in!L27=0,0,11630*1000*SER_hh_tes_in!L27/SER_hh_num_in!L27)</f>
        <v>0</v>
      </c>
      <c r="M28" s="146">
        <f>IF(SER_hh_tes_in!M27=0,0,11630*1000*SER_hh_tes_in!M27/SER_hh_num_in!M27)</f>
        <v>0</v>
      </c>
      <c r="N28" s="146">
        <f>IF(SER_hh_tes_in!N27=0,0,11630*1000*SER_hh_tes_in!N27/SER_hh_num_in!N27)</f>
        <v>0</v>
      </c>
      <c r="O28" s="146">
        <f>IF(SER_hh_tes_in!O27=0,0,11630*1000*SER_hh_tes_in!O27/SER_hh_num_in!O27)</f>
        <v>0</v>
      </c>
      <c r="P28" s="146">
        <f>IF(SER_hh_tes_in!P27=0,0,11630*1000*SER_hh_tes_in!P27/SER_hh_num_in!P27)</f>
        <v>0</v>
      </c>
      <c r="Q28" s="146">
        <f>IF(SER_hh_tes_in!Q27=0,0,11630*1000*SER_hh_tes_in!Q27/SER_hh_num_in!Q27)</f>
        <v>0</v>
      </c>
      <c r="R28" s="146">
        <f>IF(SER_hh_tes_in!R27=0,0,11630*1000*SER_hh_tes_in!R27/SER_hh_num_in!R27)</f>
        <v>0</v>
      </c>
      <c r="S28" s="146">
        <f>IF(SER_hh_tes_in!S27=0,0,11630*1000*SER_hh_tes_in!S27/SER_hh_num_in!S27)</f>
        <v>0</v>
      </c>
      <c r="T28" s="146">
        <f>IF(SER_hh_tes_in!T27=0,0,11630*1000*SER_hh_tes_in!T27/SER_hh_num_in!T27)</f>
        <v>0</v>
      </c>
      <c r="U28" s="146">
        <f>IF(SER_hh_tes_in!U27=0,0,11630*1000*SER_hh_tes_in!U27/SER_hh_num_in!U27)</f>
        <v>0</v>
      </c>
      <c r="V28" s="146">
        <f>IF(SER_hh_tes_in!V27=0,0,11630*1000*SER_hh_tes_in!V27/SER_hh_num_in!V27)</f>
        <v>0</v>
      </c>
      <c r="W28" s="146">
        <f>IF(SER_hh_tes_in!W27=0,0,11630*1000*SER_hh_tes_in!W27/SER_hh_num_in!W27)</f>
        <v>0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33178.630930752668</v>
      </c>
      <c r="D29" s="130">
        <f>IF(SER_hh_tes_in!D29=0,0,11630*1000*SER_hh_tes_in!D29/SER_hh_num_in!D29)</f>
        <v>28275.487713572296</v>
      </c>
      <c r="E29" s="130">
        <f>IF(SER_hh_tes_in!E29=0,0,11630*1000*SER_hh_tes_in!E29/SER_hh_num_in!E29)</f>
        <v>28967.060434046336</v>
      </c>
      <c r="F29" s="130">
        <f>IF(SER_hh_tes_in!F29=0,0,11630*1000*SER_hh_tes_in!F29/SER_hh_num_in!F29)</f>
        <v>28186.993938174437</v>
      </c>
      <c r="G29" s="130">
        <f>IF(SER_hh_tes_in!G29=0,0,11630*1000*SER_hh_tes_in!G29/SER_hh_num_in!G29)</f>
        <v>28895.421580405517</v>
      </c>
      <c r="H29" s="130">
        <f>IF(SER_hh_tes_in!H29=0,0,11630*1000*SER_hh_tes_in!H29/SER_hh_num_in!H29)</f>
        <v>28807.605433734887</v>
      </c>
      <c r="I29" s="130">
        <f>IF(SER_hh_tes_in!I29=0,0,11630*1000*SER_hh_tes_in!I29/SER_hh_num_in!I29)</f>
        <v>27382.482828359523</v>
      </c>
      <c r="J29" s="130">
        <f>IF(SER_hh_tes_in!J29=0,0,11630*1000*SER_hh_tes_in!J29/SER_hh_num_in!J29)</f>
        <v>28163.159303356046</v>
      </c>
      <c r="K29" s="130">
        <f>IF(SER_hh_tes_in!K29=0,0,11630*1000*SER_hh_tes_in!K29/SER_hh_num_in!K29)</f>
        <v>29071.823941788796</v>
      </c>
      <c r="L29" s="130">
        <f>IF(SER_hh_tes_in!L29=0,0,11630*1000*SER_hh_tes_in!L29/SER_hh_num_in!L29)</f>
        <v>28549.249520993217</v>
      </c>
      <c r="M29" s="130">
        <f>IF(SER_hh_tes_in!M29=0,0,11630*1000*SER_hh_tes_in!M29/SER_hh_num_in!M29)</f>
        <v>28744.798270289943</v>
      </c>
      <c r="N29" s="130">
        <f>IF(SER_hh_tes_in!N29=0,0,11630*1000*SER_hh_tes_in!N29/SER_hh_num_in!N29)</f>
        <v>29144.038291108147</v>
      </c>
      <c r="O29" s="130">
        <f>IF(SER_hh_tes_in!O29=0,0,11630*1000*SER_hh_tes_in!O29/SER_hh_num_in!O29)</f>
        <v>29335.850532625125</v>
      </c>
      <c r="P29" s="130">
        <f>IF(SER_hh_tes_in!P29=0,0,11630*1000*SER_hh_tes_in!P29/SER_hh_num_in!P29)</f>
        <v>29081.127118806769</v>
      </c>
      <c r="Q29" s="130">
        <f>IF(SER_hh_tes_in!Q29=0,0,11630*1000*SER_hh_tes_in!Q29/SER_hh_num_in!Q29)</f>
        <v>28273.17405051575</v>
      </c>
      <c r="R29" s="130">
        <f>IF(SER_hh_tes_in!R29=0,0,11630*1000*SER_hh_tes_in!R29/SER_hh_num_in!R29)</f>
        <v>28228.934764159534</v>
      </c>
      <c r="S29" s="130">
        <f>IF(SER_hh_tes_in!S29=0,0,11630*1000*SER_hh_tes_in!S29/SER_hh_num_in!S29)</f>
        <v>28569.084935548697</v>
      </c>
      <c r="T29" s="130">
        <f>IF(SER_hh_tes_in!T29=0,0,11630*1000*SER_hh_tes_in!T29/SER_hh_num_in!T29)</f>
        <v>27960.470772311055</v>
      </c>
      <c r="U29" s="130">
        <f>IF(SER_hh_tes_in!U29=0,0,11630*1000*SER_hh_tes_in!U29/SER_hh_num_in!U29)</f>
        <v>28509.788357086691</v>
      </c>
      <c r="V29" s="130">
        <f>IF(SER_hh_tes_in!V29=0,0,11630*1000*SER_hh_tes_in!V29/SER_hh_num_in!V29)</f>
        <v>26388.003580923953</v>
      </c>
      <c r="W29" s="130">
        <f>IF(SER_hh_tes_in!W29=0,0,11630*1000*SER_hh_tes_in!W29/SER_hh_num_in!W29)</f>
        <v>27226.650228904164</v>
      </c>
      <c r="X29" s="130">
        <f>IF(SER_hh_tes_in!X29=0,0,11630*1000*SER_hh_tes_in!X29/SER_hh_num_in!X29)</f>
        <v>29262.768177048845</v>
      </c>
      <c r="Y29" s="130">
        <f>IF(SER_hh_tes_in!Y29=0,0,11630*1000*SER_hh_tes_in!Y29/SER_hh_num_in!Y29)</f>
        <v>27691.665836603417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47794.06564398465</v>
      </c>
      <c r="D30" s="132">
        <f>IF(SER_hh_tes_in!D30=0,0,11630*1000*SER_hh_tes_in!D30/SER_hh_num_in!D30)</f>
        <v>15046.186036100831</v>
      </c>
      <c r="E30" s="132">
        <f>IF(SER_hh_tes_in!E30=0,0,11630*1000*SER_hh_tes_in!E30/SER_hh_num_in!E30)</f>
        <v>39025.308819450598</v>
      </c>
      <c r="F30" s="132">
        <f>IF(SER_hh_tes_in!F30=0,0,11630*1000*SER_hh_tes_in!F30/SER_hh_num_in!F30)</f>
        <v>28338.16975437156</v>
      </c>
      <c r="G30" s="132">
        <f>IF(SER_hh_tes_in!G30=0,0,11630*1000*SER_hh_tes_in!G30/SER_hh_num_in!G30)</f>
        <v>27537.157110722681</v>
      </c>
      <c r="H30" s="132">
        <f>IF(SER_hh_tes_in!H30=0,0,11630*1000*SER_hh_tes_in!H30/SER_hh_num_in!H30)</f>
        <v>0</v>
      </c>
      <c r="I30" s="132">
        <f>IF(SER_hh_tes_in!I30=0,0,11630*1000*SER_hh_tes_in!I30/SER_hh_num_in!I30)</f>
        <v>0</v>
      </c>
      <c r="J30" s="132">
        <f>IF(SER_hh_tes_in!J30=0,0,11630*1000*SER_hh_tes_in!J30/SER_hh_num_in!J30)</f>
        <v>0</v>
      </c>
      <c r="K30" s="132">
        <f>IF(SER_hh_tes_in!K30=0,0,11630*1000*SER_hh_tes_in!K30/SER_hh_num_in!K30)</f>
        <v>0</v>
      </c>
      <c r="L30" s="132">
        <f>IF(SER_hh_tes_in!L30=0,0,11630*1000*SER_hh_tes_in!L30/SER_hh_num_in!L30)</f>
        <v>0</v>
      </c>
      <c r="M30" s="132">
        <f>IF(SER_hh_tes_in!M30=0,0,11630*1000*SER_hh_tes_in!M30/SER_hh_num_in!M30)</f>
        <v>0</v>
      </c>
      <c r="N30" s="132">
        <f>IF(SER_hh_tes_in!N30=0,0,11630*1000*SER_hh_tes_in!N30/SER_hh_num_in!N30)</f>
        <v>30456.120305588116</v>
      </c>
      <c r="O30" s="132">
        <f>IF(SER_hh_tes_in!O30=0,0,11630*1000*SER_hh_tes_in!O30/SER_hh_num_in!O30)</f>
        <v>26453.235901525866</v>
      </c>
      <c r="P30" s="132">
        <f>IF(SER_hh_tes_in!P30=0,0,11630*1000*SER_hh_tes_in!P30/SER_hh_num_in!P30)</f>
        <v>29885.466496001816</v>
      </c>
      <c r="Q30" s="132">
        <f>IF(SER_hh_tes_in!Q30=0,0,11630*1000*SER_hh_tes_in!Q30/SER_hh_num_in!Q30)</f>
        <v>23027.217676442895</v>
      </c>
      <c r="R30" s="132">
        <f>IF(SER_hh_tes_in!R30=0,0,11630*1000*SER_hh_tes_in!R30/SER_hh_num_in!R30)</f>
        <v>28492.940294373166</v>
      </c>
      <c r="S30" s="132">
        <f>IF(SER_hh_tes_in!S30=0,0,11630*1000*SER_hh_tes_in!S30/SER_hh_num_in!S30)</f>
        <v>34713.295517074286</v>
      </c>
      <c r="T30" s="132">
        <f>IF(SER_hh_tes_in!T30=0,0,11630*1000*SER_hh_tes_in!T30/SER_hh_num_in!T30)</f>
        <v>29413.2883335322</v>
      </c>
      <c r="U30" s="132">
        <f>IF(SER_hh_tes_in!U30=0,0,11630*1000*SER_hh_tes_in!U30/SER_hh_num_in!U30)</f>
        <v>0</v>
      </c>
      <c r="V30" s="132">
        <f>IF(SER_hh_tes_in!V30=0,0,11630*1000*SER_hh_tes_in!V30/SER_hh_num_in!V30)</f>
        <v>24091.151045699593</v>
      </c>
      <c r="W30" s="132">
        <f>IF(SER_hh_tes_in!W30=0,0,11630*1000*SER_hh_tes_in!W30/SER_hh_num_in!W30)</f>
        <v>24698.860785458779</v>
      </c>
      <c r="X30" s="132">
        <f>IF(SER_hh_tes_in!X30=0,0,11630*1000*SER_hh_tes_in!X30/SER_hh_num_in!X30)</f>
        <v>35731.381223780714</v>
      </c>
      <c r="Y30" s="132">
        <f>IF(SER_hh_tes_in!Y30=0,0,11630*1000*SER_hh_tes_in!Y30/SER_hh_num_in!Y30)</f>
        <v>24494.794556536199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31018.697814180785</v>
      </c>
      <c r="D31" s="132">
        <f>IF(SER_hh_tes_in!D31=0,0,11630*1000*SER_hh_tes_in!D31/SER_hh_num_in!D31)</f>
        <v>31490.305241064758</v>
      </c>
      <c r="E31" s="132">
        <f>IF(SER_hh_tes_in!E31=0,0,11630*1000*SER_hh_tes_in!E31/SER_hh_num_in!E31)</f>
        <v>27966.064157727633</v>
      </c>
      <c r="F31" s="132">
        <f>IF(SER_hh_tes_in!F31=0,0,11630*1000*SER_hh_tes_in!F31/SER_hh_num_in!F31)</f>
        <v>28960.347693645588</v>
      </c>
      <c r="G31" s="132">
        <f>IF(SER_hh_tes_in!G31=0,0,11630*1000*SER_hh_tes_in!G31/SER_hh_num_in!G31)</f>
        <v>28550.710025575878</v>
      </c>
      <c r="H31" s="132">
        <f>IF(SER_hh_tes_in!H31=0,0,11630*1000*SER_hh_tes_in!H31/SER_hh_num_in!H31)</f>
        <v>27772.941944477392</v>
      </c>
      <c r="I31" s="132">
        <f>IF(SER_hh_tes_in!I31=0,0,11630*1000*SER_hh_tes_in!I31/SER_hh_num_in!I31)</f>
        <v>27753.425782165345</v>
      </c>
      <c r="J31" s="132">
        <f>IF(SER_hh_tes_in!J31=0,0,11630*1000*SER_hh_tes_in!J31/SER_hh_num_in!J31)</f>
        <v>28762.751992398571</v>
      </c>
      <c r="K31" s="132">
        <f>IF(SER_hh_tes_in!K31=0,0,11630*1000*SER_hh_tes_in!K31/SER_hh_num_in!K31)</f>
        <v>29818.00489833366</v>
      </c>
      <c r="L31" s="132">
        <f>IF(SER_hh_tes_in!L31=0,0,11630*1000*SER_hh_tes_in!L31/SER_hh_num_in!L31)</f>
        <v>29604.824196789064</v>
      </c>
      <c r="M31" s="132">
        <f>IF(SER_hh_tes_in!M31=0,0,11630*1000*SER_hh_tes_in!M31/SER_hh_num_in!M31)</f>
        <v>30353.003479710434</v>
      </c>
      <c r="N31" s="132">
        <f>IF(SER_hh_tes_in!N31=0,0,11630*1000*SER_hh_tes_in!N31/SER_hh_num_in!N31)</f>
        <v>0</v>
      </c>
      <c r="O31" s="132">
        <f>IF(SER_hh_tes_in!O31=0,0,11630*1000*SER_hh_tes_in!O31/SER_hh_num_in!O31)</f>
        <v>27136.328211601227</v>
      </c>
      <c r="P31" s="132">
        <f>IF(SER_hh_tes_in!P31=0,0,11630*1000*SER_hh_tes_in!P31/SER_hh_num_in!P31)</f>
        <v>28513.859582433455</v>
      </c>
      <c r="Q31" s="132">
        <f>IF(SER_hh_tes_in!Q31=0,0,11630*1000*SER_hh_tes_in!Q31/SER_hh_num_in!Q31)</f>
        <v>26706.499210918759</v>
      </c>
      <c r="R31" s="132">
        <f>IF(SER_hh_tes_in!R31=0,0,11630*1000*SER_hh_tes_in!R31/SER_hh_num_in!R31)</f>
        <v>28253.896667585403</v>
      </c>
      <c r="S31" s="132">
        <f>IF(SER_hh_tes_in!S31=0,0,11630*1000*SER_hh_tes_in!S31/SER_hh_num_in!S31)</f>
        <v>28352.779772812682</v>
      </c>
      <c r="T31" s="132">
        <f>IF(SER_hh_tes_in!T31=0,0,11630*1000*SER_hh_tes_in!T31/SER_hh_num_in!T31)</f>
        <v>28041.951976198885</v>
      </c>
      <c r="U31" s="132">
        <f>IF(SER_hh_tes_in!U31=0,0,11630*1000*SER_hh_tes_in!U31/SER_hh_num_in!U31)</f>
        <v>28030.211570910098</v>
      </c>
      <c r="V31" s="132">
        <f>IF(SER_hh_tes_in!V31=0,0,11630*1000*SER_hh_tes_in!V31/SER_hh_num_in!V31)</f>
        <v>27934.631858056055</v>
      </c>
      <c r="W31" s="132">
        <f>IF(SER_hh_tes_in!W31=0,0,11630*1000*SER_hh_tes_in!W31/SER_hh_num_in!W31)</f>
        <v>27991.291986805376</v>
      </c>
      <c r="X31" s="132">
        <f>IF(SER_hh_tes_in!X31=0,0,11630*1000*SER_hh_tes_in!X31/SER_hh_num_in!X31)</f>
        <v>26637.984246320895</v>
      </c>
      <c r="Y31" s="132">
        <f>IF(SER_hh_tes_in!Y31=0,0,11630*1000*SER_hh_tes_in!Y31/SER_hh_num_in!Y31)</f>
        <v>28542.611818538833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29526.50408294105</v>
      </c>
      <c r="D33" s="68">
        <f>IF(SER_hh_tes_in!D33=0,0,11630*1000*SER_hh_tes_in!D33/SER_hh_num_in!D33)</f>
        <v>28599.820669321693</v>
      </c>
      <c r="E33" s="68">
        <f>IF(SER_hh_tes_in!E33=0,0,11630*1000*SER_hh_tes_in!E33/SER_hh_num_in!E33)</f>
        <v>27172.805770258154</v>
      </c>
      <c r="F33" s="68">
        <f>IF(SER_hh_tes_in!F33=0,0,11630*1000*SER_hh_tes_in!F33/SER_hh_num_in!F33)</f>
        <v>28023.894832802962</v>
      </c>
      <c r="G33" s="68">
        <f>IF(SER_hh_tes_in!G33=0,0,11630*1000*SER_hh_tes_in!G33/SER_hh_num_in!G33)</f>
        <v>28981.505919484116</v>
      </c>
      <c r="H33" s="68">
        <f>IF(SER_hh_tes_in!H33=0,0,11630*1000*SER_hh_tes_in!H33/SER_hh_num_in!H33)</f>
        <v>28985.91017248635</v>
      </c>
      <c r="I33" s="68">
        <f>IF(SER_hh_tes_in!I33=0,0,11630*1000*SER_hh_tes_in!I33/SER_hh_num_in!I33)</f>
        <v>27302.84520111153</v>
      </c>
      <c r="J33" s="68">
        <f>IF(SER_hh_tes_in!J33=0,0,11630*1000*SER_hh_tes_in!J33/SER_hh_num_in!J33)</f>
        <v>28010.446086082549</v>
      </c>
      <c r="K33" s="68">
        <f>IF(SER_hh_tes_in!K33=0,0,11630*1000*SER_hh_tes_in!K33/SER_hh_num_in!K33)</f>
        <v>28870.155488675719</v>
      </c>
      <c r="L33" s="68">
        <f>IF(SER_hh_tes_in!L33=0,0,11630*1000*SER_hh_tes_in!L33/SER_hh_num_in!L33)</f>
        <v>28364.344530718561</v>
      </c>
      <c r="M33" s="68">
        <f>IF(SER_hh_tes_in!M33=0,0,11630*1000*SER_hh_tes_in!M33/SER_hh_num_in!M33)</f>
        <v>28699.833934607428</v>
      </c>
      <c r="N33" s="68">
        <f>IF(SER_hh_tes_in!N33=0,0,11630*1000*SER_hh_tes_in!N33/SER_hh_num_in!N33)</f>
        <v>28986.803159155625</v>
      </c>
      <c r="O33" s="68">
        <f>IF(SER_hh_tes_in!O33=0,0,11630*1000*SER_hh_tes_in!O33/SER_hh_num_in!O33)</f>
        <v>29935.442346483334</v>
      </c>
      <c r="P33" s="68">
        <f>IF(SER_hh_tes_in!P33=0,0,11630*1000*SER_hh_tes_in!P33/SER_hh_num_in!P33)</f>
        <v>29071.14883073889</v>
      </c>
      <c r="Q33" s="68">
        <f>IF(SER_hh_tes_in!Q33=0,0,11630*1000*SER_hh_tes_in!Q33/SER_hh_num_in!Q33)</f>
        <v>29730.589879405095</v>
      </c>
      <c r="R33" s="68">
        <f>IF(SER_hh_tes_in!R33=0,0,11630*1000*SER_hh_tes_in!R33/SER_hh_num_in!R33)</f>
        <v>28134.403574614316</v>
      </c>
      <c r="S33" s="68">
        <f>IF(SER_hh_tes_in!S33=0,0,11630*1000*SER_hh_tes_in!S33/SER_hh_num_in!S33)</f>
        <v>27427.841640486367</v>
      </c>
      <c r="T33" s="68">
        <f>IF(SER_hh_tes_in!T33=0,0,11630*1000*SER_hh_tes_in!T33/SER_hh_num_in!T33)</f>
        <v>27902.58638913196</v>
      </c>
      <c r="U33" s="68">
        <f>IF(SER_hh_tes_in!U33=0,0,11630*1000*SER_hh_tes_in!U33/SER_hh_num_in!U33)</f>
        <v>28717.186038156142</v>
      </c>
      <c r="V33" s="68">
        <f>IF(SER_hh_tes_in!V33=0,0,11630*1000*SER_hh_tes_in!V33/SER_hh_num_in!V33)</f>
        <v>25811.020915200559</v>
      </c>
      <c r="W33" s="68">
        <f>IF(SER_hh_tes_in!W33=0,0,11630*1000*SER_hh_tes_in!W33/SER_hh_num_in!W33)</f>
        <v>27278.793327518382</v>
      </c>
      <c r="X33" s="68">
        <f>IF(SER_hh_tes_in!X33=0,0,11630*1000*SER_hh_tes_in!X33/SER_hh_num_in!X33)</f>
        <v>27306.799164953583</v>
      </c>
      <c r="Y33" s="68">
        <f>IF(SER_hh_tes_in!Y33=0,0,11630*1000*SER_hh_tes_in!Y33/SER_hh_num_in!Y33)</f>
        <v>28018.137577139434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28863.587434683766</v>
      </c>
      <c r="D3" s="125">
        <f>IF(SER_hh_emi_in!D3=0,0,1000000*SER_hh_emi_in!D3/SER_hh_num_in!D3)</f>
        <v>34469.327935406771</v>
      </c>
      <c r="E3" s="125">
        <f>IF(SER_hh_emi_in!E3=0,0,1000000*SER_hh_emi_in!E3/SER_hh_num_in!E3)</f>
        <v>30449.372831646546</v>
      </c>
      <c r="F3" s="125">
        <f>IF(SER_hh_emi_in!F3=0,0,1000000*SER_hh_emi_in!F3/SER_hh_num_in!F3)</f>
        <v>29532.653426397643</v>
      </c>
      <c r="G3" s="125">
        <f>IF(SER_hh_emi_in!G3=0,0,1000000*SER_hh_emi_in!G3/SER_hh_num_in!G3)</f>
        <v>22150.206562476636</v>
      </c>
      <c r="H3" s="125">
        <f>IF(SER_hh_emi_in!H3=0,0,1000000*SER_hh_emi_in!H3/SER_hh_num_in!H3)</f>
        <v>25583.79854705244</v>
      </c>
      <c r="I3" s="125">
        <f>IF(SER_hh_emi_in!I3=0,0,1000000*SER_hh_emi_in!I3/SER_hh_num_in!I3)</f>
        <v>20592.345641598145</v>
      </c>
      <c r="J3" s="125">
        <f>IF(SER_hh_emi_in!J3=0,0,1000000*SER_hh_emi_in!J3/SER_hh_num_in!J3)</f>
        <v>27496.592644444892</v>
      </c>
      <c r="K3" s="125">
        <f>IF(SER_hh_emi_in!K3=0,0,1000000*SER_hh_emi_in!K3/SER_hh_num_in!K3)</f>
        <v>24719.275726332871</v>
      </c>
      <c r="L3" s="125">
        <f>IF(SER_hh_emi_in!L3=0,0,1000000*SER_hh_emi_in!L3/SER_hh_num_in!L3)</f>
        <v>25704.257806330563</v>
      </c>
      <c r="M3" s="125">
        <f>IF(SER_hh_emi_in!M3=0,0,1000000*SER_hh_emi_in!M3/SER_hh_num_in!M3)</f>
        <v>9422.2743121667972</v>
      </c>
      <c r="N3" s="125">
        <f>IF(SER_hh_emi_in!N3=0,0,1000000*SER_hh_emi_in!N3/SER_hh_num_in!N3)</f>
        <v>13022.116343954107</v>
      </c>
      <c r="O3" s="125">
        <f>IF(SER_hh_emi_in!O3=0,0,1000000*SER_hh_emi_in!O3/SER_hh_num_in!O3)</f>
        <v>13359.72321907078</v>
      </c>
      <c r="P3" s="125">
        <f>IF(SER_hh_emi_in!P3=0,0,1000000*SER_hh_emi_in!P3/SER_hh_num_in!P3)</f>
        <v>15702.560775478174</v>
      </c>
      <c r="Q3" s="125">
        <f>IF(SER_hh_emi_in!Q3=0,0,1000000*SER_hh_emi_in!Q3/SER_hh_num_in!Q3)</f>
        <v>14387.324930543051</v>
      </c>
      <c r="R3" s="125">
        <f>IF(SER_hh_emi_in!R3=0,0,1000000*SER_hh_emi_in!R3/SER_hh_num_in!R3)</f>
        <v>14790.842032703129</v>
      </c>
      <c r="S3" s="125">
        <f>IF(SER_hh_emi_in!S3=0,0,1000000*SER_hh_emi_in!S3/SER_hh_num_in!S3)</f>
        <v>14592.744405178828</v>
      </c>
      <c r="T3" s="125">
        <f>IF(SER_hh_emi_in!T3=0,0,1000000*SER_hh_emi_in!T3/SER_hh_num_in!T3)</f>
        <v>15793.707307269506</v>
      </c>
      <c r="U3" s="125">
        <f>IF(SER_hh_emi_in!U3=0,0,1000000*SER_hh_emi_in!U3/SER_hh_num_in!U3)</f>
        <v>14829.092440856317</v>
      </c>
      <c r="V3" s="125">
        <f>IF(SER_hh_emi_in!V3=0,0,1000000*SER_hh_emi_in!V3/SER_hh_num_in!V3)</f>
        <v>15468.788945823957</v>
      </c>
      <c r="W3" s="125">
        <f>IF(SER_hh_emi_in!W3=0,0,1000000*SER_hh_emi_in!W3/SER_hh_num_in!W3)</f>
        <v>17509.142785242475</v>
      </c>
      <c r="X3" s="125">
        <f>IF(SER_hh_emi_in!X3=0,0,1000000*SER_hh_emi_in!X3/SER_hh_num_in!X3)</f>
        <v>13177.21508179249</v>
      </c>
      <c r="Y3" s="125">
        <f>IF(SER_hh_emi_in!Y3=0,0,1000000*SER_hh_emi_in!Y3/SER_hh_num_in!Y3)</f>
        <v>10244.806658219235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19996.044058436404</v>
      </c>
      <c r="D4" s="130">
        <f>IF(SER_hh_emi_in!D4=0,0,1000000*SER_hh_emi_in!D4/SER_hh_num_in!D4)</f>
        <v>28154.560993357132</v>
      </c>
      <c r="E4" s="130">
        <f>IF(SER_hh_emi_in!E4=0,0,1000000*SER_hh_emi_in!E4/SER_hh_num_in!E4)</f>
        <v>24400.134527142654</v>
      </c>
      <c r="F4" s="130">
        <f>IF(SER_hh_emi_in!F4=0,0,1000000*SER_hh_emi_in!F4/SER_hh_num_in!F4)</f>
        <v>26149.059581228299</v>
      </c>
      <c r="G4" s="130">
        <f>IF(SER_hh_emi_in!G4=0,0,1000000*SER_hh_emi_in!G4/SER_hh_num_in!G4)</f>
        <v>18785.217206941721</v>
      </c>
      <c r="H4" s="130">
        <f>IF(SER_hh_emi_in!H4=0,0,1000000*SER_hh_emi_in!H4/SER_hh_num_in!H4)</f>
        <v>22686.534241620295</v>
      </c>
      <c r="I4" s="130">
        <f>IF(SER_hh_emi_in!I4=0,0,1000000*SER_hh_emi_in!I4/SER_hh_num_in!I4)</f>
        <v>17486.952839406484</v>
      </c>
      <c r="J4" s="130">
        <f>IF(SER_hh_emi_in!J4=0,0,1000000*SER_hh_emi_in!J4/SER_hh_num_in!J4)</f>
        <v>23418.032538421914</v>
      </c>
      <c r="K4" s="130">
        <f>IF(SER_hh_emi_in!K4=0,0,1000000*SER_hh_emi_in!K4/SER_hh_num_in!K4)</f>
        <v>20282.111252517188</v>
      </c>
      <c r="L4" s="130">
        <f>IF(SER_hh_emi_in!L4=0,0,1000000*SER_hh_emi_in!L4/SER_hh_num_in!L4)</f>
        <v>21821.560730422912</v>
      </c>
      <c r="M4" s="130">
        <f>IF(SER_hh_emi_in!M4=0,0,1000000*SER_hh_emi_in!M4/SER_hh_num_in!M4)</f>
        <v>7489.8667809280441</v>
      </c>
      <c r="N4" s="130">
        <f>IF(SER_hh_emi_in!N4=0,0,1000000*SER_hh_emi_in!N4/SER_hh_num_in!N4)</f>
        <v>9572.3477076538384</v>
      </c>
      <c r="O4" s="130">
        <f>IF(SER_hh_emi_in!O4=0,0,1000000*SER_hh_emi_in!O4/SER_hh_num_in!O4)</f>
        <v>9919.3176171603609</v>
      </c>
      <c r="P4" s="130">
        <f>IF(SER_hh_emi_in!P4=0,0,1000000*SER_hh_emi_in!P4/SER_hh_num_in!P4)</f>
        <v>11119.102367963646</v>
      </c>
      <c r="Q4" s="130">
        <f>IF(SER_hh_emi_in!Q4=0,0,1000000*SER_hh_emi_in!Q4/SER_hh_num_in!Q4)</f>
        <v>10248.681913113127</v>
      </c>
      <c r="R4" s="130">
        <f>IF(SER_hh_emi_in!R4=0,0,1000000*SER_hh_emi_in!R4/SER_hh_num_in!R4)</f>
        <v>8966.881081813337</v>
      </c>
      <c r="S4" s="130">
        <f>IF(SER_hh_emi_in!S4=0,0,1000000*SER_hh_emi_in!S4/SER_hh_num_in!S4)</f>
        <v>9209.9610757145947</v>
      </c>
      <c r="T4" s="130">
        <f>IF(SER_hh_emi_in!T4=0,0,1000000*SER_hh_emi_in!T4/SER_hh_num_in!T4)</f>
        <v>11588.999614459532</v>
      </c>
      <c r="U4" s="130">
        <f>IF(SER_hh_emi_in!U4=0,0,1000000*SER_hh_emi_in!U4/SER_hh_num_in!U4)</f>
        <v>10939.863551577733</v>
      </c>
      <c r="V4" s="130">
        <f>IF(SER_hh_emi_in!V4=0,0,1000000*SER_hh_emi_in!V4/SER_hh_num_in!V4)</f>
        <v>11361.939772399033</v>
      </c>
      <c r="W4" s="130">
        <f>IF(SER_hh_emi_in!W4=0,0,1000000*SER_hh_emi_in!W4/SER_hh_num_in!W4)</f>
        <v>14501.94460500638</v>
      </c>
      <c r="X4" s="130">
        <f>IF(SER_hh_emi_in!X4=0,0,1000000*SER_hh_emi_in!X4/SER_hh_num_in!X4)</f>
        <v>8756.8214045948171</v>
      </c>
      <c r="Y4" s="130">
        <f>IF(SER_hh_emi_in!Y4=0,0,1000000*SER_hh_emi_in!Y4/SER_hh_num_in!Y4)</f>
        <v>6987.2271094958405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103121.55795358909</v>
      </c>
      <c r="D5" s="132">
        <f>IF(SER_hh_emi_in!D5=0,0,1000000*SER_hh_emi_in!D5/SER_hh_num_in!D5)</f>
        <v>101893.64542457317</v>
      </c>
      <c r="E5" s="132">
        <f>IF(SER_hh_emi_in!E5=0,0,1000000*SER_hh_emi_in!E5/SER_hh_num_in!E5)</f>
        <v>102597.68960595249</v>
      </c>
      <c r="F5" s="132">
        <f>IF(SER_hh_emi_in!F5=0,0,1000000*SER_hh_emi_in!F5/SER_hh_num_in!F5)</f>
        <v>103445.97601885437</v>
      </c>
      <c r="G5" s="132">
        <f>IF(SER_hh_emi_in!G5=0,0,1000000*SER_hh_emi_in!G5/SER_hh_num_in!G5)</f>
        <v>88051.164438569584</v>
      </c>
      <c r="H5" s="132">
        <f>IF(SER_hh_emi_in!H5=0,0,1000000*SER_hh_emi_in!H5/SER_hh_num_in!H5)</f>
        <v>91621.685703896263</v>
      </c>
      <c r="I5" s="132">
        <f>IF(SER_hh_emi_in!I5=0,0,1000000*SER_hh_emi_in!I5/SER_hh_num_in!I5)</f>
        <v>91289.407639408862</v>
      </c>
      <c r="J5" s="132">
        <f>IF(SER_hh_emi_in!J5=0,0,1000000*SER_hh_emi_in!J5/SER_hh_num_in!J5)</f>
        <v>76619.073378074914</v>
      </c>
      <c r="K5" s="132">
        <f>IF(SER_hh_emi_in!K5=0,0,1000000*SER_hh_emi_in!K5/SER_hh_num_in!K5)</f>
        <v>56060.967141434012</v>
      </c>
      <c r="L5" s="132">
        <f>IF(SER_hh_emi_in!L5=0,0,1000000*SER_hh_emi_in!L5/SER_hh_num_in!L5)</f>
        <v>74851.514238023563</v>
      </c>
      <c r="M5" s="132">
        <f>IF(SER_hh_emi_in!M5=0,0,1000000*SER_hh_emi_in!M5/SER_hh_num_in!M5)</f>
        <v>69498.334650218225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12967.818269656671</v>
      </c>
      <c r="Y5" s="132">
        <f>IF(SER_hh_emi_in!Y5=0,0,1000000*SER_hh_emi_in!Y5/SER_hh_num_in!Y5)</f>
        <v>27051.643304508329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100796.98529840303</v>
      </c>
      <c r="D7" s="132">
        <f>IF(SER_hh_emi_in!D7=0,0,1000000*SER_hh_emi_in!D7/SER_hh_num_in!D7)</f>
        <v>95297.681978493521</v>
      </c>
      <c r="E7" s="132">
        <f>IF(SER_hh_emi_in!E7=0,0,1000000*SER_hh_emi_in!E7/SER_hh_num_in!E7)</f>
        <v>100548.99484915489</v>
      </c>
      <c r="F7" s="132">
        <f>IF(SER_hh_emi_in!F7=0,0,1000000*SER_hh_emi_in!F7/SER_hh_num_in!F7)</f>
        <v>99832.040333636032</v>
      </c>
      <c r="G7" s="132">
        <f>IF(SER_hh_emi_in!G7=0,0,1000000*SER_hh_emi_in!G7/SER_hh_num_in!G7)</f>
        <v>78612.661450903412</v>
      </c>
      <c r="H7" s="132">
        <f>IF(SER_hh_emi_in!H7=0,0,1000000*SER_hh_emi_in!H7/SER_hh_num_in!H7)</f>
        <v>99457.544224196521</v>
      </c>
      <c r="I7" s="132">
        <f>IF(SER_hh_emi_in!I7=0,0,1000000*SER_hh_emi_in!I7/SER_hh_num_in!I7)</f>
        <v>80055.787974243547</v>
      </c>
      <c r="J7" s="132">
        <f>IF(SER_hh_emi_in!J7=0,0,1000000*SER_hh_emi_in!J7/SER_hh_num_in!J7)</f>
        <v>66211.47362075845</v>
      </c>
      <c r="K7" s="132">
        <f>IF(SER_hh_emi_in!K7=0,0,1000000*SER_hh_emi_in!K7/SER_hh_num_in!K7)</f>
        <v>61204.581396380927</v>
      </c>
      <c r="L7" s="132">
        <f>IF(SER_hh_emi_in!L7=0,0,1000000*SER_hh_emi_in!L7/SER_hh_num_in!L7)</f>
        <v>58965.503540505044</v>
      </c>
      <c r="M7" s="132">
        <f>IF(SER_hh_emi_in!M7=0,0,1000000*SER_hh_emi_in!M7/SER_hh_num_in!M7)</f>
        <v>46911.768853399502</v>
      </c>
      <c r="N7" s="132">
        <f>IF(SER_hh_emi_in!N7=0,0,1000000*SER_hh_emi_in!N7/SER_hh_num_in!N7)</f>
        <v>57238.057778548769</v>
      </c>
      <c r="O7" s="132">
        <f>IF(SER_hh_emi_in!O7=0,0,1000000*SER_hh_emi_in!O7/SER_hh_num_in!O7)</f>
        <v>50233.352923666978</v>
      </c>
      <c r="P7" s="132">
        <f>IF(SER_hh_emi_in!P7=0,0,1000000*SER_hh_emi_in!P7/SER_hh_num_in!P7)</f>
        <v>47166.416445733012</v>
      </c>
      <c r="Q7" s="132">
        <f>IF(SER_hh_emi_in!Q7=0,0,1000000*SER_hh_emi_in!Q7/SER_hh_num_in!Q7)</f>
        <v>45722.837864264322</v>
      </c>
      <c r="R7" s="132">
        <f>IF(SER_hh_emi_in!R7=0,0,1000000*SER_hh_emi_in!R7/SER_hh_num_in!R7)</f>
        <v>0</v>
      </c>
      <c r="S7" s="132">
        <f>IF(SER_hh_emi_in!S7=0,0,1000000*SER_hh_emi_in!S7/SER_hh_num_in!S7)</f>
        <v>0</v>
      </c>
      <c r="T7" s="132">
        <f>IF(SER_hh_emi_in!T7=0,0,1000000*SER_hh_emi_in!T7/SER_hh_num_in!T7)</f>
        <v>35393.233005644688</v>
      </c>
      <c r="U7" s="132">
        <f>IF(SER_hh_emi_in!U7=0,0,1000000*SER_hh_emi_in!U7/SER_hh_num_in!U7)</f>
        <v>25213.035140518463</v>
      </c>
      <c r="V7" s="132">
        <f>IF(SER_hh_emi_in!V7=0,0,1000000*SER_hh_emi_in!V7/SER_hh_num_in!V7)</f>
        <v>25264.475454860614</v>
      </c>
      <c r="W7" s="132">
        <f>IF(SER_hh_emi_in!W7=0,0,1000000*SER_hh_emi_in!W7/SER_hh_num_in!W7)</f>
        <v>27391.803150091131</v>
      </c>
      <c r="X7" s="132">
        <f>IF(SER_hh_emi_in!X7=0,0,1000000*SER_hh_emi_in!X7/SER_hh_num_in!X7)</f>
        <v>17172.427085994012</v>
      </c>
      <c r="Y7" s="132">
        <f>IF(SER_hh_emi_in!Y7=0,0,1000000*SER_hh_emi_in!Y7/SER_hh_num_in!Y7)</f>
        <v>18918.362481380049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59754.361716965344</v>
      </c>
      <c r="D9" s="132">
        <f>IF(SER_hh_emi_in!D9=0,0,1000000*SER_hh_emi_in!D9/SER_hh_num_in!D9)</f>
        <v>72652.973203142916</v>
      </c>
      <c r="E9" s="132">
        <f>IF(SER_hh_emi_in!E9=0,0,1000000*SER_hh_emi_in!E9/SER_hh_num_in!E9)</f>
        <v>66207.833807793606</v>
      </c>
      <c r="F9" s="132">
        <f>IF(SER_hh_emi_in!F9=0,0,1000000*SER_hh_emi_in!F9/SER_hh_num_in!F9)</f>
        <v>68065.448842298778</v>
      </c>
      <c r="G9" s="132">
        <f>IF(SER_hh_emi_in!G9=0,0,1000000*SER_hh_emi_in!G9/SER_hh_num_in!G9)</f>
        <v>62071.166371809129</v>
      </c>
      <c r="H9" s="132">
        <f>IF(SER_hh_emi_in!H9=0,0,1000000*SER_hh_emi_in!H9/SER_hh_num_in!H9)</f>
        <v>59948.180614043777</v>
      </c>
      <c r="I9" s="132">
        <f>IF(SER_hh_emi_in!I9=0,0,1000000*SER_hh_emi_in!I9/SER_hh_num_in!I9)</f>
        <v>59778.12881120613</v>
      </c>
      <c r="J9" s="132">
        <f>IF(SER_hh_emi_in!J9=0,0,1000000*SER_hh_emi_in!J9/SER_hh_num_in!J9)</f>
        <v>51393.381167261381</v>
      </c>
      <c r="K9" s="132">
        <f>IF(SER_hh_emi_in!K9=0,0,1000000*SER_hh_emi_in!K9/SER_hh_num_in!K9)</f>
        <v>43903.43937410901</v>
      </c>
      <c r="L9" s="132">
        <f>IF(SER_hh_emi_in!L9=0,0,1000000*SER_hh_emi_in!L9/SER_hh_num_in!L9)</f>
        <v>44549.404353535501</v>
      </c>
      <c r="M9" s="132">
        <f>IF(SER_hh_emi_in!M9=0,0,1000000*SER_hh_emi_in!M9/SER_hh_num_in!M9)</f>
        <v>39212.32735302022</v>
      </c>
      <c r="N9" s="132">
        <f>IF(SER_hh_emi_in!N9=0,0,1000000*SER_hh_emi_in!N9/SER_hh_num_in!N9)</f>
        <v>0</v>
      </c>
      <c r="O9" s="132">
        <f>IF(SER_hh_emi_in!O9=0,0,1000000*SER_hh_emi_in!O9/SER_hh_num_in!O9)</f>
        <v>0</v>
      </c>
      <c r="P9" s="132">
        <f>IF(SER_hh_emi_in!P9=0,0,1000000*SER_hh_emi_in!P9/SER_hh_num_in!P9)</f>
        <v>32424.676610425049</v>
      </c>
      <c r="Q9" s="132">
        <f>IF(SER_hh_emi_in!Q9=0,0,1000000*SER_hh_emi_in!Q9/SER_hh_num_in!Q9)</f>
        <v>27080.703644218014</v>
      </c>
      <c r="R9" s="132">
        <f>IF(SER_hh_emi_in!R9=0,0,1000000*SER_hh_emi_in!R9/SER_hh_num_in!R9)</f>
        <v>26662.514114385263</v>
      </c>
      <c r="S9" s="132">
        <f>IF(SER_hh_emi_in!S9=0,0,1000000*SER_hh_emi_in!S9/SER_hh_num_in!S9)</f>
        <v>25641.001346317906</v>
      </c>
      <c r="T9" s="132">
        <f>IF(SER_hh_emi_in!T9=0,0,1000000*SER_hh_emi_in!T9/SER_hh_num_in!T9)</f>
        <v>23544.039226634872</v>
      </c>
      <c r="U9" s="132">
        <f>IF(SER_hh_emi_in!U9=0,0,1000000*SER_hh_emi_in!U9/SER_hh_num_in!U9)</f>
        <v>21775.74066069055</v>
      </c>
      <c r="V9" s="132">
        <f>IF(SER_hh_emi_in!V9=0,0,1000000*SER_hh_emi_in!V9/SER_hh_num_in!V9)</f>
        <v>19555.131097592919</v>
      </c>
      <c r="W9" s="132">
        <f>IF(SER_hh_emi_in!W9=0,0,1000000*SER_hh_emi_in!W9/SER_hh_num_in!W9)</f>
        <v>16982.214503718325</v>
      </c>
      <c r="X9" s="132">
        <f>IF(SER_hh_emi_in!X9=0,0,1000000*SER_hh_emi_in!X9/SER_hh_num_in!X9)</f>
        <v>12987.179312948741</v>
      </c>
      <c r="Y9" s="132">
        <f>IF(SER_hh_emi_in!Y9=0,0,1000000*SER_hh_emi_in!Y9/SER_hh_num_in!Y9)</f>
        <v>12108.855068975534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0</v>
      </c>
      <c r="D16" s="130">
        <f>IF(SER_hh_emi_in!D16=0,0,1000000*SER_hh_emi_in!D16/SER_hh_num_in!D16)</f>
        <v>0</v>
      </c>
      <c r="E16" s="130">
        <f>IF(SER_hh_emi_in!E16=0,0,1000000*SER_hh_emi_in!E16/SER_hh_num_in!E16)</f>
        <v>0</v>
      </c>
      <c r="F16" s="130">
        <f>IF(SER_hh_emi_in!F16=0,0,1000000*SER_hh_emi_in!F16/SER_hh_num_in!F16)</f>
        <v>0</v>
      </c>
      <c r="G16" s="130">
        <f>IF(SER_hh_emi_in!G16=0,0,1000000*SER_hh_emi_in!G16/SER_hh_num_in!G16)</f>
        <v>0</v>
      </c>
      <c r="H16" s="130">
        <f>IF(SER_hh_emi_in!H16=0,0,1000000*SER_hh_emi_in!H16/SER_hh_num_in!H16)</f>
        <v>0</v>
      </c>
      <c r="I16" s="130">
        <f>IF(SER_hh_emi_in!I16=0,0,1000000*SER_hh_emi_in!I16/SER_hh_num_in!I16)</f>
        <v>0</v>
      </c>
      <c r="J16" s="130">
        <f>IF(SER_hh_emi_in!J16=0,0,1000000*SER_hh_emi_in!J16/SER_hh_num_in!J16)</f>
        <v>0</v>
      </c>
      <c r="K16" s="130">
        <f>IF(SER_hh_emi_in!K16=0,0,1000000*SER_hh_emi_in!K16/SER_hh_num_in!K16)</f>
        <v>0</v>
      </c>
      <c r="L16" s="130">
        <f>IF(SER_hh_emi_in!L16=0,0,1000000*SER_hh_emi_in!L16/SER_hh_num_in!L16)</f>
        <v>0</v>
      </c>
      <c r="M16" s="130">
        <f>IF(SER_hh_emi_in!M16=0,0,1000000*SER_hh_emi_in!M16/SER_hh_num_in!M16)</f>
        <v>0</v>
      </c>
      <c r="N16" s="130">
        <f>IF(SER_hh_emi_in!N16=0,0,1000000*SER_hh_emi_in!N16/SER_hh_num_in!N16)</f>
        <v>0</v>
      </c>
      <c r="O16" s="130">
        <f>IF(SER_hh_emi_in!O16=0,0,1000000*SER_hh_emi_in!O16/SER_hh_num_in!O16)</f>
        <v>0</v>
      </c>
      <c r="P16" s="130">
        <f>IF(SER_hh_emi_in!P16=0,0,1000000*SER_hh_emi_in!P16/SER_hh_num_in!P16)</f>
        <v>0</v>
      </c>
      <c r="Q16" s="130">
        <f>IF(SER_hh_emi_in!Q16=0,0,1000000*SER_hh_emi_in!Q16/SER_hh_num_in!Q16)</f>
        <v>0</v>
      </c>
      <c r="R16" s="130">
        <f>IF(SER_hh_emi_in!R16=0,0,1000000*SER_hh_emi_in!R16/SER_hh_num_in!R16)</f>
        <v>0</v>
      </c>
      <c r="S16" s="130">
        <f>IF(SER_hh_emi_in!S16=0,0,1000000*SER_hh_emi_in!S16/SER_hh_num_in!S16)</f>
        <v>0</v>
      </c>
      <c r="T16" s="130">
        <f>IF(SER_hh_emi_in!T16=0,0,1000000*SER_hh_emi_in!T16/SER_hh_num_in!T16)</f>
        <v>0</v>
      </c>
      <c r="U16" s="130">
        <f>IF(SER_hh_emi_in!U16=0,0,1000000*SER_hh_emi_in!U16/SER_hh_num_in!U16)</f>
        <v>0</v>
      </c>
      <c r="V16" s="130">
        <f>IF(SER_hh_emi_in!V16=0,0,1000000*SER_hh_emi_in!V16/SER_hh_num_in!V16)</f>
        <v>0</v>
      </c>
      <c r="W16" s="130">
        <f>IF(SER_hh_emi_in!W16=0,0,1000000*SER_hh_emi_in!W16/SER_hh_num_in!W16)</f>
        <v>0</v>
      </c>
      <c r="X16" s="130">
        <f>IF(SER_hh_emi_in!X16=0,0,1000000*SER_hh_emi_in!X16/SER_hh_num_in!X16)</f>
        <v>0</v>
      </c>
      <c r="Y16" s="130">
        <f>IF(SER_hh_emi_in!Y16=0,0,1000000*SER_hh_emi_in!Y16/SER_hh_num_in!Y16)</f>
        <v>0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0</v>
      </c>
      <c r="D17" s="132">
        <f>IF(SER_hh_emi_in!D17=0,0,1000000*SER_hh_emi_in!D17/SER_hh_num_in!D17)</f>
        <v>0</v>
      </c>
      <c r="E17" s="132">
        <f>IF(SER_hh_emi_in!E17=0,0,1000000*SER_hh_emi_in!E17/SER_hh_num_in!E17)</f>
        <v>0</v>
      </c>
      <c r="F17" s="132">
        <f>IF(SER_hh_emi_in!F17=0,0,1000000*SER_hh_emi_in!F17/SER_hh_num_in!F17)</f>
        <v>0</v>
      </c>
      <c r="G17" s="132">
        <f>IF(SER_hh_emi_in!G17=0,0,1000000*SER_hh_emi_in!G17/SER_hh_num_in!G17)</f>
        <v>0</v>
      </c>
      <c r="H17" s="132">
        <f>IF(SER_hh_emi_in!H17=0,0,1000000*SER_hh_emi_in!H17/SER_hh_num_in!H17)</f>
        <v>0</v>
      </c>
      <c r="I17" s="132">
        <f>IF(SER_hh_emi_in!I17=0,0,1000000*SER_hh_emi_in!I17/SER_hh_num_in!I17)</f>
        <v>0</v>
      </c>
      <c r="J17" s="132">
        <f>IF(SER_hh_emi_in!J17=0,0,1000000*SER_hh_emi_in!J17/SER_hh_num_in!J17)</f>
        <v>0</v>
      </c>
      <c r="K17" s="132">
        <f>IF(SER_hh_emi_in!K17=0,0,1000000*SER_hh_emi_in!K17/SER_hh_num_in!K17)</f>
        <v>0</v>
      </c>
      <c r="L17" s="132">
        <f>IF(SER_hh_emi_in!L17=0,0,1000000*SER_hh_emi_in!L17/SER_hh_num_in!L17)</f>
        <v>0</v>
      </c>
      <c r="M17" s="132">
        <f>IF(SER_hh_emi_in!M17=0,0,1000000*SER_hh_emi_in!M17/SER_hh_num_in!M17)</f>
        <v>0</v>
      </c>
      <c r="N17" s="132">
        <f>IF(SER_hh_emi_in!N17=0,0,1000000*SER_hh_emi_in!N17/SER_hh_num_in!N17)</f>
        <v>0</v>
      </c>
      <c r="O17" s="132">
        <f>IF(SER_hh_emi_in!O17=0,0,1000000*SER_hh_emi_in!O17/SER_hh_num_in!O17)</f>
        <v>0</v>
      </c>
      <c r="P17" s="132">
        <f>IF(SER_hh_emi_in!P17=0,0,1000000*SER_hh_emi_in!P17/SER_hh_num_in!P17)</f>
        <v>0</v>
      </c>
      <c r="Q17" s="132">
        <f>IF(SER_hh_emi_in!Q17=0,0,1000000*SER_hh_emi_in!Q17/SER_hh_num_in!Q17)</f>
        <v>0</v>
      </c>
      <c r="R17" s="132">
        <f>IF(SER_hh_emi_in!R17=0,0,1000000*SER_hh_emi_in!R17/SER_hh_num_in!R17)</f>
        <v>0</v>
      </c>
      <c r="S17" s="132">
        <f>IF(SER_hh_emi_in!S17=0,0,1000000*SER_hh_emi_in!S17/SER_hh_num_in!S17)</f>
        <v>0</v>
      </c>
      <c r="T17" s="132">
        <f>IF(SER_hh_emi_in!T17=0,0,1000000*SER_hh_emi_in!T17/SER_hh_num_in!T17)</f>
        <v>0</v>
      </c>
      <c r="U17" s="132">
        <f>IF(SER_hh_emi_in!U17=0,0,1000000*SER_hh_emi_in!U17/SER_hh_num_in!U17)</f>
        <v>0</v>
      </c>
      <c r="V17" s="132">
        <f>IF(SER_hh_emi_in!V17=0,0,1000000*SER_hh_emi_in!V17/SER_hh_num_in!V17)</f>
        <v>0</v>
      </c>
      <c r="W17" s="132">
        <f>IF(SER_hh_emi_in!W17=0,0,1000000*SER_hh_emi_in!W17/SER_hh_num_in!W17)</f>
        <v>0</v>
      </c>
      <c r="X17" s="132">
        <f>IF(SER_hh_emi_in!X17=0,0,1000000*SER_hh_emi_in!X17/SER_hh_num_in!X17)</f>
        <v>0</v>
      </c>
      <c r="Y17" s="132">
        <f>IF(SER_hh_emi_in!Y17=0,0,1000000*SER_hh_emi_in!Y17/SER_hh_num_in!Y17)</f>
        <v>0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1622.6149375371494</v>
      </c>
      <c r="D19" s="130">
        <f>IF(SER_hh_emi_in!D19=0,0,1000000*SER_hh_emi_in!D19/SER_hh_num_in!D19)</f>
        <v>2104.2534373687731</v>
      </c>
      <c r="E19" s="130">
        <f>IF(SER_hh_emi_in!E19=0,0,1000000*SER_hh_emi_in!E19/SER_hh_num_in!E19)</f>
        <v>1808.9679771601539</v>
      </c>
      <c r="F19" s="130">
        <f>IF(SER_hh_emi_in!F19=0,0,1000000*SER_hh_emi_in!F19/SER_hh_num_in!F19)</f>
        <v>1575.4693283578788</v>
      </c>
      <c r="G19" s="130">
        <f>IF(SER_hh_emi_in!G19=0,0,1000000*SER_hh_emi_in!G19/SER_hh_num_in!G19)</f>
        <v>1774.6262387851691</v>
      </c>
      <c r="H19" s="130">
        <f>IF(SER_hh_emi_in!H19=0,0,1000000*SER_hh_emi_in!H19/SER_hh_num_in!H19)</f>
        <v>1502.838298908445</v>
      </c>
      <c r="I19" s="130">
        <f>IF(SER_hh_emi_in!I19=0,0,1000000*SER_hh_emi_in!I19/SER_hh_num_in!I19)</f>
        <v>1427.5248710651292</v>
      </c>
      <c r="J19" s="130">
        <f>IF(SER_hh_emi_in!J19=0,0,1000000*SER_hh_emi_in!J19/SER_hh_num_in!J19)</f>
        <v>2081.4651815718667</v>
      </c>
      <c r="K19" s="130">
        <f>IF(SER_hh_emi_in!K19=0,0,1000000*SER_hh_emi_in!K19/SER_hh_num_in!K19)</f>
        <v>2279.9227535100404</v>
      </c>
      <c r="L19" s="130">
        <f>IF(SER_hh_emi_in!L19=0,0,1000000*SER_hh_emi_in!L19/SER_hh_num_in!L19)</f>
        <v>2389.5515456077605</v>
      </c>
      <c r="M19" s="130">
        <f>IF(SER_hh_emi_in!M19=0,0,1000000*SER_hh_emi_in!M19/SER_hh_num_in!M19)</f>
        <v>1653.7641579730114</v>
      </c>
      <c r="N19" s="130">
        <f>IF(SER_hh_emi_in!N19=0,0,1000000*SER_hh_emi_in!N19/SER_hh_num_in!N19)</f>
        <v>2212.8143802652444</v>
      </c>
      <c r="O19" s="130">
        <f>IF(SER_hh_emi_in!O19=0,0,1000000*SER_hh_emi_in!O19/SER_hh_num_in!O19)</f>
        <v>1624.3166259195036</v>
      </c>
      <c r="P19" s="130">
        <f>IF(SER_hh_emi_in!P19=0,0,1000000*SER_hh_emi_in!P19/SER_hh_num_in!P19)</f>
        <v>1616.2206058604204</v>
      </c>
      <c r="Q19" s="130">
        <f>IF(SER_hh_emi_in!Q19=0,0,1000000*SER_hh_emi_in!Q19/SER_hh_num_in!Q19)</f>
        <v>1241.7772153359647</v>
      </c>
      <c r="R19" s="130">
        <f>IF(SER_hh_emi_in!R19=0,0,1000000*SER_hh_emi_in!R19/SER_hh_num_in!R19)</f>
        <v>1222.3432629081099</v>
      </c>
      <c r="S19" s="130">
        <f>IF(SER_hh_emi_in!S19=0,0,1000000*SER_hh_emi_in!S19/SER_hh_num_in!S19)</f>
        <v>1056.7914978064259</v>
      </c>
      <c r="T19" s="130">
        <f>IF(SER_hh_emi_in!T19=0,0,1000000*SER_hh_emi_in!T19/SER_hh_num_in!T19)</f>
        <v>1147.2202852856265</v>
      </c>
      <c r="U19" s="130">
        <f>IF(SER_hh_emi_in!U19=0,0,1000000*SER_hh_emi_in!U19/SER_hh_num_in!U19)</f>
        <v>1204.0906789307205</v>
      </c>
      <c r="V19" s="130">
        <f>IF(SER_hh_emi_in!V19=0,0,1000000*SER_hh_emi_in!V19/SER_hh_num_in!V19)</f>
        <v>1314.4467644830972</v>
      </c>
      <c r="W19" s="130">
        <f>IF(SER_hh_emi_in!W19=0,0,1000000*SER_hh_emi_in!W19/SER_hh_num_in!W19)</f>
        <v>992.51365520581533</v>
      </c>
      <c r="X19" s="130">
        <f>IF(SER_hh_emi_in!X19=0,0,1000000*SER_hh_emi_in!X19/SER_hh_num_in!X19)</f>
        <v>828.80792668542472</v>
      </c>
      <c r="Y19" s="130">
        <f>IF(SER_hh_emi_in!Y19=0,0,1000000*SER_hh_emi_in!Y19/SER_hh_num_in!Y19)</f>
        <v>885.49329821595734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0</v>
      </c>
      <c r="D21" s="132">
        <f>IF(SER_hh_emi_in!D21=0,0,1000000*SER_hh_emi_in!D21/SER_hh_num_in!D21)</f>
        <v>0</v>
      </c>
      <c r="E21" s="132">
        <f>IF(SER_hh_emi_in!E21=0,0,1000000*SER_hh_emi_in!E21/SER_hh_num_in!E21)</f>
        <v>0</v>
      </c>
      <c r="F21" s="132">
        <f>IF(SER_hh_emi_in!F21=0,0,1000000*SER_hh_emi_in!F21/SER_hh_num_in!F21)</f>
        <v>0</v>
      </c>
      <c r="G21" s="132">
        <f>IF(SER_hh_emi_in!G21=0,0,1000000*SER_hh_emi_in!G21/SER_hh_num_in!G21)</f>
        <v>0</v>
      </c>
      <c r="H21" s="132">
        <f>IF(SER_hh_emi_in!H21=0,0,1000000*SER_hh_emi_in!H21/SER_hh_num_in!H21)</f>
        <v>0</v>
      </c>
      <c r="I21" s="132">
        <f>IF(SER_hh_emi_in!I21=0,0,1000000*SER_hh_emi_in!I21/SER_hh_num_in!I21)</f>
        <v>0</v>
      </c>
      <c r="J21" s="132">
        <f>IF(SER_hh_emi_in!J21=0,0,1000000*SER_hh_emi_in!J21/SER_hh_num_in!J21)</f>
        <v>0</v>
      </c>
      <c r="K21" s="132">
        <f>IF(SER_hh_emi_in!K21=0,0,1000000*SER_hh_emi_in!K21/SER_hh_num_in!K21)</f>
        <v>0</v>
      </c>
      <c r="L21" s="132">
        <f>IF(SER_hh_emi_in!L21=0,0,1000000*SER_hh_emi_in!L21/SER_hh_num_in!L21)</f>
        <v>0</v>
      </c>
      <c r="M21" s="132">
        <f>IF(SER_hh_emi_in!M21=0,0,1000000*SER_hh_emi_in!M21/SER_hh_num_in!M21)</f>
        <v>0</v>
      </c>
      <c r="N21" s="132">
        <f>IF(SER_hh_emi_in!N21=0,0,1000000*SER_hh_emi_in!N21/SER_hh_num_in!N21)</f>
        <v>0</v>
      </c>
      <c r="O21" s="132">
        <f>IF(SER_hh_emi_in!O21=0,0,1000000*SER_hh_emi_in!O21/SER_hh_num_in!O21)</f>
        <v>0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0</v>
      </c>
      <c r="S21" s="132">
        <f>IF(SER_hh_emi_in!S21=0,0,1000000*SER_hh_emi_in!S21/SER_hh_num_in!S21)</f>
        <v>0</v>
      </c>
      <c r="T21" s="132">
        <f>IF(SER_hh_emi_in!T21=0,0,1000000*SER_hh_emi_in!T21/SER_hh_num_in!T21)</f>
        <v>0</v>
      </c>
      <c r="U21" s="132">
        <f>IF(SER_hh_emi_in!U21=0,0,1000000*SER_hh_emi_in!U21/SER_hh_num_in!U21)</f>
        <v>0</v>
      </c>
      <c r="V21" s="132">
        <f>IF(SER_hh_emi_in!V21=0,0,1000000*SER_hh_emi_in!V21/SER_hh_num_in!V21)</f>
        <v>0</v>
      </c>
      <c r="W21" s="132">
        <f>IF(SER_hh_emi_in!W21=0,0,1000000*SER_hh_emi_in!W21/SER_hh_num_in!W21)</f>
        <v>0</v>
      </c>
      <c r="X21" s="132">
        <f>IF(SER_hh_emi_in!X21=0,0,1000000*SER_hh_emi_in!X21/SER_hh_num_in!X21)</f>
        <v>0</v>
      </c>
      <c r="Y21" s="132">
        <f>IF(SER_hh_emi_in!Y21=0,0,1000000*SER_hh_emi_in!Y21/SER_hh_num_in!Y21)</f>
        <v>0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12179.886550548184</v>
      </c>
      <c r="D22" s="132">
        <f>IF(SER_hh_emi_in!D22=0,0,1000000*SER_hh_emi_in!D22/SER_hh_num_in!D22)</f>
        <v>11955.399661559384</v>
      </c>
      <c r="E22" s="132">
        <f>IF(SER_hh_emi_in!E22=0,0,1000000*SER_hh_emi_in!E22/SER_hh_num_in!E22)</f>
        <v>11843.39948998513</v>
      </c>
      <c r="F22" s="132">
        <f>IF(SER_hh_emi_in!F22=0,0,1000000*SER_hh_emi_in!F22/SER_hh_num_in!F22)</f>
        <v>11635.116813453564</v>
      </c>
      <c r="G22" s="132">
        <f>IF(SER_hh_emi_in!G22=0,0,1000000*SER_hh_emi_in!G22/SER_hh_num_in!G22)</f>
        <v>11583.912192195347</v>
      </c>
      <c r="H22" s="132">
        <f>IF(SER_hh_emi_in!H22=0,0,1000000*SER_hh_emi_in!H22/SER_hh_num_in!H22)</f>
        <v>11758.587408713352</v>
      </c>
      <c r="I22" s="132">
        <f>IF(SER_hh_emi_in!I22=0,0,1000000*SER_hh_emi_in!I22/SER_hh_num_in!I22)</f>
        <v>11305.351160925216</v>
      </c>
      <c r="J22" s="132">
        <f>IF(SER_hh_emi_in!J22=0,0,1000000*SER_hh_emi_in!J22/SER_hh_num_in!J22)</f>
        <v>11483.812091044081</v>
      </c>
      <c r="K22" s="132">
        <f>IF(SER_hh_emi_in!K22=0,0,1000000*SER_hh_emi_in!K22/SER_hh_num_in!K22)</f>
        <v>11270.711035780181</v>
      </c>
      <c r="L22" s="132">
        <f>IF(SER_hh_emi_in!L22=0,0,1000000*SER_hh_emi_in!L22/SER_hh_num_in!L22)</f>
        <v>11086.884154195237</v>
      </c>
      <c r="M22" s="132">
        <f>IF(SER_hh_emi_in!M22=0,0,1000000*SER_hh_emi_in!M22/SER_hh_num_in!M22)</f>
        <v>10970.391420499756</v>
      </c>
      <c r="N22" s="132">
        <f>IF(SER_hh_emi_in!N22=0,0,1000000*SER_hh_emi_in!N22/SER_hh_num_in!N22)</f>
        <v>10644.98198917875</v>
      </c>
      <c r="O22" s="132">
        <f>IF(SER_hh_emi_in!O22=0,0,1000000*SER_hh_emi_in!O22/SER_hh_num_in!O22)</f>
        <v>10191.040933772329</v>
      </c>
      <c r="P22" s="132">
        <f>IF(SER_hh_emi_in!P22=0,0,1000000*SER_hh_emi_in!P22/SER_hh_num_in!P22)</f>
        <v>9554.7164626153135</v>
      </c>
      <c r="Q22" s="132">
        <f>IF(SER_hh_emi_in!Q22=0,0,1000000*SER_hh_emi_in!Q22/SER_hh_num_in!Q22)</f>
        <v>9177.8405904066476</v>
      </c>
      <c r="R22" s="132">
        <f>IF(SER_hh_emi_in!R22=0,0,1000000*SER_hh_emi_in!R22/SER_hh_num_in!R22)</f>
        <v>8877.3589548667806</v>
      </c>
      <c r="S22" s="132">
        <f>IF(SER_hh_emi_in!S22=0,0,1000000*SER_hh_emi_in!S22/SER_hh_num_in!S22)</f>
        <v>8685.2573736251397</v>
      </c>
      <c r="T22" s="132">
        <f>IF(SER_hh_emi_in!T22=0,0,1000000*SER_hh_emi_in!T22/SER_hh_num_in!T22)</f>
        <v>8403.4345630444841</v>
      </c>
      <c r="U22" s="132">
        <f>IF(SER_hh_emi_in!U22=0,0,1000000*SER_hh_emi_in!U22/SER_hh_num_in!U22)</f>
        <v>7924.2460046914503</v>
      </c>
      <c r="V22" s="132">
        <f>IF(SER_hh_emi_in!V22=0,0,1000000*SER_hh_emi_in!V22/SER_hh_num_in!V22)</f>
        <v>7090.8805746040007</v>
      </c>
      <c r="W22" s="132">
        <f>IF(SER_hh_emi_in!W22=0,0,1000000*SER_hh_emi_in!W22/SER_hh_num_in!W22)</f>
        <v>7441.1698925531973</v>
      </c>
      <c r="X22" s="132">
        <f>IF(SER_hh_emi_in!X22=0,0,1000000*SER_hh_emi_in!X22/SER_hh_num_in!X22)</f>
        <v>7334.71633831694</v>
      </c>
      <c r="Y22" s="132">
        <f>IF(SER_hh_emi_in!Y22=0,0,1000000*SER_hh_emi_in!Y22/SER_hh_num_in!Y22)</f>
        <v>7655.8958759940178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8110.3232967496178</v>
      </c>
      <c r="D23" s="132">
        <f>IF(SER_hh_emi_in!D23=0,0,1000000*SER_hh_emi_in!D23/SER_hh_num_in!D23)</f>
        <v>8347.2244604740245</v>
      </c>
      <c r="E23" s="132">
        <f>IF(SER_hh_emi_in!E23=0,0,1000000*SER_hh_emi_in!E23/SER_hh_num_in!E23)</f>
        <v>7889.2467503740982</v>
      </c>
      <c r="F23" s="132">
        <f>IF(SER_hh_emi_in!F23=0,0,1000000*SER_hh_emi_in!F23/SER_hh_num_in!F23)</f>
        <v>7660.5491643595233</v>
      </c>
      <c r="G23" s="132">
        <f>IF(SER_hh_emi_in!G23=0,0,1000000*SER_hh_emi_in!G23/SER_hh_num_in!G23)</f>
        <v>7842.6622451630656</v>
      </c>
      <c r="H23" s="132">
        <f>IF(SER_hh_emi_in!H23=0,0,1000000*SER_hh_emi_in!H23/SER_hh_num_in!H23)</f>
        <v>7517.1600010265674</v>
      </c>
      <c r="I23" s="132">
        <f>IF(SER_hh_emi_in!I23=0,0,1000000*SER_hh_emi_in!I23/SER_hh_num_in!I23)</f>
        <v>7308.852537271533</v>
      </c>
      <c r="J23" s="132">
        <f>IF(SER_hh_emi_in!J23=0,0,1000000*SER_hh_emi_in!J23/SER_hh_num_in!J23)</f>
        <v>7693.3323886439084</v>
      </c>
      <c r="K23" s="132">
        <f>IF(SER_hh_emi_in!K23=0,0,1000000*SER_hh_emi_in!K23/SER_hh_num_in!K23)</f>
        <v>7665.1306113721439</v>
      </c>
      <c r="L23" s="132">
        <f>IF(SER_hh_emi_in!L23=0,0,1000000*SER_hh_emi_in!L23/SER_hh_num_in!L23)</f>
        <v>7320.5808923487566</v>
      </c>
      <c r="M23" s="132">
        <f>IF(SER_hh_emi_in!M23=0,0,1000000*SER_hh_emi_in!M23/SER_hh_num_in!M23)</f>
        <v>7206.3498198526304</v>
      </c>
      <c r="N23" s="132">
        <f>IF(SER_hh_emi_in!N23=0,0,1000000*SER_hh_emi_in!N23/SER_hh_num_in!N23)</f>
        <v>6913.8709105034568</v>
      </c>
      <c r="O23" s="132">
        <f>IF(SER_hh_emi_in!O23=0,0,1000000*SER_hh_emi_in!O23/SER_hh_num_in!O23)</f>
        <v>6630.9166833384716</v>
      </c>
      <c r="P23" s="132">
        <f>IF(SER_hh_emi_in!P23=0,0,1000000*SER_hh_emi_in!P23/SER_hh_num_in!P23)</f>
        <v>6251.0039753332385</v>
      </c>
      <c r="Q23" s="132">
        <f>IF(SER_hh_emi_in!Q23=0,0,1000000*SER_hh_emi_in!Q23/SER_hh_num_in!Q23)</f>
        <v>6070.4340727661111</v>
      </c>
      <c r="R23" s="132">
        <f>IF(SER_hh_emi_in!R23=0,0,1000000*SER_hh_emi_in!R23/SER_hh_num_in!R23)</f>
        <v>5996.7047309553163</v>
      </c>
      <c r="S23" s="132">
        <f>IF(SER_hh_emi_in!S23=0,0,1000000*SER_hh_emi_in!S23/SER_hh_num_in!S23)</f>
        <v>5975.5343102342022</v>
      </c>
      <c r="T23" s="132">
        <f>IF(SER_hh_emi_in!T23=0,0,1000000*SER_hh_emi_in!T23/SER_hh_num_in!T23)</f>
        <v>5661.6021329679725</v>
      </c>
      <c r="U23" s="132">
        <f>IF(SER_hh_emi_in!U23=0,0,1000000*SER_hh_emi_in!U23/SER_hh_num_in!U23)</f>
        <v>5491.80427834698</v>
      </c>
      <c r="V23" s="132">
        <f>IF(SER_hh_emi_in!V23=0,0,1000000*SER_hh_emi_in!V23/SER_hh_num_in!V23)</f>
        <v>5322.3947877428727</v>
      </c>
      <c r="W23" s="132">
        <f>IF(SER_hh_emi_in!W23=0,0,1000000*SER_hh_emi_in!W23/SER_hh_num_in!W23)</f>
        <v>5374.3046107144783</v>
      </c>
      <c r="X23" s="132">
        <f>IF(SER_hh_emi_in!X23=0,0,1000000*SER_hh_emi_in!X23/SER_hh_num_in!X23)</f>
        <v>5391.3454454390003</v>
      </c>
      <c r="Y23" s="132">
        <f>IF(SER_hh_emi_in!Y23=0,0,1000000*SER_hh_emi_in!Y23/SER_hh_num_in!Y23)</f>
        <v>5225.7488787306866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7244.9284387102125</v>
      </c>
      <c r="D29" s="130">
        <f>IF(SER_hh_emi_in!D29=0,0,1000000*SER_hh_emi_in!D29/SER_hh_num_in!D29)</f>
        <v>4210.5135046808591</v>
      </c>
      <c r="E29" s="130">
        <f>IF(SER_hh_emi_in!E29=0,0,1000000*SER_hh_emi_in!E29/SER_hh_num_in!E29)</f>
        <v>4240.2703273437401</v>
      </c>
      <c r="F29" s="130">
        <f>IF(SER_hh_emi_in!F29=0,0,1000000*SER_hh_emi_in!F29/SER_hh_num_in!F29)</f>
        <v>1808.1245168114642</v>
      </c>
      <c r="G29" s="130">
        <f>IF(SER_hh_emi_in!G29=0,0,1000000*SER_hh_emi_in!G29/SER_hh_num_in!G29)</f>
        <v>1590.3631167497454</v>
      </c>
      <c r="H29" s="130">
        <f>IF(SER_hh_emi_in!H29=0,0,1000000*SER_hh_emi_in!H29/SER_hh_num_in!H29)</f>
        <v>1394.4260065237031</v>
      </c>
      <c r="I29" s="130">
        <f>IF(SER_hh_emi_in!I29=0,0,1000000*SER_hh_emi_in!I29/SER_hh_num_in!I29)</f>
        <v>1677.8679311265312</v>
      </c>
      <c r="J29" s="130">
        <f>IF(SER_hh_emi_in!J29=0,0,1000000*SER_hh_emi_in!J29/SER_hh_num_in!J29)</f>
        <v>1997.0949244511091</v>
      </c>
      <c r="K29" s="130">
        <f>IF(SER_hh_emi_in!K29=0,0,1000000*SER_hh_emi_in!K29/SER_hh_num_in!K29)</f>
        <v>2157.2417203056443</v>
      </c>
      <c r="L29" s="130">
        <f>IF(SER_hh_emi_in!L29=0,0,1000000*SER_hh_emi_in!L29/SER_hh_num_in!L29)</f>
        <v>1493.14553029989</v>
      </c>
      <c r="M29" s="130">
        <f>IF(SER_hh_emi_in!M29=0,0,1000000*SER_hh_emi_in!M29/SER_hh_num_in!M29)</f>
        <v>278.64337326574162</v>
      </c>
      <c r="N29" s="130">
        <f>IF(SER_hh_emi_in!N29=0,0,1000000*SER_hh_emi_in!N29/SER_hh_num_in!N29)</f>
        <v>1236.9542560350264</v>
      </c>
      <c r="O29" s="130">
        <f>IF(SER_hh_emi_in!O29=0,0,1000000*SER_hh_emi_in!O29/SER_hh_num_in!O29)</f>
        <v>1816.0889759909144</v>
      </c>
      <c r="P29" s="130">
        <f>IF(SER_hh_emi_in!P29=0,0,1000000*SER_hh_emi_in!P29/SER_hh_num_in!P29)</f>
        <v>2967.2378016541084</v>
      </c>
      <c r="Q29" s="130">
        <f>IF(SER_hh_emi_in!Q29=0,0,1000000*SER_hh_emi_in!Q29/SER_hh_num_in!Q29)</f>
        <v>2896.8658020939583</v>
      </c>
      <c r="R29" s="130">
        <f>IF(SER_hh_emi_in!R29=0,0,1000000*SER_hh_emi_in!R29/SER_hh_num_in!R29)</f>
        <v>4601.6176879816803</v>
      </c>
      <c r="S29" s="130">
        <f>IF(SER_hh_emi_in!S29=0,0,1000000*SER_hh_emi_in!S29/SER_hh_num_in!S29)</f>
        <v>4325.9918316578051</v>
      </c>
      <c r="T29" s="130">
        <f>IF(SER_hh_emi_in!T29=0,0,1000000*SER_hh_emi_in!T29/SER_hh_num_in!T29)</f>
        <v>3057.4874075243456</v>
      </c>
      <c r="U29" s="130">
        <f>IF(SER_hh_emi_in!U29=0,0,1000000*SER_hh_emi_in!U29/SER_hh_num_in!U29)</f>
        <v>2685.1382103478632</v>
      </c>
      <c r="V29" s="130">
        <f>IF(SER_hh_emi_in!V29=0,0,1000000*SER_hh_emi_in!V29/SER_hh_num_in!V29)</f>
        <v>2792.402408941829</v>
      </c>
      <c r="W29" s="130">
        <f>IF(SER_hh_emi_in!W29=0,0,1000000*SER_hh_emi_in!W29/SER_hh_num_in!W29)</f>
        <v>2014.6845250302817</v>
      </c>
      <c r="X29" s="130">
        <f>IF(SER_hh_emi_in!X29=0,0,1000000*SER_hh_emi_in!X29/SER_hh_num_in!X29)</f>
        <v>3591.585750512249</v>
      </c>
      <c r="Y29" s="130">
        <f>IF(SER_hh_emi_in!Y29=0,0,1000000*SER_hh_emi_in!Y29/SER_hh_num_in!Y29)</f>
        <v>2372.086250507436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18231.558962450348</v>
      </c>
      <c r="D30" s="132">
        <f>IF(SER_hh_emi_in!D30=0,0,1000000*SER_hh_emi_in!D30/SER_hh_num_in!D30)</f>
        <v>5736.6632330143948</v>
      </c>
      <c r="E30" s="132">
        <f>IF(SER_hh_emi_in!E30=0,0,1000000*SER_hh_emi_in!E30/SER_hh_num_in!E30)</f>
        <v>14871.763259485633</v>
      </c>
      <c r="F30" s="132">
        <f>IF(SER_hh_emi_in!F30=0,0,1000000*SER_hh_emi_in!F30/SER_hh_num_in!F30)</f>
        <v>10793.721408395564</v>
      </c>
      <c r="G30" s="132">
        <f>IF(SER_hh_emi_in!G30=0,0,1000000*SER_hh_emi_in!G30/SER_hh_num_in!G30)</f>
        <v>10483.393596147578</v>
      </c>
      <c r="H30" s="132">
        <f>IF(SER_hh_emi_in!H30=0,0,1000000*SER_hh_emi_in!H30/SER_hh_num_in!H30)</f>
        <v>0</v>
      </c>
      <c r="I30" s="132">
        <f>IF(SER_hh_emi_in!I30=0,0,1000000*SER_hh_emi_in!I30/SER_hh_num_in!I30)</f>
        <v>0</v>
      </c>
      <c r="J30" s="132">
        <f>IF(SER_hh_emi_in!J30=0,0,1000000*SER_hh_emi_in!J30/SER_hh_num_in!J30)</f>
        <v>0</v>
      </c>
      <c r="K30" s="132">
        <f>IF(SER_hh_emi_in!K30=0,0,1000000*SER_hh_emi_in!K30/SER_hh_num_in!K30)</f>
        <v>0</v>
      </c>
      <c r="L30" s="132">
        <f>IF(SER_hh_emi_in!L30=0,0,1000000*SER_hh_emi_in!L30/SER_hh_num_in!L30)</f>
        <v>0</v>
      </c>
      <c r="M30" s="132">
        <f>IF(SER_hh_emi_in!M30=0,0,1000000*SER_hh_emi_in!M30/SER_hh_num_in!M30)</f>
        <v>0</v>
      </c>
      <c r="N30" s="132">
        <f>IF(SER_hh_emi_in!N30=0,0,1000000*SER_hh_emi_in!N30/SER_hh_num_in!N30)</f>
        <v>11558.982240010651</v>
      </c>
      <c r="O30" s="132">
        <f>IF(SER_hh_emi_in!O30=0,0,1000000*SER_hh_emi_in!O30/SER_hh_num_in!O30)</f>
        <v>10038.504245065556</v>
      </c>
      <c r="P30" s="132">
        <f>IF(SER_hh_emi_in!P30=0,0,1000000*SER_hh_emi_in!P30/SER_hh_num_in!P30)</f>
        <v>11336.978574134479</v>
      </c>
      <c r="Q30" s="132">
        <f>IF(SER_hh_emi_in!Q30=0,0,1000000*SER_hh_emi_in!Q30/SER_hh_num_in!Q30)</f>
        <v>8722.8198995823932</v>
      </c>
      <c r="R30" s="132">
        <f>IF(SER_hh_emi_in!R30=0,0,1000000*SER_hh_emi_in!R30/SER_hh_num_in!R30)</f>
        <v>10752.847785707861</v>
      </c>
      <c r="S30" s="132">
        <f>IF(SER_hh_emi_in!S30=0,0,1000000*SER_hh_emi_in!S30/SER_hh_num_in!S30)</f>
        <v>13031.49470152801</v>
      </c>
      <c r="T30" s="132">
        <f>IF(SER_hh_emi_in!T30=0,0,1000000*SER_hh_emi_in!T30/SER_hh_num_in!T30)</f>
        <v>10978.564111815769</v>
      </c>
      <c r="U30" s="132">
        <f>IF(SER_hh_emi_in!U30=0,0,1000000*SER_hh_emi_in!U30/SER_hh_num_in!U30)</f>
        <v>0</v>
      </c>
      <c r="V30" s="132">
        <f>IF(SER_hh_emi_in!V30=0,0,1000000*SER_hh_emi_in!V30/SER_hh_num_in!V30)</f>
        <v>8912.4325838853492</v>
      </c>
      <c r="W30" s="132">
        <f>IF(SER_hh_emi_in!W30=0,0,1000000*SER_hh_emi_in!W30/SER_hh_num_in!W30)</f>
        <v>9121.1393687509371</v>
      </c>
      <c r="X30" s="132">
        <f>IF(SER_hh_emi_in!X30=0,0,1000000*SER_hh_emi_in!X30/SER_hh_num_in!X30)</f>
        <v>13186.886756155443</v>
      </c>
      <c r="Y30" s="132">
        <f>IF(SER_hh_emi_in!Y30=0,0,1000000*SER_hh_emi_in!Y30/SER_hh_num_in!Y30)</f>
        <v>9039.37312777019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10889.070314628854</v>
      </c>
      <c r="D31" s="132">
        <f>IF(SER_hh_emi_in!D31=0,0,1000000*SER_hh_emi_in!D31/SER_hh_num_in!D31)</f>
        <v>11039.188638082676</v>
      </c>
      <c r="E31" s="132">
        <f>IF(SER_hh_emi_in!E31=0,0,1000000*SER_hh_emi_in!E31/SER_hh_num_in!E31)</f>
        <v>9545.8857470787079</v>
      </c>
      <c r="F31" s="132">
        <f>IF(SER_hh_emi_in!F31=0,0,1000000*SER_hh_emi_in!F31/SER_hh_num_in!F31)</f>
        <v>9787.9787465879272</v>
      </c>
      <c r="G31" s="132">
        <f>IF(SER_hh_emi_in!G31=0,0,1000000*SER_hh_emi_in!G31/SER_hh_num_in!G31)</f>
        <v>9777.5540421519545</v>
      </c>
      <c r="H31" s="132">
        <f>IF(SER_hh_emi_in!H31=0,0,1000000*SER_hh_emi_in!H31/SER_hh_num_in!H31)</f>
        <v>9485.9758302904793</v>
      </c>
      <c r="I31" s="132">
        <f>IF(SER_hh_emi_in!I31=0,0,1000000*SER_hh_emi_in!I31/SER_hh_num_in!I31)</f>
        <v>9493.1847352038822</v>
      </c>
      <c r="J31" s="132">
        <f>IF(SER_hh_emi_in!J31=0,0,1000000*SER_hh_emi_in!J31/SER_hh_num_in!J31)</f>
        <v>9838.2205153048581</v>
      </c>
      <c r="K31" s="132">
        <f>IF(SER_hh_emi_in!K31=0,0,1000000*SER_hh_emi_in!K31/SER_hh_num_in!K31)</f>
        <v>10139.118238461875</v>
      </c>
      <c r="L31" s="132">
        <f>IF(SER_hh_emi_in!L31=0,0,1000000*SER_hh_emi_in!L31/SER_hh_num_in!L31)</f>
        <v>10017.126450020982</v>
      </c>
      <c r="M31" s="132">
        <f>IF(SER_hh_emi_in!M31=0,0,1000000*SER_hh_emi_in!M31/SER_hh_num_in!M31)</f>
        <v>10244.669061280469</v>
      </c>
      <c r="N31" s="132">
        <f>IF(SER_hh_emi_in!N31=0,0,1000000*SER_hh_emi_in!N31/SER_hh_num_in!N31)</f>
        <v>0</v>
      </c>
      <c r="O31" s="132">
        <f>IF(SER_hh_emi_in!O31=0,0,1000000*SER_hh_emi_in!O31/SER_hh_num_in!O31)</f>
        <v>9043.0236444598122</v>
      </c>
      <c r="P31" s="132">
        <f>IF(SER_hh_emi_in!P31=0,0,1000000*SER_hh_emi_in!P31/SER_hh_num_in!P31)</f>
        <v>9502.9135871855051</v>
      </c>
      <c r="Q31" s="132">
        <f>IF(SER_hh_emi_in!Q31=0,0,1000000*SER_hh_emi_in!Q31/SER_hh_num_in!Q31)</f>
        <v>8865.6986880668228</v>
      </c>
      <c r="R31" s="132">
        <f>IF(SER_hh_emi_in!R31=0,0,1000000*SER_hh_emi_in!R31/SER_hh_num_in!R31)</f>
        <v>9347.6857068795416</v>
      </c>
      <c r="S31" s="132">
        <f>IF(SER_hh_emi_in!S31=0,0,1000000*SER_hh_emi_in!S31/SER_hh_num_in!S31)</f>
        <v>9260.1522123899595</v>
      </c>
      <c r="T31" s="132">
        <f>IF(SER_hh_emi_in!T31=0,0,1000000*SER_hh_emi_in!T31/SER_hh_num_in!T31)</f>
        <v>8997.7955727096851</v>
      </c>
      <c r="U31" s="132">
        <f>IF(SER_hh_emi_in!U31=0,0,1000000*SER_hh_emi_in!U31/SER_hh_num_in!U31)</f>
        <v>8894.1273693315452</v>
      </c>
      <c r="V31" s="132">
        <f>IF(SER_hh_emi_in!V31=0,0,1000000*SER_hh_emi_in!V31/SER_hh_num_in!V31)</f>
        <v>8782.4119454667471</v>
      </c>
      <c r="W31" s="132">
        <f>IF(SER_hh_emi_in!W31=0,0,1000000*SER_hh_emi_in!W31/SER_hh_num_in!W31)</f>
        <v>8763.2594356579721</v>
      </c>
      <c r="X31" s="132">
        <f>IF(SER_hh_emi_in!X31=0,0,1000000*SER_hh_emi_in!X31/SER_hh_num_in!X31)</f>
        <v>8331.3700053329085</v>
      </c>
      <c r="Y31" s="132">
        <f>IF(SER_hh_emi_in!Y31=0,0,1000000*SER_hh_emi_in!Y31/SER_hh_num_in!Y31)</f>
        <v>8928.4754474757628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406.15675890550125</v>
      </c>
      <c r="D3" s="125">
        <f>IF(SER_hh_fech_in!D3=0,0,SER_hh_fech_in!D3/SER_summary!D$27)</f>
        <v>434.86614419073084</v>
      </c>
      <c r="E3" s="125">
        <f>IF(SER_hh_fech_in!E3=0,0,SER_hh_fech_in!E3/SER_summary!E$27)</f>
        <v>424.80823581526784</v>
      </c>
      <c r="F3" s="125">
        <f>IF(SER_hh_fech_in!F3=0,0,SER_hh_fech_in!F3/SER_summary!F$27)</f>
        <v>421.40972377514379</v>
      </c>
      <c r="G3" s="125">
        <f>IF(SER_hh_fech_in!G3=0,0,SER_hh_fech_in!G3/SER_summary!G$27)</f>
        <v>391.64606371762801</v>
      </c>
      <c r="H3" s="125">
        <f>IF(SER_hh_fech_in!H3=0,0,SER_hh_fech_in!H3/SER_summary!H$27)</f>
        <v>379.66345005068825</v>
      </c>
      <c r="I3" s="125">
        <f>IF(SER_hh_fech_in!I3=0,0,SER_hh_fech_in!I3/SER_summary!I$27)</f>
        <v>368.53357691276528</v>
      </c>
      <c r="J3" s="125">
        <f>IF(SER_hh_fech_in!J3=0,0,SER_hh_fech_in!J3/SER_summary!J$27)</f>
        <v>311.55359394629193</v>
      </c>
      <c r="K3" s="125">
        <f>IF(SER_hh_fech_in!K3=0,0,SER_hh_fech_in!K3/SER_summary!K$27)</f>
        <v>294.87400816816211</v>
      </c>
      <c r="L3" s="125">
        <f>IF(SER_hh_fech_in!L3=0,0,SER_hh_fech_in!L3/SER_summary!L$27)</f>
        <v>305.32420499369891</v>
      </c>
      <c r="M3" s="125">
        <f>IF(SER_hh_fech_in!M3=0,0,SER_hh_fech_in!M3/SER_summary!M$27)</f>
        <v>254.18491638888236</v>
      </c>
      <c r="N3" s="125">
        <f>IF(SER_hh_fech_in!N3=0,0,SER_hh_fech_in!N3/SER_summary!N$27)</f>
        <v>312.94386691023578</v>
      </c>
      <c r="O3" s="125">
        <f>IF(SER_hh_fech_in!O3=0,0,SER_hh_fech_in!O3/SER_summary!O$27)</f>
        <v>279.60390630005793</v>
      </c>
      <c r="P3" s="125">
        <f>IF(SER_hh_fech_in!P3=0,0,SER_hh_fech_in!P3/SER_summary!P$27)</f>
        <v>261.47201634089146</v>
      </c>
      <c r="Q3" s="125">
        <f>IF(SER_hh_fech_in!Q3=0,0,SER_hh_fech_in!Q3/SER_summary!Q$27)</f>
        <v>229.6719227421668</v>
      </c>
      <c r="R3" s="125">
        <f>IF(SER_hh_fech_in!R3=0,0,SER_hh_fech_in!R3/SER_summary!R$27)</f>
        <v>227.42676439000763</v>
      </c>
      <c r="S3" s="125">
        <f>IF(SER_hh_fech_in!S3=0,0,SER_hh_fech_in!S3/SER_summary!S$27)</f>
        <v>222.80087818248995</v>
      </c>
      <c r="T3" s="125">
        <f>IF(SER_hh_fech_in!T3=0,0,SER_hh_fech_in!T3/SER_summary!T$27)</f>
        <v>204.89238145780109</v>
      </c>
      <c r="U3" s="125">
        <f>IF(SER_hh_fech_in!U3=0,0,SER_hh_fech_in!U3/SER_summary!U$27)</f>
        <v>187.41459322306596</v>
      </c>
      <c r="V3" s="125">
        <f>IF(SER_hh_fech_in!V3=0,0,SER_hh_fech_in!V3/SER_summary!V$27)</f>
        <v>171.12468173765774</v>
      </c>
      <c r="W3" s="125">
        <f>IF(SER_hh_fech_in!W3=0,0,SER_hh_fech_in!W3/SER_summary!W$27)</f>
        <v>171.74325416521106</v>
      </c>
      <c r="X3" s="125">
        <f>IF(SER_hh_fech_in!X3=0,0,SER_hh_fech_in!X3/SER_summary!X$27)</f>
        <v>145.86884682062029</v>
      </c>
      <c r="Y3" s="125">
        <f>IF(SER_hh_fech_in!Y3=0,0,SER_hh_fech_in!Y3/SER_summary!Y$27)</f>
        <v>137.84993038943432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306.95505848718352</v>
      </c>
      <c r="D4" s="130">
        <f>IF(SER_hh_fech_in!D4=0,0,SER_hh_fech_in!D4/SER_summary!D$27)</f>
        <v>346.69080570947773</v>
      </c>
      <c r="E4" s="130">
        <f>IF(SER_hh_fech_in!E4=0,0,SER_hh_fech_in!E4/SER_summary!E$27)</f>
        <v>336.46885163051428</v>
      </c>
      <c r="F4" s="130">
        <f>IF(SER_hh_fech_in!F4=0,0,SER_hh_fech_in!F4/SER_summary!F$27)</f>
        <v>337.14437759503943</v>
      </c>
      <c r="G4" s="130">
        <f>IF(SER_hh_fech_in!G4=0,0,SER_hh_fech_in!G4/SER_summary!G$27)</f>
        <v>306.49786662184431</v>
      </c>
      <c r="H4" s="130">
        <f>IF(SER_hh_fech_in!H4=0,0,SER_hh_fech_in!H4/SER_summary!H$27)</f>
        <v>295.55656221350637</v>
      </c>
      <c r="I4" s="130">
        <f>IF(SER_hh_fech_in!I4=0,0,SER_hh_fech_in!I4/SER_summary!I$27)</f>
        <v>286.6665375427275</v>
      </c>
      <c r="J4" s="130">
        <f>IF(SER_hh_fech_in!J4=0,0,SER_hh_fech_in!J4/SER_summary!J$27)</f>
        <v>227.50542908256364</v>
      </c>
      <c r="K4" s="130">
        <f>IF(SER_hh_fech_in!K4=0,0,SER_hh_fech_in!K4/SER_summary!K$27)</f>
        <v>206.29336374363615</v>
      </c>
      <c r="L4" s="130">
        <f>IF(SER_hh_fech_in!L4=0,0,SER_hh_fech_in!L4/SER_summary!L$27)</f>
        <v>218.92411304393971</v>
      </c>
      <c r="M4" s="130">
        <f>IF(SER_hh_fech_in!M4=0,0,SER_hh_fech_in!M4/SER_summary!M$27)</f>
        <v>171.38383727962224</v>
      </c>
      <c r="N4" s="130">
        <f>IF(SER_hh_fech_in!N4=0,0,SER_hh_fech_in!N4/SER_summary!N$27)</f>
        <v>229.26708987592434</v>
      </c>
      <c r="O4" s="130">
        <f>IF(SER_hh_fech_in!O4=0,0,SER_hh_fech_in!O4/SER_summary!O$27)</f>
        <v>195.61559751644154</v>
      </c>
      <c r="P4" s="130">
        <f>IF(SER_hh_fech_in!P4=0,0,SER_hh_fech_in!P4/SER_summary!P$27)</f>
        <v>178.28044564634516</v>
      </c>
      <c r="Q4" s="130">
        <f>IF(SER_hh_fech_in!Q4=0,0,SER_hh_fech_in!Q4/SER_summary!Q$27)</f>
        <v>149.41174179175229</v>
      </c>
      <c r="R4" s="130">
        <f>IF(SER_hh_fech_in!R4=0,0,SER_hh_fech_in!R4/SER_summary!R$27)</f>
        <v>146.07299427735742</v>
      </c>
      <c r="S4" s="130">
        <f>IF(SER_hh_fech_in!S4=0,0,SER_hh_fech_in!S4/SER_summary!S$27)</f>
        <v>142.39702119744558</v>
      </c>
      <c r="T4" s="130">
        <f>IF(SER_hh_fech_in!T4=0,0,SER_hh_fech_in!T4/SER_summary!T$27)</f>
        <v>128.29830527216797</v>
      </c>
      <c r="U4" s="130">
        <f>IF(SER_hh_fech_in!U4=0,0,SER_hh_fech_in!U4/SER_summary!U$27)</f>
        <v>112.73351524288887</v>
      </c>
      <c r="V4" s="130">
        <f>IF(SER_hh_fech_in!V4=0,0,SER_hh_fech_in!V4/SER_summary!V$27)</f>
        <v>102.51053626674253</v>
      </c>
      <c r="W4" s="130">
        <f>IF(SER_hh_fech_in!W4=0,0,SER_hh_fech_in!W4/SER_summary!W$27)</f>
        <v>102.43452958990643</v>
      </c>
      <c r="X4" s="130">
        <f>IF(SER_hh_fech_in!X4=0,0,SER_hh_fech_in!X4/SER_summary!X$27)</f>
        <v>72.501223108333988</v>
      </c>
      <c r="Y4" s="130">
        <f>IF(SER_hh_fech_in!Y4=0,0,SER_hh_fech_in!Y4/SER_summary!Y$27)</f>
        <v>68.530088459894031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346.63963690282662</v>
      </c>
      <c r="D5" s="132">
        <f>IF(SER_hh_fech_in!D5=0,0,SER_hh_fech_in!D5/SER_summary!D$27)</f>
        <v>343.07624722078504</v>
      </c>
      <c r="E5" s="132">
        <f>IF(SER_hh_fech_in!E5=0,0,SER_hh_fech_in!E5/SER_summary!E$27)</f>
        <v>336.36416420444209</v>
      </c>
      <c r="F5" s="132">
        <f>IF(SER_hh_fech_in!F5=0,0,SER_hh_fech_in!F5/SER_summary!F$27)</f>
        <v>339.14525168679756</v>
      </c>
      <c r="G5" s="132">
        <f>IF(SER_hh_fech_in!G5=0,0,SER_hh_fech_in!G5/SER_summary!G$27)</f>
        <v>288.67371621484369</v>
      </c>
      <c r="H5" s="132">
        <f>IF(SER_hh_fech_in!H5=0,0,SER_hh_fech_in!H5/SER_summary!H$27)</f>
        <v>300.37958801174733</v>
      </c>
      <c r="I5" s="132">
        <f>IF(SER_hh_fech_in!I5=0,0,SER_hh_fech_in!I5/SER_summary!I$27)</f>
        <v>298.9031510857759</v>
      </c>
      <c r="J5" s="132">
        <f>IF(SER_hh_fech_in!J5=0,0,SER_hh_fech_in!J5/SER_summary!J$27)</f>
        <v>250.82405701961639</v>
      </c>
      <c r="K5" s="132">
        <f>IF(SER_hh_fech_in!K5=0,0,SER_hh_fech_in!K5/SER_summary!K$27)</f>
        <v>183.44123714592232</v>
      </c>
      <c r="L5" s="132">
        <f>IF(SER_hh_fech_in!L5=0,0,SER_hh_fech_in!L5/SER_summary!L$27)</f>
        <v>245.39896680723061</v>
      </c>
      <c r="M5" s="132">
        <f>IF(SER_hh_fech_in!M5=0,0,SER_hh_fech_in!M5/SER_summary!M$27)</f>
        <v>227.84869072592642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40.415000056876842</v>
      </c>
      <c r="Y5" s="132">
        <f>IF(SER_hh_fech_in!Y5=0,0,SER_hh_fech_in!Y5/SER_summary!Y$27)</f>
        <v>83.781843222957448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416.1104977816384</v>
      </c>
      <c r="D7" s="132">
        <f>IF(SER_hh_fech_in!D7=0,0,SER_hh_fech_in!D7/SER_summary!D$27)</f>
        <v>394.97545109219709</v>
      </c>
      <c r="E7" s="132">
        <f>IF(SER_hh_fech_in!E7=0,0,SER_hh_fech_in!E7/SER_summary!E$27)</f>
        <v>417.34225537213695</v>
      </c>
      <c r="F7" s="132">
        <f>IF(SER_hh_fech_in!F7=0,0,SER_hh_fech_in!F7/SER_summary!F$27)</f>
        <v>414.92024072380912</v>
      </c>
      <c r="G7" s="132">
        <f>IF(SER_hh_fech_in!G7=0,0,SER_hh_fech_in!G7/SER_summary!G$27)</f>
        <v>325.06985412865885</v>
      </c>
      <c r="H7" s="132">
        <f>IF(SER_hh_fech_in!H7=0,0,SER_hh_fech_in!H7/SER_summary!H$27)</f>
        <v>412.44232049787712</v>
      </c>
      <c r="I7" s="132">
        <f>IF(SER_hh_fech_in!I7=0,0,SER_hh_fech_in!I7/SER_summary!I$27)</f>
        <v>333.95096526481382</v>
      </c>
      <c r="J7" s="132">
        <f>IF(SER_hh_fech_in!J7=0,0,SER_hh_fech_in!J7/SER_summary!J$27)</f>
        <v>275.94745933445955</v>
      </c>
      <c r="K7" s="132">
        <f>IF(SER_hh_fech_in!K7=0,0,SER_hh_fech_in!K7/SER_summary!K$27)</f>
        <v>255.10834217018518</v>
      </c>
      <c r="L7" s="132">
        <f>IF(SER_hh_fech_in!L7=0,0,SER_hh_fech_in!L7/SER_summary!L$27)</f>
        <v>246.43974131656225</v>
      </c>
      <c r="M7" s="132">
        <f>IF(SER_hh_fech_in!M7=0,0,SER_hh_fech_in!M7/SER_summary!M$27)</f>
        <v>196.24412460711935</v>
      </c>
      <c r="N7" s="132">
        <f>IF(SER_hh_fech_in!N7=0,0,SER_hh_fech_in!N7/SER_summary!N$27)</f>
        <v>238.96096353389856</v>
      </c>
      <c r="O7" s="132">
        <f>IF(SER_hh_fech_in!O7=0,0,SER_hh_fech_in!O7/SER_summary!O$27)</f>
        <v>210.01489691518046</v>
      </c>
      <c r="P7" s="132">
        <f>IF(SER_hh_fech_in!P7=0,0,SER_hh_fech_in!P7/SER_summary!P$27)</f>
        <v>196.86477483332041</v>
      </c>
      <c r="Q7" s="132">
        <f>IF(SER_hh_fech_in!Q7=0,0,SER_hh_fech_in!Q7/SER_summary!Q$27)</f>
        <v>190.70587732268146</v>
      </c>
      <c r="R7" s="132">
        <f>IF(SER_hh_fech_in!R7=0,0,SER_hh_fech_in!R7/SER_summary!R$27)</f>
        <v>0</v>
      </c>
      <c r="S7" s="132">
        <f>IF(SER_hh_fech_in!S7=0,0,SER_hh_fech_in!S7/SER_summary!S$27)</f>
        <v>0</v>
      </c>
      <c r="T7" s="132">
        <f>IF(SER_hh_fech_in!T7=0,0,SER_hh_fech_in!T7/SER_summary!T$27)</f>
        <v>147.85052518147876</v>
      </c>
      <c r="U7" s="132">
        <f>IF(SER_hh_fech_in!U7=0,0,SER_hh_fech_in!U7/SER_summary!U$27)</f>
        <v>105.34896378493123</v>
      </c>
      <c r="V7" s="132">
        <f>IF(SER_hh_fech_in!V7=0,0,SER_hh_fech_in!V7/SER_summary!V$27)</f>
        <v>105.43768592423677</v>
      </c>
      <c r="W7" s="132">
        <f>IF(SER_hh_fech_in!W7=0,0,SER_hh_fech_in!W7/SER_summary!W$27)</f>
        <v>114.29544358183823</v>
      </c>
      <c r="X7" s="132">
        <f>IF(SER_hh_fech_in!X7=0,0,SER_hh_fech_in!X7/SER_summary!X$27)</f>
        <v>71.796360442383133</v>
      </c>
      <c r="Y7" s="132">
        <f>IF(SER_hh_fech_in!Y7=0,0,SER_hh_fech_in!Y7/SER_summary!Y$27)</f>
        <v>78.982973332095256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328.74695603620808</v>
      </c>
      <c r="D9" s="132">
        <f>IF(SER_hh_fech_in!D9=0,0,SER_hh_fech_in!D9/SER_summary!D$27)</f>
        <v>399.71046633625411</v>
      </c>
      <c r="E9" s="132">
        <f>IF(SER_hh_fech_in!E9=0,0,SER_hh_fech_in!E9/SER_summary!E$27)</f>
        <v>373.56892764827944</v>
      </c>
      <c r="F9" s="132">
        <f>IF(SER_hh_fech_in!F9=0,0,SER_hh_fech_in!F9/SER_summary!F$27)</f>
        <v>387.32755105101307</v>
      </c>
      <c r="G9" s="132">
        <f>IF(SER_hh_fech_in!G9=0,0,SER_hh_fech_in!G9/SER_summary!G$27)</f>
        <v>348.10718232749838</v>
      </c>
      <c r="H9" s="132">
        <f>IF(SER_hh_fech_in!H9=0,0,SER_hh_fech_in!H9/SER_summary!H$27)</f>
        <v>336.62667791226875</v>
      </c>
      <c r="I9" s="132">
        <f>IF(SER_hh_fech_in!I9=0,0,SER_hh_fech_in!I9/SER_summary!I$27)</f>
        <v>334.7161589119425</v>
      </c>
      <c r="J9" s="132">
        <f>IF(SER_hh_fech_in!J9=0,0,SER_hh_fech_in!J9/SER_summary!J$27)</f>
        <v>287.37471503941083</v>
      </c>
      <c r="K9" s="132">
        <f>IF(SER_hh_fech_in!K9=0,0,SER_hh_fech_in!K9/SER_summary!K$27)</f>
        <v>246.60557994553861</v>
      </c>
      <c r="L9" s="132">
        <f>IF(SER_hh_fech_in!L9=0,0,SER_hh_fech_in!L9/SER_summary!L$27)</f>
        <v>251.12292621537674</v>
      </c>
      <c r="M9" s="132">
        <f>IF(SER_hh_fech_in!M9=0,0,SER_hh_fech_in!M9/SER_summary!M$27)</f>
        <v>221.35826776796276</v>
      </c>
      <c r="N9" s="132">
        <f>IF(SER_hh_fech_in!N9=0,0,SER_hh_fech_in!N9/SER_summary!N$27)</f>
        <v>0</v>
      </c>
      <c r="O9" s="132">
        <f>IF(SER_hh_fech_in!O9=0,0,SER_hh_fech_in!O9/SER_summary!O$27)</f>
        <v>0</v>
      </c>
      <c r="P9" s="132">
        <f>IF(SER_hh_fech_in!P9=0,0,SER_hh_fech_in!P9/SER_summary!P$27)</f>
        <v>185.01787300076228</v>
      </c>
      <c r="Q9" s="132">
        <f>IF(SER_hh_fech_in!Q9=0,0,SER_hh_fech_in!Q9/SER_summary!Q$27)</f>
        <v>154.51876097948812</v>
      </c>
      <c r="R9" s="132">
        <f>IF(SER_hh_fech_in!R9=0,0,SER_hh_fech_in!R9/SER_summary!R$27)</f>
        <v>151.07856162418437</v>
      </c>
      <c r="S9" s="132">
        <f>IF(SER_hh_fech_in!S9=0,0,SER_hh_fech_in!S9/SER_summary!S$27)</f>
        <v>145.07231185348039</v>
      </c>
      <c r="T9" s="132">
        <f>IF(SER_hh_fech_in!T9=0,0,SER_hh_fech_in!T9/SER_summary!T$27)</f>
        <v>133.49461772911269</v>
      </c>
      <c r="U9" s="132">
        <f>IF(SER_hh_fech_in!U9=0,0,SER_hh_fech_in!U9/SER_summary!U$27)</f>
        <v>123.12084386701459</v>
      </c>
      <c r="V9" s="132">
        <f>IF(SER_hh_fech_in!V9=0,0,SER_hh_fech_in!V9/SER_summary!V$27)</f>
        <v>110.50091680772644</v>
      </c>
      <c r="W9" s="132">
        <f>IF(SER_hh_fech_in!W9=0,0,SER_hh_fech_in!W9/SER_summary!W$27)</f>
        <v>95.916906956428321</v>
      </c>
      <c r="X9" s="132">
        <f>IF(SER_hh_fech_in!X9=0,0,SER_hh_fech_in!X9/SER_summary!X$27)</f>
        <v>73.377048297315312</v>
      </c>
      <c r="Y9" s="132">
        <f>IF(SER_hh_fech_in!Y9=0,0,SER_hh_fech_in!Y9/SER_summary!Y$27)</f>
        <v>68.399298699152567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395.11942511560636</v>
      </c>
      <c r="D10" s="132">
        <f>IF(SER_hh_fech_in!D10=0,0,SER_hh_fech_in!D10/SER_summary!D$27)</f>
        <v>378.97882836625996</v>
      </c>
      <c r="E10" s="132">
        <f>IF(SER_hh_fech_in!E10=0,0,SER_hh_fech_in!E10/SER_summary!E$27)</f>
        <v>367.00949137710109</v>
      </c>
      <c r="F10" s="132">
        <f>IF(SER_hh_fech_in!F10=0,0,SER_hh_fech_in!F10/SER_summary!F$27)</f>
        <v>393.7364702693107</v>
      </c>
      <c r="G10" s="132">
        <f>IF(SER_hh_fech_in!G10=0,0,SER_hh_fech_in!G10/SER_summary!G$27)</f>
        <v>356.72326752185467</v>
      </c>
      <c r="H10" s="132">
        <f>IF(SER_hh_fech_in!H10=0,0,SER_hh_fech_in!H10/SER_summary!H$27)</f>
        <v>360.46011758036394</v>
      </c>
      <c r="I10" s="132">
        <f>IF(SER_hh_fech_in!I10=0,0,SER_hh_fech_in!I10/SER_summary!I$27)</f>
        <v>415.56671851803253</v>
      </c>
      <c r="J10" s="132">
        <f>IF(SER_hh_fech_in!J10=0,0,SER_hh_fech_in!J10/SER_summary!J$27)</f>
        <v>0</v>
      </c>
      <c r="K10" s="132">
        <f>IF(SER_hh_fech_in!K10=0,0,SER_hh_fech_in!K10/SER_summary!K$27)</f>
        <v>252.42298652202123</v>
      </c>
      <c r="L10" s="132">
        <f>IF(SER_hh_fech_in!L10=0,0,SER_hh_fech_in!L10/SER_summary!L$27)</f>
        <v>265.45449884199036</v>
      </c>
      <c r="M10" s="132">
        <f>IF(SER_hh_fech_in!M10=0,0,SER_hh_fech_in!M10/SER_summary!M$27)</f>
        <v>211.02758375666653</v>
      </c>
      <c r="N10" s="132">
        <f>IF(SER_hh_fech_in!N10=0,0,SER_hh_fech_in!N10/SER_summary!N$27)</f>
        <v>277.96696175096565</v>
      </c>
      <c r="O10" s="132">
        <f>IF(SER_hh_fech_in!O10=0,0,SER_hh_fech_in!O10/SER_summary!O$27)</f>
        <v>262.59018196101056</v>
      </c>
      <c r="P10" s="132">
        <f>IF(SER_hh_fech_in!P10=0,0,SER_hh_fech_in!P10/SER_summary!P$27)</f>
        <v>228.59011750865247</v>
      </c>
      <c r="Q10" s="132">
        <f>IF(SER_hh_fech_in!Q10=0,0,SER_hh_fech_in!Q10/SER_summary!Q$27)</f>
        <v>211.20576098938167</v>
      </c>
      <c r="R10" s="132">
        <f>IF(SER_hh_fech_in!R10=0,0,SER_hh_fech_in!R10/SER_summary!R$27)</f>
        <v>203.37068947080235</v>
      </c>
      <c r="S10" s="132">
        <f>IF(SER_hh_fech_in!S10=0,0,SER_hh_fech_in!S10/SER_summary!S$27)</f>
        <v>214.62824315187697</v>
      </c>
      <c r="T10" s="132">
        <f>IF(SER_hh_fech_in!T10=0,0,SER_hh_fech_in!T10/SER_summary!T$27)</f>
        <v>0</v>
      </c>
      <c r="U10" s="132">
        <f>IF(SER_hh_fech_in!U10=0,0,SER_hh_fech_in!U10/SER_summary!U$27)</f>
        <v>0</v>
      </c>
      <c r="V10" s="132">
        <f>IF(SER_hh_fech_in!V10=0,0,SER_hh_fech_in!V10/SER_summary!V$27)</f>
        <v>0</v>
      </c>
      <c r="W10" s="132">
        <f>IF(SER_hh_fech_in!W10=0,0,SER_hh_fech_in!W10/SER_summary!W$27)</f>
        <v>130.39011048665671</v>
      </c>
      <c r="X10" s="132">
        <f>IF(SER_hh_fech_in!X10=0,0,SER_hh_fech_in!X10/SER_summary!X$27)</f>
        <v>120.86579692918838</v>
      </c>
      <c r="Y10" s="132">
        <f>IF(SER_hh_fech_in!Y10=0,0,SER_hh_fech_in!Y10/SER_summary!Y$27)</f>
        <v>85.252554350177888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0</v>
      </c>
      <c r="J11" s="132">
        <f>IF(SER_hh_fech_in!J11=0,0,SER_hh_fech_in!J11/SER_summary!J$27)</f>
        <v>0</v>
      </c>
      <c r="K11" s="132">
        <f>IF(SER_hh_fech_in!K11=0,0,SER_hh_fech_in!K11/SER_summary!K$27)</f>
        <v>0</v>
      </c>
      <c r="L11" s="132">
        <f>IF(SER_hh_fech_in!L11=0,0,SER_hh_fech_in!L11/SER_summary!L$27)</f>
        <v>0</v>
      </c>
      <c r="M11" s="132">
        <f>IF(SER_hh_fech_in!M11=0,0,SER_hh_fech_in!M11/SER_summary!M$27)</f>
        <v>0</v>
      </c>
      <c r="N11" s="132">
        <f>IF(SER_hh_fech_in!N11=0,0,SER_hh_fech_in!N11/SER_summary!N$27)</f>
        <v>0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0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269.30768898323208</v>
      </c>
      <c r="D12" s="132">
        <f>IF(SER_hh_fech_in!D12=0,0,SER_hh_fech_in!D12/SER_summary!D$27)</f>
        <v>260.37954557123334</v>
      </c>
      <c r="E12" s="132">
        <f>IF(SER_hh_fech_in!E12=0,0,SER_hh_fech_in!E12/SER_summary!E$27)</f>
        <v>267.41348037835206</v>
      </c>
      <c r="F12" s="132">
        <f>IF(SER_hh_fech_in!F12=0,0,SER_hh_fech_in!F12/SER_summary!F$27)</f>
        <v>248.47863741562981</v>
      </c>
      <c r="G12" s="132">
        <f>IF(SER_hh_fech_in!G12=0,0,SER_hh_fech_in!G12/SER_summary!G$27)</f>
        <v>248.94314544500486</v>
      </c>
      <c r="H12" s="132">
        <f>IF(SER_hh_fech_in!H12=0,0,SER_hh_fech_in!H12/SER_summary!H$27)</f>
        <v>240.23491033743474</v>
      </c>
      <c r="I12" s="132">
        <f>IF(SER_hh_fech_in!I12=0,0,SER_hh_fech_in!I12/SER_summary!I$27)</f>
        <v>214.4782306428869</v>
      </c>
      <c r="J12" s="132">
        <f>IF(SER_hh_fech_in!J12=0,0,SER_hh_fech_in!J12/SER_summary!J$27)</f>
        <v>188.97828727271877</v>
      </c>
      <c r="K12" s="132">
        <f>IF(SER_hh_fech_in!K12=0,0,SER_hh_fech_in!K12/SER_summary!K$27)</f>
        <v>175.8152889817016</v>
      </c>
      <c r="L12" s="132">
        <f>IF(SER_hh_fech_in!L12=0,0,SER_hh_fech_in!L12/SER_summary!L$27)</f>
        <v>181.36200122811425</v>
      </c>
      <c r="M12" s="132">
        <f>IF(SER_hh_fech_in!M12=0,0,SER_hh_fech_in!M12/SER_summary!M$27)</f>
        <v>147.90266968117555</v>
      </c>
      <c r="N12" s="132">
        <f>IF(SER_hh_fech_in!N12=0,0,SER_hh_fech_in!N12/SER_summary!N$27)</f>
        <v>175.86800993655632</v>
      </c>
      <c r="O12" s="132">
        <f>IF(SER_hh_fech_in!O12=0,0,SER_hh_fech_in!O12/SER_summary!O$27)</f>
        <v>162.31401471911011</v>
      </c>
      <c r="P12" s="132">
        <f>IF(SER_hh_fech_in!P12=0,0,SER_hh_fech_in!P12/SER_summary!P$27)</f>
        <v>144.98455856349409</v>
      </c>
      <c r="Q12" s="132">
        <f>IF(SER_hh_fech_in!Q12=0,0,SER_hh_fech_in!Q12/SER_summary!Q$27)</f>
        <v>129.23469574747114</v>
      </c>
      <c r="R12" s="132">
        <f>IF(SER_hh_fech_in!R12=0,0,SER_hh_fech_in!R12/SER_summary!R$27)</f>
        <v>137.53573733577261</v>
      </c>
      <c r="S12" s="132">
        <f>IF(SER_hh_fech_in!S12=0,0,SER_hh_fech_in!S12/SER_summary!S$27)</f>
        <v>129.59178599449157</v>
      </c>
      <c r="T12" s="132">
        <f>IF(SER_hh_fech_in!T12=0,0,SER_hh_fech_in!T12/SER_summary!T$27)</f>
        <v>111.13905408817497</v>
      </c>
      <c r="U12" s="132">
        <f>IF(SER_hh_fech_in!U12=0,0,SER_hh_fech_in!U12/SER_summary!U$27)</f>
        <v>99.180394277790555</v>
      </c>
      <c r="V12" s="132">
        <f>IF(SER_hh_fech_in!V12=0,0,SER_hh_fech_in!V12/SER_summary!V$27)</f>
        <v>94.477676798135718</v>
      </c>
      <c r="W12" s="132">
        <f>IF(SER_hh_fech_in!W12=0,0,SER_hh_fech_in!W12/SER_summary!W$27)</f>
        <v>94.720861844396069</v>
      </c>
      <c r="X12" s="132">
        <f>IF(SER_hh_fech_in!X12=0,0,SER_hh_fech_in!X12/SER_summary!X$27)</f>
        <v>62.993501581198146</v>
      </c>
      <c r="Y12" s="132">
        <f>IF(SER_hh_fech_in!Y12=0,0,SER_hh_fech_in!Y12/SER_summary!Y$27)</f>
        <v>58.191211294682532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47.320733094899751</v>
      </c>
      <c r="D13" s="132">
        <f>IF(SER_hh_fech_in!D13=0,0,SER_hh_fech_in!D13/SER_summary!D$27)</f>
        <v>104.60770493598157</v>
      </c>
      <c r="E13" s="132">
        <f>IF(SER_hh_fech_in!E13=0,0,SER_hh_fech_in!E13/SER_summary!E$27)</f>
        <v>90.729265510695669</v>
      </c>
      <c r="F13" s="132">
        <f>IF(SER_hh_fech_in!F13=0,0,SER_hh_fech_in!F13/SER_summary!F$27)</f>
        <v>83.868402526007586</v>
      </c>
      <c r="G13" s="132">
        <f>IF(SER_hh_fech_in!G13=0,0,SER_hh_fech_in!G13/SER_summary!G$27)</f>
        <v>77.990893812794738</v>
      </c>
      <c r="H13" s="132">
        <f>IF(SER_hh_fech_in!H13=0,0,SER_hh_fech_in!H13/SER_summary!H$27)</f>
        <v>70.566667947856814</v>
      </c>
      <c r="I13" s="132">
        <f>IF(SER_hh_fech_in!I13=0,0,SER_hh_fech_in!I13/SER_summary!I$27)</f>
        <v>61.304352779321803</v>
      </c>
      <c r="J13" s="132">
        <f>IF(SER_hh_fech_in!J13=0,0,SER_hh_fech_in!J13/SER_summary!J$27)</f>
        <v>52.996260075879711</v>
      </c>
      <c r="K13" s="132">
        <f>IF(SER_hh_fech_in!K13=0,0,SER_hh_fech_in!K13/SER_summary!K$27)</f>
        <v>45.844772940187134</v>
      </c>
      <c r="L13" s="132">
        <f>IF(SER_hh_fech_in!L13=0,0,SER_hh_fech_in!L13/SER_summary!L$27)</f>
        <v>46.236706593982923</v>
      </c>
      <c r="M13" s="132">
        <f>IF(SER_hh_fech_in!M13=0,0,SER_hh_fech_in!M13/SER_summary!M$27)</f>
        <v>47.979496336379519</v>
      </c>
      <c r="N13" s="132">
        <f>IF(SER_hh_fech_in!N13=0,0,SER_hh_fech_in!N13/SER_summary!N$27)</f>
        <v>44.683776963286931</v>
      </c>
      <c r="O13" s="132">
        <f>IF(SER_hh_fech_in!O13=0,0,SER_hh_fech_in!O13/SER_summary!O$27)</f>
        <v>46.294250195589257</v>
      </c>
      <c r="P13" s="132">
        <f>IF(SER_hh_fech_in!P13=0,0,SER_hh_fech_in!P13/SER_summary!P$27)</f>
        <v>42.823596154776496</v>
      </c>
      <c r="Q13" s="132">
        <f>IF(SER_hh_fech_in!Q13=0,0,SER_hh_fech_in!Q13/SER_summary!Q$27)</f>
        <v>39.344138418648818</v>
      </c>
      <c r="R13" s="132">
        <f>IF(SER_hh_fech_in!R13=0,0,SER_hh_fech_in!R13/SER_summary!R$27)</f>
        <v>35.715225118756983</v>
      </c>
      <c r="S13" s="132">
        <f>IF(SER_hh_fech_in!S13=0,0,SER_hh_fech_in!S13/SER_summary!S$27)</f>
        <v>34.276693350648344</v>
      </c>
      <c r="T13" s="132">
        <f>IF(SER_hh_fech_in!T13=0,0,SER_hh_fech_in!T13/SER_summary!T$27)</f>
        <v>29.903035245951518</v>
      </c>
      <c r="U13" s="132">
        <f>IF(SER_hh_fech_in!U13=0,0,SER_hh_fech_in!U13/SER_summary!U$27)</f>
        <v>27.521161523627296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193.95587590937885</v>
      </c>
      <c r="D14" s="65">
        <f>IF(SER_hh_fech_in!D14=0,0,SER_hh_fech_in!D14/SER_summary!D$27)</f>
        <v>315.31039760150099</v>
      </c>
      <c r="E14" s="65">
        <f>IF(SER_hh_fech_in!E14=0,0,SER_hh_fech_in!E14/SER_summary!E$27)</f>
        <v>314.93043491568068</v>
      </c>
      <c r="F14" s="65">
        <f>IF(SER_hh_fech_in!F14=0,0,SER_hh_fech_in!F14/SER_summary!F$27)</f>
        <v>276.06308057175232</v>
      </c>
      <c r="G14" s="65">
        <f>IF(SER_hh_fech_in!G14=0,0,SER_hh_fech_in!G14/SER_summary!G$27)</f>
        <v>259.4552774030152</v>
      </c>
      <c r="H14" s="65">
        <f>IF(SER_hh_fech_in!H14=0,0,SER_hh_fech_in!H14/SER_summary!H$27)</f>
        <v>245.55814799684688</v>
      </c>
      <c r="I14" s="65">
        <f>IF(SER_hh_fech_in!I14=0,0,SER_hh_fech_in!I14/SER_summary!I$27)</f>
        <v>308.40715483575462</v>
      </c>
      <c r="J14" s="65">
        <f>IF(SER_hh_fech_in!J14=0,0,SER_hh_fech_in!J14/SER_summary!J$27)</f>
        <v>250.98559093969877</v>
      </c>
      <c r="K14" s="65">
        <f>IF(SER_hh_fech_in!K14=0,0,SER_hh_fech_in!K14/SER_summary!K$27)</f>
        <v>0</v>
      </c>
      <c r="L14" s="65">
        <f>IF(SER_hh_fech_in!L14=0,0,SER_hh_fech_in!L14/SER_summary!L$27)</f>
        <v>168.09561715280245</v>
      </c>
      <c r="M14" s="65">
        <f>IF(SER_hh_fech_in!M14=0,0,SER_hh_fech_in!M14/SER_summary!M$27)</f>
        <v>159.02461337124407</v>
      </c>
      <c r="N14" s="65">
        <f>IF(SER_hh_fech_in!N14=0,0,SER_hh_fech_in!N14/SER_summary!N$27)</f>
        <v>219.91457646740406</v>
      </c>
      <c r="O14" s="65">
        <f>IF(SER_hh_fech_in!O14=0,0,SER_hh_fech_in!O14/SER_summary!O$27)</f>
        <v>162.82449361782506</v>
      </c>
      <c r="P14" s="65">
        <f>IF(SER_hh_fech_in!P14=0,0,SER_hh_fech_in!P14/SER_summary!P$27)</f>
        <v>191.37566533095705</v>
      </c>
      <c r="Q14" s="65">
        <f>IF(SER_hh_fech_in!Q14=0,0,SER_hh_fech_in!Q14/SER_summary!Q$27)</f>
        <v>136.52870875993889</v>
      </c>
      <c r="R14" s="65">
        <f>IF(SER_hh_fech_in!R14=0,0,SER_hh_fech_in!R14/SER_summary!R$27)</f>
        <v>137.46221935144226</v>
      </c>
      <c r="S14" s="65">
        <f>IF(SER_hh_fech_in!S14=0,0,SER_hh_fech_in!S14/SER_summary!S$27)</f>
        <v>129.72754009187338</v>
      </c>
      <c r="T14" s="65">
        <f>IF(SER_hh_fech_in!T14=0,0,SER_hh_fech_in!T14/SER_summary!T$27)</f>
        <v>127.99704478178316</v>
      </c>
      <c r="U14" s="65">
        <f>IF(SER_hh_fech_in!U14=0,0,SER_hh_fech_in!U14/SER_summary!U$27)</f>
        <v>113.54645620078546</v>
      </c>
      <c r="V14" s="65">
        <f>IF(SER_hh_fech_in!V14=0,0,SER_hh_fech_in!V14/SER_summary!V$27)</f>
        <v>93.16626895927746</v>
      </c>
      <c r="W14" s="65">
        <f>IF(SER_hh_fech_in!W14=0,0,SER_hh_fech_in!W14/SER_summary!W$27)</f>
        <v>85.544305110939376</v>
      </c>
      <c r="X14" s="65">
        <f>IF(SER_hh_fech_in!X14=0,0,SER_hh_fech_in!X14/SER_summary!X$27)</f>
        <v>65.449540760217005</v>
      </c>
      <c r="Y14" s="65">
        <f>IF(SER_hh_fech_in!Y14=0,0,SER_hh_fech_in!Y14/SER_summary!Y$27)</f>
        <v>53.827936005367754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1.9585434294189286</v>
      </c>
      <c r="D15" s="134">
        <f>IF(SER_hh_fech_in!D15=0,0,SER_hh_fech_in!D15/SER_summary!D$27)</f>
        <v>2.7550525221424285</v>
      </c>
      <c r="E15" s="134">
        <f>IF(SER_hh_fech_in!E15=0,0,SER_hh_fech_in!E15/SER_summary!E$27)</f>
        <v>2.3650894284742674</v>
      </c>
      <c r="F15" s="134">
        <f>IF(SER_hh_fech_in!F15=0,0,SER_hh_fech_in!F15/SER_summary!F$27)</f>
        <v>2.3985771121497277</v>
      </c>
      <c r="G15" s="134">
        <f>IF(SER_hh_fech_in!G15=0,0,SER_hh_fech_in!G15/SER_summary!G$27)</f>
        <v>2.0504808564319936</v>
      </c>
      <c r="H15" s="134">
        <f>IF(SER_hh_fech_in!H15=0,0,SER_hh_fech_in!H15/SER_summary!H$27)</f>
        <v>1.9580559634094747</v>
      </c>
      <c r="I15" s="134">
        <f>IF(SER_hh_fech_in!I15=0,0,SER_hh_fech_in!I15/SER_summary!I$27)</f>
        <v>1.6696429125274379</v>
      </c>
      <c r="J15" s="134">
        <f>IF(SER_hh_fech_in!J15=0,0,SER_hh_fech_in!J15/SER_summary!J$27)</f>
        <v>1.4253750401999841</v>
      </c>
      <c r="K15" s="134">
        <f>IF(SER_hh_fech_in!K15=0,0,SER_hh_fech_in!K15/SER_summary!K$27)</f>
        <v>1.2724827091165898</v>
      </c>
      <c r="L15" s="134">
        <f>IF(SER_hh_fech_in!L15=0,0,SER_hh_fech_in!L15/SER_summary!L$27)</f>
        <v>1.2496227560227628</v>
      </c>
      <c r="M15" s="134">
        <f>IF(SER_hh_fech_in!M15=0,0,SER_hh_fech_in!M15/SER_summary!M$27)</f>
        <v>0.83924086529018649</v>
      </c>
      <c r="N15" s="134">
        <f>IF(SER_hh_fech_in!N15=0,0,SER_hh_fech_in!N15/SER_summary!N$27)</f>
        <v>1.3158291893951917</v>
      </c>
      <c r="O15" s="134">
        <f>IF(SER_hh_fech_in!O15=0,0,SER_hh_fech_in!O15/SER_summary!O$27)</f>
        <v>1.1042651851253547</v>
      </c>
      <c r="P15" s="134">
        <f>IF(SER_hh_fech_in!P15=0,0,SER_hh_fech_in!P15/SER_summary!P$27)</f>
        <v>1.1856494873428445</v>
      </c>
      <c r="Q15" s="134">
        <f>IF(SER_hh_fech_in!Q15=0,0,SER_hh_fech_in!Q15/SER_summary!Q$27)</f>
        <v>0.97979341126822705</v>
      </c>
      <c r="R15" s="134">
        <f>IF(SER_hh_fech_in!R15=0,0,SER_hh_fech_in!R15/SER_summary!R$27)</f>
        <v>1.0403451052956316</v>
      </c>
      <c r="S15" s="134">
        <f>IF(SER_hh_fech_in!S15=0,0,SER_hh_fech_in!S15/SER_summary!S$27)</f>
        <v>1.0842965387208232</v>
      </c>
      <c r="T15" s="134">
        <f>IF(SER_hh_fech_in!T15=0,0,SER_hh_fech_in!T15/SER_summary!T$27)</f>
        <v>1.2194492400216668</v>
      </c>
      <c r="U15" s="134">
        <f>IF(SER_hh_fech_in!U15=0,0,SER_hh_fech_in!U15/SER_summary!U$27)</f>
        <v>0.99905413248239783</v>
      </c>
      <c r="V15" s="134">
        <f>IF(SER_hh_fech_in!V15=0,0,SER_hh_fech_in!V15/SER_summary!V$27)</f>
        <v>0.87380250707569807</v>
      </c>
      <c r="W15" s="134">
        <f>IF(SER_hh_fech_in!W15=0,0,SER_hh_fech_in!W15/SER_summary!W$27)</f>
        <v>0.95653080964389259</v>
      </c>
      <c r="X15" s="134">
        <f>IF(SER_hh_fech_in!X15=0,0,SER_hh_fech_in!X15/SER_summary!X$27)</f>
        <v>0.60575388410468467</v>
      </c>
      <c r="Y15" s="134">
        <f>IF(SER_hh_fech_in!Y15=0,0,SER_hh_fech_in!Y15/SER_summary!Y$27)</f>
        <v>0.5176289286506226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8.090100037407316</v>
      </c>
      <c r="D16" s="130">
        <f>IF(SER_hh_fech_in!D16=0,0,SER_hh_fech_in!D16/SER_summary!D$27)</f>
        <v>7.9717416559438758</v>
      </c>
      <c r="E16" s="130">
        <f>IF(SER_hh_fech_in!E16=0,0,SER_hh_fech_in!E16/SER_summary!E$27)</f>
        <v>7.3079824364231571</v>
      </c>
      <c r="F16" s="130">
        <f>IF(SER_hh_fech_in!F16=0,0,SER_hh_fech_in!F16/SER_summary!F$27)</f>
        <v>6.7787003635295608</v>
      </c>
      <c r="G16" s="130">
        <f>IF(SER_hh_fech_in!G16=0,0,SER_hh_fech_in!G16/SER_summary!G$27)</f>
        <v>6.48172831300848</v>
      </c>
      <c r="H16" s="130">
        <f>IF(SER_hh_fech_in!H16=0,0,SER_hh_fech_in!H16/SER_summary!H$27)</f>
        <v>6.5992945439533379</v>
      </c>
      <c r="I16" s="130">
        <f>IF(SER_hh_fech_in!I16=0,0,SER_hh_fech_in!I16/SER_summary!I$27)</f>
        <v>5.9724344289881</v>
      </c>
      <c r="J16" s="130">
        <f>IF(SER_hh_fech_in!J16=0,0,SER_hh_fech_in!J16/SER_summary!J$27)</f>
        <v>5.7155963005716703</v>
      </c>
      <c r="K16" s="130">
        <f>IF(SER_hh_fech_in!K16=0,0,SER_hh_fech_in!K16/SER_summary!K$27)</f>
        <v>5.4469426684090303</v>
      </c>
      <c r="L16" s="130">
        <f>IF(SER_hh_fech_in!L16=0,0,SER_hh_fech_in!L16/SER_summary!L$27)</f>
        <v>6.2981117614782995</v>
      </c>
      <c r="M16" s="130">
        <f>IF(SER_hh_fech_in!M16=0,0,SER_hh_fech_in!M16/SER_summary!M$27)</f>
        <v>5.0445567870418202</v>
      </c>
      <c r="N16" s="130">
        <f>IF(SER_hh_fech_in!N16=0,0,SER_hh_fech_in!N16/SER_summary!N$27)</f>
        <v>4.7880804906441288</v>
      </c>
      <c r="O16" s="130">
        <f>IF(SER_hh_fech_in!O16=0,0,SER_hh_fech_in!O16/SER_summary!O$27)</f>
        <v>4.4372137879282025</v>
      </c>
      <c r="P16" s="130">
        <f>IF(SER_hh_fech_in!P16=0,0,SER_hh_fech_in!P16/SER_summary!P$27)</f>
        <v>4.4243753901392635</v>
      </c>
      <c r="Q16" s="130">
        <f>IF(SER_hh_fech_in!Q16=0,0,SER_hh_fech_in!Q16/SER_summary!Q$27)</f>
        <v>4.0097031879148721</v>
      </c>
      <c r="R16" s="130">
        <f>IF(SER_hh_fech_in!R16=0,0,SER_hh_fech_in!R16/SER_summary!R$27)</f>
        <v>3.8312698714149134</v>
      </c>
      <c r="S16" s="130">
        <f>IF(SER_hh_fech_in!S16=0,0,SER_hh_fech_in!S16/SER_summary!S$27)</f>
        <v>3.7361101485751314</v>
      </c>
      <c r="T16" s="130">
        <f>IF(SER_hh_fech_in!T16=0,0,SER_hh_fech_in!T16/SER_summary!T$27)</f>
        <v>3.8662089674603672</v>
      </c>
      <c r="U16" s="130">
        <f>IF(SER_hh_fech_in!U16=0,0,SER_hh_fech_in!U16/SER_summary!U$27)</f>
        <v>3.526222409209649</v>
      </c>
      <c r="V16" s="130">
        <f>IF(SER_hh_fech_in!V16=0,0,SER_hh_fech_in!V16/SER_summary!V$27)</f>
        <v>3.393255788780646</v>
      </c>
      <c r="W16" s="130">
        <f>IF(SER_hh_fech_in!W16=0,0,SER_hh_fech_in!W16/SER_summary!W$27)</f>
        <v>3.5696321542279446</v>
      </c>
      <c r="X16" s="130">
        <f>IF(SER_hh_fech_in!X16=0,0,SER_hh_fech_in!X16/SER_summary!X$27)</f>
        <v>2.7570237385197873</v>
      </c>
      <c r="Y16" s="130">
        <f>IF(SER_hh_fech_in!Y16=0,0,SER_hh_fech_in!Y16/SER_summary!Y$27)</f>
        <v>2.8578778813298671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0</v>
      </c>
      <c r="D17" s="132">
        <f>IF(SER_hh_fech_in!D17=0,0,SER_hh_fech_in!D17/SER_summary!D$27)</f>
        <v>0</v>
      </c>
      <c r="E17" s="132">
        <f>IF(SER_hh_fech_in!E17=0,0,SER_hh_fech_in!E17/SER_summary!E$27)</f>
        <v>0</v>
      </c>
      <c r="F17" s="132">
        <f>IF(SER_hh_fech_in!F17=0,0,SER_hh_fech_in!F17/SER_summary!F$27)</f>
        <v>0</v>
      </c>
      <c r="G17" s="132">
        <f>IF(SER_hh_fech_in!G17=0,0,SER_hh_fech_in!G17/SER_summary!G$27)</f>
        <v>0</v>
      </c>
      <c r="H17" s="132">
        <f>IF(SER_hh_fech_in!H17=0,0,SER_hh_fech_in!H17/SER_summary!H$27)</f>
        <v>0</v>
      </c>
      <c r="I17" s="132">
        <f>IF(SER_hh_fech_in!I17=0,0,SER_hh_fech_in!I17/SER_summary!I$27)</f>
        <v>0</v>
      </c>
      <c r="J17" s="132">
        <f>IF(SER_hh_fech_in!J17=0,0,SER_hh_fech_in!J17/SER_summary!J$27)</f>
        <v>0</v>
      </c>
      <c r="K17" s="132">
        <f>IF(SER_hh_fech_in!K17=0,0,SER_hh_fech_in!K17/SER_summary!K$27)</f>
        <v>0</v>
      </c>
      <c r="L17" s="132">
        <f>IF(SER_hh_fech_in!L17=0,0,SER_hh_fech_in!L17/SER_summary!L$27)</f>
        <v>0</v>
      </c>
      <c r="M17" s="132">
        <f>IF(SER_hh_fech_in!M17=0,0,SER_hh_fech_in!M17/SER_summary!M$27)</f>
        <v>0</v>
      </c>
      <c r="N17" s="132">
        <f>IF(SER_hh_fech_in!N17=0,0,SER_hh_fech_in!N17/SER_summary!N$27)</f>
        <v>0</v>
      </c>
      <c r="O17" s="132">
        <f>IF(SER_hh_fech_in!O17=0,0,SER_hh_fech_in!O17/SER_summary!O$27)</f>
        <v>0</v>
      </c>
      <c r="P17" s="132">
        <f>IF(SER_hh_fech_in!P17=0,0,SER_hh_fech_in!P17/SER_summary!P$27)</f>
        <v>0</v>
      </c>
      <c r="Q17" s="132">
        <f>IF(SER_hh_fech_in!Q17=0,0,SER_hh_fech_in!Q17/SER_summary!Q$27)</f>
        <v>0</v>
      </c>
      <c r="R17" s="132">
        <f>IF(SER_hh_fech_in!R17=0,0,SER_hh_fech_in!R17/SER_summary!R$27)</f>
        <v>0</v>
      </c>
      <c r="S17" s="132">
        <f>IF(SER_hh_fech_in!S17=0,0,SER_hh_fech_in!S17/SER_summary!S$27)</f>
        <v>0</v>
      </c>
      <c r="T17" s="132">
        <f>IF(SER_hh_fech_in!T17=0,0,SER_hh_fech_in!T17/SER_summary!T$27)</f>
        <v>0</v>
      </c>
      <c r="U17" s="132">
        <f>IF(SER_hh_fech_in!U17=0,0,SER_hh_fech_in!U17/SER_summary!U$27)</f>
        <v>0</v>
      </c>
      <c r="V17" s="132">
        <f>IF(SER_hh_fech_in!V17=0,0,SER_hh_fech_in!V17/SER_summary!V$27)</f>
        <v>0</v>
      </c>
      <c r="W17" s="132">
        <f>IF(SER_hh_fech_in!W17=0,0,SER_hh_fech_in!W17/SER_summary!W$27)</f>
        <v>0</v>
      </c>
      <c r="X17" s="132">
        <f>IF(SER_hh_fech_in!X17=0,0,SER_hh_fech_in!X17/SER_summary!X$27)</f>
        <v>0</v>
      </c>
      <c r="Y17" s="132">
        <f>IF(SER_hh_fech_in!Y17=0,0,SER_hh_fech_in!Y17/SER_summary!Y$27)</f>
        <v>0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8.090100037407316</v>
      </c>
      <c r="D18" s="132">
        <f>IF(SER_hh_fech_in!D18=0,0,SER_hh_fech_in!D18/SER_summary!D$27)</f>
        <v>7.9717416559438758</v>
      </c>
      <c r="E18" s="132">
        <f>IF(SER_hh_fech_in!E18=0,0,SER_hh_fech_in!E18/SER_summary!E$27)</f>
        <v>7.3079824364231571</v>
      </c>
      <c r="F18" s="132">
        <f>IF(SER_hh_fech_in!F18=0,0,SER_hh_fech_in!F18/SER_summary!F$27)</f>
        <v>6.7787003635295608</v>
      </c>
      <c r="G18" s="132">
        <f>IF(SER_hh_fech_in!G18=0,0,SER_hh_fech_in!G18/SER_summary!G$27)</f>
        <v>6.48172831300848</v>
      </c>
      <c r="H18" s="132">
        <f>IF(SER_hh_fech_in!H18=0,0,SER_hh_fech_in!H18/SER_summary!H$27)</f>
        <v>6.5992945439533379</v>
      </c>
      <c r="I18" s="132">
        <f>IF(SER_hh_fech_in!I18=0,0,SER_hh_fech_in!I18/SER_summary!I$27)</f>
        <v>5.9724344289881</v>
      </c>
      <c r="J18" s="132">
        <f>IF(SER_hh_fech_in!J18=0,0,SER_hh_fech_in!J18/SER_summary!J$27)</f>
        <v>5.7155963005716703</v>
      </c>
      <c r="K18" s="132">
        <f>IF(SER_hh_fech_in!K18=0,0,SER_hh_fech_in!K18/SER_summary!K$27)</f>
        <v>5.4469426684090303</v>
      </c>
      <c r="L18" s="132">
        <f>IF(SER_hh_fech_in!L18=0,0,SER_hh_fech_in!L18/SER_summary!L$27)</f>
        <v>6.2981117614782995</v>
      </c>
      <c r="M18" s="132">
        <f>IF(SER_hh_fech_in!M18=0,0,SER_hh_fech_in!M18/SER_summary!M$27)</f>
        <v>5.0445567870418202</v>
      </c>
      <c r="N18" s="132">
        <f>IF(SER_hh_fech_in!N18=0,0,SER_hh_fech_in!N18/SER_summary!N$27)</f>
        <v>4.7880804906441288</v>
      </c>
      <c r="O18" s="132">
        <f>IF(SER_hh_fech_in!O18=0,0,SER_hh_fech_in!O18/SER_summary!O$27)</f>
        <v>4.4372137879282025</v>
      </c>
      <c r="P18" s="132">
        <f>IF(SER_hh_fech_in!P18=0,0,SER_hh_fech_in!P18/SER_summary!P$27)</f>
        <v>4.4243753901392635</v>
      </c>
      <c r="Q18" s="132">
        <f>IF(SER_hh_fech_in!Q18=0,0,SER_hh_fech_in!Q18/SER_summary!Q$27)</f>
        <v>4.0097031879148721</v>
      </c>
      <c r="R18" s="132">
        <f>IF(SER_hh_fech_in!R18=0,0,SER_hh_fech_in!R18/SER_summary!R$27)</f>
        <v>3.8312698714149134</v>
      </c>
      <c r="S18" s="132">
        <f>IF(SER_hh_fech_in!S18=0,0,SER_hh_fech_in!S18/SER_summary!S$27)</f>
        <v>3.7361101485751314</v>
      </c>
      <c r="T18" s="132">
        <f>IF(SER_hh_fech_in!T18=0,0,SER_hh_fech_in!T18/SER_summary!T$27)</f>
        <v>3.8662089674603672</v>
      </c>
      <c r="U18" s="132">
        <f>IF(SER_hh_fech_in!U18=0,0,SER_hh_fech_in!U18/SER_summary!U$27)</f>
        <v>3.526222409209649</v>
      </c>
      <c r="V18" s="132">
        <f>IF(SER_hh_fech_in!V18=0,0,SER_hh_fech_in!V18/SER_summary!V$27)</f>
        <v>3.393255788780646</v>
      </c>
      <c r="W18" s="132">
        <f>IF(SER_hh_fech_in!W18=0,0,SER_hh_fech_in!W18/SER_summary!W$27)</f>
        <v>3.5696321542279446</v>
      </c>
      <c r="X18" s="132">
        <f>IF(SER_hh_fech_in!X18=0,0,SER_hh_fech_in!X18/SER_summary!X$27)</f>
        <v>2.7570237385197873</v>
      </c>
      <c r="Y18" s="132">
        <f>IF(SER_hh_fech_in!Y18=0,0,SER_hh_fech_in!Y18/SER_summary!Y$27)</f>
        <v>2.8578778813298671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39.785563766591793</v>
      </c>
      <c r="D19" s="130">
        <f>IF(SER_hh_fech_in!D19=0,0,SER_hh_fech_in!D19/SER_summary!D$27)</f>
        <v>39.302972451240073</v>
      </c>
      <c r="E19" s="130">
        <f>IF(SER_hh_fech_in!E19=0,0,SER_hh_fech_in!E19/SER_summary!E$27)</f>
        <v>38.853914947781675</v>
      </c>
      <c r="F19" s="130">
        <f>IF(SER_hh_fech_in!F19=0,0,SER_hh_fech_in!F19/SER_summary!F$27)</f>
        <v>39.215278482915181</v>
      </c>
      <c r="G19" s="130">
        <f>IF(SER_hh_fech_in!G19=0,0,SER_hh_fech_in!G19/SER_summary!G$27)</f>
        <v>38.737953627066759</v>
      </c>
      <c r="H19" s="130">
        <f>IF(SER_hh_fech_in!H19=0,0,SER_hh_fech_in!H19/SER_summary!H$27)</f>
        <v>38.673160554138803</v>
      </c>
      <c r="I19" s="130">
        <f>IF(SER_hh_fech_in!I19=0,0,SER_hh_fech_in!I19/SER_summary!I$27)</f>
        <v>38.122600597618053</v>
      </c>
      <c r="J19" s="130">
        <f>IF(SER_hh_fech_in!J19=0,0,SER_hh_fech_in!J19/SER_summary!J$27)</f>
        <v>37.729452637272594</v>
      </c>
      <c r="K19" s="130">
        <f>IF(SER_hh_fech_in!K19=0,0,SER_hh_fech_in!K19/SER_summary!K$27)</f>
        <v>38.137620463421037</v>
      </c>
      <c r="L19" s="130">
        <f>IF(SER_hh_fech_in!L19=0,0,SER_hh_fech_in!L19/SER_summary!L$27)</f>
        <v>36.857213216308203</v>
      </c>
      <c r="M19" s="130">
        <f>IF(SER_hh_fech_in!M19=0,0,SER_hh_fech_in!M19/SER_summary!M$27)</f>
        <v>37.162302025911956</v>
      </c>
      <c r="N19" s="130">
        <f>IF(SER_hh_fech_in!N19=0,0,SER_hh_fech_in!N19/SER_summary!N$27)</f>
        <v>35.806675777415066</v>
      </c>
      <c r="O19" s="130">
        <f>IF(SER_hh_fech_in!O19=0,0,SER_hh_fech_in!O19/SER_summary!O$27)</f>
        <v>35.540194553960717</v>
      </c>
      <c r="P19" s="130">
        <f>IF(SER_hh_fech_in!P19=0,0,SER_hh_fech_in!P19/SER_summary!P$27)</f>
        <v>33.847163657614502</v>
      </c>
      <c r="Q19" s="130">
        <f>IF(SER_hh_fech_in!Q19=0,0,SER_hh_fech_in!Q19/SER_summary!Q$27)</f>
        <v>32.8356229666635</v>
      </c>
      <c r="R19" s="130">
        <f>IF(SER_hh_fech_in!R19=0,0,SER_hh_fech_in!R19/SER_summary!R$27)</f>
        <v>32.277121219603202</v>
      </c>
      <c r="S19" s="130">
        <f>IF(SER_hh_fech_in!S19=0,0,SER_hh_fech_in!S19/SER_summary!S$27)</f>
        <v>31.938915006665681</v>
      </c>
      <c r="T19" s="130">
        <f>IF(SER_hh_fech_in!T19=0,0,SER_hh_fech_in!T19/SER_summary!T$27)</f>
        <v>31.110933396694318</v>
      </c>
      <c r="U19" s="130">
        <f>IF(SER_hh_fech_in!U19=0,0,SER_hh_fech_in!U19/SER_summary!U$27)</f>
        <v>30.036372846721246</v>
      </c>
      <c r="V19" s="130">
        <f>IF(SER_hh_fech_in!V19=0,0,SER_hh_fech_in!V19/SER_summary!V$27)</f>
        <v>27.172846086838415</v>
      </c>
      <c r="W19" s="130">
        <f>IF(SER_hh_fech_in!W19=0,0,SER_hh_fech_in!W19/SER_summary!W$27)</f>
        <v>28.256249640395669</v>
      </c>
      <c r="X19" s="130">
        <f>IF(SER_hh_fech_in!X19=0,0,SER_hh_fech_in!X19/SER_summary!X$27)</f>
        <v>28.584966543545974</v>
      </c>
      <c r="Y19" s="130">
        <f>IF(SER_hh_fech_in!Y19=0,0,SER_hh_fech_in!Y19/SER_summary!Y$27)</f>
        <v>28.305960564211212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0</v>
      </c>
      <c r="D21" s="132">
        <f>IF(SER_hh_fech_in!D21=0,0,SER_hh_fech_in!D21/SER_summary!D$27)</f>
        <v>0</v>
      </c>
      <c r="E21" s="132">
        <f>IF(SER_hh_fech_in!E21=0,0,SER_hh_fech_in!E21/SER_summary!E$27)</f>
        <v>0</v>
      </c>
      <c r="F21" s="132">
        <f>IF(SER_hh_fech_in!F21=0,0,SER_hh_fech_in!F21/SER_summary!F$27)</f>
        <v>0</v>
      </c>
      <c r="G21" s="132">
        <f>IF(SER_hh_fech_in!G21=0,0,SER_hh_fech_in!G21/SER_summary!G$27)</f>
        <v>0</v>
      </c>
      <c r="H21" s="132">
        <f>IF(SER_hh_fech_in!H21=0,0,SER_hh_fech_in!H21/SER_summary!H$27)</f>
        <v>0</v>
      </c>
      <c r="I21" s="132">
        <f>IF(SER_hh_fech_in!I21=0,0,SER_hh_fech_in!I21/SER_summary!I$27)</f>
        <v>0</v>
      </c>
      <c r="J21" s="132">
        <f>IF(SER_hh_fech_in!J21=0,0,SER_hh_fech_in!J21/SER_summary!J$27)</f>
        <v>0</v>
      </c>
      <c r="K21" s="132">
        <f>IF(SER_hh_fech_in!K21=0,0,SER_hh_fech_in!K21/SER_summary!K$27)</f>
        <v>0</v>
      </c>
      <c r="L21" s="132">
        <f>IF(SER_hh_fech_in!L21=0,0,SER_hh_fech_in!L21/SER_summary!L$27)</f>
        <v>0</v>
      </c>
      <c r="M21" s="132">
        <f>IF(SER_hh_fech_in!M21=0,0,SER_hh_fech_in!M21/SER_summary!M$27)</f>
        <v>0</v>
      </c>
      <c r="N21" s="132">
        <f>IF(SER_hh_fech_in!N21=0,0,SER_hh_fech_in!N21/SER_summary!N$27)</f>
        <v>0</v>
      </c>
      <c r="O21" s="132">
        <f>IF(SER_hh_fech_in!O21=0,0,SER_hh_fech_in!O21/SER_summary!O$27)</f>
        <v>0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0</v>
      </c>
      <c r="S21" s="132">
        <f>IF(SER_hh_fech_in!S21=0,0,SER_hh_fech_in!S21/SER_summary!S$27)</f>
        <v>0</v>
      </c>
      <c r="T21" s="132">
        <f>IF(SER_hh_fech_in!T21=0,0,SER_hh_fech_in!T21/SER_summary!T$27)</f>
        <v>0</v>
      </c>
      <c r="U21" s="132">
        <f>IF(SER_hh_fech_in!U21=0,0,SER_hh_fech_in!U21/SER_summary!U$27)</f>
        <v>0</v>
      </c>
      <c r="V21" s="132">
        <f>IF(SER_hh_fech_in!V21=0,0,SER_hh_fech_in!V21/SER_summary!V$27)</f>
        <v>0</v>
      </c>
      <c r="W21" s="132">
        <f>IF(SER_hh_fech_in!W21=0,0,SER_hh_fech_in!W21/SER_summary!W$27)</f>
        <v>0</v>
      </c>
      <c r="X21" s="132">
        <f>IF(SER_hh_fech_in!X21=0,0,SER_hh_fech_in!X21/SER_summary!X$27)</f>
        <v>0</v>
      </c>
      <c r="Y21" s="132">
        <f>IF(SER_hh_fech_in!Y21=0,0,SER_hh_fech_in!Y21/SER_summary!Y$27)</f>
        <v>0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50.281053946886097</v>
      </c>
      <c r="D22" s="132">
        <f>IF(SER_hh_fech_in!D22=0,0,SER_hh_fech_in!D22/SER_summary!D$27)</f>
        <v>49.550936353075031</v>
      </c>
      <c r="E22" s="132">
        <f>IF(SER_hh_fech_in!E22=0,0,SER_hh_fech_in!E22/SER_summary!E$27)</f>
        <v>49.157637645595571</v>
      </c>
      <c r="F22" s="132">
        <f>IF(SER_hh_fech_in!F22=0,0,SER_hh_fech_in!F22/SER_summary!F$27)</f>
        <v>48.357676082287107</v>
      </c>
      <c r="G22" s="132">
        <f>IF(SER_hh_fech_in!G22=0,0,SER_hh_fech_in!G22/SER_summary!G$27)</f>
        <v>47.900434574497673</v>
      </c>
      <c r="H22" s="132">
        <f>IF(SER_hh_fech_in!H22=0,0,SER_hh_fech_in!H22/SER_summary!H$27)</f>
        <v>48.761902522895674</v>
      </c>
      <c r="I22" s="132">
        <f>IF(SER_hh_fech_in!I22=0,0,SER_hh_fech_in!I22/SER_summary!I$27)</f>
        <v>47.16002463261411</v>
      </c>
      <c r="J22" s="132">
        <f>IF(SER_hh_fech_in!J22=0,0,SER_hh_fech_in!J22/SER_summary!J$27)</f>
        <v>47.860719550643665</v>
      </c>
      <c r="K22" s="132">
        <f>IF(SER_hh_fech_in!K22=0,0,SER_hh_fech_in!K22/SER_summary!K$27)</f>
        <v>46.977731761549286</v>
      </c>
      <c r="L22" s="132">
        <f>IF(SER_hh_fech_in!L22=0,0,SER_hh_fech_in!L22/SER_summary!L$27)</f>
        <v>46.336394992195892</v>
      </c>
      <c r="M22" s="132">
        <f>IF(SER_hh_fech_in!M22=0,0,SER_hh_fech_in!M22/SER_summary!M$27)</f>
        <v>45.89199924737899</v>
      </c>
      <c r="N22" s="132">
        <f>IF(SER_hh_fech_in!N22=0,0,SER_hh_fech_in!N22/SER_summary!N$27)</f>
        <v>44.441325433800309</v>
      </c>
      <c r="O22" s="132">
        <f>IF(SER_hh_fech_in!O22=0,0,SER_hh_fech_in!O22/SER_summary!O$27)</f>
        <v>42.606560912166614</v>
      </c>
      <c r="P22" s="132">
        <f>IF(SER_hh_fech_in!P22=0,0,SER_hh_fech_in!P22/SER_summary!P$27)</f>
        <v>39.879796829024308</v>
      </c>
      <c r="Q22" s="132">
        <f>IF(SER_hh_fech_in!Q22=0,0,SER_hh_fech_in!Q22/SER_summary!Q$27)</f>
        <v>38.279954252121712</v>
      </c>
      <c r="R22" s="132">
        <f>IF(SER_hh_fech_in!R22=0,0,SER_hh_fech_in!R22/SER_summary!R$27)</f>
        <v>37.088560072588365</v>
      </c>
      <c r="S22" s="132">
        <f>IF(SER_hh_fech_in!S22=0,0,SER_hh_fech_in!S22/SER_summary!S$27)</f>
        <v>36.303201735968969</v>
      </c>
      <c r="T22" s="132">
        <f>IF(SER_hh_fech_in!T22=0,0,SER_hh_fech_in!T22/SER_summary!T$27)</f>
        <v>35.104230610302395</v>
      </c>
      <c r="U22" s="132">
        <f>IF(SER_hh_fech_in!U22=0,0,SER_hh_fech_in!U22/SER_summary!U$27)</f>
        <v>33.110297935909635</v>
      </c>
      <c r="V22" s="132">
        <f>IF(SER_hh_fech_in!V22=0,0,SER_hh_fech_in!V22/SER_summary!V$27)</f>
        <v>29.59277901047928</v>
      </c>
      <c r="W22" s="132">
        <f>IF(SER_hh_fech_in!W22=0,0,SER_hh_fech_in!W22/SER_summary!W$27)</f>
        <v>31.049135720528778</v>
      </c>
      <c r="X22" s="132">
        <f>IF(SER_hh_fech_in!X22=0,0,SER_hh_fech_in!X22/SER_summary!X$27)</f>
        <v>30.66578389480798</v>
      </c>
      <c r="Y22" s="132">
        <f>IF(SER_hh_fech_in!Y22=0,0,SER_hh_fech_in!Y22/SER_summary!Y$27)</f>
        <v>31.962883701064552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44.620074914447393</v>
      </c>
      <c r="D23" s="132">
        <f>IF(SER_hh_fech_in!D23=0,0,SER_hh_fech_in!D23/SER_summary!D$27)</f>
        <v>45.923419711681198</v>
      </c>
      <c r="E23" s="132">
        <f>IF(SER_hh_fech_in!E23=0,0,SER_hh_fech_in!E23/SER_summary!E$27)</f>
        <v>44.514029216630263</v>
      </c>
      <c r="F23" s="132">
        <f>IF(SER_hh_fech_in!F23=0,0,SER_hh_fech_in!F23/SER_summary!F$27)</f>
        <v>43.592480443519094</v>
      </c>
      <c r="G23" s="132">
        <f>IF(SER_hh_fech_in!G23=0,0,SER_hh_fech_in!G23/SER_summary!G$27)</f>
        <v>43.983176339181711</v>
      </c>
      <c r="H23" s="132">
        <f>IF(SER_hh_fech_in!H23=0,0,SER_hh_fech_in!H23/SER_summary!H$27)</f>
        <v>42.211065833209915</v>
      </c>
      <c r="I23" s="132">
        <f>IF(SER_hh_fech_in!I23=0,0,SER_hh_fech_in!I23/SER_summary!I$27)</f>
        <v>40.924516976026972</v>
      </c>
      <c r="J23" s="132">
        <f>IF(SER_hh_fech_in!J23=0,0,SER_hh_fech_in!J23/SER_summary!J$27)</f>
        <v>43.018559057141417</v>
      </c>
      <c r="K23" s="132">
        <f>IF(SER_hh_fech_in!K23=0,0,SER_hh_fech_in!K23/SER_summary!K$27)</f>
        <v>43.055031831753624</v>
      </c>
      <c r="L23" s="132">
        <f>IF(SER_hh_fech_in!L23=0,0,SER_hh_fech_in!L23/SER_summary!L$27)</f>
        <v>41.265774974095656</v>
      </c>
      <c r="M23" s="132">
        <f>IF(SER_hh_fech_in!M23=0,0,SER_hh_fech_in!M23/SER_summary!M$27)</f>
        <v>40.680704786824748</v>
      </c>
      <c r="N23" s="132">
        <f>IF(SER_hh_fech_in!N23=0,0,SER_hh_fech_in!N23/SER_summary!N$27)</f>
        <v>39.270852096899695</v>
      </c>
      <c r="O23" s="132">
        <f>IF(SER_hh_fech_in!O23=0,0,SER_hh_fech_in!O23/SER_summary!O$27)</f>
        <v>37.876844755173664</v>
      </c>
      <c r="P23" s="132">
        <f>IF(SER_hh_fech_in!P23=0,0,SER_hh_fech_in!P23/SER_summary!P$27)</f>
        <v>35.668743085123531</v>
      </c>
      <c r="Q23" s="132">
        <f>IF(SER_hh_fech_in!Q23=0,0,SER_hh_fech_in!Q23/SER_summary!Q$27)</f>
        <v>34.637059799284735</v>
      </c>
      <c r="R23" s="132">
        <f>IF(SER_hh_fech_in!R23=0,0,SER_hh_fech_in!R23/SER_summary!R$27)</f>
        <v>33.979298476915559</v>
      </c>
      <c r="S23" s="132">
        <f>IF(SER_hh_fech_in!S23=0,0,SER_hh_fech_in!S23/SER_summary!S$27)</f>
        <v>33.808530534239608</v>
      </c>
      <c r="T23" s="132">
        <f>IF(SER_hh_fech_in!T23=0,0,SER_hh_fech_in!T23/SER_summary!T$27)</f>
        <v>32.101263729626972</v>
      </c>
      <c r="U23" s="132">
        <f>IF(SER_hh_fech_in!U23=0,0,SER_hh_fech_in!U23/SER_summary!U$27)</f>
        <v>31.050864704829706</v>
      </c>
      <c r="V23" s="132">
        <f>IF(SER_hh_fech_in!V23=0,0,SER_hh_fech_in!V23/SER_summary!V$27)</f>
        <v>30.075456959255362</v>
      </c>
      <c r="W23" s="132">
        <f>IF(SER_hh_fech_in!W23=0,0,SER_hh_fech_in!W23/SER_summary!W$27)</f>
        <v>30.354502658562957</v>
      </c>
      <c r="X23" s="132">
        <f>IF(SER_hh_fech_in!X23=0,0,SER_hh_fech_in!X23/SER_summary!X$27)</f>
        <v>30.460888050037024</v>
      </c>
      <c r="Y23" s="132">
        <f>IF(SER_hh_fech_in!Y23=0,0,SER_hh_fech_in!Y23/SER_summary!Y$27)</f>
        <v>29.518691606018432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45.677904264684379</v>
      </c>
      <c r="D24" s="132">
        <f>IF(SER_hh_fech_in!D24=0,0,SER_hh_fech_in!D24/SER_summary!D$27)</f>
        <v>44.688896859147519</v>
      </c>
      <c r="E24" s="132">
        <f>IF(SER_hh_fech_in!E24=0,0,SER_hh_fech_in!E24/SER_summary!E$27)</f>
        <v>43.018971868015811</v>
      </c>
      <c r="F24" s="132">
        <f>IF(SER_hh_fech_in!F24=0,0,SER_hh_fech_in!F24/SER_summary!F$27)</f>
        <v>43.801785880441258</v>
      </c>
      <c r="G24" s="132">
        <f>IF(SER_hh_fech_in!G24=0,0,SER_hh_fech_in!G24/SER_summary!G$27)</f>
        <v>43.464016673222389</v>
      </c>
      <c r="H24" s="132">
        <f>IF(SER_hh_fech_in!H24=0,0,SER_hh_fech_in!H24/SER_summary!H$27)</f>
        <v>42.318623456045273</v>
      </c>
      <c r="I24" s="132">
        <f>IF(SER_hh_fech_in!I24=0,0,SER_hh_fech_in!I24/SER_summary!I$27)</f>
        <v>41.572812070133892</v>
      </c>
      <c r="J24" s="132">
        <f>IF(SER_hh_fech_in!J24=0,0,SER_hh_fech_in!J24/SER_summary!J$27)</f>
        <v>39.953546809146907</v>
      </c>
      <c r="K24" s="132">
        <f>IF(SER_hh_fech_in!K24=0,0,SER_hh_fech_in!K24/SER_summary!K$27)</f>
        <v>39.705157548073402</v>
      </c>
      <c r="L24" s="132">
        <f>IF(SER_hh_fech_in!L24=0,0,SER_hh_fech_in!L24/SER_summary!L$27)</f>
        <v>39.21847038004757</v>
      </c>
      <c r="M24" s="132">
        <f>IF(SER_hh_fech_in!M24=0,0,SER_hh_fech_in!M24/SER_summary!M$27)</f>
        <v>39.388494339210553</v>
      </c>
      <c r="N24" s="132">
        <f>IF(SER_hh_fech_in!N24=0,0,SER_hh_fech_in!N24/SER_summary!N$27)</f>
        <v>38.318427092573316</v>
      </c>
      <c r="O24" s="132">
        <f>IF(SER_hh_fech_in!O24=0,0,SER_hh_fech_in!O24/SER_summary!O$27)</f>
        <v>38.399933570457733</v>
      </c>
      <c r="P24" s="132">
        <f>IF(SER_hh_fech_in!P24=0,0,SER_hh_fech_in!P24/SER_summary!P$27)</f>
        <v>37.667036572661374</v>
      </c>
      <c r="Q24" s="132">
        <f>IF(SER_hh_fech_in!Q24=0,0,SER_hh_fech_in!Q24/SER_summary!Q$27)</f>
        <v>37.918359017652172</v>
      </c>
      <c r="R24" s="132">
        <f>IF(SER_hh_fech_in!R24=0,0,SER_hh_fech_in!R24/SER_summary!R$27)</f>
        <v>36.432189713538229</v>
      </c>
      <c r="S24" s="132">
        <f>IF(SER_hh_fech_in!S24=0,0,SER_hh_fech_in!S24/SER_summary!S$27)</f>
        <v>39.381303688701792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28.979108231759216</v>
      </c>
      <c r="W24" s="132">
        <f>IF(SER_hh_fech_in!W24=0,0,SER_hh_fech_in!W24/SER_summary!W$27)</f>
        <v>30.416237926742376</v>
      </c>
      <c r="X24" s="132">
        <f>IF(SER_hh_fech_in!X24=0,0,SER_hh_fech_in!X24/SER_summary!X$27)</f>
        <v>33.723360729160845</v>
      </c>
      <c r="Y24" s="132">
        <f>IF(SER_hh_fech_in!Y24=0,0,SER_hh_fech_in!Y24/SER_summary!Y$27)</f>
        <v>31.129007943305009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33.336477209790601</v>
      </c>
      <c r="D25" s="132">
        <f>IF(SER_hh_fech_in!D25=0,0,SER_hh_fech_in!D25/SER_summary!D$27)</f>
        <v>32.908947252335722</v>
      </c>
      <c r="E25" s="132">
        <f>IF(SER_hh_fech_in!E25=0,0,SER_hh_fech_in!E25/SER_summary!E$27)</f>
        <v>32.591431603488331</v>
      </c>
      <c r="F25" s="132">
        <f>IF(SER_hh_fech_in!F25=0,0,SER_hh_fech_in!F25/SER_summary!F$27)</f>
        <v>32.318046401453557</v>
      </c>
      <c r="G25" s="132">
        <f>IF(SER_hh_fech_in!G25=0,0,SER_hh_fech_in!G25/SER_summary!G$27)</f>
        <v>31.859498478374572</v>
      </c>
      <c r="H25" s="132">
        <f>IF(SER_hh_fech_in!H25=0,0,SER_hh_fech_in!H25/SER_summary!H$27)</f>
        <v>31.976358138362894</v>
      </c>
      <c r="I25" s="132">
        <f>IF(SER_hh_fech_in!I25=0,0,SER_hh_fech_in!I25/SER_summary!I$27)</f>
        <v>32.216643375151115</v>
      </c>
      <c r="J25" s="132">
        <f>IF(SER_hh_fech_in!J25=0,0,SER_hh_fech_in!J25/SER_summary!J$27)</f>
        <v>31.092169762175196</v>
      </c>
      <c r="K25" s="132">
        <f>IF(SER_hh_fech_in!K25=0,0,SER_hh_fech_in!K25/SER_summary!K$27)</f>
        <v>31.821231703125001</v>
      </c>
      <c r="L25" s="132">
        <f>IF(SER_hh_fech_in!L25=0,0,SER_hh_fech_in!L25/SER_summary!L$27)</f>
        <v>31.576535003051337</v>
      </c>
      <c r="M25" s="132">
        <f>IF(SER_hh_fech_in!M25=0,0,SER_hh_fech_in!M25/SER_summary!M$27)</f>
        <v>32.047144398799865</v>
      </c>
      <c r="N25" s="132">
        <f>IF(SER_hh_fech_in!N25=0,0,SER_hh_fech_in!N25/SER_summary!N$27)</f>
        <v>31.53072253133929</v>
      </c>
      <c r="O25" s="132">
        <f>IF(SER_hh_fech_in!O25=0,0,SER_hh_fech_in!O25/SER_summary!O$27)</f>
        <v>31.275218390093478</v>
      </c>
      <c r="P25" s="132">
        <f>IF(SER_hh_fech_in!P25=0,0,SER_hh_fech_in!P25/SER_summary!P$27)</f>
        <v>30.076467487881011</v>
      </c>
      <c r="Q25" s="132">
        <f>IF(SER_hh_fech_in!Q25=0,0,SER_hh_fech_in!Q25/SER_summary!Q$27)</f>
        <v>30.844730302917288</v>
      </c>
      <c r="R25" s="132">
        <f>IF(SER_hh_fech_in!R25=0,0,SER_hh_fech_in!R25/SER_summary!R$27)</f>
        <v>30.598805060795311</v>
      </c>
      <c r="S25" s="132">
        <f>IF(SER_hh_fech_in!S25=0,0,SER_hh_fech_in!S25/SER_summary!S$27)</f>
        <v>30.539858131905039</v>
      </c>
      <c r="T25" s="132">
        <f>IF(SER_hh_fech_in!T25=0,0,SER_hh_fech_in!T25/SER_summary!T$27)</f>
        <v>29.211658343097575</v>
      </c>
      <c r="U25" s="132">
        <f>IF(SER_hh_fech_in!U25=0,0,SER_hh_fech_in!U25/SER_summary!U$27)</f>
        <v>28.817936554748371</v>
      </c>
      <c r="V25" s="132">
        <f>IF(SER_hh_fech_in!V25=0,0,SER_hh_fech_in!V25/SER_summary!V$27)</f>
        <v>26.229179784812906</v>
      </c>
      <c r="W25" s="132">
        <f>IF(SER_hh_fech_in!W25=0,0,SER_hh_fech_in!W25/SER_summary!W$27)</f>
        <v>27.732508937830413</v>
      </c>
      <c r="X25" s="132">
        <f>IF(SER_hh_fech_in!X25=0,0,SER_hh_fech_in!X25/SER_summary!X$27)</f>
        <v>28.60880737689655</v>
      </c>
      <c r="Y25" s="132">
        <f>IF(SER_hh_fech_in!Y25=0,0,SER_hh_fech_in!Y25/SER_summary!Y$27)</f>
        <v>26.939596492173724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41.773450546831675</v>
      </c>
      <c r="D26" s="65">
        <f>IF(SER_hh_fech_in!D26=0,0,SER_hh_fech_in!D26/SER_summary!D$27)</f>
        <v>38.124941490820511</v>
      </c>
      <c r="E26" s="65">
        <f>IF(SER_hh_fech_in!E26=0,0,SER_hh_fech_in!E26/SER_summary!E$27)</f>
        <v>38.233708035219372</v>
      </c>
      <c r="F26" s="65">
        <f>IF(SER_hh_fech_in!F26=0,0,SER_hh_fech_in!F26/SER_summary!F$27)</f>
        <v>39.242394709148108</v>
      </c>
      <c r="G26" s="65">
        <f>IF(SER_hh_fech_in!G26=0,0,SER_hh_fech_in!G26/SER_summary!G$27)</f>
        <v>37.837862446548939</v>
      </c>
      <c r="H26" s="65">
        <f>IF(SER_hh_fech_in!H26=0,0,SER_hh_fech_in!H26/SER_summary!H$27)</f>
        <v>38.561699105238517</v>
      </c>
      <c r="I26" s="65">
        <f>IF(SER_hh_fech_in!I26=0,0,SER_hh_fech_in!I26/SER_summary!I$27)</f>
        <v>38.173632714814602</v>
      </c>
      <c r="J26" s="65">
        <f>IF(SER_hh_fech_in!J26=0,0,SER_hh_fech_in!J26/SER_summary!J$27)</f>
        <v>36.91669030582603</v>
      </c>
      <c r="K26" s="65">
        <f>IF(SER_hh_fech_in!K26=0,0,SER_hh_fech_in!K26/SER_summary!K$27)</f>
        <v>39.398055775822279</v>
      </c>
      <c r="L26" s="65">
        <f>IF(SER_hh_fech_in!L26=0,0,SER_hh_fech_in!L26/SER_summary!L$27)</f>
        <v>38.188706570901829</v>
      </c>
      <c r="M26" s="65">
        <f>IF(SER_hh_fech_in!M26=0,0,SER_hh_fech_in!M26/SER_summary!M$27)</f>
        <v>38.410192371873663</v>
      </c>
      <c r="N26" s="65">
        <f>IF(SER_hh_fech_in!N26=0,0,SER_hh_fech_in!N26/SER_summary!N$27)</f>
        <v>35.553706655190723</v>
      </c>
      <c r="O26" s="65">
        <f>IF(SER_hh_fech_in!O26=0,0,SER_hh_fech_in!O26/SER_summary!O$27)</f>
        <v>36.300268682798453</v>
      </c>
      <c r="P26" s="65">
        <f>IF(SER_hh_fech_in!P26=0,0,SER_hh_fech_in!P26/SER_summary!P$27)</f>
        <v>34.047050338731736</v>
      </c>
      <c r="Q26" s="65">
        <f>IF(SER_hh_fech_in!Q26=0,0,SER_hh_fech_in!Q26/SER_summary!Q$27)</f>
        <v>31.906266130878663</v>
      </c>
      <c r="R26" s="65">
        <f>IF(SER_hh_fech_in!R26=0,0,SER_hh_fech_in!R26/SER_summary!R$27)</f>
        <v>31.950449424586242</v>
      </c>
      <c r="S26" s="65">
        <f>IF(SER_hh_fech_in!S26=0,0,SER_hh_fech_in!S26/SER_summary!S$27)</f>
        <v>31.31888182663852</v>
      </c>
      <c r="T26" s="65">
        <f>IF(SER_hh_fech_in!T26=0,0,SER_hh_fech_in!T26/SER_summary!T$27)</f>
        <v>31.545040052196242</v>
      </c>
      <c r="U26" s="65">
        <f>IF(SER_hh_fech_in!U26=0,0,SER_hh_fech_in!U26/SER_summary!U$27)</f>
        <v>30.330695267802295</v>
      </c>
      <c r="V26" s="65">
        <f>IF(SER_hh_fech_in!V26=0,0,SER_hh_fech_in!V26/SER_summary!V$27)</f>
        <v>25.993247549613123</v>
      </c>
      <c r="W26" s="65">
        <f>IF(SER_hh_fech_in!W26=0,0,SER_hh_fech_in!W26/SER_summary!W$27)</f>
        <v>26.971136258000428</v>
      </c>
      <c r="X26" s="65">
        <f>IF(SER_hh_fech_in!X26=0,0,SER_hh_fech_in!X26/SER_summary!X$27)</f>
        <v>25.722418899416994</v>
      </c>
      <c r="Y26" s="65">
        <f>IF(SER_hh_fech_in!Y26=0,0,SER_hh_fech_in!Y26/SER_summary!Y$27)</f>
        <v>27.611388188234724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</v>
      </c>
      <c r="D27" s="145">
        <f>IF(SER_hh_fech_in!D27=0,0,SER_hh_fech_in!D27/SER_summary!D$27)</f>
        <v>0</v>
      </c>
      <c r="E27" s="145">
        <f>IF(SER_hh_fech_in!E27=0,0,SER_hh_fech_in!E27/SER_summary!E$27)</f>
        <v>0</v>
      </c>
      <c r="F27" s="145">
        <f>IF(SER_hh_fech_in!F27=0,0,SER_hh_fech_in!F27/SER_summary!F$27)</f>
        <v>0</v>
      </c>
      <c r="G27" s="145">
        <f>IF(SER_hh_fech_in!G27=0,0,SER_hh_fech_in!G27/SER_summary!G$27)</f>
        <v>0</v>
      </c>
      <c r="H27" s="145">
        <f>IF(SER_hh_fech_in!H27=0,0,SER_hh_fech_in!H27/SER_summary!H$27)</f>
        <v>0</v>
      </c>
      <c r="I27" s="145">
        <f>IF(SER_hh_fech_in!I27=0,0,SER_hh_fech_in!I27/SER_summary!I$27)</f>
        <v>0</v>
      </c>
      <c r="J27" s="145">
        <f>IF(SER_hh_fech_in!J27=0,0,SER_hh_fech_in!J27/SER_summary!J$27)</f>
        <v>0</v>
      </c>
      <c r="K27" s="145">
        <f>IF(SER_hh_fech_in!K27=0,0,SER_hh_fech_in!K27/SER_summary!K$27)</f>
        <v>0</v>
      </c>
      <c r="L27" s="145">
        <f>IF(SER_hh_fech_in!L27=0,0,SER_hh_fech_in!L27/SER_summary!L$27)</f>
        <v>0</v>
      </c>
      <c r="M27" s="145">
        <f>IF(SER_hh_fech_in!M27=0,0,SER_hh_fech_in!M27/SER_summary!M$27)</f>
        <v>0</v>
      </c>
      <c r="N27" s="145">
        <f>IF(SER_hh_fech_in!N27=0,0,SER_hh_fech_in!N27/SER_summary!N$27)</f>
        <v>0</v>
      </c>
      <c r="O27" s="145">
        <f>IF(SER_hh_fech_in!O27=0,0,SER_hh_fech_in!O27/SER_summary!O$27)</f>
        <v>0</v>
      </c>
      <c r="P27" s="145">
        <f>IF(SER_hh_fech_in!P27=0,0,SER_hh_fech_in!P27/SER_summary!P$27)</f>
        <v>0</v>
      </c>
      <c r="Q27" s="145">
        <f>IF(SER_hh_fech_in!Q27=0,0,SER_hh_fech_in!Q27/SER_summary!Q$27)</f>
        <v>0</v>
      </c>
      <c r="R27" s="145">
        <f>IF(SER_hh_fech_in!R27=0,0,SER_hh_fech_in!R27/SER_summary!R$27)</f>
        <v>0</v>
      </c>
      <c r="S27" s="145">
        <f>IF(SER_hh_fech_in!S27=0,0,SER_hh_fech_in!S27/SER_summary!S$27)</f>
        <v>0</v>
      </c>
      <c r="T27" s="145">
        <f>IF(SER_hh_fech_in!T27=0,0,SER_hh_fech_in!T27/SER_summary!T$27)</f>
        <v>0</v>
      </c>
      <c r="U27" s="145">
        <f>IF(SER_hh_fech_in!U27=0,0,SER_hh_fech_in!U27/SER_summary!U$27)</f>
        <v>0</v>
      </c>
      <c r="V27" s="145">
        <f>IF(SER_hh_fech_in!V27=0,0,SER_hh_fech_in!V27/SER_summary!V$27)</f>
        <v>0</v>
      </c>
      <c r="W27" s="145">
        <f>IF(SER_hh_fech_in!W27=0,0,SER_hh_fech_in!W27/SER_summary!W$27)</f>
        <v>0</v>
      </c>
      <c r="X27" s="145">
        <f>IF(SER_hh_fech_in!X27=0,0,SER_hh_fech_in!X27/SER_summary!X$27)</f>
        <v>0</v>
      </c>
      <c r="Y27" s="145">
        <f>IF(SER_hh_fech_in!Y27=0,0,SER_hh_fech_in!Y27/SER_summary!Y$27)</f>
        <v>0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0</v>
      </c>
      <c r="D28" s="146">
        <f>IF(SER_hh_fech_in!D28=0,0,SER_hh_fech_in!D28/SER_summary!D$27)</f>
        <v>0</v>
      </c>
      <c r="E28" s="146">
        <f>IF(SER_hh_fech_in!E28=0,0,SER_hh_fech_in!E28/SER_summary!E$27)</f>
        <v>0</v>
      </c>
      <c r="F28" s="146">
        <f>IF(SER_hh_fech_in!F28=0,0,SER_hh_fech_in!F28/SER_summary!F$27)</f>
        <v>0</v>
      </c>
      <c r="G28" s="146">
        <f>IF(SER_hh_fech_in!G28=0,0,SER_hh_fech_in!G28/SER_summary!G$27)</f>
        <v>0</v>
      </c>
      <c r="H28" s="146">
        <f>IF(SER_hh_fech_in!H28=0,0,SER_hh_fech_in!H28/SER_summary!H$27)</f>
        <v>0</v>
      </c>
      <c r="I28" s="146">
        <f>IF(SER_hh_fech_in!I28=0,0,SER_hh_fech_in!I28/SER_summary!I$27)</f>
        <v>0</v>
      </c>
      <c r="J28" s="146">
        <f>IF(SER_hh_fech_in!J28=0,0,SER_hh_fech_in!J28/SER_summary!J$27)</f>
        <v>0</v>
      </c>
      <c r="K28" s="146">
        <f>IF(SER_hh_fech_in!K28=0,0,SER_hh_fech_in!K28/SER_summary!K$27)</f>
        <v>0</v>
      </c>
      <c r="L28" s="146">
        <f>IF(SER_hh_fech_in!L28=0,0,SER_hh_fech_in!L28/SER_summary!L$27)</f>
        <v>0</v>
      </c>
      <c r="M28" s="146">
        <f>IF(SER_hh_fech_in!M28=0,0,SER_hh_fech_in!M28/SER_summary!M$27)</f>
        <v>0</v>
      </c>
      <c r="N28" s="146">
        <f>IF(SER_hh_fech_in!N28=0,0,SER_hh_fech_in!N28/SER_summary!N$27)</f>
        <v>0</v>
      </c>
      <c r="O28" s="146">
        <f>IF(SER_hh_fech_in!O28=0,0,SER_hh_fech_in!O28/SER_summary!O$27)</f>
        <v>0</v>
      </c>
      <c r="P28" s="146">
        <f>IF(SER_hh_fech_in!P28=0,0,SER_hh_fech_in!P28/SER_summary!P$27)</f>
        <v>0</v>
      </c>
      <c r="Q28" s="146">
        <f>IF(SER_hh_fech_in!Q28=0,0,SER_hh_fech_in!Q28/SER_summary!Q$27)</f>
        <v>0</v>
      </c>
      <c r="R28" s="146">
        <f>IF(SER_hh_fech_in!R28=0,0,SER_hh_fech_in!R28/SER_summary!R$27)</f>
        <v>0</v>
      </c>
      <c r="S28" s="146">
        <f>IF(SER_hh_fech_in!S28=0,0,SER_hh_fech_in!S28/SER_summary!S$27)</f>
        <v>0</v>
      </c>
      <c r="T28" s="146">
        <f>IF(SER_hh_fech_in!T28=0,0,SER_hh_fech_in!T28/SER_summary!T$27)</f>
        <v>0</v>
      </c>
      <c r="U28" s="146">
        <f>IF(SER_hh_fech_in!U28=0,0,SER_hh_fech_in!U28/SER_summary!U$27)</f>
        <v>0</v>
      </c>
      <c r="V28" s="146">
        <f>IF(SER_hh_fech_in!V28=0,0,SER_hh_fech_in!V28/SER_summary!V$27)</f>
        <v>0</v>
      </c>
      <c r="W28" s="146">
        <f>IF(SER_hh_fech_in!W28=0,0,SER_hh_fech_in!W28/SER_summary!W$27)</f>
        <v>0</v>
      </c>
      <c r="X28" s="146">
        <f>IF(SER_hh_fech_in!X28=0,0,SER_hh_fech_in!X28/SER_summary!X$27)</f>
        <v>0</v>
      </c>
      <c r="Y28" s="146">
        <f>IF(SER_hh_fech_in!Y28=0,0,SER_hh_fech_in!Y28/SER_summary!Y$27)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57.435669874731708</v>
      </c>
      <c r="D29" s="130">
        <f>IF(SER_hh_fech_in!D29=0,0,SER_hh_fech_in!D29/SER_summary!D$27)</f>
        <v>46.874365904862998</v>
      </c>
      <c r="E29" s="130">
        <f>IF(SER_hh_fech_in!E29=0,0,SER_hh_fech_in!E29/SER_summary!E$27)</f>
        <v>47.5372440304983</v>
      </c>
      <c r="F29" s="130">
        <f>IF(SER_hh_fech_in!F29=0,0,SER_hh_fech_in!F29/SER_summary!F$27)</f>
        <v>43.622172764567203</v>
      </c>
      <c r="G29" s="130">
        <f>IF(SER_hh_fech_in!G29=0,0,SER_hh_fech_in!G29/SER_summary!G$27)</f>
        <v>44.250128012531619</v>
      </c>
      <c r="H29" s="130">
        <f>IF(SER_hh_fech_in!H29=0,0,SER_hh_fech_in!H29/SER_summary!H$27)</f>
        <v>43.831754322022014</v>
      </c>
      <c r="I29" s="130">
        <f>IF(SER_hh_fech_in!I29=0,0,SER_hh_fech_in!I29/SER_summary!I$27)</f>
        <v>42.05788179598256</v>
      </c>
      <c r="J29" s="130">
        <f>IF(SER_hh_fech_in!J29=0,0,SER_hh_fech_in!J29/SER_summary!J$27)</f>
        <v>43.538516090418504</v>
      </c>
      <c r="K29" s="130">
        <f>IF(SER_hh_fech_in!K29=0,0,SER_hh_fech_in!K29/SER_summary!K$27)</f>
        <v>44.996081292695862</v>
      </c>
      <c r="L29" s="130">
        <f>IF(SER_hh_fech_in!L29=0,0,SER_hh_fech_in!L29/SER_summary!L$27)</f>
        <v>43.244766971972716</v>
      </c>
      <c r="M29" s="130">
        <f>IF(SER_hh_fech_in!M29=0,0,SER_hh_fech_in!M29/SER_summary!M$27)</f>
        <v>41.713429907297758</v>
      </c>
      <c r="N29" s="130">
        <f>IF(SER_hh_fech_in!N29=0,0,SER_hh_fech_in!N29/SER_summary!N$27)</f>
        <v>43.082020766252285</v>
      </c>
      <c r="O29" s="130">
        <f>IF(SER_hh_fech_in!O29=0,0,SER_hh_fech_in!O29/SER_summary!O$27)</f>
        <v>44.010900441727514</v>
      </c>
      <c r="P29" s="130">
        <f>IF(SER_hh_fech_in!P29=0,0,SER_hh_fech_in!P29/SER_summary!P$27)</f>
        <v>44.920031646792523</v>
      </c>
      <c r="Q29" s="130">
        <f>IF(SER_hh_fech_in!Q29=0,0,SER_hh_fech_in!Q29/SER_summary!Q$27)</f>
        <v>43.414854795836114</v>
      </c>
      <c r="R29" s="130">
        <f>IF(SER_hh_fech_in!R29=0,0,SER_hh_fech_in!R29/SER_summary!R$27)</f>
        <v>45.245379021632033</v>
      </c>
      <c r="S29" s="130">
        <f>IF(SER_hh_fech_in!S29=0,0,SER_hh_fech_in!S29/SER_summary!S$27)</f>
        <v>44.728831829803504</v>
      </c>
      <c r="T29" s="130">
        <f>IF(SER_hh_fech_in!T29=0,0,SER_hh_fech_in!T29/SER_summary!T$27)</f>
        <v>41.61693382147844</v>
      </c>
      <c r="U29" s="130">
        <f>IF(SER_hh_fech_in!U29=0,0,SER_hh_fech_in!U29/SER_summary!U$27)</f>
        <v>41.118482724246185</v>
      </c>
      <c r="V29" s="130">
        <f>IF(SER_hh_fech_in!V29=0,0,SER_hh_fech_in!V29/SER_summary!V$27)</f>
        <v>38.048043595296178</v>
      </c>
      <c r="W29" s="130">
        <f>IF(SER_hh_fech_in!W29=0,0,SER_hh_fech_in!W29/SER_summary!W$27)</f>
        <v>37.482842780680983</v>
      </c>
      <c r="X29" s="130">
        <f>IF(SER_hh_fech_in!X29=0,0,SER_hh_fech_in!X29/SER_summary!X$27)</f>
        <v>42.025633430220545</v>
      </c>
      <c r="Y29" s="130">
        <f>IF(SER_hh_fech_in!Y29=0,0,SER_hh_fech_in!Y29/SER_summary!Y$27)</f>
        <v>38.156003483999221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89.176297482197285</v>
      </c>
      <c r="D30" s="132">
        <f>IF(SER_hh_fech_in!D30=0,0,SER_hh_fech_in!D30/SER_summary!D$27)</f>
        <v>28.059826813280864</v>
      </c>
      <c r="E30" s="132">
        <f>IF(SER_hh_fech_in!E30=0,0,SER_hh_fech_in!E30/SER_summary!E$27)</f>
        <v>72.742478426785013</v>
      </c>
      <c r="F30" s="132">
        <f>IF(SER_hh_fech_in!F30=0,0,SER_hh_fech_in!F30/SER_summary!F$27)</f>
        <v>52.79549122691575</v>
      </c>
      <c r="G30" s="132">
        <f>IF(SER_hh_fech_in!G30=0,0,SER_hh_fech_in!G30/SER_summary!G$27)</f>
        <v>51.277580149809133</v>
      </c>
      <c r="H30" s="132">
        <f>IF(SER_hh_fech_in!H30=0,0,SER_hh_fech_in!H30/SER_summary!H$27)</f>
        <v>0</v>
      </c>
      <c r="I30" s="132">
        <f>IF(SER_hh_fech_in!I30=0,0,SER_hh_fech_in!I30/SER_summary!I$27)</f>
        <v>0</v>
      </c>
      <c r="J30" s="132">
        <f>IF(SER_hh_fech_in!J30=0,0,SER_hh_fech_in!J30/SER_summary!J$27)</f>
        <v>0</v>
      </c>
      <c r="K30" s="132">
        <f>IF(SER_hh_fech_in!K30=0,0,SER_hh_fech_in!K30/SER_summary!K$27)</f>
        <v>0</v>
      </c>
      <c r="L30" s="132">
        <f>IF(SER_hh_fech_in!L30=0,0,SER_hh_fech_in!L30/SER_summary!L$27)</f>
        <v>0</v>
      </c>
      <c r="M30" s="132">
        <f>IF(SER_hh_fech_in!M30=0,0,SER_hh_fech_in!M30/SER_summary!M$27)</f>
        <v>0</v>
      </c>
      <c r="N30" s="132">
        <f>IF(SER_hh_fech_in!N30=0,0,SER_hh_fech_in!N30/SER_summary!N$27)</f>
        <v>56.53862299705861</v>
      </c>
      <c r="O30" s="132">
        <f>IF(SER_hh_fech_in!O30=0,0,SER_hh_fech_in!O30/SER_summary!O$27)</f>
        <v>49.101486201921084</v>
      </c>
      <c r="P30" s="132">
        <f>IF(SER_hh_fech_in!P30=0,0,SER_hh_fech_in!P30/SER_summary!P$27)</f>
        <v>55.452733140295038</v>
      </c>
      <c r="Q30" s="132">
        <f>IF(SER_hh_fech_in!Q30=0,0,SER_hh_fech_in!Q30/SER_summary!Q$27)</f>
        <v>42.666059652434853</v>
      </c>
      <c r="R30" s="132">
        <f>IF(SER_hh_fech_in!R30=0,0,SER_hh_fech_in!R30/SER_summary!R$27)</f>
        <v>52.595565463930754</v>
      </c>
      <c r="S30" s="132">
        <f>IF(SER_hh_fech_in!S30=0,0,SER_hh_fech_in!S30/SER_summary!S$27)</f>
        <v>63.741145259963652</v>
      </c>
      <c r="T30" s="132">
        <f>IF(SER_hh_fech_in!T30=0,0,SER_hh_fech_in!T30/SER_summary!T$27)</f>
        <v>53.699615111305626</v>
      </c>
      <c r="U30" s="132">
        <f>IF(SER_hh_fech_in!U30=0,0,SER_hh_fech_in!U30/SER_summary!U$27)</f>
        <v>0</v>
      </c>
      <c r="V30" s="132">
        <f>IF(SER_hh_fech_in!V30=0,0,SER_hh_fech_in!V30/SER_summary!V$27)</f>
        <v>43.593515015776184</v>
      </c>
      <c r="W30" s="132">
        <f>IF(SER_hh_fech_in!W30=0,0,SER_hh_fech_in!W30/SER_summary!W$27)</f>
        <v>44.614365639250522</v>
      </c>
      <c r="X30" s="132">
        <f>IF(SER_hh_fech_in!X30=0,0,SER_hh_fech_in!X30/SER_summary!X$27)</f>
        <v>64.501216744709751</v>
      </c>
      <c r="Y30" s="132">
        <f>IF(SER_hh_fech_in!Y30=0,0,SER_hh_fech_in!Y30/SER_summary!Y$27)</f>
        <v>44.21442119979158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59.907739236751233</v>
      </c>
      <c r="D31" s="132">
        <f>IF(SER_hh_fech_in!D31=0,0,SER_hh_fech_in!D31/SER_summary!D$27)</f>
        <v>60.733636133022337</v>
      </c>
      <c r="E31" s="132">
        <f>IF(SER_hh_fech_in!E31=0,0,SER_hh_fech_in!E31/SER_summary!E$27)</f>
        <v>53.861395198968331</v>
      </c>
      <c r="F31" s="132">
        <f>IF(SER_hh_fech_in!F31=0,0,SER_hh_fech_in!F31/SER_summary!F$27)</f>
        <v>55.69865331291669</v>
      </c>
      <c r="G31" s="132">
        <f>IF(SER_hh_fech_in!G31=0,0,SER_hh_fech_in!G31/SER_summary!G$27)</f>
        <v>54.834426137257019</v>
      </c>
      <c r="H31" s="132">
        <f>IF(SER_hh_fech_in!H31=0,0,SER_hh_fech_in!H31/SER_summary!H$27)</f>
        <v>53.266546170355262</v>
      </c>
      <c r="I31" s="132">
        <f>IF(SER_hh_fech_in!I31=0,0,SER_hh_fech_in!I31/SER_summary!I$27)</f>
        <v>53.155265873984078</v>
      </c>
      <c r="J31" s="132">
        <f>IF(SER_hh_fech_in!J31=0,0,SER_hh_fech_in!J31/SER_summary!J$27)</f>
        <v>55.012060947677796</v>
      </c>
      <c r="K31" s="132">
        <f>IF(SER_hh_fech_in!K31=0,0,SER_hh_fech_in!K31/SER_summary!K$27)</f>
        <v>56.951418134379864</v>
      </c>
      <c r="L31" s="132">
        <f>IF(SER_hh_fech_in!L31=0,0,SER_hh_fech_in!L31/SER_summary!L$27)</f>
        <v>56.466077221503461</v>
      </c>
      <c r="M31" s="132">
        <f>IF(SER_hh_fech_in!M31=0,0,SER_hh_fech_in!M31/SER_summary!M$27)</f>
        <v>57.832379517927777</v>
      </c>
      <c r="N31" s="132">
        <f>IF(SER_hh_fech_in!N31=0,0,SER_hh_fech_in!N31/SER_summary!N$27)</f>
        <v>0</v>
      </c>
      <c r="O31" s="132">
        <f>IF(SER_hh_fech_in!O31=0,0,SER_hh_fech_in!O31/SER_summary!O$27)</f>
        <v>51.655181184710599</v>
      </c>
      <c r="P31" s="132">
        <f>IF(SER_hh_fech_in!P31=0,0,SER_hh_fech_in!P31/SER_summary!P$27)</f>
        <v>54.224406933508604</v>
      </c>
      <c r="Q31" s="132">
        <f>IF(SER_hh_fech_in!Q31=0,0,SER_hh_fech_in!Q31/SER_summary!Q$27)</f>
        <v>50.586454269996366</v>
      </c>
      <c r="R31" s="132">
        <f>IF(SER_hh_fech_in!R31=0,0,SER_hh_fech_in!R31/SER_summary!R$27)</f>
        <v>52.967057234424985</v>
      </c>
      <c r="S31" s="132">
        <f>IF(SER_hh_fech_in!S31=0,0,SER_hh_fech_in!S31/SER_summary!S$27)</f>
        <v>52.392325534487988</v>
      </c>
      <c r="T31" s="132">
        <f>IF(SER_hh_fech_in!T31=0,0,SER_hh_fech_in!T31/SER_summary!T$27)</f>
        <v>51.017468532958375</v>
      </c>
      <c r="U31" s="132">
        <f>IF(SER_hh_fech_in!U31=0,0,SER_hh_fech_in!U31/SER_summary!U$27)</f>
        <v>50.287725420499392</v>
      </c>
      <c r="V31" s="132">
        <f>IF(SER_hh_fech_in!V31=0,0,SER_hh_fech_in!V31/SER_summary!V$27)</f>
        <v>49.627106405676841</v>
      </c>
      <c r="W31" s="132">
        <f>IF(SER_hh_fech_in!W31=0,0,SER_hh_fech_in!W31/SER_summary!W$27)</f>
        <v>49.495590798302977</v>
      </c>
      <c r="X31" s="132">
        <f>IF(SER_hh_fech_in!X31=0,0,SER_hh_fech_in!X31/SER_summary!X$27)</f>
        <v>47.07191026881371</v>
      </c>
      <c r="Y31" s="132">
        <f>IF(SER_hh_fech_in!Y31=0,0,SER_hh_fech_in!Y31/SER_summary!Y$27)</f>
        <v>50.434285948689023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43.386018314246911</v>
      </c>
      <c r="D33" s="68">
        <f>IF(SER_hh_fech_in!D33=0,0,SER_hh_fech_in!D33/SER_summary!D$27)</f>
        <v>41.952452421691426</v>
      </c>
      <c r="E33" s="68">
        <f>IF(SER_hh_fech_in!E33=0,0,SER_hh_fech_in!E33/SER_summary!E$27)</f>
        <v>39.787907744106448</v>
      </c>
      <c r="F33" s="68">
        <f>IF(SER_hh_fech_in!F33=0,0,SER_hh_fech_in!F33/SER_summary!F$27)</f>
        <v>40.960411878854842</v>
      </c>
      <c r="G33" s="68">
        <f>IF(SER_hh_fech_in!G33=0,0,SER_hh_fech_in!G33/SER_summary!G$27)</f>
        <v>42.281002933948272</v>
      </c>
      <c r="H33" s="68">
        <f>IF(SER_hh_fech_in!H33=0,0,SER_hh_fech_in!H33/SER_summary!H$27)</f>
        <v>42.205845885938338</v>
      </c>
      <c r="I33" s="68">
        <f>IF(SER_hh_fech_in!I33=0,0,SER_hh_fech_in!I33/SER_summary!I$27)</f>
        <v>39.675387863790519</v>
      </c>
      <c r="J33" s="68">
        <f>IF(SER_hh_fech_in!J33=0,0,SER_hh_fech_in!J33/SER_summary!J$27)</f>
        <v>40.616262399363947</v>
      </c>
      <c r="K33" s="68">
        <f>IF(SER_hh_fech_in!K33=0,0,SER_hh_fech_in!K33/SER_summary!K$27)</f>
        <v>41.76494242998325</v>
      </c>
      <c r="L33" s="68">
        <f>IF(SER_hh_fech_in!L33=0,0,SER_hh_fech_in!L33/SER_summary!L$27)</f>
        <v>40.928790377266679</v>
      </c>
      <c r="M33" s="68">
        <f>IF(SER_hh_fech_in!M33=0,0,SER_hh_fech_in!M33/SER_summary!M$27)</f>
        <v>41.262754920737379</v>
      </c>
      <c r="N33" s="68">
        <f>IF(SER_hh_fech_in!N33=0,0,SER_hh_fech_in!N33/SER_summary!N$27)</f>
        <v>41.469430543961955</v>
      </c>
      <c r="O33" s="68">
        <f>IF(SER_hh_fech_in!O33=0,0,SER_hh_fech_in!O33/SER_summary!O$27)</f>
        <v>42.534593543930129</v>
      </c>
      <c r="P33" s="68">
        <f>IF(SER_hh_fech_in!P33=0,0,SER_hh_fech_in!P33/SER_summary!P$27)</f>
        <v>40.937427298686366</v>
      </c>
      <c r="Q33" s="68">
        <f>IF(SER_hh_fech_in!Q33=0,0,SER_hh_fech_in!Q33/SER_summary!Q$27)</f>
        <v>41.387470163828041</v>
      </c>
      <c r="R33" s="68">
        <f>IF(SER_hh_fech_in!R33=0,0,SER_hh_fech_in!R33/SER_summary!R$27)</f>
        <v>38.56556515999943</v>
      </c>
      <c r="S33" s="68">
        <f>IF(SER_hh_fech_in!S33=0,0,SER_hh_fech_in!S33/SER_summary!S$27)</f>
        <v>36.890002498918733</v>
      </c>
      <c r="T33" s="68">
        <f>IF(SER_hh_fech_in!T33=0,0,SER_hh_fech_in!T33/SER_summary!T$27)</f>
        <v>36.783828567811426</v>
      </c>
      <c r="U33" s="68">
        <f>IF(SER_hh_fech_in!U33=0,0,SER_hh_fech_in!U33/SER_summary!U$27)</f>
        <v>37.153153861006146</v>
      </c>
      <c r="V33" s="68">
        <f>IF(SER_hh_fech_in!V33=0,0,SER_hh_fech_in!V33/SER_summary!V$27)</f>
        <v>32.883618920258186</v>
      </c>
      <c r="W33" s="68">
        <f>IF(SER_hh_fech_in!W33=0,0,SER_hh_fech_in!W33/SER_summary!W$27)</f>
        <v>34.360890361066112</v>
      </c>
      <c r="X33" s="68">
        <f>IF(SER_hh_fech_in!X33=0,0,SER_hh_fech_in!X33/SER_summary!X$27)</f>
        <v>34.09700563887904</v>
      </c>
      <c r="Y33" s="68">
        <f>IF(SER_hh_fech_in!Y33=0,0,SER_hh_fech_in!Y33/SER_summary!Y$27)</f>
        <v>34.717454848830755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264.8222752127046</v>
      </c>
      <c r="D3" s="125">
        <f>IF(SER_hh_tesh_in!D3=0,0,SER_hh_tesh_in!D3/SER_summary!D$27)</f>
        <v>276.2107640747285</v>
      </c>
      <c r="E3" s="125">
        <f>IF(SER_hh_tesh_in!E3=0,0,SER_hh_tesh_in!E3/SER_summary!E$27)</f>
        <v>273.66246138859924</v>
      </c>
      <c r="F3" s="125">
        <f>IF(SER_hh_tesh_in!F3=0,0,SER_hh_tesh_in!F3/SER_summary!F$27)</f>
        <v>267.69979176356895</v>
      </c>
      <c r="G3" s="125">
        <f>IF(SER_hh_tesh_in!G3=0,0,SER_hh_tesh_in!G3/SER_summary!G$27)</f>
        <v>256.11621676380094</v>
      </c>
      <c r="H3" s="125">
        <f>IF(SER_hh_tesh_in!H3=0,0,SER_hh_tesh_in!H3/SER_summary!H$27)</f>
        <v>253.61160794429483</v>
      </c>
      <c r="I3" s="125">
        <f>IF(SER_hh_tesh_in!I3=0,0,SER_hh_tesh_in!I3/SER_summary!I$27)</f>
        <v>253.82943224359292</v>
      </c>
      <c r="J3" s="125">
        <f>IF(SER_hh_tesh_in!J3=0,0,SER_hh_tesh_in!J3/SER_summary!J$27)</f>
        <v>222.78729237676652</v>
      </c>
      <c r="K3" s="125">
        <f>IF(SER_hh_tesh_in!K3=0,0,SER_hh_tesh_in!K3/SER_summary!K$27)</f>
        <v>218.80888232641738</v>
      </c>
      <c r="L3" s="125">
        <f>IF(SER_hh_tesh_in!L3=0,0,SER_hh_tesh_in!L3/SER_summary!L$27)</f>
        <v>228.8405926446315</v>
      </c>
      <c r="M3" s="125">
        <f>IF(SER_hh_tesh_in!M3=0,0,SER_hh_tesh_in!M3/SER_summary!M$27)</f>
        <v>193.12969837400883</v>
      </c>
      <c r="N3" s="125">
        <f>IF(SER_hh_tesh_in!N3=0,0,SER_hh_tesh_in!N3/SER_summary!N$27)</f>
        <v>231.44561351155878</v>
      </c>
      <c r="O3" s="125">
        <f>IF(SER_hh_tesh_in!O3=0,0,SER_hh_tesh_in!O3/SER_summary!O$27)</f>
        <v>212.85362528371149</v>
      </c>
      <c r="P3" s="125">
        <f>IF(SER_hh_tesh_in!P3=0,0,SER_hh_tesh_in!P3/SER_summary!P$27)</f>
        <v>209.60463708364736</v>
      </c>
      <c r="Q3" s="125">
        <f>IF(SER_hh_tesh_in!Q3=0,0,SER_hh_tesh_in!Q3/SER_summary!Q$27)</f>
        <v>189.04600281234343</v>
      </c>
      <c r="R3" s="125">
        <f>IF(SER_hh_tesh_in!R3=0,0,SER_hh_tesh_in!R3/SER_summary!R$27)</f>
        <v>189.52180270212435</v>
      </c>
      <c r="S3" s="125">
        <f>IF(SER_hh_tesh_in!S3=0,0,SER_hh_tesh_in!S3/SER_summary!S$27)</f>
        <v>186.09559236502324</v>
      </c>
      <c r="T3" s="125">
        <f>IF(SER_hh_tesh_in!T3=0,0,SER_hh_tesh_in!T3/SER_summary!T$27)</f>
        <v>178.9718623193431</v>
      </c>
      <c r="U3" s="125">
        <f>IF(SER_hh_tesh_in!U3=0,0,SER_hh_tesh_in!U3/SER_summary!U$27)</f>
        <v>166.24362640071877</v>
      </c>
      <c r="V3" s="125">
        <f>IF(SER_hh_tesh_in!V3=0,0,SER_hh_tesh_in!V3/SER_summary!V$27)</f>
        <v>152.82706881046849</v>
      </c>
      <c r="W3" s="125">
        <f>IF(SER_hh_tesh_in!W3=0,0,SER_hh_tesh_in!W3/SER_summary!W$27)</f>
        <v>153.17434910362255</v>
      </c>
      <c r="X3" s="125">
        <f>IF(SER_hh_tesh_in!X3=0,0,SER_hh_tesh_in!X3/SER_summary!X$27)</f>
        <v>127.59657601632107</v>
      </c>
      <c r="Y3" s="125">
        <f>IF(SER_hh_tesh_in!Y3=0,0,SER_hh_tesh_in!Y3/SER_summary!Y$27)</f>
        <v>124.19938412574311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196.32202213096895</v>
      </c>
      <c r="D4" s="130">
        <f>IF(SER_hh_tesh_in!D4=0,0,SER_hh_tesh_in!D4/SER_summary!D$27)</f>
        <v>213.66654161377573</v>
      </c>
      <c r="E4" s="130">
        <f>IF(SER_hh_tesh_in!E4=0,0,SER_hh_tesh_in!E4/SER_summary!E$27)</f>
        <v>210.37980365772103</v>
      </c>
      <c r="F4" s="130">
        <f>IF(SER_hh_tesh_in!F4=0,0,SER_hh_tesh_in!F4/SER_summary!F$27)</f>
        <v>206.27005145878277</v>
      </c>
      <c r="G4" s="130">
        <f>IF(SER_hh_tesh_in!G4=0,0,SER_hh_tesh_in!G4/SER_summary!G$27)</f>
        <v>191.64261611067226</v>
      </c>
      <c r="H4" s="130">
        <f>IF(SER_hh_tesh_in!H4=0,0,SER_hh_tesh_in!H4/SER_summary!H$27)</f>
        <v>190.61468169015015</v>
      </c>
      <c r="I4" s="130">
        <f>IF(SER_hh_tesh_in!I4=0,0,SER_hh_tesh_in!I4/SER_summary!I$27)</f>
        <v>192.01540985819443</v>
      </c>
      <c r="J4" s="130">
        <f>IF(SER_hh_tesh_in!J4=0,0,SER_hh_tesh_in!J4/SER_summary!J$27)</f>
        <v>156.16333192810575</v>
      </c>
      <c r="K4" s="130">
        <f>IF(SER_hh_tesh_in!K4=0,0,SER_hh_tesh_in!K4/SER_summary!K$27)</f>
        <v>139.87666576060312</v>
      </c>
      <c r="L4" s="130">
        <f>IF(SER_hh_tesh_in!L4=0,0,SER_hh_tesh_in!L4/SER_summary!L$27)</f>
        <v>146.75692594657232</v>
      </c>
      <c r="M4" s="130">
        <f>IF(SER_hh_tesh_in!M4=0,0,SER_hh_tesh_in!M4/SER_summary!M$27)</f>
        <v>118.8924943834304</v>
      </c>
      <c r="N4" s="130">
        <f>IF(SER_hh_tesh_in!N4=0,0,SER_hh_tesh_in!N4/SER_summary!N$27)</f>
        <v>152.71840986248091</v>
      </c>
      <c r="O4" s="130">
        <f>IF(SER_hh_tesh_in!O4=0,0,SER_hh_tesh_in!O4/SER_summary!O$27)</f>
        <v>134.0883951489059</v>
      </c>
      <c r="P4" s="130">
        <f>IF(SER_hh_tesh_in!P4=0,0,SER_hh_tesh_in!P4/SER_summary!P$27)</f>
        <v>130.70698611875753</v>
      </c>
      <c r="Q4" s="130">
        <f>IF(SER_hh_tesh_in!Q4=0,0,SER_hh_tesh_in!Q4/SER_summary!Q$27)</f>
        <v>112.1502313030517</v>
      </c>
      <c r="R4" s="130">
        <f>IF(SER_hh_tesh_in!R4=0,0,SER_hh_tesh_in!R4/SER_summary!R$27)</f>
        <v>112.75252247328652</v>
      </c>
      <c r="S4" s="130">
        <f>IF(SER_hh_tesh_in!S4=0,0,SER_hh_tesh_in!S4/SER_summary!S$27)</f>
        <v>108.88672558725413</v>
      </c>
      <c r="T4" s="130">
        <f>IF(SER_hh_tesh_in!T4=0,0,SER_hh_tesh_in!T4/SER_summary!T$27)</f>
        <v>101.65704012127097</v>
      </c>
      <c r="U4" s="130">
        <f>IF(SER_hh_tesh_in!U4=0,0,SER_hh_tesh_in!U4/SER_summary!U$27)</f>
        <v>90.409279767046556</v>
      </c>
      <c r="V4" s="130">
        <f>IF(SER_hh_tesh_in!V4=0,0,SER_hh_tesh_in!V4/SER_summary!V$27)</f>
        <v>82.291086959978884</v>
      </c>
      <c r="W4" s="130">
        <f>IF(SER_hh_tesh_in!W4=0,0,SER_hh_tesh_in!W4/SER_summary!W$27)</f>
        <v>79.582109863276841</v>
      </c>
      <c r="X4" s="130">
        <f>IF(SER_hh_tesh_in!X4=0,0,SER_hh_tesh_in!X4/SER_summary!X$27)</f>
        <v>55.614924382105293</v>
      </c>
      <c r="Y4" s="130">
        <f>IF(SER_hh_tesh_in!Y4=0,0,SER_hh_tesh_in!Y4/SER_summary!Y$27)</f>
        <v>53.1308603361596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203.97955080404122</v>
      </c>
      <c r="D5" s="132">
        <f>IF(SER_hh_tesh_in!D5=0,0,SER_hh_tesh_in!D5/SER_summary!D$27)</f>
        <v>204.25121123411563</v>
      </c>
      <c r="E5" s="132">
        <f>IF(SER_hh_tesh_in!E5=0,0,SER_hh_tesh_in!E5/SER_summary!E$27)</f>
        <v>202.57058875235126</v>
      </c>
      <c r="F5" s="132">
        <f>IF(SER_hh_tesh_in!F5=0,0,SER_hh_tesh_in!F5/SER_summary!F$27)</f>
        <v>206.57910528913112</v>
      </c>
      <c r="G5" s="132">
        <f>IF(SER_hh_tesh_in!G5=0,0,SER_hh_tesh_in!G5/SER_summary!G$27)</f>
        <v>177.81704887212879</v>
      </c>
      <c r="H5" s="132">
        <f>IF(SER_hh_tesh_in!H5=0,0,SER_hh_tesh_in!H5/SER_summary!H$27)</f>
        <v>187.08398317938111</v>
      </c>
      <c r="I5" s="132">
        <f>IF(SER_hh_tesh_in!I5=0,0,SER_hh_tesh_in!I5/SER_summary!I$27)</f>
        <v>188.20455451240034</v>
      </c>
      <c r="J5" s="132">
        <f>IF(SER_hh_tesh_in!J5=0,0,SER_hh_tesh_in!J5/SER_summary!J$27)</f>
        <v>159.6343706162728</v>
      </c>
      <c r="K5" s="132">
        <f>IF(SER_hh_tesh_in!K5=0,0,SER_hh_tesh_in!K5/SER_summary!K$27)</f>
        <v>117.9855001854112</v>
      </c>
      <c r="L5" s="132">
        <f>IF(SER_hh_tesh_in!L5=0,0,SER_hh_tesh_in!L5/SER_summary!L$27)</f>
        <v>159.47601882217</v>
      </c>
      <c r="M5" s="132">
        <f>IF(SER_hh_tesh_in!M5=0,0,SER_hh_tesh_in!M5/SER_summary!M$27)</f>
        <v>149.47861373069296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30.07087417866973</v>
      </c>
      <c r="Y5" s="132">
        <f>IF(SER_hh_tesh_in!Y5=0,0,SER_hh_tesh_in!Y5/SER_summary!Y$27)</f>
        <v>62.799757977153163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205.31423721361949</v>
      </c>
      <c r="D7" s="132">
        <f>IF(SER_hh_tesh_in!D7=0,0,SER_hh_tesh_in!D7/SER_summary!D$27)</f>
        <v>196.98925311505903</v>
      </c>
      <c r="E7" s="132">
        <f>IF(SER_hh_tesh_in!E7=0,0,SER_hh_tesh_in!E7/SER_summary!E$27)</f>
        <v>210.48516464218744</v>
      </c>
      <c r="F7" s="132">
        <f>IF(SER_hh_tesh_in!F7=0,0,SER_hh_tesh_in!F7/SER_summary!F$27)</f>
        <v>211.57806802643438</v>
      </c>
      <c r="G7" s="132">
        <f>IF(SER_hh_tesh_in!G7=0,0,SER_hh_tesh_in!G7/SER_summary!G$27)</f>
        <v>167.65548547664415</v>
      </c>
      <c r="H7" s="132">
        <f>IF(SER_hh_tesh_in!H7=0,0,SER_hh_tesh_in!H7/SER_summary!H$27)</f>
        <v>215.20876225900827</v>
      </c>
      <c r="I7" s="132">
        <f>IF(SER_hh_tesh_in!I7=0,0,SER_hh_tesh_in!I7/SER_summary!I$27)</f>
        <v>176.36179248117892</v>
      </c>
      <c r="J7" s="132">
        <f>IF(SER_hh_tesh_in!J7=0,0,SER_hh_tesh_in!J7/SER_summary!J$27)</f>
        <v>147.62495678921675</v>
      </c>
      <c r="K7" s="132">
        <f>IF(SER_hh_tesh_in!K7=0,0,SER_hh_tesh_in!K7/SER_summary!K$27)</f>
        <v>138.42801291597783</v>
      </c>
      <c r="L7" s="132">
        <f>IF(SER_hh_tesh_in!L7=0,0,SER_hh_tesh_in!L7/SER_summary!L$27)</f>
        <v>135.81476362624974</v>
      </c>
      <c r="M7" s="132">
        <f>IF(SER_hh_tesh_in!M7=0,0,SER_hh_tesh_in!M7/SER_summary!M$27)</f>
        <v>111.16373302082036</v>
      </c>
      <c r="N7" s="132">
        <f>IF(SER_hh_tesh_in!N7=0,0,SER_hh_tesh_in!N7/SER_summary!N$27)</f>
        <v>141.10088038187271</v>
      </c>
      <c r="O7" s="132">
        <f>IF(SER_hh_tesh_in!O7=0,0,SER_hh_tesh_in!O7/SER_summary!O$27)</f>
        <v>131.06763248423414</v>
      </c>
      <c r="P7" s="132">
        <f>IF(SER_hh_tesh_in!P7=0,0,SER_hh_tesh_in!P7/SER_summary!P$27)</f>
        <v>130.48630468069734</v>
      </c>
      <c r="Q7" s="132">
        <f>IF(SER_hh_tesh_in!Q7=0,0,SER_hh_tesh_in!Q7/SER_summary!Q$27)</f>
        <v>132.30260589556008</v>
      </c>
      <c r="R7" s="132">
        <f>IF(SER_hh_tesh_in!R7=0,0,SER_hh_tesh_in!R7/SER_summary!R$27)</f>
        <v>0</v>
      </c>
      <c r="S7" s="132">
        <f>IF(SER_hh_tesh_in!S7=0,0,SER_hh_tesh_in!S7/SER_summary!S$27)</f>
        <v>0</v>
      </c>
      <c r="T7" s="132">
        <f>IF(SER_hh_tesh_in!T7=0,0,SER_hh_tesh_in!T7/SER_summary!T$27)</f>
        <v>105.40609241323813</v>
      </c>
      <c r="U7" s="132">
        <f>IF(SER_hh_tesh_in!U7=0,0,SER_hh_tesh_in!U7/SER_summary!U$27)</f>
        <v>75.162584903452043</v>
      </c>
      <c r="V7" s="132">
        <f>IF(SER_hh_tesh_in!V7=0,0,SER_hh_tesh_in!V7/SER_summary!V$27)</f>
        <v>75.389277731420918</v>
      </c>
      <c r="W7" s="132">
        <f>IF(SER_hh_tesh_in!W7=0,0,SER_hh_tesh_in!W7/SER_summary!W$27)</f>
        <v>81.967769255283571</v>
      </c>
      <c r="X7" s="132">
        <f>IF(SER_hh_tesh_in!X7=0,0,SER_hh_tesh_in!X7/SER_summary!X$27)</f>
        <v>51.572109109268411</v>
      </c>
      <c r="Y7" s="132">
        <f>IF(SER_hh_tesh_in!Y7=0,0,SER_hh_tesh_in!Y7/SER_summary!Y$27)</f>
        <v>56.792743046535833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173.07983909052152</v>
      </c>
      <c r="D9" s="132">
        <f>IF(SER_hh_tesh_in!D9=0,0,SER_hh_tesh_in!D9/SER_summary!D$27)</f>
        <v>212.13525424760223</v>
      </c>
      <c r="E9" s="132">
        <f>IF(SER_hh_tesh_in!E9=0,0,SER_hh_tesh_in!E9/SER_summary!E$27)</f>
        <v>199.94446831009233</v>
      </c>
      <c r="F9" s="132">
        <f>IF(SER_hh_tesh_in!F9=0,0,SER_hh_tesh_in!F9/SER_summary!F$27)</f>
        <v>209.04716579715071</v>
      </c>
      <c r="G9" s="132">
        <f>IF(SER_hh_tesh_in!G9=0,0,SER_hh_tesh_in!G9/SER_summary!G$27)</f>
        <v>189.52505037796021</v>
      </c>
      <c r="H9" s="132">
        <f>IF(SER_hh_tesh_in!H9=0,0,SER_hh_tesh_in!H9/SER_summary!H$27)</f>
        <v>184.93545626972713</v>
      </c>
      <c r="I9" s="132">
        <f>IF(SER_hh_tesh_in!I9=0,0,SER_hh_tesh_in!I9/SER_summary!I$27)</f>
        <v>185.62692129958342</v>
      </c>
      <c r="J9" s="132">
        <f>IF(SER_hh_tesh_in!J9=0,0,SER_hh_tesh_in!J9/SER_summary!J$27)</f>
        <v>161.01730715539298</v>
      </c>
      <c r="K9" s="132">
        <f>IF(SER_hh_tesh_in!K9=0,0,SER_hh_tesh_in!K9/SER_summary!K$27)</f>
        <v>139.76765824353518</v>
      </c>
      <c r="L9" s="132">
        <f>IF(SER_hh_tesh_in!L9=0,0,SER_hh_tesh_in!L9/SER_summary!L$27)</f>
        <v>144.1492344453965</v>
      </c>
      <c r="M9" s="132">
        <f>IF(SER_hh_tesh_in!M9=0,0,SER_hh_tesh_in!M9/SER_summary!M$27)</f>
        <v>130.03329027035844</v>
      </c>
      <c r="N9" s="132">
        <f>IF(SER_hh_tesh_in!N9=0,0,SER_hh_tesh_in!N9/SER_summary!N$27)</f>
        <v>0</v>
      </c>
      <c r="O9" s="132">
        <f>IF(SER_hh_tesh_in!O9=0,0,SER_hh_tesh_in!O9/SER_summary!O$27)</f>
        <v>0</v>
      </c>
      <c r="P9" s="132">
        <f>IF(SER_hh_tesh_in!P9=0,0,SER_hh_tesh_in!P9/SER_summary!P$27)</f>
        <v>124.78111563143</v>
      </c>
      <c r="Q9" s="132">
        <f>IF(SER_hh_tesh_in!Q9=0,0,SER_hh_tesh_in!Q9/SER_summary!Q$27)</f>
        <v>108.84220472864344</v>
      </c>
      <c r="R9" s="132">
        <f>IF(SER_hh_tesh_in!R9=0,0,SER_hh_tesh_in!R9/SER_summary!R$27)</f>
        <v>108.71401864575746</v>
      </c>
      <c r="S9" s="132">
        <f>IF(SER_hh_tesh_in!S9=0,0,SER_hh_tesh_in!S9/SER_summary!S$27)</f>
        <v>106.07571533115791</v>
      </c>
      <c r="T9" s="132">
        <f>IF(SER_hh_tesh_in!T9=0,0,SER_hh_tesh_in!T9/SER_summary!T$27)</f>
        <v>98.86644511146244</v>
      </c>
      <c r="U9" s="132">
        <f>IF(SER_hh_tesh_in!U9=0,0,SER_hh_tesh_in!U9/SER_summary!U$27)</f>
        <v>92.190047906584127</v>
      </c>
      <c r="V9" s="132">
        <f>IF(SER_hh_tesh_in!V9=0,0,SER_hh_tesh_in!V9/SER_summary!V$27)</f>
        <v>83.559602454772119</v>
      </c>
      <c r="W9" s="132">
        <f>IF(SER_hh_tesh_in!W9=0,0,SER_hh_tesh_in!W9/SER_summary!W$27)</f>
        <v>73.060137533398859</v>
      </c>
      <c r="X9" s="132">
        <f>IF(SER_hh_tesh_in!X9=0,0,SER_hh_tesh_in!X9/SER_summary!X$27)</f>
        <v>56.152713975127583</v>
      </c>
      <c r="Y9" s="132">
        <f>IF(SER_hh_tesh_in!Y9=0,0,SER_hh_tesh_in!Y9/SER_summary!Y$27)</f>
        <v>52.509656970427514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209.63099390959863</v>
      </c>
      <c r="D10" s="132">
        <f>IF(SER_hh_tesh_in!D10=0,0,SER_hh_tesh_in!D10/SER_summary!D$27)</f>
        <v>201.1691425935804</v>
      </c>
      <c r="E10" s="132">
        <f>IF(SER_hh_tesh_in!E10=0,0,SER_hh_tesh_in!E10/SER_summary!E$27)</f>
        <v>194.91487843575888</v>
      </c>
      <c r="F10" s="132">
        <f>IF(SER_hh_tesh_in!F10=0,0,SER_hh_tesh_in!F10/SER_summary!F$27)</f>
        <v>209.21671305829915</v>
      </c>
      <c r="G10" s="132">
        <f>IF(SER_hh_tesh_in!G10=0,0,SER_hh_tesh_in!G10/SER_summary!G$27)</f>
        <v>189.64733210465482</v>
      </c>
      <c r="H10" s="132">
        <f>IF(SER_hh_tesh_in!H10=0,0,SER_hh_tesh_in!H10/SER_summary!H$27)</f>
        <v>191.73365951593382</v>
      </c>
      <c r="I10" s="132">
        <f>IF(SER_hh_tesh_in!I10=0,0,SER_hh_tesh_in!I10/SER_summary!I$27)</f>
        <v>221.16106401387754</v>
      </c>
      <c r="J10" s="132">
        <f>IF(SER_hh_tesh_in!J10=0,0,SER_hh_tesh_in!J10/SER_summary!J$27)</f>
        <v>0</v>
      </c>
      <c r="K10" s="132">
        <f>IF(SER_hh_tesh_in!K10=0,0,SER_hh_tesh_in!K10/SER_summary!K$27)</f>
        <v>134.4776004714021</v>
      </c>
      <c r="L10" s="132">
        <f>IF(SER_hh_tesh_in!L10=0,0,SER_hh_tesh_in!L10/SER_summary!L$27)</f>
        <v>141.49323380690348</v>
      </c>
      <c r="M10" s="132">
        <f>IF(SER_hh_tesh_in!M10=0,0,SER_hh_tesh_in!M10/SER_summary!M$27)</f>
        <v>112.53586605643866</v>
      </c>
      <c r="N10" s="132">
        <f>IF(SER_hh_tesh_in!N10=0,0,SER_hh_tesh_in!N10/SER_summary!N$27)</f>
        <v>148.29398886033195</v>
      </c>
      <c r="O10" s="132">
        <f>IF(SER_hh_tesh_in!O10=0,0,SER_hh_tesh_in!O10/SER_summary!O$27)</f>
        <v>140.13761482654246</v>
      </c>
      <c r="P10" s="132">
        <f>IF(SER_hh_tesh_in!P10=0,0,SER_hh_tesh_in!P10/SER_summary!P$27)</f>
        <v>122.02798983567092</v>
      </c>
      <c r="Q10" s="132">
        <f>IF(SER_hh_tesh_in!Q10=0,0,SER_hh_tesh_in!Q10/SER_summary!Q$27)</f>
        <v>112.78667269020636</v>
      </c>
      <c r="R10" s="132">
        <f>IF(SER_hh_tesh_in!R10=0,0,SER_hh_tesh_in!R10/SER_summary!R$27)</f>
        <v>108.65882308358827</v>
      </c>
      <c r="S10" s="132">
        <f>IF(SER_hh_tesh_in!S10=0,0,SER_hh_tesh_in!S10/SER_summary!S$27)</f>
        <v>114.74034851683675</v>
      </c>
      <c r="T10" s="132">
        <f>IF(SER_hh_tesh_in!T10=0,0,SER_hh_tesh_in!T10/SER_summary!T$27)</f>
        <v>0</v>
      </c>
      <c r="U10" s="132">
        <f>IF(SER_hh_tesh_in!U10=0,0,SER_hh_tesh_in!U10/SER_summary!U$27)</f>
        <v>0</v>
      </c>
      <c r="V10" s="132">
        <f>IF(SER_hh_tesh_in!V10=0,0,SER_hh_tesh_in!V10/SER_summary!V$27)</f>
        <v>0</v>
      </c>
      <c r="W10" s="132">
        <f>IF(SER_hh_tesh_in!W10=0,0,SER_hh_tesh_in!W10/SER_summary!W$27)</f>
        <v>69.842416824247906</v>
      </c>
      <c r="X10" s="132">
        <f>IF(SER_hh_tesh_in!X10=0,0,SER_hh_tesh_in!X10/SER_summary!X$27)</f>
        <v>65.363367830264096</v>
      </c>
      <c r="Y10" s="132">
        <f>IF(SER_hh_tesh_in!Y10=0,0,SER_hh_tesh_in!Y10/SER_summary!Y$27)</f>
        <v>46.517817075497334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0</v>
      </c>
      <c r="J11" s="132">
        <f>IF(SER_hh_tesh_in!J11=0,0,SER_hh_tesh_in!J11/SER_summary!J$27)</f>
        <v>0</v>
      </c>
      <c r="K11" s="132">
        <f>IF(SER_hh_tesh_in!K11=0,0,SER_hh_tesh_in!K11/SER_summary!K$27)</f>
        <v>0</v>
      </c>
      <c r="L11" s="132">
        <f>IF(SER_hh_tesh_in!L11=0,0,SER_hh_tesh_in!L11/SER_summary!L$27)</f>
        <v>0</v>
      </c>
      <c r="M11" s="132">
        <f>IF(SER_hh_tesh_in!M11=0,0,SER_hh_tesh_in!M11/SER_summary!M$27)</f>
        <v>0</v>
      </c>
      <c r="N11" s="132">
        <f>IF(SER_hh_tesh_in!N11=0,0,SER_hh_tesh_in!N11/SER_summary!N$27)</f>
        <v>0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0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210.8771374813542</v>
      </c>
      <c r="D12" s="132">
        <f>IF(SER_hh_tesh_in!D12=0,0,SER_hh_tesh_in!D12/SER_summary!D$27)</f>
        <v>204.5609349643876</v>
      </c>
      <c r="E12" s="132">
        <f>IF(SER_hh_tesh_in!E12=0,0,SER_hh_tesh_in!E12/SER_summary!E$27)</f>
        <v>210.79875749841074</v>
      </c>
      <c r="F12" s="132">
        <f>IF(SER_hh_tesh_in!F12=0,0,SER_hh_tesh_in!F12/SER_summary!F$27)</f>
        <v>196.53640584475477</v>
      </c>
      <c r="G12" s="132">
        <f>IF(SER_hh_tesh_in!G12=0,0,SER_hh_tesh_in!G12/SER_summary!G$27)</f>
        <v>197.58484721035566</v>
      </c>
      <c r="H12" s="132">
        <f>IF(SER_hh_tesh_in!H12=0,0,SER_hh_tesh_in!H12/SER_summary!H$27)</f>
        <v>191.34424523166626</v>
      </c>
      <c r="I12" s="132">
        <f>IF(SER_hh_tesh_in!I12=0,0,SER_hh_tesh_in!I12/SER_summary!I$27)</f>
        <v>171.44376593972856</v>
      </c>
      <c r="J12" s="132">
        <f>IF(SER_hh_tesh_in!J12=0,0,SER_hh_tesh_in!J12/SER_summary!J$27)</f>
        <v>151.62561237857781</v>
      </c>
      <c r="K12" s="132">
        <f>IF(SER_hh_tesh_in!K12=0,0,SER_hh_tesh_in!K12/SER_summary!K$27)</f>
        <v>141.62083289971301</v>
      </c>
      <c r="L12" s="132">
        <f>IF(SER_hh_tesh_in!L12=0,0,SER_hh_tesh_in!L12/SER_summary!L$27)</f>
        <v>146.69659383646874</v>
      </c>
      <c r="M12" s="132">
        <f>IF(SER_hh_tesh_in!M12=0,0,SER_hh_tesh_in!M12/SER_summary!M$27)</f>
        <v>120.31900671861473</v>
      </c>
      <c r="N12" s="132">
        <f>IF(SER_hh_tesh_in!N12=0,0,SER_hh_tesh_in!N12/SER_summary!N$27)</f>
        <v>144.17299214024393</v>
      </c>
      <c r="O12" s="132">
        <f>IF(SER_hh_tesh_in!O12=0,0,SER_hh_tesh_in!O12/SER_summary!O$27)</f>
        <v>134.39618540034698</v>
      </c>
      <c r="P12" s="132">
        <f>IF(SER_hh_tesh_in!P12=0,0,SER_hh_tesh_in!P12/SER_summary!P$27)</f>
        <v>121.43682975415729</v>
      </c>
      <c r="Q12" s="132">
        <f>IF(SER_hh_tesh_in!Q12=0,0,SER_hh_tesh_in!Q12/SER_summary!Q$27)</f>
        <v>109.4134983371476</v>
      </c>
      <c r="R12" s="132">
        <f>IF(SER_hh_tesh_in!R12=0,0,SER_hh_tesh_in!R12/SER_summary!R$27)</f>
        <v>117.39428262644788</v>
      </c>
      <c r="S12" s="132">
        <f>IF(SER_hh_tesh_in!S12=0,0,SER_hh_tesh_in!S12/SER_summary!S$27)</f>
        <v>111.48715757294087</v>
      </c>
      <c r="T12" s="132">
        <f>IF(SER_hh_tesh_in!T12=0,0,SER_hh_tesh_in!T12/SER_summary!T$27)</f>
        <v>96.335538981366753</v>
      </c>
      <c r="U12" s="132">
        <f>IF(SER_hh_tesh_in!U12=0,0,SER_hh_tesh_in!U12/SER_summary!U$27)</f>
        <v>86.587508152300032</v>
      </c>
      <c r="V12" s="132">
        <f>IF(SER_hh_tesh_in!V12=0,0,SER_hh_tesh_in!V12/SER_summary!V$27)</f>
        <v>83.039811195866548</v>
      </c>
      <c r="W12" s="132">
        <f>IF(SER_hh_tesh_in!W12=0,0,SER_hh_tesh_in!W12/SER_summary!W$27)</f>
        <v>83.768828880601831</v>
      </c>
      <c r="X12" s="132">
        <f>IF(SER_hh_tesh_in!X12=0,0,SER_hh_tesh_in!X12/SER_summary!X$27)</f>
        <v>56.006452531064895</v>
      </c>
      <c r="Y12" s="132">
        <f>IF(SER_hh_tesh_in!Y12=0,0,SER_hh_tesh_in!Y12/SER_summary!Y$27)</f>
        <v>52.00004413393409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70.60985497857331</v>
      </c>
      <c r="D13" s="132">
        <f>IF(SER_hh_tesh_in!D13=0,0,SER_hh_tesh_in!D13/SER_summary!D$27)</f>
        <v>165.00508324585624</v>
      </c>
      <c r="E13" s="132">
        <f>IF(SER_hh_tesh_in!E13=0,0,SER_hh_tesh_in!E13/SER_summary!E$27)</f>
        <v>150.97536061277071</v>
      </c>
      <c r="F13" s="132">
        <f>IF(SER_hh_tesh_in!F13=0,0,SER_hh_tesh_in!F13/SER_summary!F$27)</f>
        <v>146.87622914121232</v>
      </c>
      <c r="G13" s="132">
        <f>IF(SER_hh_tesh_in!G13=0,0,SER_hh_tesh_in!G13/SER_summary!G$27)</f>
        <v>143.49390333242783</v>
      </c>
      <c r="H13" s="132">
        <f>IF(SER_hh_tesh_in!H13=0,0,SER_hh_tesh_in!H13/SER_summary!H$27)</f>
        <v>136.17667826935599</v>
      </c>
      <c r="I13" s="132">
        <f>IF(SER_hh_tesh_in!I13=0,0,SER_hh_tesh_in!I13/SER_summary!I$27)</f>
        <v>123.90200292054274</v>
      </c>
      <c r="J13" s="132">
        <f>IF(SER_hh_tesh_in!J13=0,0,SER_hh_tesh_in!J13/SER_summary!J$27)</f>
        <v>112.06923035221385</v>
      </c>
      <c r="K13" s="132">
        <f>IF(SER_hh_tesh_in!K13=0,0,SER_hh_tesh_in!K13/SER_summary!K$27)</f>
        <v>101.36818024400209</v>
      </c>
      <c r="L13" s="132">
        <f>IF(SER_hh_tesh_in!L13=0,0,SER_hh_tesh_in!L13/SER_summary!L$27)</f>
        <v>106.83639926112056</v>
      </c>
      <c r="M13" s="132">
        <f>IF(SER_hh_tesh_in!M13=0,0,SER_hh_tesh_in!M13/SER_summary!M$27)</f>
        <v>116.70226350159412</v>
      </c>
      <c r="N13" s="132">
        <f>IF(SER_hh_tesh_in!N13=0,0,SER_hh_tesh_in!N13/SER_summary!N$27)</f>
        <v>115.4089465005401</v>
      </c>
      <c r="O13" s="132">
        <f>IF(SER_hh_tesh_in!O13=0,0,SER_hh_tesh_in!O13/SER_summary!O$27)</f>
        <v>127.97000312698738</v>
      </c>
      <c r="P13" s="132">
        <f>IF(SER_hh_tesh_in!P13=0,0,SER_hh_tesh_in!P13/SER_summary!P$27)</f>
        <v>126.69278778784478</v>
      </c>
      <c r="Q13" s="132">
        <f>IF(SER_hh_tesh_in!Q13=0,0,SER_hh_tesh_in!Q13/SER_summary!Q$27)</f>
        <v>122.3409551220814</v>
      </c>
      <c r="R13" s="132">
        <f>IF(SER_hh_tesh_in!R13=0,0,SER_hh_tesh_in!R13/SER_summary!R$27)</f>
        <v>116.28589210854051</v>
      </c>
      <c r="S13" s="132">
        <f>IF(SER_hh_tesh_in!S13=0,0,SER_hh_tesh_in!S13/SER_summary!S$27)</f>
        <v>114.85228034511911</v>
      </c>
      <c r="T13" s="132">
        <f>IF(SER_hh_tesh_in!T13=0,0,SER_hh_tesh_in!T13/SER_summary!T$27)</f>
        <v>101.96482734950823</v>
      </c>
      <c r="U13" s="132">
        <f>IF(SER_hh_tesh_in!U13=0,0,SER_hh_tesh_in!U13/SER_summary!U$27)</f>
        <v>94.937336904261244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137.64584931322915</v>
      </c>
      <c r="D14" s="65">
        <f>IF(SER_hh_tesh_in!D14=0,0,SER_hh_tesh_in!D14/SER_summary!D$27)</f>
        <v>225.00316160904373</v>
      </c>
      <c r="E14" s="65">
        <f>IF(SER_hh_tesh_in!E14=0,0,SER_hh_tesh_in!E14/SER_summary!E$27)</f>
        <v>225.9620082531666</v>
      </c>
      <c r="F14" s="65">
        <f>IF(SER_hh_tesh_in!F14=0,0,SER_hh_tesh_in!F14/SER_summary!F$27)</f>
        <v>199.15242304774347</v>
      </c>
      <c r="G14" s="65">
        <f>IF(SER_hh_tesh_in!G14=0,0,SER_hh_tesh_in!G14/SER_summary!G$27)</f>
        <v>188.18175613301017</v>
      </c>
      <c r="H14" s="65">
        <f>IF(SER_hh_tesh_in!H14=0,0,SER_hh_tesh_in!H14/SER_summary!H$27)</f>
        <v>179.05614065520624</v>
      </c>
      <c r="I14" s="65">
        <f>IF(SER_hh_tesh_in!I14=0,0,SER_hh_tesh_in!I14/SER_summary!I$27)</f>
        <v>226.07906128367912</v>
      </c>
      <c r="J14" s="65">
        <f>IF(SER_hh_tesh_in!J14=0,0,SER_hh_tesh_in!J14/SER_summary!J$27)</f>
        <v>184.95338598913466</v>
      </c>
      <c r="K14" s="65">
        <f>IF(SER_hh_tesh_in!K14=0,0,SER_hh_tesh_in!K14/SER_summary!K$27)</f>
        <v>0</v>
      </c>
      <c r="L14" s="65">
        <f>IF(SER_hh_tesh_in!L14=0,0,SER_hh_tesh_in!L14/SER_summary!L$27)</f>
        <v>125.15347708399315</v>
      </c>
      <c r="M14" s="65">
        <f>IF(SER_hh_tesh_in!M14=0,0,SER_hh_tesh_in!M14/SER_summary!M$27)</f>
        <v>118.8885465461131</v>
      </c>
      <c r="N14" s="65">
        <f>IF(SER_hh_tesh_in!N14=0,0,SER_hh_tesh_in!N14/SER_summary!N$27)</f>
        <v>164.87102415478702</v>
      </c>
      <c r="O14" s="65">
        <f>IF(SER_hh_tesh_in!O14=0,0,SER_hh_tesh_in!O14/SER_summary!O$27)</f>
        <v>122.30612777130065</v>
      </c>
      <c r="P14" s="65">
        <f>IF(SER_hh_tesh_in!P14=0,0,SER_hh_tesh_in!P14/SER_summary!P$27)</f>
        <v>144.18649728254854</v>
      </c>
      <c r="Q14" s="65">
        <f>IF(SER_hh_tesh_in!Q14=0,0,SER_hh_tesh_in!Q14/SER_summary!Q$27)</f>
        <v>103.82870538363269</v>
      </c>
      <c r="R14" s="65">
        <f>IF(SER_hh_tesh_in!R14=0,0,SER_hh_tesh_in!R14/SER_summary!R$27)</f>
        <v>106.81439033587641</v>
      </c>
      <c r="S14" s="65">
        <f>IF(SER_hh_tesh_in!S14=0,0,SER_hh_tesh_in!S14/SER_summary!S$27)</f>
        <v>103.69756978195876</v>
      </c>
      <c r="T14" s="65">
        <f>IF(SER_hh_tesh_in!T14=0,0,SER_hh_tesh_in!T14/SER_summary!T$27)</f>
        <v>105.51252333499046</v>
      </c>
      <c r="U14" s="65">
        <f>IF(SER_hh_tesh_in!U14=0,0,SER_hh_tesh_in!U14/SER_summary!U$27)</f>
        <v>96.397408937930734</v>
      </c>
      <c r="V14" s="65">
        <f>IF(SER_hh_tesh_in!V14=0,0,SER_hh_tesh_in!V14/SER_summary!V$27)</f>
        <v>81.07413633405362</v>
      </c>
      <c r="W14" s="65">
        <f>IF(SER_hh_tesh_in!W14=0,0,SER_hh_tesh_in!W14/SER_summary!W$27)</f>
        <v>75.916730243434259</v>
      </c>
      <c r="X14" s="65">
        <f>IF(SER_hh_tesh_in!X14=0,0,SER_hh_tesh_in!X14/SER_summary!X$27)</f>
        <v>59.045968507131732</v>
      </c>
      <c r="Y14" s="65">
        <f>IF(SER_hh_tesh_in!Y14=0,0,SER_hh_tesh_in!Y14/SER_summary!Y$27)</f>
        <v>49.308025023264271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1.9585434294189286</v>
      </c>
      <c r="D15" s="134">
        <f>IF(SER_hh_tesh_in!D15=0,0,SER_hh_tesh_in!D15/SER_summary!D$27)</f>
        <v>2.7550525221424285</v>
      </c>
      <c r="E15" s="134">
        <f>IF(SER_hh_tesh_in!E15=0,0,SER_hh_tesh_in!E15/SER_summary!E$27)</f>
        <v>2.3650894284742674</v>
      </c>
      <c r="F15" s="134">
        <f>IF(SER_hh_tesh_in!F15=0,0,SER_hh_tesh_in!F15/SER_summary!F$27)</f>
        <v>2.3985771121497277</v>
      </c>
      <c r="G15" s="134">
        <f>IF(SER_hh_tesh_in!G15=0,0,SER_hh_tesh_in!G15/SER_summary!G$27)</f>
        <v>2.0504808564319936</v>
      </c>
      <c r="H15" s="134">
        <f>IF(SER_hh_tesh_in!H15=0,0,SER_hh_tesh_in!H15/SER_summary!H$27)</f>
        <v>1.9580559634094747</v>
      </c>
      <c r="I15" s="134">
        <f>IF(SER_hh_tesh_in!I15=0,0,SER_hh_tesh_in!I15/SER_summary!I$27)</f>
        <v>1.6696429125274379</v>
      </c>
      <c r="J15" s="134">
        <f>IF(SER_hh_tesh_in!J15=0,0,SER_hh_tesh_in!J15/SER_summary!J$27)</f>
        <v>1.4253750401999841</v>
      </c>
      <c r="K15" s="134">
        <f>IF(SER_hh_tesh_in!K15=0,0,SER_hh_tesh_in!K15/SER_summary!K$27)</f>
        <v>1.2724827091165898</v>
      </c>
      <c r="L15" s="134">
        <f>IF(SER_hh_tesh_in!L15=0,0,SER_hh_tesh_in!L15/SER_summary!L$27)</f>
        <v>1.2496227560227628</v>
      </c>
      <c r="M15" s="134">
        <f>IF(SER_hh_tesh_in!M15=0,0,SER_hh_tesh_in!M15/SER_summary!M$27)</f>
        <v>0.83924086529018649</v>
      </c>
      <c r="N15" s="134">
        <f>IF(SER_hh_tesh_in!N15=0,0,SER_hh_tesh_in!N15/SER_summary!N$27)</f>
        <v>1.3158291893951917</v>
      </c>
      <c r="O15" s="134">
        <f>IF(SER_hh_tesh_in!O15=0,0,SER_hh_tesh_in!O15/SER_summary!O$27)</f>
        <v>1.1042651851253547</v>
      </c>
      <c r="P15" s="134">
        <f>IF(SER_hh_tesh_in!P15=0,0,SER_hh_tesh_in!P15/SER_summary!P$27)</f>
        <v>1.1856494873428445</v>
      </c>
      <c r="Q15" s="134">
        <f>IF(SER_hh_tesh_in!Q15=0,0,SER_hh_tesh_in!Q15/SER_summary!Q$27)</f>
        <v>0.97979341126822705</v>
      </c>
      <c r="R15" s="134">
        <f>IF(SER_hh_tesh_in!R15=0,0,SER_hh_tesh_in!R15/SER_summary!R$27)</f>
        <v>1.0403451052956316</v>
      </c>
      <c r="S15" s="134">
        <f>IF(SER_hh_tesh_in!S15=0,0,SER_hh_tesh_in!S15/SER_summary!S$27)</f>
        <v>1.0842965387208232</v>
      </c>
      <c r="T15" s="134">
        <f>IF(SER_hh_tesh_in!T15=0,0,SER_hh_tesh_in!T15/SER_summary!T$27)</f>
        <v>1.2194492400216668</v>
      </c>
      <c r="U15" s="134">
        <f>IF(SER_hh_tesh_in!U15=0,0,SER_hh_tesh_in!U15/SER_summary!U$27)</f>
        <v>0.99905413248239783</v>
      </c>
      <c r="V15" s="134">
        <f>IF(SER_hh_tesh_in!V15=0,0,SER_hh_tesh_in!V15/SER_summary!V$27)</f>
        <v>0.87380250707569807</v>
      </c>
      <c r="W15" s="134">
        <f>IF(SER_hh_tesh_in!W15=0,0,SER_hh_tesh_in!W15/SER_summary!W$27)</f>
        <v>0.95653080964389259</v>
      </c>
      <c r="X15" s="134">
        <f>IF(SER_hh_tesh_in!X15=0,0,SER_hh_tesh_in!X15/SER_summary!X$27)</f>
        <v>0.60575388410468467</v>
      </c>
      <c r="Y15" s="134">
        <f>IF(SER_hh_tesh_in!Y15=0,0,SER_hh_tesh_in!Y15/SER_summary!Y$27)</f>
        <v>0.5176289286506226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21.825626467395995</v>
      </c>
      <c r="D16" s="130">
        <f>IF(SER_hh_tesh_in!D16=0,0,SER_hh_tesh_in!D16/SER_summary!D$27)</f>
        <v>22.511998801898599</v>
      </c>
      <c r="E16" s="130">
        <f>IF(SER_hh_tesh_in!E16=0,0,SER_hh_tesh_in!E16/SER_summary!E$27)</f>
        <v>21.573325842311782</v>
      </c>
      <c r="F16" s="130">
        <f>IF(SER_hh_tesh_in!F16=0,0,SER_hh_tesh_in!F16/SER_summary!F$27)</f>
        <v>20.885838176202597</v>
      </c>
      <c r="G16" s="130">
        <f>IF(SER_hh_tesh_in!G16=0,0,SER_hh_tesh_in!G16/SER_summary!G$27)</f>
        <v>20.818983967336539</v>
      </c>
      <c r="H16" s="130">
        <f>IF(SER_hh_tesh_in!H16=0,0,SER_hh_tesh_in!H16/SER_summary!H$27)</f>
        <v>22.071076284200132</v>
      </c>
      <c r="I16" s="130">
        <f>IF(SER_hh_tesh_in!I16=0,0,SER_hh_tesh_in!I16/SER_summary!I$27)</f>
        <v>20.776820225369455</v>
      </c>
      <c r="J16" s="130">
        <f>IF(SER_hh_tesh_in!J16=0,0,SER_hh_tesh_in!J16/SER_summary!J$27)</f>
        <v>20.665479483062239</v>
      </c>
      <c r="K16" s="130">
        <f>IF(SER_hh_tesh_in!K16=0,0,SER_hh_tesh_in!K16/SER_summary!K$27)</f>
        <v>20.456254141976821</v>
      </c>
      <c r="L16" s="130">
        <f>IF(SER_hh_tesh_in!L16=0,0,SER_hh_tesh_in!L16/SER_summary!L$27)</f>
        <v>24.553909042087703</v>
      </c>
      <c r="M16" s="130">
        <f>IF(SER_hh_tesh_in!M16=0,0,SER_hh_tesh_in!M16/SER_summary!M$27)</f>
        <v>20.493804525716275</v>
      </c>
      <c r="N16" s="130">
        <f>IF(SER_hh_tesh_in!N16=0,0,SER_hh_tesh_in!N16/SER_summary!N$27)</f>
        <v>20.36199071964835</v>
      </c>
      <c r="O16" s="130">
        <f>IF(SER_hh_tesh_in!O16=0,0,SER_hh_tesh_in!O16/SER_summary!O$27)</f>
        <v>19.827806790871332</v>
      </c>
      <c r="P16" s="130">
        <f>IF(SER_hh_tesh_in!P16=0,0,SER_hh_tesh_in!P16/SER_summary!P$27)</f>
        <v>20.746790439118573</v>
      </c>
      <c r="Q16" s="130">
        <f>IF(SER_hh_tesh_in!Q16=0,0,SER_hh_tesh_in!Q16/SER_summary!Q$27)</f>
        <v>19.481413079599697</v>
      </c>
      <c r="R16" s="130">
        <f>IF(SER_hh_tesh_in!R16=0,0,SER_hh_tesh_in!R16/SER_summary!R$27)</f>
        <v>19.189255773323904</v>
      </c>
      <c r="S16" s="130">
        <f>IF(SER_hh_tesh_in!S16=0,0,SER_hh_tesh_in!S16/SER_summary!S$27)</f>
        <v>18.998724312550802</v>
      </c>
      <c r="T16" s="130">
        <f>IF(SER_hh_tesh_in!T16=0,0,SER_hh_tesh_in!T16/SER_summary!T$27)</f>
        <v>19.850997476005443</v>
      </c>
      <c r="U16" s="130">
        <f>IF(SER_hh_tesh_in!U16=0,0,SER_hh_tesh_in!U16/SER_summary!U$27)</f>
        <v>18.228997689820961</v>
      </c>
      <c r="V16" s="130">
        <f>IF(SER_hh_tesh_in!V16=0,0,SER_hh_tesh_in!V16/SER_summary!V$27)</f>
        <v>17.660106012357026</v>
      </c>
      <c r="W16" s="130">
        <f>IF(SER_hh_tesh_in!W16=0,0,SER_hh_tesh_in!W16/SER_summary!W$27)</f>
        <v>18.708886406144938</v>
      </c>
      <c r="X16" s="130">
        <f>IF(SER_hh_tesh_in!X16=0,0,SER_hh_tesh_in!X16/SER_summary!X$27)</f>
        <v>14.521632262441191</v>
      </c>
      <c r="Y16" s="130">
        <f>IF(SER_hh_tesh_in!Y16=0,0,SER_hh_tesh_in!Y16/SER_summary!Y$27)</f>
        <v>15.117530294286309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0</v>
      </c>
      <c r="D17" s="132">
        <f>IF(SER_hh_tesh_in!D17=0,0,SER_hh_tesh_in!D17/SER_summary!D$27)</f>
        <v>0</v>
      </c>
      <c r="E17" s="132">
        <f>IF(SER_hh_tesh_in!E17=0,0,SER_hh_tesh_in!E17/SER_summary!E$27)</f>
        <v>0</v>
      </c>
      <c r="F17" s="132">
        <f>IF(SER_hh_tesh_in!F17=0,0,SER_hh_tesh_in!F17/SER_summary!F$27)</f>
        <v>0</v>
      </c>
      <c r="G17" s="132">
        <f>IF(SER_hh_tesh_in!G17=0,0,SER_hh_tesh_in!G17/SER_summary!G$27)</f>
        <v>0</v>
      </c>
      <c r="H17" s="132">
        <f>IF(SER_hh_tesh_in!H17=0,0,SER_hh_tesh_in!H17/SER_summary!H$27)</f>
        <v>0</v>
      </c>
      <c r="I17" s="132">
        <f>IF(SER_hh_tesh_in!I17=0,0,SER_hh_tesh_in!I17/SER_summary!I$27)</f>
        <v>0</v>
      </c>
      <c r="J17" s="132">
        <f>IF(SER_hh_tesh_in!J17=0,0,SER_hh_tesh_in!J17/SER_summary!J$27)</f>
        <v>0</v>
      </c>
      <c r="K17" s="132">
        <f>IF(SER_hh_tesh_in!K17=0,0,SER_hh_tesh_in!K17/SER_summary!K$27)</f>
        <v>0</v>
      </c>
      <c r="L17" s="132">
        <f>IF(SER_hh_tesh_in!L17=0,0,SER_hh_tesh_in!L17/SER_summary!L$27)</f>
        <v>0</v>
      </c>
      <c r="M17" s="132">
        <f>IF(SER_hh_tesh_in!M17=0,0,SER_hh_tesh_in!M17/SER_summary!M$27)</f>
        <v>0</v>
      </c>
      <c r="N17" s="132">
        <f>IF(SER_hh_tesh_in!N17=0,0,SER_hh_tesh_in!N17/SER_summary!N$27)</f>
        <v>0</v>
      </c>
      <c r="O17" s="132">
        <f>IF(SER_hh_tesh_in!O17=0,0,SER_hh_tesh_in!O17/SER_summary!O$27)</f>
        <v>0</v>
      </c>
      <c r="P17" s="132">
        <f>IF(SER_hh_tesh_in!P17=0,0,SER_hh_tesh_in!P17/SER_summary!P$27)</f>
        <v>0</v>
      </c>
      <c r="Q17" s="132">
        <f>IF(SER_hh_tesh_in!Q17=0,0,SER_hh_tesh_in!Q17/SER_summary!Q$27)</f>
        <v>0</v>
      </c>
      <c r="R17" s="132">
        <f>IF(SER_hh_tesh_in!R17=0,0,SER_hh_tesh_in!R17/SER_summary!R$27)</f>
        <v>0</v>
      </c>
      <c r="S17" s="132">
        <f>IF(SER_hh_tesh_in!S17=0,0,SER_hh_tesh_in!S17/SER_summary!S$27)</f>
        <v>0</v>
      </c>
      <c r="T17" s="132">
        <f>IF(SER_hh_tesh_in!T17=0,0,SER_hh_tesh_in!T17/SER_summary!T$27)</f>
        <v>0</v>
      </c>
      <c r="U17" s="132">
        <f>IF(SER_hh_tesh_in!U17=0,0,SER_hh_tesh_in!U17/SER_summary!U$27)</f>
        <v>0</v>
      </c>
      <c r="V17" s="132">
        <f>IF(SER_hh_tesh_in!V17=0,0,SER_hh_tesh_in!V17/SER_summary!V$27)</f>
        <v>0</v>
      </c>
      <c r="W17" s="132">
        <f>IF(SER_hh_tesh_in!W17=0,0,SER_hh_tesh_in!W17/SER_summary!W$27)</f>
        <v>0</v>
      </c>
      <c r="X17" s="132">
        <f>IF(SER_hh_tesh_in!X17=0,0,SER_hh_tesh_in!X17/SER_summary!X$27)</f>
        <v>0</v>
      </c>
      <c r="Y17" s="132">
        <f>IF(SER_hh_tesh_in!Y17=0,0,SER_hh_tesh_in!Y17/SER_summary!Y$27)</f>
        <v>0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21.825626467395995</v>
      </c>
      <c r="D18" s="132">
        <f>IF(SER_hh_tesh_in!D18=0,0,SER_hh_tesh_in!D18/SER_summary!D$27)</f>
        <v>22.511998801898599</v>
      </c>
      <c r="E18" s="132">
        <f>IF(SER_hh_tesh_in!E18=0,0,SER_hh_tesh_in!E18/SER_summary!E$27)</f>
        <v>21.573325842311782</v>
      </c>
      <c r="F18" s="132">
        <f>IF(SER_hh_tesh_in!F18=0,0,SER_hh_tesh_in!F18/SER_summary!F$27)</f>
        <v>20.885838176202597</v>
      </c>
      <c r="G18" s="132">
        <f>IF(SER_hh_tesh_in!G18=0,0,SER_hh_tesh_in!G18/SER_summary!G$27)</f>
        <v>20.818983967336539</v>
      </c>
      <c r="H18" s="132">
        <f>IF(SER_hh_tesh_in!H18=0,0,SER_hh_tesh_in!H18/SER_summary!H$27)</f>
        <v>22.071076284200132</v>
      </c>
      <c r="I18" s="132">
        <f>IF(SER_hh_tesh_in!I18=0,0,SER_hh_tesh_in!I18/SER_summary!I$27)</f>
        <v>20.776820225369455</v>
      </c>
      <c r="J18" s="132">
        <f>IF(SER_hh_tesh_in!J18=0,0,SER_hh_tesh_in!J18/SER_summary!J$27)</f>
        <v>20.665479483062239</v>
      </c>
      <c r="K18" s="132">
        <f>IF(SER_hh_tesh_in!K18=0,0,SER_hh_tesh_in!K18/SER_summary!K$27)</f>
        <v>20.456254141976821</v>
      </c>
      <c r="L18" s="132">
        <f>IF(SER_hh_tesh_in!L18=0,0,SER_hh_tesh_in!L18/SER_summary!L$27)</f>
        <v>24.553909042087703</v>
      </c>
      <c r="M18" s="132">
        <f>IF(SER_hh_tesh_in!M18=0,0,SER_hh_tesh_in!M18/SER_summary!M$27)</f>
        <v>20.493804525716275</v>
      </c>
      <c r="N18" s="132">
        <f>IF(SER_hh_tesh_in!N18=0,0,SER_hh_tesh_in!N18/SER_summary!N$27)</f>
        <v>20.36199071964835</v>
      </c>
      <c r="O18" s="132">
        <f>IF(SER_hh_tesh_in!O18=0,0,SER_hh_tesh_in!O18/SER_summary!O$27)</f>
        <v>19.827806790871332</v>
      </c>
      <c r="P18" s="132">
        <f>IF(SER_hh_tesh_in!P18=0,0,SER_hh_tesh_in!P18/SER_summary!P$27)</f>
        <v>20.746790439118573</v>
      </c>
      <c r="Q18" s="132">
        <f>IF(SER_hh_tesh_in!Q18=0,0,SER_hh_tesh_in!Q18/SER_summary!Q$27)</f>
        <v>19.481413079599697</v>
      </c>
      <c r="R18" s="132">
        <f>IF(SER_hh_tesh_in!R18=0,0,SER_hh_tesh_in!R18/SER_summary!R$27)</f>
        <v>19.189255773323904</v>
      </c>
      <c r="S18" s="132">
        <f>IF(SER_hh_tesh_in!S18=0,0,SER_hh_tesh_in!S18/SER_summary!S$27)</f>
        <v>18.998724312550802</v>
      </c>
      <c r="T18" s="132">
        <f>IF(SER_hh_tesh_in!T18=0,0,SER_hh_tesh_in!T18/SER_summary!T$27)</f>
        <v>19.850997476005443</v>
      </c>
      <c r="U18" s="132">
        <f>IF(SER_hh_tesh_in!U18=0,0,SER_hh_tesh_in!U18/SER_summary!U$27)</f>
        <v>18.228997689820961</v>
      </c>
      <c r="V18" s="132">
        <f>IF(SER_hh_tesh_in!V18=0,0,SER_hh_tesh_in!V18/SER_summary!V$27)</f>
        <v>17.660106012357026</v>
      </c>
      <c r="W18" s="132">
        <f>IF(SER_hh_tesh_in!W18=0,0,SER_hh_tesh_in!W18/SER_summary!W$27)</f>
        <v>18.708886406144938</v>
      </c>
      <c r="X18" s="132">
        <f>IF(SER_hh_tesh_in!X18=0,0,SER_hh_tesh_in!X18/SER_summary!X$27)</f>
        <v>14.521632262441191</v>
      </c>
      <c r="Y18" s="132">
        <f>IF(SER_hh_tesh_in!Y18=0,0,SER_hh_tesh_in!Y18/SER_summary!Y$27)</f>
        <v>15.117530294286309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26.292166489180008</v>
      </c>
      <c r="D19" s="130">
        <f>IF(SER_hh_tesh_in!D19=0,0,SER_hh_tesh_in!D19/SER_summary!D$27)</f>
        <v>25.484711572349298</v>
      </c>
      <c r="E19" s="130">
        <f>IF(SER_hh_tesh_in!E19=0,0,SER_hh_tesh_in!E19/SER_summary!E$27)</f>
        <v>25.345831112155309</v>
      </c>
      <c r="F19" s="130">
        <f>IF(SER_hh_tesh_in!F19=0,0,SER_hh_tesh_in!F19/SER_summary!F$27)</f>
        <v>25.711374342266176</v>
      </c>
      <c r="G19" s="130">
        <f>IF(SER_hh_tesh_in!G19=0,0,SER_hh_tesh_in!G19/SER_summary!G$27)</f>
        <v>25.429394931049146</v>
      </c>
      <c r="H19" s="130">
        <f>IF(SER_hh_tesh_in!H19=0,0,SER_hh_tesh_in!H19/SER_summary!H$27)</f>
        <v>25.630741367057514</v>
      </c>
      <c r="I19" s="130">
        <f>IF(SER_hh_tesh_in!I19=0,0,SER_hh_tesh_in!I19/SER_summary!I$27)</f>
        <v>25.521870964273084</v>
      </c>
      <c r="J19" s="130">
        <f>IF(SER_hh_tesh_in!J19=0,0,SER_hh_tesh_in!J19/SER_summary!J$27)</f>
        <v>25.279401625220405</v>
      </c>
      <c r="K19" s="130">
        <f>IF(SER_hh_tesh_in!K19=0,0,SER_hh_tesh_in!K19/SER_summary!K$27)</f>
        <v>26.173935821849923</v>
      </c>
      <c r="L19" s="130">
        <f>IF(SER_hh_tesh_in!L19=0,0,SER_hh_tesh_in!L19/SER_summary!L$27)</f>
        <v>25.808369299312307</v>
      </c>
      <c r="M19" s="130">
        <f>IF(SER_hh_tesh_in!M19=0,0,SER_hh_tesh_in!M19/SER_summary!M$27)</f>
        <v>26.351588677588982</v>
      </c>
      <c r="N19" s="130">
        <f>IF(SER_hh_tesh_in!N19=0,0,SER_hh_tesh_in!N19/SER_summary!N$27)</f>
        <v>25.982948161531592</v>
      </c>
      <c r="O19" s="130">
        <f>IF(SER_hh_tesh_in!O19=0,0,SER_hh_tesh_in!O19/SER_summary!O$27)</f>
        <v>26.342033863239642</v>
      </c>
      <c r="P19" s="130">
        <f>IF(SER_hh_tesh_in!P19=0,0,SER_hh_tesh_in!P19/SER_summary!P$27)</f>
        <v>25.838497060430388</v>
      </c>
      <c r="Q19" s="130">
        <f>IF(SER_hh_tesh_in!Q19=0,0,SER_hh_tesh_in!Q19/SER_summary!Q$27)</f>
        <v>25.999720595785632</v>
      </c>
      <c r="R19" s="130">
        <f>IF(SER_hh_tesh_in!R19=0,0,SER_hh_tesh_in!R19/SER_summary!R$27)</f>
        <v>26.214541384225559</v>
      </c>
      <c r="S19" s="130">
        <f>IF(SER_hh_tesh_in!S19=0,0,SER_hh_tesh_in!S19/SER_summary!S$27)</f>
        <v>26.466714759053051</v>
      </c>
      <c r="T19" s="130">
        <f>IF(SER_hh_tesh_in!T19=0,0,SER_hh_tesh_in!T19/SER_summary!T$27)</f>
        <v>26.396634975054379</v>
      </c>
      <c r="U19" s="130">
        <f>IF(SER_hh_tesh_in!U19=0,0,SER_hh_tesh_in!U19/SER_summary!U$27)</f>
        <v>25.927806324866062</v>
      </c>
      <c r="V19" s="130">
        <f>IF(SER_hh_tesh_in!V19=0,0,SER_hh_tesh_in!V19/SER_summary!V$27)</f>
        <v>23.555871859328153</v>
      </c>
      <c r="W19" s="130">
        <f>IF(SER_hh_tesh_in!W19=0,0,SER_hh_tesh_in!W19/SER_summary!W$27)</f>
        <v>24.631519246529482</v>
      </c>
      <c r="X19" s="130">
        <f>IF(SER_hh_tesh_in!X19=0,0,SER_hh_tesh_in!X19/SER_summary!X$27)</f>
        <v>24.945832508386967</v>
      </c>
      <c r="Y19" s="130">
        <f>IF(SER_hh_tesh_in!Y19=0,0,SER_hh_tesh_in!Y19/SER_summary!Y$27)</f>
        <v>25.182475899071161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0</v>
      </c>
      <c r="D21" s="132">
        <f>IF(SER_hh_tesh_in!D21=0,0,SER_hh_tesh_in!D21/SER_summary!D$27)</f>
        <v>0</v>
      </c>
      <c r="E21" s="132">
        <f>IF(SER_hh_tesh_in!E21=0,0,SER_hh_tesh_in!E21/SER_summary!E$27)</f>
        <v>0</v>
      </c>
      <c r="F21" s="132">
        <f>IF(SER_hh_tesh_in!F21=0,0,SER_hh_tesh_in!F21/SER_summary!F$27)</f>
        <v>0</v>
      </c>
      <c r="G21" s="132">
        <f>IF(SER_hh_tesh_in!G21=0,0,SER_hh_tesh_in!G21/SER_summary!G$27)</f>
        <v>0</v>
      </c>
      <c r="H21" s="132">
        <f>IF(SER_hh_tesh_in!H21=0,0,SER_hh_tesh_in!H21/SER_summary!H$27)</f>
        <v>0</v>
      </c>
      <c r="I21" s="132">
        <f>IF(SER_hh_tesh_in!I21=0,0,SER_hh_tesh_in!I21/SER_summary!I$27)</f>
        <v>0</v>
      </c>
      <c r="J21" s="132">
        <f>IF(SER_hh_tesh_in!J21=0,0,SER_hh_tesh_in!J21/SER_summary!J$27)</f>
        <v>0</v>
      </c>
      <c r="K21" s="132">
        <f>IF(SER_hh_tesh_in!K21=0,0,SER_hh_tesh_in!K21/SER_summary!K$27)</f>
        <v>0</v>
      </c>
      <c r="L21" s="132">
        <f>IF(SER_hh_tesh_in!L21=0,0,SER_hh_tesh_in!L21/SER_summary!L$27)</f>
        <v>0</v>
      </c>
      <c r="M21" s="132">
        <f>IF(SER_hh_tesh_in!M21=0,0,SER_hh_tesh_in!M21/SER_summary!M$27)</f>
        <v>0</v>
      </c>
      <c r="N21" s="132">
        <f>IF(SER_hh_tesh_in!N21=0,0,SER_hh_tesh_in!N21/SER_summary!N$27)</f>
        <v>0</v>
      </c>
      <c r="O21" s="132">
        <f>IF(SER_hh_tesh_in!O21=0,0,SER_hh_tesh_in!O21/SER_summary!O$27)</f>
        <v>0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0</v>
      </c>
      <c r="S21" s="132">
        <f>IF(SER_hh_tesh_in!S21=0,0,SER_hh_tesh_in!S21/SER_summary!S$27)</f>
        <v>0</v>
      </c>
      <c r="T21" s="132">
        <f>IF(SER_hh_tesh_in!T21=0,0,SER_hh_tesh_in!T21/SER_summary!T$27)</f>
        <v>0</v>
      </c>
      <c r="U21" s="132">
        <f>IF(SER_hh_tesh_in!U21=0,0,SER_hh_tesh_in!U21/SER_summary!U$27)</f>
        <v>0</v>
      </c>
      <c r="V21" s="132">
        <f>IF(SER_hh_tesh_in!V21=0,0,SER_hh_tesh_in!V21/SER_summary!V$27)</f>
        <v>0</v>
      </c>
      <c r="W21" s="132">
        <f>IF(SER_hh_tesh_in!W21=0,0,SER_hh_tesh_in!W21/SER_summary!W$27)</f>
        <v>0</v>
      </c>
      <c r="X21" s="132">
        <f>IF(SER_hh_tesh_in!X21=0,0,SER_hh_tesh_in!X21/SER_summary!X$27)</f>
        <v>0</v>
      </c>
      <c r="Y21" s="132">
        <f>IF(SER_hh_tesh_in!Y21=0,0,SER_hh_tesh_in!Y21/SER_summary!Y$27)</f>
        <v>0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26.022773687464987</v>
      </c>
      <c r="D22" s="132">
        <f>IF(SER_hh_tesh_in!D22=0,0,SER_hh_tesh_in!D22/SER_summary!D$27)</f>
        <v>25.770786766170538</v>
      </c>
      <c r="E22" s="132">
        <f>IF(SER_hh_tesh_in!E22=0,0,SER_hh_tesh_in!E22/SER_summary!E$27)</f>
        <v>25.708480256692699</v>
      </c>
      <c r="F22" s="132">
        <f>IF(SER_hh_tesh_in!F22=0,0,SER_hh_tesh_in!F22/SER_summary!F$27)</f>
        <v>25.432372887202433</v>
      </c>
      <c r="G22" s="132">
        <f>IF(SER_hh_tesh_in!G22=0,0,SER_hh_tesh_in!G22/SER_summary!G$27)</f>
        <v>25.348389285085002</v>
      </c>
      <c r="H22" s="132">
        <f>IF(SER_hh_tesh_in!H22=0,0,SER_hh_tesh_in!H22/SER_summary!H$27)</f>
        <v>25.977777783482775</v>
      </c>
      <c r="I22" s="132">
        <f>IF(SER_hh_tesh_in!I22=0,0,SER_hh_tesh_in!I22/SER_summary!I$27)</f>
        <v>25.309148234308392</v>
      </c>
      <c r="J22" s="132">
        <f>IF(SER_hh_tesh_in!J22=0,0,SER_hh_tesh_in!J22/SER_summary!J$27)</f>
        <v>25.903293788198543</v>
      </c>
      <c r="K22" s="132">
        <f>IF(SER_hh_tesh_in!K22=0,0,SER_hh_tesh_in!K22/SER_summary!K$27)</f>
        <v>25.6806855527932</v>
      </c>
      <c r="L22" s="132">
        <f>IF(SER_hh_tesh_in!L22=0,0,SER_hh_tesh_in!L22/SER_summary!L$27)</f>
        <v>25.625480943928519</v>
      </c>
      <c r="M22" s="132">
        <f>IF(SER_hh_tesh_in!M22=0,0,SER_hh_tesh_in!M22/SER_summary!M$27)</f>
        <v>25.976104809697102</v>
      </c>
      <c r="N22" s="132">
        <f>IF(SER_hh_tesh_in!N22=0,0,SER_hh_tesh_in!N22/SER_summary!N$27)</f>
        <v>26.106988422241674</v>
      </c>
      <c r="O22" s="132">
        <f>IF(SER_hh_tesh_in!O22=0,0,SER_hh_tesh_in!O22/SER_summary!O$27)</f>
        <v>26.363472910736572</v>
      </c>
      <c r="P22" s="132">
        <f>IF(SER_hh_tesh_in!P22=0,0,SER_hh_tesh_in!P22/SER_summary!P$27)</f>
        <v>26.19069509230922</v>
      </c>
      <c r="Q22" s="132">
        <f>IF(SER_hh_tesh_in!Q22=0,0,SER_hh_tesh_in!Q22/SER_summary!Q$27)</f>
        <v>26.448864382837012</v>
      </c>
      <c r="R22" s="132">
        <f>IF(SER_hh_tesh_in!R22=0,0,SER_hh_tesh_in!R22/SER_summary!R$27)</f>
        <v>26.448416958446288</v>
      </c>
      <c r="S22" s="132">
        <f>IF(SER_hh_tesh_in!S22=0,0,SER_hh_tesh_in!S22/SER_summary!S$27)</f>
        <v>26.638180872336218</v>
      </c>
      <c r="T22" s="132">
        <f>IF(SER_hh_tesh_in!T22=0,0,SER_hh_tesh_in!T22/SER_summary!T$27)</f>
        <v>26.408428237440251</v>
      </c>
      <c r="U22" s="132">
        <f>IF(SER_hh_tesh_in!U22=0,0,SER_hh_tesh_in!U22/SER_summary!U$27)</f>
        <v>25.430577198417485</v>
      </c>
      <c r="V22" s="132">
        <f>IF(SER_hh_tesh_in!V22=0,0,SER_hh_tesh_in!V22/SER_summary!V$27)</f>
        <v>23.09631014856425</v>
      </c>
      <c r="W22" s="132">
        <f>IF(SER_hh_tesh_in!W22=0,0,SER_hh_tesh_in!W22/SER_summary!W$27)</f>
        <v>24.469882513833738</v>
      </c>
      <c r="X22" s="132">
        <f>IF(SER_hh_tesh_in!X22=0,0,SER_hh_tesh_in!X22/SER_summary!X$27)</f>
        <v>24.272896895200752</v>
      </c>
      <c r="Y22" s="132">
        <f>IF(SER_hh_tesh_in!Y22=0,0,SER_hh_tesh_in!Y22/SER_summary!Y$27)</f>
        <v>25.355080155188787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25.053566455153323</v>
      </c>
      <c r="D23" s="132">
        <f>IF(SER_hh_tesh_in!D23=0,0,SER_hh_tesh_in!D23/SER_summary!D$27)</f>
        <v>26.078481487780483</v>
      </c>
      <c r="E23" s="132">
        <f>IF(SER_hh_tesh_in!E23=0,0,SER_hh_tesh_in!E23/SER_summary!E$27)</f>
        <v>25.575110177484884</v>
      </c>
      <c r="F23" s="132">
        <f>IF(SER_hh_tesh_in!F23=0,0,SER_hh_tesh_in!F23/SER_summary!F$27)</f>
        <v>25.338713290001618</v>
      </c>
      <c r="G23" s="132">
        <f>IF(SER_hh_tesh_in!G23=0,0,SER_hh_tesh_in!G23/SER_summary!G$27)</f>
        <v>25.873126173452551</v>
      </c>
      <c r="H23" s="132">
        <f>IF(SER_hh_tesh_in!H23=0,0,SER_hh_tesh_in!H23/SER_summary!H$27)</f>
        <v>25.13557332926796</v>
      </c>
      <c r="I23" s="132">
        <f>IF(SER_hh_tesh_in!I23=0,0,SER_hh_tesh_in!I23/SER_summary!I$27)</f>
        <v>24.67677462197501</v>
      </c>
      <c r="J23" s="132">
        <f>IF(SER_hh_tesh_in!J23=0,0,SER_hh_tesh_in!J23/SER_summary!J$27)</f>
        <v>26.283844914923531</v>
      </c>
      <c r="K23" s="132">
        <f>IF(SER_hh_tesh_in!K23=0,0,SER_hh_tesh_in!K23/SER_summary!K$27)</f>
        <v>26.679789238925668</v>
      </c>
      <c r="L23" s="132">
        <f>IF(SER_hh_tesh_in!L23=0,0,SER_hh_tesh_in!L23/SER_summary!L$27)</f>
        <v>25.958668670521607</v>
      </c>
      <c r="M23" s="132">
        <f>IF(SER_hh_tesh_in!M23=0,0,SER_hh_tesh_in!M23/SER_summary!M$27)</f>
        <v>26.180179000538626</v>
      </c>
      <c r="N23" s="132">
        <f>IF(SER_hh_tesh_in!N23=0,0,SER_hh_tesh_in!N23/SER_summary!N$27)</f>
        <v>26.095387045649993</v>
      </c>
      <c r="O23" s="132">
        <f>IF(SER_hh_tesh_in!O23=0,0,SER_hh_tesh_in!O23/SER_summary!O$27)</f>
        <v>26.243398674587478</v>
      </c>
      <c r="P23" s="132">
        <f>IF(SER_hh_tesh_in!P23=0,0,SER_hh_tesh_in!P23/SER_summary!P$27)</f>
        <v>25.889824549266443</v>
      </c>
      <c r="Q23" s="132">
        <f>IF(SER_hh_tesh_in!Q23=0,0,SER_hh_tesh_in!Q23/SER_summary!Q$27)</f>
        <v>26.141107095158361</v>
      </c>
      <c r="R23" s="132">
        <f>IF(SER_hh_tesh_in!R23=0,0,SER_hh_tesh_in!R23/SER_summary!R$27)</f>
        <v>26.244421938446074</v>
      </c>
      <c r="S23" s="132">
        <f>IF(SER_hh_tesh_in!S23=0,0,SER_hh_tesh_in!S23/SER_summary!S$27)</f>
        <v>26.620703920574044</v>
      </c>
      <c r="T23" s="132">
        <f>IF(SER_hh_tesh_in!T23=0,0,SER_hh_tesh_in!T23/SER_summary!T$27)</f>
        <v>25.682423152677213</v>
      </c>
      <c r="U23" s="132">
        <f>IF(SER_hh_tesh_in!U23=0,0,SER_hh_tesh_in!U23/SER_summary!U$27)</f>
        <v>25.167765444786003</v>
      </c>
      <c r="V23" s="132">
        <f>IF(SER_hh_tesh_in!V23=0,0,SER_hh_tesh_in!V23/SER_summary!V$27)</f>
        <v>24.633651485928187</v>
      </c>
      <c r="W23" s="132">
        <f>IF(SER_hh_tesh_in!W23=0,0,SER_hh_tesh_in!W23/SER_summary!W$27)</f>
        <v>25.033526391604273</v>
      </c>
      <c r="X23" s="132">
        <f>IF(SER_hh_tesh_in!X23=0,0,SER_hh_tesh_in!X23/SER_summary!X$27)</f>
        <v>25.203028684315612</v>
      </c>
      <c r="Y23" s="132">
        <f>IF(SER_hh_tesh_in!Y23=0,0,SER_hh_tesh_in!Y23/SER_summary!Y$27)</f>
        <v>24.469923556924318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25.15349134967137</v>
      </c>
      <c r="D24" s="132">
        <f>IF(SER_hh_tesh_in!D24=0,0,SER_hh_tesh_in!D24/SER_summary!D$27)</f>
        <v>25.130867033958669</v>
      </c>
      <c r="E24" s="132">
        <f>IF(SER_hh_tesh_in!E24=0,0,SER_hh_tesh_in!E24/SER_summary!E$27)</f>
        <v>24.699053399055444</v>
      </c>
      <c r="F24" s="132">
        <f>IF(SER_hh_tesh_in!F24=0,0,SER_hh_tesh_in!F24/SER_summary!F$27)</f>
        <v>25.669368237498244</v>
      </c>
      <c r="G24" s="132">
        <f>IF(SER_hh_tesh_in!G24=0,0,SER_hh_tesh_in!G24/SER_summary!G$27)</f>
        <v>25.992096503379742</v>
      </c>
      <c r="H24" s="132">
        <f>IF(SER_hh_tesh_in!H24=0,0,SER_hh_tesh_in!H24/SER_summary!H$27)</f>
        <v>25.817223253192342</v>
      </c>
      <c r="I24" s="132">
        <f>IF(SER_hh_tesh_in!I24=0,0,SER_hh_tesh_in!I24/SER_summary!I$27)</f>
        <v>25.865649755523428</v>
      </c>
      <c r="J24" s="132">
        <f>IF(SER_hh_tesh_in!J24=0,0,SER_hh_tesh_in!J24/SER_summary!J$27)</f>
        <v>25.34265358605165</v>
      </c>
      <c r="K24" s="132">
        <f>IF(SER_hh_tesh_in!K24=0,0,SER_hh_tesh_in!K24/SER_summary!K$27)</f>
        <v>25.665149903881122</v>
      </c>
      <c r="L24" s="132">
        <f>IF(SER_hh_tesh_in!L24=0,0,SER_hh_tesh_in!L24/SER_summary!L$27)</f>
        <v>25.821518641765724</v>
      </c>
      <c r="M24" s="132">
        <f>IF(SER_hh_tesh_in!M24=0,0,SER_hh_tesh_in!M24/SER_summary!M$27)</f>
        <v>26.367953853127513</v>
      </c>
      <c r="N24" s="132">
        <f>IF(SER_hh_tesh_in!N24=0,0,SER_hh_tesh_in!N24/SER_summary!N$27)</f>
        <v>26.018052554039972</v>
      </c>
      <c r="O24" s="132">
        <f>IF(SER_hh_tesh_in!O24=0,0,SER_hh_tesh_in!O24/SER_summary!O$27)</f>
        <v>26.373368532397446</v>
      </c>
      <c r="P24" s="132">
        <f>IF(SER_hh_tesh_in!P24=0,0,SER_hh_tesh_in!P24/SER_summary!P$27)</f>
        <v>26.123788618900857</v>
      </c>
      <c r="Q24" s="132">
        <f>IF(SER_hh_tesh_in!Q24=0,0,SER_hh_tesh_in!Q24/SER_summary!Q$27)</f>
        <v>26.602918678977488</v>
      </c>
      <c r="R24" s="132">
        <f>IF(SER_hh_tesh_in!R24=0,0,SER_hh_tesh_in!R24/SER_summary!R$27)</f>
        <v>25.998941142858829</v>
      </c>
      <c r="S24" s="132">
        <f>IF(SER_hh_tesh_in!S24=0,0,SER_hh_tesh_in!S24/SER_summary!S$27)</f>
        <v>28.637218256589914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22.142018737693249</v>
      </c>
      <c r="W24" s="132">
        <f>IF(SER_hh_tesh_in!W24=0,0,SER_hh_tesh_in!W24/SER_summary!W$27)</f>
        <v>23.498901449107187</v>
      </c>
      <c r="X24" s="132">
        <f>IF(SER_hh_tesh_in!X24=0,0,SER_hh_tesh_in!X24/SER_summary!X$27)</f>
        <v>26.304454896124913</v>
      </c>
      <c r="Y24" s="132">
        <f>IF(SER_hh_tesh_in!Y24=0,0,SER_hh_tesh_in!Y24/SER_summary!Y$27)</f>
        <v>24.498791624478777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26.176286859185804</v>
      </c>
      <c r="D25" s="132">
        <f>IF(SER_hh_tesh_in!D25=0,0,SER_hh_tesh_in!D25/SER_summary!D$27)</f>
        <v>25.937312694176189</v>
      </c>
      <c r="E25" s="132">
        <f>IF(SER_hh_tesh_in!E25=0,0,SER_hh_tesh_in!E25/SER_summary!E$27)</f>
        <v>25.785443053990193</v>
      </c>
      <c r="F25" s="132">
        <f>IF(SER_hh_tesh_in!F25=0,0,SER_hh_tesh_in!F25/SER_summary!F$27)</f>
        <v>25.667054204333279</v>
      </c>
      <c r="G25" s="132">
        <f>IF(SER_hh_tesh_in!G25=0,0,SER_hh_tesh_in!G25/SER_summary!G$27)</f>
        <v>25.401719681543145</v>
      </c>
      <c r="H25" s="132">
        <f>IF(SER_hh_tesh_in!H25=0,0,SER_hh_tesh_in!H25/SER_summary!H$27)</f>
        <v>25.596193244400219</v>
      </c>
      <c r="I25" s="132">
        <f>IF(SER_hh_tesh_in!I25=0,0,SER_hh_tesh_in!I25/SER_summary!I$27)</f>
        <v>25.893200121384265</v>
      </c>
      <c r="J25" s="132">
        <f>IF(SER_hh_tesh_in!J25=0,0,SER_hh_tesh_in!J25/SER_summary!J$27)</f>
        <v>25.094915024629014</v>
      </c>
      <c r="K25" s="132">
        <f>IF(SER_hh_tesh_in!K25=0,0,SER_hh_tesh_in!K25/SER_summary!K$27)</f>
        <v>25.797573690624063</v>
      </c>
      <c r="L25" s="132">
        <f>IF(SER_hh_tesh_in!L25=0,0,SER_hh_tesh_in!L25/SER_summary!L$27)</f>
        <v>25.719216259546844</v>
      </c>
      <c r="M25" s="132">
        <f>IF(SER_hh_tesh_in!M25=0,0,SER_hh_tesh_in!M25/SER_summary!M$27)</f>
        <v>26.271187489776604</v>
      </c>
      <c r="N25" s="132">
        <f>IF(SER_hh_tesh_in!N25=0,0,SER_hh_tesh_in!N25/SER_summary!N$27)</f>
        <v>26.07234431358216</v>
      </c>
      <c r="O25" s="132">
        <f>IF(SER_hh_tesh_in!O25=0,0,SER_hh_tesh_in!O25/SER_summary!O$27)</f>
        <v>26.152682313426958</v>
      </c>
      <c r="P25" s="132">
        <f>IF(SER_hh_tesh_in!P25=0,0,SER_hh_tesh_in!P25/SER_summary!P$27)</f>
        <v>25.47715961436775</v>
      </c>
      <c r="Q25" s="132">
        <f>IF(SER_hh_tesh_in!Q25=0,0,SER_hh_tesh_in!Q25/SER_summary!Q$27)</f>
        <v>26.444226671202266</v>
      </c>
      <c r="R25" s="132">
        <f>IF(SER_hh_tesh_in!R25=0,0,SER_hh_tesh_in!R25/SER_summary!R$27)</f>
        <v>26.473814780988665</v>
      </c>
      <c r="S25" s="132">
        <f>IF(SER_hh_tesh_in!S25=0,0,SER_hh_tesh_in!S25/SER_summary!S$27)</f>
        <v>26.656260188313865</v>
      </c>
      <c r="T25" s="132">
        <f>IF(SER_hh_tesh_in!T25=0,0,SER_hh_tesh_in!T25/SER_summary!T$27)</f>
        <v>25.712526244879307</v>
      </c>
      <c r="U25" s="132">
        <f>IF(SER_hh_tesh_in!U25=0,0,SER_hh_tesh_in!U25/SER_summary!U$27)</f>
        <v>25.569531337544316</v>
      </c>
      <c r="V25" s="132">
        <f>IF(SER_hh_tesh_in!V25=0,0,SER_hh_tesh_in!V25/SER_summary!V$27)</f>
        <v>23.448243851057327</v>
      </c>
      <c r="W25" s="132">
        <f>IF(SER_hh_tesh_in!W25=0,0,SER_hh_tesh_in!W25/SER_summary!W$27)</f>
        <v>24.963274885130939</v>
      </c>
      <c r="X25" s="132">
        <f>IF(SER_hh_tesh_in!X25=0,0,SER_hh_tesh_in!X25/SER_summary!X$27)</f>
        <v>25.889142345145011</v>
      </c>
      <c r="Y25" s="132">
        <f>IF(SER_hh_tesh_in!Y25=0,0,SER_hh_tesh_in!Y25/SER_summary!Y$27)</f>
        <v>24.502646567680731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27.236286208451972</v>
      </c>
      <c r="D26" s="65">
        <f>IF(SER_hh_tesh_in!D26=0,0,SER_hh_tesh_in!D26/SER_summary!D$27)</f>
        <v>24.950972635485829</v>
      </c>
      <c r="E26" s="65">
        <f>IF(SER_hh_tesh_in!E26=0,0,SER_hh_tesh_in!E26/SER_summary!E$27)</f>
        <v>25.124821956808695</v>
      </c>
      <c r="F26" s="65">
        <f>IF(SER_hh_tesh_in!F26=0,0,SER_hh_tesh_in!F26/SER_summary!F$27)</f>
        <v>25.894315017022361</v>
      </c>
      <c r="G26" s="65">
        <f>IF(SER_hh_tesh_in!G26=0,0,SER_hh_tesh_in!G26/SER_summary!G$27)</f>
        <v>25.078523544449805</v>
      </c>
      <c r="H26" s="65">
        <f>IF(SER_hh_tesh_in!H26=0,0,SER_hh_tesh_in!H26/SER_summary!H$27)</f>
        <v>25.678920064788265</v>
      </c>
      <c r="I26" s="65">
        <f>IF(SER_hh_tesh_in!I26=0,0,SER_hh_tesh_in!I26/SER_summary!I$27)</f>
        <v>25.549196642534852</v>
      </c>
      <c r="J26" s="65">
        <f>IF(SER_hh_tesh_in!J26=0,0,SER_hh_tesh_in!J26/SER_summary!J$27)</f>
        <v>24.848401209880134</v>
      </c>
      <c r="K26" s="65">
        <f>IF(SER_hh_tesh_in!K26=0,0,SER_hh_tesh_in!K26/SER_summary!K$27)</f>
        <v>26.692215598748302</v>
      </c>
      <c r="L26" s="65">
        <f>IF(SER_hh_tesh_in!L26=0,0,SER_hh_tesh_in!L26/SER_summary!L$27)</f>
        <v>26.066376722809398</v>
      </c>
      <c r="M26" s="65">
        <f>IF(SER_hh_tesh_in!M26=0,0,SER_hh_tesh_in!M26/SER_summary!M$27)</f>
        <v>26.587548888496737</v>
      </c>
      <c r="N26" s="65">
        <f>IF(SER_hh_tesh_in!N26=0,0,SER_hh_tesh_in!N26/SER_summary!N$27)</f>
        <v>25.17500301163173</v>
      </c>
      <c r="O26" s="65">
        <f>IF(SER_hh_tesh_in!O26=0,0,SER_hh_tesh_in!O26/SER_summary!O$27)</f>
        <v>26.582829614307983</v>
      </c>
      <c r="P26" s="65">
        <f>IF(SER_hh_tesh_in!P26=0,0,SER_hh_tesh_in!P26/SER_summary!P$27)</f>
        <v>26.002159241048204</v>
      </c>
      <c r="Q26" s="65">
        <f>IF(SER_hh_tesh_in!Q26=0,0,SER_hh_tesh_in!Q26/SER_summary!Q$27)</f>
        <v>25.334058939081817</v>
      </c>
      <c r="R26" s="65">
        <f>IF(SER_hh_tesh_in!R26=0,0,SER_hh_tesh_in!R26/SER_summary!R$27)</f>
        <v>26.024348215477971</v>
      </c>
      <c r="S26" s="65">
        <f>IF(SER_hh_tesh_in!S26=0,0,SER_hh_tesh_in!S26/SER_summary!S$27)</f>
        <v>26.132157332753831</v>
      </c>
      <c r="T26" s="65">
        <f>IF(SER_hh_tesh_in!T26=0,0,SER_hh_tesh_in!T26/SER_summary!T$27)</f>
        <v>26.942725870078664</v>
      </c>
      <c r="U26" s="65">
        <f>IF(SER_hh_tesh_in!U26=0,0,SER_hh_tesh_in!U26/SER_summary!U$27)</f>
        <v>26.504809503363216</v>
      </c>
      <c r="V26" s="65">
        <f>IF(SER_hh_tesh_in!V26=0,0,SER_hh_tesh_in!V26/SER_summary!V$27)</f>
        <v>23.21899892541084</v>
      </c>
      <c r="W26" s="65">
        <f>IF(SER_hh_tesh_in!W26=0,0,SER_hh_tesh_in!W26/SER_summary!W$27)</f>
        <v>24.570643329834347</v>
      </c>
      <c r="X26" s="65">
        <f>IF(SER_hh_tesh_in!X26=0,0,SER_hh_tesh_in!X26/SER_summary!X$27)</f>
        <v>23.766984035945853</v>
      </c>
      <c r="Y26" s="65">
        <f>IF(SER_hh_tesh_in!Y26=0,0,SER_hh_tesh_in!Y26/SER_summary!Y$27)</f>
        <v>25.846756600079249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</v>
      </c>
      <c r="D27" s="145">
        <f>IF(SER_hh_tesh_in!D27=0,0,SER_hh_tesh_in!D27/SER_summary!D$27)</f>
        <v>0</v>
      </c>
      <c r="E27" s="145">
        <f>IF(SER_hh_tesh_in!E27=0,0,SER_hh_tesh_in!E27/SER_summary!E$27)</f>
        <v>0</v>
      </c>
      <c r="F27" s="145">
        <f>IF(SER_hh_tesh_in!F27=0,0,SER_hh_tesh_in!F27/SER_summary!F$27)</f>
        <v>0</v>
      </c>
      <c r="G27" s="145">
        <f>IF(SER_hh_tesh_in!G27=0,0,SER_hh_tesh_in!G27/SER_summary!G$27)</f>
        <v>0</v>
      </c>
      <c r="H27" s="145">
        <f>IF(SER_hh_tesh_in!H27=0,0,SER_hh_tesh_in!H27/SER_summary!H$27)</f>
        <v>0</v>
      </c>
      <c r="I27" s="145">
        <f>IF(SER_hh_tesh_in!I27=0,0,SER_hh_tesh_in!I27/SER_summary!I$27)</f>
        <v>0</v>
      </c>
      <c r="J27" s="145">
        <f>IF(SER_hh_tesh_in!J27=0,0,SER_hh_tesh_in!J27/SER_summary!J$27)</f>
        <v>0</v>
      </c>
      <c r="K27" s="145">
        <f>IF(SER_hh_tesh_in!K27=0,0,SER_hh_tesh_in!K27/SER_summary!K$27)</f>
        <v>0</v>
      </c>
      <c r="L27" s="145">
        <f>IF(SER_hh_tesh_in!L27=0,0,SER_hh_tesh_in!L27/SER_summary!L$27)</f>
        <v>0</v>
      </c>
      <c r="M27" s="145">
        <f>IF(SER_hh_tesh_in!M27=0,0,SER_hh_tesh_in!M27/SER_summary!M$27)</f>
        <v>0</v>
      </c>
      <c r="N27" s="145">
        <f>IF(SER_hh_tesh_in!N27=0,0,SER_hh_tesh_in!N27/SER_summary!N$27)</f>
        <v>0</v>
      </c>
      <c r="O27" s="145">
        <f>IF(SER_hh_tesh_in!O27=0,0,SER_hh_tesh_in!O27/SER_summary!O$27)</f>
        <v>0</v>
      </c>
      <c r="P27" s="145">
        <f>IF(SER_hh_tesh_in!P27=0,0,SER_hh_tesh_in!P27/SER_summary!P$27)</f>
        <v>0</v>
      </c>
      <c r="Q27" s="145">
        <f>IF(SER_hh_tesh_in!Q27=0,0,SER_hh_tesh_in!Q27/SER_summary!Q$27)</f>
        <v>0</v>
      </c>
      <c r="R27" s="145">
        <f>IF(SER_hh_tesh_in!R27=0,0,SER_hh_tesh_in!R27/SER_summary!R$27)</f>
        <v>0</v>
      </c>
      <c r="S27" s="145">
        <f>IF(SER_hh_tesh_in!S27=0,0,SER_hh_tesh_in!S27/SER_summary!S$27)</f>
        <v>0</v>
      </c>
      <c r="T27" s="145">
        <f>IF(SER_hh_tesh_in!T27=0,0,SER_hh_tesh_in!T27/SER_summary!T$27)</f>
        <v>0</v>
      </c>
      <c r="U27" s="145">
        <f>IF(SER_hh_tesh_in!U27=0,0,SER_hh_tesh_in!U27/SER_summary!U$27)</f>
        <v>0</v>
      </c>
      <c r="V27" s="145">
        <f>IF(SER_hh_tesh_in!V27=0,0,SER_hh_tesh_in!V27/SER_summary!V$27)</f>
        <v>0</v>
      </c>
      <c r="W27" s="145">
        <f>IF(SER_hh_tesh_in!W27=0,0,SER_hh_tesh_in!W27/SER_summary!W$27)</f>
        <v>0</v>
      </c>
      <c r="X27" s="145">
        <f>IF(SER_hh_tesh_in!X27=0,0,SER_hh_tesh_in!X27/SER_summary!X$27)</f>
        <v>0</v>
      </c>
      <c r="Y27" s="145">
        <f>IF(SER_hh_tesh_in!Y27=0,0,SER_hh_tesh_in!Y27/SER_summary!Y$27)</f>
        <v>0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0</v>
      </c>
      <c r="D28" s="146">
        <f>IF(SER_hh_tesh_in!D28=0,0,SER_hh_tesh_in!D28/SER_summary!D$27)</f>
        <v>0</v>
      </c>
      <c r="E28" s="146">
        <f>IF(SER_hh_tesh_in!E28=0,0,SER_hh_tesh_in!E28/SER_summary!E$27)</f>
        <v>0</v>
      </c>
      <c r="F28" s="146">
        <f>IF(SER_hh_tesh_in!F28=0,0,SER_hh_tesh_in!F28/SER_summary!F$27)</f>
        <v>0</v>
      </c>
      <c r="G28" s="146">
        <f>IF(SER_hh_tesh_in!G28=0,0,SER_hh_tesh_in!G28/SER_summary!G$27)</f>
        <v>0</v>
      </c>
      <c r="H28" s="146">
        <f>IF(SER_hh_tesh_in!H28=0,0,SER_hh_tesh_in!H28/SER_summary!H$27)</f>
        <v>0</v>
      </c>
      <c r="I28" s="146">
        <f>IF(SER_hh_tesh_in!I28=0,0,SER_hh_tesh_in!I28/SER_summary!I$27)</f>
        <v>0</v>
      </c>
      <c r="J28" s="146">
        <f>IF(SER_hh_tesh_in!J28=0,0,SER_hh_tesh_in!J28/SER_summary!J$27)</f>
        <v>0</v>
      </c>
      <c r="K28" s="146">
        <f>IF(SER_hh_tesh_in!K28=0,0,SER_hh_tesh_in!K28/SER_summary!K$27)</f>
        <v>0</v>
      </c>
      <c r="L28" s="146">
        <f>IF(SER_hh_tesh_in!L28=0,0,SER_hh_tesh_in!L28/SER_summary!L$27)</f>
        <v>0</v>
      </c>
      <c r="M28" s="146">
        <f>IF(SER_hh_tesh_in!M28=0,0,SER_hh_tesh_in!M28/SER_summary!M$27)</f>
        <v>0</v>
      </c>
      <c r="N28" s="146">
        <f>IF(SER_hh_tesh_in!N28=0,0,SER_hh_tesh_in!N28/SER_summary!N$27)</f>
        <v>0</v>
      </c>
      <c r="O28" s="146">
        <f>IF(SER_hh_tesh_in!O28=0,0,SER_hh_tesh_in!O28/SER_summary!O$27)</f>
        <v>0</v>
      </c>
      <c r="P28" s="146">
        <f>IF(SER_hh_tesh_in!P28=0,0,SER_hh_tesh_in!P28/SER_summary!P$27)</f>
        <v>0</v>
      </c>
      <c r="Q28" s="146">
        <f>IF(SER_hh_tesh_in!Q28=0,0,SER_hh_tesh_in!Q28/SER_summary!Q$27)</f>
        <v>0</v>
      </c>
      <c r="R28" s="146">
        <f>IF(SER_hh_tesh_in!R28=0,0,SER_hh_tesh_in!R28/SER_summary!R$27)</f>
        <v>0</v>
      </c>
      <c r="S28" s="146">
        <f>IF(SER_hh_tesh_in!S28=0,0,SER_hh_tesh_in!S28/SER_summary!S$27)</f>
        <v>0</v>
      </c>
      <c r="T28" s="146">
        <f>IF(SER_hh_tesh_in!T28=0,0,SER_hh_tesh_in!T28/SER_summary!T$27)</f>
        <v>0</v>
      </c>
      <c r="U28" s="146">
        <f>IF(SER_hh_tesh_in!U28=0,0,SER_hh_tesh_in!U28/SER_summary!U$27)</f>
        <v>0</v>
      </c>
      <c r="V28" s="146">
        <f>IF(SER_hh_tesh_in!V28=0,0,SER_hh_tesh_in!V28/SER_summary!V$27)</f>
        <v>0</v>
      </c>
      <c r="W28" s="146">
        <f>IF(SER_hh_tesh_in!W28=0,0,SER_hh_tesh_in!W28/SER_summary!W$27)</f>
        <v>0</v>
      </c>
      <c r="X28" s="146">
        <f>IF(SER_hh_tesh_in!X28=0,0,SER_hh_tesh_in!X28/SER_summary!X$27)</f>
        <v>0</v>
      </c>
      <c r="Y28" s="146">
        <f>IF(SER_hh_tesh_in!Y28=0,0,SER_hh_tesh_in!Y28/SER_summary!Y$27)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36.865145478614068</v>
      </c>
      <c r="D29" s="130">
        <f>IF(SER_hh_tesh_in!D29=0,0,SER_hh_tesh_in!D29/SER_summary!D$27)</f>
        <v>31.417208570635882</v>
      </c>
      <c r="E29" s="130">
        <f>IF(SER_hh_tesh_in!E29=0,0,SER_hh_tesh_in!E29/SER_summary!E$27)</f>
        <v>32.185622704495934</v>
      </c>
      <c r="F29" s="130">
        <f>IF(SER_hh_tesh_in!F29=0,0,SER_hh_tesh_in!F29/SER_summary!F$27)</f>
        <v>31.318882153527152</v>
      </c>
      <c r="G29" s="130">
        <f>IF(SER_hh_tesh_in!G29=0,0,SER_hh_tesh_in!G29/SER_summary!G$27)</f>
        <v>32.10602397822835</v>
      </c>
      <c r="H29" s="130">
        <f>IF(SER_hh_tesh_in!H29=0,0,SER_hh_tesh_in!H29/SER_summary!H$27)</f>
        <v>32.008450481927653</v>
      </c>
      <c r="I29" s="130">
        <f>IF(SER_hh_tesh_in!I29=0,0,SER_hh_tesh_in!I29/SER_summary!I$27)</f>
        <v>30.42498092039947</v>
      </c>
      <c r="J29" s="130">
        <f>IF(SER_hh_tesh_in!J29=0,0,SER_hh_tesh_in!J29/SER_summary!J$27)</f>
        <v>31.292399225951158</v>
      </c>
      <c r="K29" s="130">
        <f>IF(SER_hh_tesh_in!K29=0,0,SER_hh_tesh_in!K29/SER_summary!K$27)</f>
        <v>32.302026601987549</v>
      </c>
      <c r="L29" s="130">
        <f>IF(SER_hh_tesh_in!L29=0,0,SER_hh_tesh_in!L29/SER_summary!L$27)</f>
        <v>31.721388356659133</v>
      </c>
      <c r="M29" s="130">
        <f>IF(SER_hh_tesh_in!M29=0,0,SER_hh_tesh_in!M29/SER_summary!M$27)</f>
        <v>31.938664744766601</v>
      </c>
      <c r="N29" s="130">
        <f>IF(SER_hh_tesh_in!N29=0,0,SER_hh_tesh_in!N29/SER_summary!N$27)</f>
        <v>32.382264767897937</v>
      </c>
      <c r="O29" s="130">
        <f>IF(SER_hh_tesh_in!O29=0,0,SER_hh_tesh_in!O29/SER_summary!O$27)</f>
        <v>32.595389480694585</v>
      </c>
      <c r="P29" s="130">
        <f>IF(SER_hh_tesh_in!P29=0,0,SER_hh_tesh_in!P29/SER_summary!P$27)</f>
        <v>32.312363465340859</v>
      </c>
      <c r="Q29" s="130">
        <f>IF(SER_hh_tesh_in!Q29=0,0,SER_hh_tesh_in!Q29/SER_summary!Q$27)</f>
        <v>31.41463783390639</v>
      </c>
      <c r="R29" s="130">
        <f>IF(SER_hh_tesh_in!R29=0,0,SER_hh_tesh_in!R29/SER_summary!R$27)</f>
        <v>31.365483071288367</v>
      </c>
      <c r="S29" s="130">
        <f>IF(SER_hh_tesh_in!S29=0,0,SER_hh_tesh_in!S29/SER_summary!S$27)</f>
        <v>31.743427706165217</v>
      </c>
      <c r="T29" s="130">
        <f>IF(SER_hh_tesh_in!T29=0,0,SER_hh_tesh_in!T29/SER_summary!T$27)</f>
        <v>31.067189747012282</v>
      </c>
      <c r="U29" s="130">
        <f>IF(SER_hh_tesh_in!U29=0,0,SER_hh_tesh_in!U29/SER_summary!U$27)</f>
        <v>31.677542618985207</v>
      </c>
      <c r="V29" s="130">
        <f>IF(SER_hh_tesh_in!V29=0,0,SER_hh_tesh_in!V29/SER_summary!V$27)</f>
        <v>29.32000397880439</v>
      </c>
      <c r="W29" s="130">
        <f>IF(SER_hh_tesh_in!W29=0,0,SER_hh_tesh_in!W29/SER_summary!W$27)</f>
        <v>30.251833587671292</v>
      </c>
      <c r="X29" s="130">
        <f>IF(SER_hh_tesh_in!X29=0,0,SER_hh_tesh_in!X29/SER_summary!X$27)</f>
        <v>32.514186863387607</v>
      </c>
      <c r="Y29" s="130">
        <f>IF(SER_hh_tesh_in!Y29=0,0,SER_hh_tesh_in!Y29/SER_summary!Y$27)</f>
        <v>30.768517596226022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53.104517382205159</v>
      </c>
      <c r="D30" s="132">
        <f>IF(SER_hh_tesh_in!D30=0,0,SER_hh_tesh_in!D30/SER_summary!D$27)</f>
        <v>16.717984484556478</v>
      </c>
      <c r="E30" s="132">
        <f>IF(SER_hh_tesh_in!E30=0,0,SER_hh_tesh_in!E30/SER_summary!E$27)</f>
        <v>43.361454243834011</v>
      </c>
      <c r="F30" s="132">
        <f>IF(SER_hh_tesh_in!F30=0,0,SER_hh_tesh_in!F30/SER_summary!F$27)</f>
        <v>31.486855282635066</v>
      </c>
      <c r="G30" s="132">
        <f>IF(SER_hh_tesh_in!G30=0,0,SER_hh_tesh_in!G30/SER_summary!G$27)</f>
        <v>30.596841234136313</v>
      </c>
      <c r="H30" s="132">
        <f>IF(SER_hh_tesh_in!H30=0,0,SER_hh_tesh_in!H30/SER_summary!H$27)</f>
        <v>0</v>
      </c>
      <c r="I30" s="132">
        <f>IF(SER_hh_tesh_in!I30=0,0,SER_hh_tesh_in!I30/SER_summary!I$27)</f>
        <v>0</v>
      </c>
      <c r="J30" s="132">
        <f>IF(SER_hh_tesh_in!J30=0,0,SER_hh_tesh_in!J30/SER_summary!J$27)</f>
        <v>0</v>
      </c>
      <c r="K30" s="132">
        <f>IF(SER_hh_tesh_in!K30=0,0,SER_hh_tesh_in!K30/SER_summary!K$27)</f>
        <v>0</v>
      </c>
      <c r="L30" s="132">
        <f>IF(SER_hh_tesh_in!L30=0,0,SER_hh_tesh_in!L30/SER_summary!L$27)</f>
        <v>0</v>
      </c>
      <c r="M30" s="132">
        <f>IF(SER_hh_tesh_in!M30=0,0,SER_hh_tesh_in!M30/SER_summary!M$27)</f>
        <v>0</v>
      </c>
      <c r="N30" s="132">
        <f>IF(SER_hh_tesh_in!N30=0,0,SER_hh_tesh_in!N30/SER_summary!N$27)</f>
        <v>33.84013367287568</v>
      </c>
      <c r="O30" s="132">
        <f>IF(SER_hh_tesh_in!O30=0,0,SER_hh_tesh_in!O30/SER_summary!O$27)</f>
        <v>29.39248433502874</v>
      </c>
      <c r="P30" s="132">
        <f>IF(SER_hh_tesh_in!P30=0,0,SER_hh_tesh_in!P30/SER_summary!P$27)</f>
        <v>33.206073884446468</v>
      </c>
      <c r="Q30" s="132">
        <f>IF(SER_hh_tesh_in!Q30=0,0,SER_hh_tesh_in!Q30/SER_summary!Q$27)</f>
        <v>25.585797418269884</v>
      </c>
      <c r="R30" s="132">
        <f>IF(SER_hh_tesh_in!R30=0,0,SER_hh_tesh_in!R30/SER_summary!R$27)</f>
        <v>31.658822549303512</v>
      </c>
      <c r="S30" s="132">
        <f>IF(SER_hh_tesh_in!S30=0,0,SER_hh_tesh_in!S30/SER_summary!S$27)</f>
        <v>38.570328352304763</v>
      </c>
      <c r="T30" s="132">
        <f>IF(SER_hh_tesh_in!T30=0,0,SER_hh_tesh_in!T30/SER_summary!T$27)</f>
        <v>32.681431481702447</v>
      </c>
      <c r="U30" s="132">
        <f>IF(SER_hh_tesh_in!U30=0,0,SER_hh_tesh_in!U30/SER_summary!U$27)</f>
        <v>0</v>
      </c>
      <c r="V30" s="132">
        <f>IF(SER_hh_tesh_in!V30=0,0,SER_hh_tesh_in!V30/SER_summary!V$27)</f>
        <v>26.76794560633288</v>
      </c>
      <c r="W30" s="132">
        <f>IF(SER_hh_tesh_in!W30=0,0,SER_hh_tesh_in!W30/SER_summary!W$27)</f>
        <v>27.443178650509754</v>
      </c>
      <c r="X30" s="132">
        <f>IF(SER_hh_tesh_in!X30=0,0,SER_hh_tesh_in!X30/SER_summary!X$27)</f>
        <v>39.701534693089684</v>
      </c>
      <c r="Y30" s="132">
        <f>IF(SER_hh_tesh_in!Y30=0,0,SER_hh_tesh_in!Y30/SER_summary!Y$27)</f>
        <v>27.216438396151336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34.465219793534203</v>
      </c>
      <c r="D31" s="132">
        <f>IF(SER_hh_tesh_in!D31=0,0,SER_hh_tesh_in!D31/SER_summary!D$27)</f>
        <v>34.989228045627506</v>
      </c>
      <c r="E31" s="132">
        <f>IF(SER_hh_tesh_in!E31=0,0,SER_hh_tesh_in!E31/SER_summary!E$27)</f>
        <v>31.073404619697378</v>
      </c>
      <c r="F31" s="132">
        <f>IF(SER_hh_tesh_in!F31=0,0,SER_hh_tesh_in!F31/SER_summary!F$27)</f>
        <v>32.178164104050651</v>
      </c>
      <c r="G31" s="132">
        <f>IF(SER_hh_tesh_in!G31=0,0,SER_hh_tesh_in!G31/SER_summary!G$27)</f>
        <v>31.723011139528754</v>
      </c>
      <c r="H31" s="132">
        <f>IF(SER_hh_tesh_in!H31=0,0,SER_hh_tesh_in!H31/SER_summary!H$27)</f>
        <v>30.858824382752658</v>
      </c>
      <c r="I31" s="132">
        <f>IF(SER_hh_tesh_in!I31=0,0,SER_hh_tesh_in!I31/SER_summary!I$27)</f>
        <v>30.837139757961495</v>
      </c>
      <c r="J31" s="132">
        <f>IF(SER_hh_tesh_in!J31=0,0,SER_hh_tesh_in!J31/SER_summary!J$27)</f>
        <v>31.958613324887295</v>
      </c>
      <c r="K31" s="132">
        <f>IF(SER_hh_tesh_in!K31=0,0,SER_hh_tesh_in!K31/SER_summary!K$27)</f>
        <v>33.131116553704068</v>
      </c>
      <c r="L31" s="132">
        <f>IF(SER_hh_tesh_in!L31=0,0,SER_hh_tesh_in!L31/SER_summary!L$27)</f>
        <v>32.894249107543409</v>
      </c>
      <c r="M31" s="132">
        <f>IF(SER_hh_tesh_in!M31=0,0,SER_hh_tesh_in!M31/SER_summary!M$27)</f>
        <v>33.725559421900485</v>
      </c>
      <c r="N31" s="132">
        <f>IF(SER_hh_tesh_in!N31=0,0,SER_hh_tesh_in!N31/SER_summary!N$27)</f>
        <v>0</v>
      </c>
      <c r="O31" s="132">
        <f>IF(SER_hh_tesh_in!O31=0,0,SER_hh_tesh_in!O31/SER_summary!O$27)</f>
        <v>30.15147579066803</v>
      </c>
      <c r="P31" s="132">
        <f>IF(SER_hh_tesh_in!P31=0,0,SER_hh_tesh_in!P31/SER_summary!P$27)</f>
        <v>31.682066202703844</v>
      </c>
      <c r="Q31" s="132">
        <f>IF(SER_hh_tesh_in!Q31=0,0,SER_hh_tesh_in!Q31/SER_summary!Q$27)</f>
        <v>29.673888012131954</v>
      </c>
      <c r="R31" s="132">
        <f>IF(SER_hh_tesh_in!R31=0,0,SER_hh_tesh_in!R31/SER_summary!R$27)</f>
        <v>31.393218519539332</v>
      </c>
      <c r="S31" s="132">
        <f>IF(SER_hh_tesh_in!S31=0,0,SER_hh_tesh_in!S31/SER_summary!S$27)</f>
        <v>31.503088636458536</v>
      </c>
      <c r="T31" s="132">
        <f>IF(SER_hh_tesh_in!T31=0,0,SER_hh_tesh_in!T31/SER_summary!T$27)</f>
        <v>31.157724417998761</v>
      </c>
      <c r="U31" s="132">
        <f>IF(SER_hh_tesh_in!U31=0,0,SER_hh_tesh_in!U31/SER_summary!U$27)</f>
        <v>31.144679523233439</v>
      </c>
      <c r="V31" s="132">
        <f>IF(SER_hh_tesh_in!V31=0,0,SER_hh_tesh_in!V31/SER_summary!V$27)</f>
        <v>31.038479842284506</v>
      </c>
      <c r="W31" s="132">
        <f>IF(SER_hh_tesh_in!W31=0,0,SER_hh_tesh_in!W31/SER_summary!W$27)</f>
        <v>31.101435540894862</v>
      </c>
      <c r="X31" s="132">
        <f>IF(SER_hh_tesh_in!X31=0,0,SER_hh_tesh_in!X31/SER_summary!X$27)</f>
        <v>29.597760273689882</v>
      </c>
      <c r="Y31" s="132">
        <f>IF(SER_hh_tesh_in!Y31=0,0,SER_hh_tesh_in!Y31/SER_summary!Y$27)</f>
        <v>31.71401313170982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32.807226758823383</v>
      </c>
      <c r="D33" s="68">
        <f>IF(SER_hh_tesh_in!D33=0,0,SER_hh_tesh_in!D33/SER_summary!D$27)</f>
        <v>31.777578521468545</v>
      </c>
      <c r="E33" s="68">
        <f>IF(SER_hh_tesh_in!E33=0,0,SER_hh_tesh_in!E33/SER_summary!E$27)</f>
        <v>30.192006411397955</v>
      </c>
      <c r="F33" s="68">
        <f>IF(SER_hh_tesh_in!F33=0,0,SER_hh_tesh_in!F33/SER_summary!F$27)</f>
        <v>31.137660925336625</v>
      </c>
      <c r="G33" s="68">
        <f>IF(SER_hh_tesh_in!G33=0,0,SER_hh_tesh_in!G33/SER_summary!G$27)</f>
        <v>32.201673243871241</v>
      </c>
      <c r="H33" s="68">
        <f>IF(SER_hh_tesh_in!H33=0,0,SER_hh_tesh_in!H33/SER_summary!H$27)</f>
        <v>32.206566858318169</v>
      </c>
      <c r="I33" s="68">
        <f>IF(SER_hh_tesh_in!I33=0,0,SER_hh_tesh_in!I33/SER_summary!I$27)</f>
        <v>30.3364946679017</v>
      </c>
      <c r="J33" s="68">
        <f>IF(SER_hh_tesh_in!J33=0,0,SER_hh_tesh_in!J33/SER_summary!J$27)</f>
        <v>31.122717873425049</v>
      </c>
      <c r="K33" s="68">
        <f>IF(SER_hh_tesh_in!K33=0,0,SER_hh_tesh_in!K33/SER_summary!K$27)</f>
        <v>32.077950542973021</v>
      </c>
      <c r="L33" s="68">
        <f>IF(SER_hh_tesh_in!L33=0,0,SER_hh_tesh_in!L33/SER_summary!L$27)</f>
        <v>31.515938367465072</v>
      </c>
      <c r="M33" s="68">
        <f>IF(SER_hh_tesh_in!M33=0,0,SER_hh_tesh_in!M33/SER_summary!M$27)</f>
        <v>31.88870437178603</v>
      </c>
      <c r="N33" s="68">
        <f>IF(SER_hh_tesh_in!N33=0,0,SER_hh_tesh_in!N33/SER_summary!N$27)</f>
        <v>32.207559065728468</v>
      </c>
      <c r="O33" s="68">
        <f>IF(SER_hh_tesh_in!O33=0,0,SER_hh_tesh_in!O33/SER_summary!O$27)</f>
        <v>33.261602607203706</v>
      </c>
      <c r="P33" s="68">
        <f>IF(SER_hh_tesh_in!P33=0,0,SER_hh_tesh_in!P33/SER_summary!P$27)</f>
        <v>32.301276478598773</v>
      </c>
      <c r="Q33" s="68">
        <f>IF(SER_hh_tesh_in!Q33=0,0,SER_hh_tesh_in!Q33/SER_summary!Q$27)</f>
        <v>33.033988754894551</v>
      </c>
      <c r="R33" s="68">
        <f>IF(SER_hh_tesh_in!R33=0,0,SER_hh_tesh_in!R33/SER_summary!R$27)</f>
        <v>31.260448416238127</v>
      </c>
      <c r="S33" s="68">
        <f>IF(SER_hh_tesh_in!S33=0,0,SER_hh_tesh_in!S33/SER_summary!S$27)</f>
        <v>30.475379600540407</v>
      </c>
      <c r="T33" s="68">
        <f>IF(SER_hh_tesh_in!T33=0,0,SER_hh_tesh_in!T33/SER_summary!T$27)</f>
        <v>31.00287376570218</v>
      </c>
      <c r="U33" s="68">
        <f>IF(SER_hh_tesh_in!U33=0,0,SER_hh_tesh_in!U33/SER_summary!U$27)</f>
        <v>31.907984486840153</v>
      </c>
      <c r="V33" s="68">
        <f>IF(SER_hh_tesh_in!V33=0,0,SER_hh_tesh_in!V33/SER_summary!V$27)</f>
        <v>28.678912128000622</v>
      </c>
      <c r="W33" s="68">
        <f>IF(SER_hh_tesh_in!W33=0,0,SER_hh_tesh_in!W33/SER_summary!W$27)</f>
        <v>30.309770363909312</v>
      </c>
      <c r="X33" s="68">
        <f>IF(SER_hh_tesh_in!X33=0,0,SER_hh_tesh_in!X33/SER_summary!X$27)</f>
        <v>30.340887961059536</v>
      </c>
      <c r="Y33" s="68">
        <f>IF(SER_hh_tesh_in!Y33=0,0,SER_hh_tesh_in!Y33/SER_summary!Y$27)</f>
        <v>31.131263974599374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32.070652705204182</v>
      </c>
      <c r="D3" s="125">
        <f>IF(SER_hh_emih_in!D3=0,0,SER_hh_emih_in!D3/SER_summary!D$27)</f>
        <v>38.299253261563074</v>
      </c>
      <c r="E3" s="125">
        <f>IF(SER_hh_emih_in!E3=0,0,SER_hh_emih_in!E3/SER_summary!E$27)</f>
        <v>33.832636479607281</v>
      </c>
      <c r="F3" s="125">
        <f>IF(SER_hh_emih_in!F3=0,0,SER_hh_emih_in!F3/SER_summary!F$27)</f>
        <v>32.814059362664047</v>
      </c>
      <c r="G3" s="125">
        <f>IF(SER_hh_emih_in!G3=0,0,SER_hh_emih_in!G3/SER_summary!G$27)</f>
        <v>24.611340624974041</v>
      </c>
      <c r="H3" s="125">
        <f>IF(SER_hh_emih_in!H3=0,0,SER_hh_emih_in!H3/SER_summary!H$27)</f>
        <v>28.426442830058267</v>
      </c>
      <c r="I3" s="125">
        <f>IF(SER_hh_emih_in!I3=0,0,SER_hh_emih_in!I3/SER_summary!I$27)</f>
        <v>22.880384046220161</v>
      </c>
      <c r="J3" s="125">
        <f>IF(SER_hh_emih_in!J3=0,0,SER_hh_emih_in!J3/SER_summary!J$27)</f>
        <v>30.551769604938766</v>
      </c>
      <c r="K3" s="125">
        <f>IF(SER_hh_emih_in!K3=0,0,SER_hh_emih_in!K3/SER_summary!K$27)</f>
        <v>27.465861918147635</v>
      </c>
      <c r="L3" s="125">
        <f>IF(SER_hh_emih_in!L3=0,0,SER_hh_emih_in!L3/SER_summary!L$27)</f>
        <v>28.560286451478408</v>
      </c>
      <c r="M3" s="125">
        <f>IF(SER_hh_emih_in!M3=0,0,SER_hh_emih_in!M3/SER_summary!M$27)</f>
        <v>10.469193680185331</v>
      </c>
      <c r="N3" s="125">
        <f>IF(SER_hh_emih_in!N3=0,0,SER_hh_emih_in!N3/SER_summary!N$27)</f>
        <v>14.469018159949005</v>
      </c>
      <c r="O3" s="125">
        <f>IF(SER_hh_emih_in!O3=0,0,SER_hh_emih_in!O3/SER_summary!O$27)</f>
        <v>14.844136910078644</v>
      </c>
      <c r="P3" s="125">
        <f>IF(SER_hh_emih_in!P3=0,0,SER_hh_emih_in!P3/SER_summary!P$27)</f>
        <v>17.447289750531308</v>
      </c>
      <c r="Q3" s="125">
        <f>IF(SER_hh_emih_in!Q3=0,0,SER_hh_emih_in!Q3/SER_summary!Q$27)</f>
        <v>15.985916589492279</v>
      </c>
      <c r="R3" s="125">
        <f>IF(SER_hh_emih_in!R3=0,0,SER_hh_emih_in!R3/SER_summary!R$27)</f>
        <v>16.434268925225698</v>
      </c>
      <c r="S3" s="125">
        <f>IF(SER_hh_emih_in!S3=0,0,SER_hh_emih_in!S3/SER_summary!S$27)</f>
        <v>16.214160450198698</v>
      </c>
      <c r="T3" s="125">
        <f>IF(SER_hh_emih_in!T3=0,0,SER_hh_emih_in!T3/SER_summary!T$27)</f>
        <v>17.548563674743896</v>
      </c>
      <c r="U3" s="125">
        <f>IF(SER_hh_emih_in!U3=0,0,SER_hh_emih_in!U3/SER_summary!U$27)</f>
        <v>16.476769378729237</v>
      </c>
      <c r="V3" s="125">
        <f>IF(SER_hh_emih_in!V3=0,0,SER_hh_emih_in!V3/SER_summary!V$27)</f>
        <v>17.187543273137731</v>
      </c>
      <c r="W3" s="125">
        <f>IF(SER_hh_emih_in!W3=0,0,SER_hh_emih_in!W3/SER_summary!W$27)</f>
        <v>19.45460309471386</v>
      </c>
      <c r="X3" s="125">
        <f>IF(SER_hh_emih_in!X3=0,0,SER_hh_emih_in!X3/SER_summary!X$27)</f>
        <v>14.641350090880545</v>
      </c>
      <c r="Y3" s="125">
        <f>IF(SER_hh_emih_in!Y3=0,0,SER_hh_emih_in!Y3/SER_summary!Y$27)</f>
        <v>11.383118509132485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22.217826731596002</v>
      </c>
      <c r="D4" s="130">
        <f>IF(SER_hh_emih_in!D4=0,0,SER_hh_emih_in!D4/SER_summary!D$27)</f>
        <v>31.282845548174588</v>
      </c>
      <c r="E4" s="130">
        <f>IF(SER_hh_emih_in!E4=0,0,SER_hh_emih_in!E4/SER_summary!E$27)</f>
        <v>27.111260585714067</v>
      </c>
      <c r="F4" s="130">
        <f>IF(SER_hh_emih_in!F4=0,0,SER_hh_emih_in!F4/SER_summary!F$27)</f>
        <v>29.05451064580922</v>
      </c>
      <c r="G4" s="130">
        <f>IF(SER_hh_emih_in!G4=0,0,SER_hh_emih_in!G4/SER_summary!G$27)</f>
        <v>20.872463563268578</v>
      </c>
      <c r="H4" s="130">
        <f>IF(SER_hh_emih_in!H4=0,0,SER_hh_emih_in!H4/SER_summary!H$27)</f>
        <v>25.207260268466996</v>
      </c>
      <c r="I4" s="130">
        <f>IF(SER_hh_emih_in!I4=0,0,SER_hh_emih_in!I4/SER_summary!I$27)</f>
        <v>19.429947599340537</v>
      </c>
      <c r="J4" s="130">
        <f>IF(SER_hh_emih_in!J4=0,0,SER_hh_emih_in!J4/SER_summary!J$27)</f>
        <v>26.020036153802124</v>
      </c>
      <c r="K4" s="130">
        <f>IF(SER_hh_emih_in!K4=0,0,SER_hh_emih_in!K4/SER_summary!K$27)</f>
        <v>22.535679169463542</v>
      </c>
      <c r="L4" s="130">
        <f>IF(SER_hh_emih_in!L4=0,0,SER_hh_emih_in!L4/SER_summary!L$27)</f>
        <v>24.246178589358795</v>
      </c>
      <c r="M4" s="130">
        <f>IF(SER_hh_emih_in!M4=0,0,SER_hh_emih_in!M4/SER_summary!M$27)</f>
        <v>8.3220742010311604</v>
      </c>
      <c r="N4" s="130">
        <f>IF(SER_hh_emih_in!N4=0,0,SER_hh_emih_in!N4/SER_summary!N$27)</f>
        <v>10.635941897393153</v>
      </c>
      <c r="O4" s="130">
        <f>IF(SER_hh_emih_in!O4=0,0,SER_hh_emih_in!O4/SER_summary!O$27)</f>
        <v>11.021464019067068</v>
      </c>
      <c r="P4" s="130">
        <f>IF(SER_hh_emih_in!P4=0,0,SER_hh_emih_in!P4/SER_summary!P$27)</f>
        <v>12.354558186626274</v>
      </c>
      <c r="Q4" s="130">
        <f>IF(SER_hh_emih_in!Q4=0,0,SER_hh_emih_in!Q4/SER_summary!Q$27)</f>
        <v>11.387424347903474</v>
      </c>
      <c r="R4" s="130">
        <f>IF(SER_hh_emih_in!R4=0,0,SER_hh_emih_in!R4/SER_summary!R$27)</f>
        <v>9.9632012020148171</v>
      </c>
      <c r="S4" s="130">
        <f>IF(SER_hh_emih_in!S4=0,0,SER_hh_emih_in!S4/SER_summary!S$27)</f>
        <v>10.233290084127328</v>
      </c>
      <c r="T4" s="130">
        <f>IF(SER_hh_emih_in!T4=0,0,SER_hh_emih_in!T4/SER_summary!T$27)</f>
        <v>12.876666238288369</v>
      </c>
      <c r="U4" s="130">
        <f>IF(SER_hh_emih_in!U4=0,0,SER_hh_emih_in!U4/SER_summary!U$27)</f>
        <v>12.155403946197479</v>
      </c>
      <c r="V4" s="130">
        <f>IF(SER_hh_emih_in!V4=0,0,SER_hh_emih_in!V4/SER_summary!V$27)</f>
        <v>12.624377524887814</v>
      </c>
      <c r="W4" s="130">
        <f>IF(SER_hh_emih_in!W4=0,0,SER_hh_emih_in!W4/SER_summary!W$27)</f>
        <v>16.113271783340423</v>
      </c>
      <c r="X4" s="130">
        <f>IF(SER_hh_emih_in!X4=0,0,SER_hh_emih_in!X4/SER_summary!X$27)</f>
        <v>9.7298015606609081</v>
      </c>
      <c r="Y4" s="130">
        <f>IF(SER_hh_emih_in!Y4=0,0,SER_hh_emih_in!Y4/SER_summary!Y$27)</f>
        <v>7.763585677217602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114.5795088373212</v>
      </c>
      <c r="D5" s="132">
        <f>IF(SER_hh_emih_in!D5=0,0,SER_hh_emih_in!D5/SER_summary!D$27)</f>
        <v>113.21516158285907</v>
      </c>
      <c r="E5" s="132">
        <f>IF(SER_hh_emih_in!E5=0,0,SER_hh_emih_in!E5/SER_summary!E$27)</f>
        <v>113.9974328955028</v>
      </c>
      <c r="F5" s="132">
        <f>IF(SER_hh_emih_in!F5=0,0,SER_hh_emih_in!F5/SER_summary!F$27)</f>
        <v>114.93997335428264</v>
      </c>
      <c r="G5" s="132">
        <f>IF(SER_hh_emih_in!G5=0,0,SER_hh_emih_in!G5/SER_summary!G$27)</f>
        <v>97.83462715396621</v>
      </c>
      <c r="H5" s="132">
        <f>IF(SER_hh_emih_in!H5=0,0,SER_hh_emih_in!H5/SER_summary!H$27)</f>
        <v>101.80187300432918</v>
      </c>
      <c r="I5" s="132">
        <f>IF(SER_hh_emih_in!I5=0,0,SER_hh_emih_in!I5/SER_summary!I$27)</f>
        <v>101.43267515489873</v>
      </c>
      <c r="J5" s="132">
        <f>IF(SER_hh_emih_in!J5=0,0,SER_hh_emih_in!J5/SER_summary!J$27)</f>
        <v>85.132303753416565</v>
      </c>
      <c r="K5" s="132">
        <f>IF(SER_hh_emih_in!K5=0,0,SER_hh_emih_in!K5/SER_summary!K$27)</f>
        <v>62.289963490482236</v>
      </c>
      <c r="L5" s="132">
        <f>IF(SER_hh_emih_in!L5=0,0,SER_hh_emih_in!L5/SER_summary!L$27)</f>
        <v>83.168349153359529</v>
      </c>
      <c r="M5" s="132">
        <f>IF(SER_hh_emih_in!M5=0,0,SER_hh_emih_in!M5/SER_summary!M$27)</f>
        <v>77.220371833575811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14.40868696628519</v>
      </c>
      <c r="Y5" s="132">
        <f>IF(SER_hh_emih_in!Y5=0,0,SER_hh_emih_in!Y5/SER_summary!Y$27)</f>
        <v>30.057381449453704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111.99665033155891</v>
      </c>
      <c r="D7" s="132">
        <f>IF(SER_hh_emih_in!D7=0,0,SER_hh_emih_in!D7/SER_summary!D$27)</f>
        <v>105.88631330943723</v>
      </c>
      <c r="E7" s="132">
        <f>IF(SER_hh_emih_in!E7=0,0,SER_hh_emih_in!E7/SER_summary!E$27)</f>
        <v>111.7211053879499</v>
      </c>
      <c r="F7" s="132">
        <f>IF(SER_hh_emih_in!F7=0,0,SER_hh_emih_in!F7/SER_summary!F$27)</f>
        <v>110.92448925959559</v>
      </c>
      <c r="G7" s="132">
        <f>IF(SER_hh_emih_in!G7=0,0,SER_hh_emih_in!G7/SER_summary!G$27)</f>
        <v>87.347401612114908</v>
      </c>
      <c r="H7" s="132">
        <f>IF(SER_hh_emih_in!H7=0,0,SER_hh_emih_in!H7/SER_summary!H$27)</f>
        <v>110.50838247132947</v>
      </c>
      <c r="I7" s="132">
        <f>IF(SER_hh_emih_in!I7=0,0,SER_hh_emih_in!I7/SER_summary!I$27)</f>
        <v>88.950875526937281</v>
      </c>
      <c r="J7" s="132">
        <f>IF(SER_hh_emih_in!J7=0,0,SER_hh_emih_in!J7/SER_summary!J$27)</f>
        <v>73.56830402306494</v>
      </c>
      <c r="K7" s="132">
        <f>IF(SER_hh_emih_in!K7=0,0,SER_hh_emih_in!K7/SER_summary!K$27)</f>
        <v>68.005090440423245</v>
      </c>
      <c r="L7" s="132">
        <f>IF(SER_hh_emih_in!L7=0,0,SER_hh_emih_in!L7/SER_summary!L$27)</f>
        <v>65.51722615611672</v>
      </c>
      <c r="M7" s="132">
        <f>IF(SER_hh_emih_in!M7=0,0,SER_hh_emih_in!M7/SER_summary!M$27)</f>
        <v>52.124187614888335</v>
      </c>
      <c r="N7" s="132">
        <f>IF(SER_hh_emih_in!N7=0,0,SER_hh_emih_in!N7/SER_summary!N$27)</f>
        <v>63.597841976165292</v>
      </c>
      <c r="O7" s="132">
        <f>IF(SER_hh_emih_in!O7=0,0,SER_hh_emih_in!O7/SER_summary!O$27)</f>
        <v>55.814836581852198</v>
      </c>
      <c r="P7" s="132">
        <f>IF(SER_hh_emih_in!P7=0,0,SER_hh_emih_in!P7/SER_summary!P$27)</f>
        <v>52.407129384147794</v>
      </c>
      <c r="Q7" s="132">
        <f>IF(SER_hh_emih_in!Q7=0,0,SER_hh_emih_in!Q7/SER_summary!Q$27)</f>
        <v>50.803153182515913</v>
      </c>
      <c r="R7" s="132">
        <f>IF(SER_hh_emih_in!R7=0,0,SER_hh_emih_in!R7/SER_summary!R$27)</f>
        <v>0</v>
      </c>
      <c r="S7" s="132">
        <f>IF(SER_hh_emih_in!S7=0,0,SER_hh_emih_in!S7/SER_summary!S$27)</f>
        <v>0</v>
      </c>
      <c r="T7" s="132">
        <f>IF(SER_hh_emih_in!T7=0,0,SER_hh_emih_in!T7/SER_summary!T$27)</f>
        <v>39.325814450716322</v>
      </c>
      <c r="U7" s="132">
        <f>IF(SER_hh_emih_in!U7=0,0,SER_hh_emih_in!U7/SER_summary!U$27)</f>
        <v>28.014483489464954</v>
      </c>
      <c r="V7" s="132">
        <f>IF(SER_hh_emih_in!V7=0,0,SER_hh_emih_in!V7/SER_summary!V$27)</f>
        <v>28.071639394289573</v>
      </c>
      <c r="W7" s="132">
        <f>IF(SER_hh_emih_in!W7=0,0,SER_hh_emih_in!W7/SER_summary!W$27)</f>
        <v>30.43533683343459</v>
      </c>
      <c r="X7" s="132">
        <f>IF(SER_hh_emih_in!X7=0,0,SER_hh_emih_in!X7/SER_summary!X$27)</f>
        <v>19.080474539993347</v>
      </c>
      <c r="Y7" s="132">
        <f>IF(SER_hh_emih_in!Y7=0,0,SER_hh_emih_in!Y7/SER_summary!Y$27)</f>
        <v>21.020402757088945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66.393735241072591</v>
      </c>
      <c r="D9" s="132">
        <f>IF(SER_hh_emih_in!D9=0,0,SER_hh_emih_in!D9/SER_summary!D$27)</f>
        <v>80.725525781269894</v>
      </c>
      <c r="E9" s="132">
        <f>IF(SER_hh_emih_in!E9=0,0,SER_hh_emih_in!E9/SER_summary!E$27)</f>
        <v>73.564259786437361</v>
      </c>
      <c r="F9" s="132">
        <f>IF(SER_hh_emih_in!F9=0,0,SER_hh_emih_in!F9/SER_summary!F$27)</f>
        <v>75.628276491443089</v>
      </c>
      <c r="G9" s="132">
        <f>IF(SER_hh_emih_in!G9=0,0,SER_hh_emih_in!G9/SER_summary!G$27)</f>
        <v>68.967962635343483</v>
      </c>
      <c r="H9" s="132">
        <f>IF(SER_hh_emih_in!H9=0,0,SER_hh_emih_in!H9/SER_summary!H$27)</f>
        <v>66.609089571159757</v>
      </c>
      <c r="I9" s="132">
        <f>IF(SER_hh_emih_in!I9=0,0,SER_hh_emih_in!I9/SER_summary!I$27)</f>
        <v>66.420143123562369</v>
      </c>
      <c r="J9" s="132">
        <f>IF(SER_hh_emih_in!J9=0,0,SER_hh_emih_in!J9/SER_summary!J$27)</f>
        <v>57.103756852512639</v>
      </c>
      <c r="K9" s="132">
        <f>IF(SER_hh_emih_in!K9=0,0,SER_hh_emih_in!K9/SER_summary!K$27)</f>
        <v>48.781599304565567</v>
      </c>
      <c r="L9" s="132">
        <f>IF(SER_hh_emih_in!L9=0,0,SER_hh_emih_in!L9/SER_summary!L$27)</f>
        <v>49.49933817059501</v>
      </c>
      <c r="M9" s="132">
        <f>IF(SER_hh_emih_in!M9=0,0,SER_hh_emih_in!M9/SER_summary!M$27)</f>
        <v>43.569252614466912</v>
      </c>
      <c r="N9" s="132">
        <f>IF(SER_hh_emih_in!N9=0,0,SER_hh_emih_in!N9/SER_summary!N$27)</f>
        <v>0</v>
      </c>
      <c r="O9" s="132">
        <f>IF(SER_hh_emih_in!O9=0,0,SER_hh_emih_in!O9/SER_summary!O$27)</f>
        <v>0</v>
      </c>
      <c r="P9" s="132">
        <f>IF(SER_hh_emih_in!P9=0,0,SER_hh_emih_in!P9/SER_summary!P$27)</f>
        <v>36.027418456027839</v>
      </c>
      <c r="Q9" s="132">
        <f>IF(SER_hh_emih_in!Q9=0,0,SER_hh_emih_in!Q9/SER_summary!Q$27)</f>
        <v>30.089670715797794</v>
      </c>
      <c r="R9" s="132">
        <f>IF(SER_hh_emih_in!R9=0,0,SER_hh_emih_in!R9/SER_summary!R$27)</f>
        <v>29.62501568265029</v>
      </c>
      <c r="S9" s="132">
        <f>IF(SER_hh_emih_in!S9=0,0,SER_hh_emih_in!S9/SER_summary!S$27)</f>
        <v>28.490001495908786</v>
      </c>
      <c r="T9" s="132">
        <f>IF(SER_hh_emih_in!T9=0,0,SER_hh_emih_in!T9/SER_summary!T$27)</f>
        <v>26.160043585149857</v>
      </c>
      <c r="U9" s="132">
        <f>IF(SER_hh_emih_in!U9=0,0,SER_hh_emih_in!U9/SER_summary!U$27)</f>
        <v>24.195267400767275</v>
      </c>
      <c r="V9" s="132">
        <f>IF(SER_hh_emih_in!V9=0,0,SER_hh_emih_in!V9/SER_summary!V$27)</f>
        <v>21.72792344176991</v>
      </c>
      <c r="W9" s="132">
        <f>IF(SER_hh_emih_in!W9=0,0,SER_hh_emih_in!W9/SER_summary!W$27)</f>
        <v>18.869127226353694</v>
      </c>
      <c r="X9" s="132">
        <f>IF(SER_hh_emih_in!X9=0,0,SER_hh_emih_in!X9/SER_summary!X$27)</f>
        <v>14.430199236609713</v>
      </c>
      <c r="Y9" s="132">
        <f>IF(SER_hh_emih_in!Y9=0,0,SER_hh_emih_in!Y9/SER_summary!Y$27)</f>
        <v>13.454283409972817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0</v>
      </c>
      <c r="D16" s="130">
        <f>IF(SER_hh_emih_in!D16=0,0,SER_hh_emih_in!D16/SER_summary!D$27)</f>
        <v>0</v>
      </c>
      <c r="E16" s="130">
        <f>IF(SER_hh_emih_in!E16=0,0,SER_hh_emih_in!E16/SER_summary!E$27)</f>
        <v>0</v>
      </c>
      <c r="F16" s="130">
        <f>IF(SER_hh_emih_in!F16=0,0,SER_hh_emih_in!F16/SER_summary!F$27)</f>
        <v>0</v>
      </c>
      <c r="G16" s="130">
        <f>IF(SER_hh_emih_in!G16=0,0,SER_hh_emih_in!G16/SER_summary!G$27)</f>
        <v>0</v>
      </c>
      <c r="H16" s="130">
        <f>IF(SER_hh_emih_in!H16=0,0,SER_hh_emih_in!H16/SER_summary!H$27)</f>
        <v>0</v>
      </c>
      <c r="I16" s="130">
        <f>IF(SER_hh_emih_in!I16=0,0,SER_hh_emih_in!I16/SER_summary!I$27)</f>
        <v>0</v>
      </c>
      <c r="J16" s="130">
        <f>IF(SER_hh_emih_in!J16=0,0,SER_hh_emih_in!J16/SER_summary!J$27)</f>
        <v>0</v>
      </c>
      <c r="K16" s="130">
        <f>IF(SER_hh_emih_in!K16=0,0,SER_hh_emih_in!K16/SER_summary!K$27)</f>
        <v>0</v>
      </c>
      <c r="L16" s="130">
        <f>IF(SER_hh_emih_in!L16=0,0,SER_hh_emih_in!L16/SER_summary!L$27)</f>
        <v>0</v>
      </c>
      <c r="M16" s="130">
        <f>IF(SER_hh_emih_in!M16=0,0,SER_hh_emih_in!M16/SER_summary!M$27)</f>
        <v>0</v>
      </c>
      <c r="N16" s="130">
        <f>IF(SER_hh_emih_in!N16=0,0,SER_hh_emih_in!N16/SER_summary!N$27)</f>
        <v>0</v>
      </c>
      <c r="O16" s="130">
        <f>IF(SER_hh_emih_in!O16=0,0,SER_hh_emih_in!O16/SER_summary!O$27)</f>
        <v>0</v>
      </c>
      <c r="P16" s="130">
        <f>IF(SER_hh_emih_in!P16=0,0,SER_hh_emih_in!P16/SER_summary!P$27)</f>
        <v>0</v>
      </c>
      <c r="Q16" s="130">
        <f>IF(SER_hh_emih_in!Q16=0,0,SER_hh_emih_in!Q16/SER_summary!Q$27)</f>
        <v>0</v>
      </c>
      <c r="R16" s="130">
        <f>IF(SER_hh_emih_in!R16=0,0,SER_hh_emih_in!R16/SER_summary!R$27)</f>
        <v>0</v>
      </c>
      <c r="S16" s="130">
        <f>IF(SER_hh_emih_in!S16=0,0,SER_hh_emih_in!S16/SER_summary!S$27)</f>
        <v>0</v>
      </c>
      <c r="T16" s="130">
        <f>IF(SER_hh_emih_in!T16=0,0,SER_hh_emih_in!T16/SER_summary!T$27)</f>
        <v>0</v>
      </c>
      <c r="U16" s="130">
        <f>IF(SER_hh_emih_in!U16=0,0,SER_hh_emih_in!U16/SER_summary!U$27)</f>
        <v>0</v>
      </c>
      <c r="V16" s="130">
        <f>IF(SER_hh_emih_in!V16=0,0,SER_hh_emih_in!V16/SER_summary!V$27)</f>
        <v>0</v>
      </c>
      <c r="W16" s="130">
        <f>IF(SER_hh_emih_in!W16=0,0,SER_hh_emih_in!W16/SER_summary!W$27)</f>
        <v>0</v>
      </c>
      <c r="X16" s="130">
        <f>IF(SER_hh_emih_in!X16=0,0,SER_hh_emih_in!X16/SER_summary!X$27)</f>
        <v>0</v>
      </c>
      <c r="Y16" s="130">
        <f>IF(SER_hh_emih_in!Y16=0,0,SER_hh_emih_in!Y16/SER_summary!Y$27)</f>
        <v>0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0</v>
      </c>
      <c r="D17" s="132">
        <f>IF(SER_hh_emih_in!D17=0,0,SER_hh_emih_in!D17/SER_summary!D$27)</f>
        <v>0</v>
      </c>
      <c r="E17" s="132">
        <f>IF(SER_hh_emih_in!E17=0,0,SER_hh_emih_in!E17/SER_summary!E$27)</f>
        <v>0</v>
      </c>
      <c r="F17" s="132">
        <f>IF(SER_hh_emih_in!F17=0,0,SER_hh_emih_in!F17/SER_summary!F$27)</f>
        <v>0</v>
      </c>
      <c r="G17" s="132">
        <f>IF(SER_hh_emih_in!G17=0,0,SER_hh_emih_in!G17/SER_summary!G$27)</f>
        <v>0</v>
      </c>
      <c r="H17" s="132">
        <f>IF(SER_hh_emih_in!H17=0,0,SER_hh_emih_in!H17/SER_summary!H$27)</f>
        <v>0</v>
      </c>
      <c r="I17" s="132">
        <f>IF(SER_hh_emih_in!I17=0,0,SER_hh_emih_in!I17/SER_summary!I$27)</f>
        <v>0</v>
      </c>
      <c r="J17" s="132">
        <f>IF(SER_hh_emih_in!J17=0,0,SER_hh_emih_in!J17/SER_summary!J$27)</f>
        <v>0</v>
      </c>
      <c r="K17" s="132">
        <f>IF(SER_hh_emih_in!K17=0,0,SER_hh_emih_in!K17/SER_summary!K$27)</f>
        <v>0</v>
      </c>
      <c r="L17" s="132">
        <f>IF(SER_hh_emih_in!L17=0,0,SER_hh_emih_in!L17/SER_summary!L$27)</f>
        <v>0</v>
      </c>
      <c r="M17" s="132">
        <f>IF(SER_hh_emih_in!M17=0,0,SER_hh_emih_in!M17/SER_summary!M$27)</f>
        <v>0</v>
      </c>
      <c r="N17" s="132">
        <f>IF(SER_hh_emih_in!N17=0,0,SER_hh_emih_in!N17/SER_summary!N$27)</f>
        <v>0</v>
      </c>
      <c r="O17" s="132">
        <f>IF(SER_hh_emih_in!O17=0,0,SER_hh_emih_in!O17/SER_summary!O$27)</f>
        <v>0</v>
      </c>
      <c r="P17" s="132">
        <f>IF(SER_hh_emih_in!P17=0,0,SER_hh_emih_in!P17/SER_summary!P$27)</f>
        <v>0</v>
      </c>
      <c r="Q17" s="132">
        <f>IF(SER_hh_emih_in!Q17=0,0,SER_hh_emih_in!Q17/SER_summary!Q$27)</f>
        <v>0</v>
      </c>
      <c r="R17" s="132">
        <f>IF(SER_hh_emih_in!R17=0,0,SER_hh_emih_in!R17/SER_summary!R$27)</f>
        <v>0</v>
      </c>
      <c r="S17" s="132">
        <f>IF(SER_hh_emih_in!S17=0,0,SER_hh_emih_in!S17/SER_summary!S$27)</f>
        <v>0</v>
      </c>
      <c r="T17" s="132">
        <f>IF(SER_hh_emih_in!T17=0,0,SER_hh_emih_in!T17/SER_summary!T$27)</f>
        <v>0</v>
      </c>
      <c r="U17" s="132">
        <f>IF(SER_hh_emih_in!U17=0,0,SER_hh_emih_in!U17/SER_summary!U$27)</f>
        <v>0</v>
      </c>
      <c r="V17" s="132">
        <f>IF(SER_hh_emih_in!V17=0,0,SER_hh_emih_in!V17/SER_summary!V$27)</f>
        <v>0</v>
      </c>
      <c r="W17" s="132">
        <f>IF(SER_hh_emih_in!W17=0,0,SER_hh_emih_in!W17/SER_summary!W$27)</f>
        <v>0</v>
      </c>
      <c r="X17" s="132">
        <f>IF(SER_hh_emih_in!X17=0,0,SER_hh_emih_in!X17/SER_summary!X$27)</f>
        <v>0</v>
      </c>
      <c r="Y17" s="132">
        <f>IF(SER_hh_emih_in!Y17=0,0,SER_hh_emih_in!Y17/SER_summary!Y$27)</f>
        <v>0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1.8029054861523881</v>
      </c>
      <c r="D19" s="130">
        <f>IF(SER_hh_emih_in!D19=0,0,SER_hh_emih_in!D19/SER_summary!D$27)</f>
        <v>2.338059374854192</v>
      </c>
      <c r="E19" s="130">
        <f>IF(SER_hh_emih_in!E19=0,0,SER_hh_emih_in!E19/SER_summary!E$27)</f>
        <v>2.0099644190668382</v>
      </c>
      <c r="F19" s="130">
        <f>IF(SER_hh_emih_in!F19=0,0,SER_hh_emih_in!F19/SER_summary!F$27)</f>
        <v>1.7505214759531986</v>
      </c>
      <c r="G19" s="130">
        <f>IF(SER_hh_emih_in!G19=0,0,SER_hh_emih_in!G19/SER_summary!G$27)</f>
        <v>1.9718069319835212</v>
      </c>
      <c r="H19" s="130">
        <f>IF(SER_hh_emih_in!H19=0,0,SER_hh_emih_in!H19/SER_summary!H$27)</f>
        <v>1.6698203321204945</v>
      </c>
      <c r="I19" s="130">
        <f>IF(SER_hh_emih_in!I19=0,0,SER_hh_emih_in!I19/SER_summary!I$27)</f>
        <v>1.5861387456279215</v>
      </c>
      <c r="J19" s="130">
        <f>IF(SER_hh_emih_in!J19=0,0,SER_hh_emih_in!J19/SER_summary!J$27)</f>
        <v>2.3127390906354073</v>
      </c>
      <c r="K19" s="130">
        <f>IF(SER_hh_emih_in!K19=0,0,SER_hh_emih_in!K19/SER_summary!K$27)</f>
        <v>2.5332475039000451</v>
      </c>
      <c r="L19" s="130">
        <f>IF(SER_hh_emih_in!L19=0,0,SER_hh_emih_in!L19/SER_summary!L$27)</f>
        <v>2.6550572728975119</v>
      </c>
      <c r="M19" s="130">
        <f>IF(SER_hh_emih_in!M19=0,0,SER_hh_emih_in!M19/SER_summary!M$27)</f>
        <v>1.8375157310811236</v>
      </c>
      <c r="N19" s="130">
        <f>IF(SER_hh_emih_in!N19=0,0,SER_hh_emih_in!N19/SER_summary!N$27)</f>
        <v>2.4586826447391603</v>
      </c>
      <c r="O19" s="130">
        <f>IF(SER_hh_emih_in!O19=0,0,SER_hh_emih_in!O19/SER_summary!O$27)</f>
        <v>1.8047962510216706</v>
      </c>
      <c r="P19" s="130">
        <f>IF(SER_hh_emih_in!P19=0,0,SER_hh_emih_in!P19/SER_summary!P$27)</f>
        <v>1.7958006731782452</v>
      </c>
      <c r="Q19" s="130">
        <f>IF(SER_hh_emih_in!Q19=0,0,SER_hh_emih_in!Q19/SER_summary!Q$27)</f>
        <v>1.3797524614844052</v>
      </c>
      <c r="R19" s="130">
        <f>IF(SER_hh_emih_in!R19=0,0,SER_hh_emih_in!R19/SER_summary!R$27)</f>
        <v>1.3581591810090108</v>
      </c>
      <c r="S19" s="130">
        <f>IF(SER_hh_emih_in!S19=0,0,SER_hh_emih_in!S19/SER_summary!S$27)</f>
        <v>1.1742127753404732</v>
      </c>
      <c r="T19" s="130">
        <f>IF(SER_hh_emih_in!T19=0,0,SER_hh_emih_in!T19/SER_summary!T$27)</f>
        <v>1.2746892058729182</v>
      </c>
      <c r="U19" s="130">
        <f>IF(SER_hh_emih_in!U19=0,0,SER_hh_emih_in!U19/SER_summary!U$27)</f>
        <v>1.3378785321452449</v>
      </c>
      <c r="V19" s="130">
        <f>IF(SER_hh_emih_in!V19=0,0,SER_hh_emih_in!V19/SER_summary!V$27)</f>
        <v>1.4604964049812192</v>
      </c>
      <c r="W19" s="130">
        <f>IF(SER_hh_emih_in!W19=0,0,SER_hh_emih_in!W19/SER_summary!W$27)</f>
        <v>1.1027929502286837</v>
      </c>
      <c r="X19" s="130">
        <f>IF(SER_hh_emih_in!X19=0,0,SER_hh_emih_in!X19/SER_summary!X$27)</f>
        <v>0.92089769631713858</v>
      </c>
      <c r="Y19" s="130">
        <f>IF(SER_hh_emih_in!Y19=0,0,SER_hh_emih_in!Y19/SER_summary!Y$27)</f>
        <v>0.9838814424621749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0</v>
      </c>
      <c r="D21" s="132">
        <f>IF(SER_hh_emih_in!D21=0,0,SER_hh_emih_in!D21/SER_summary!D$27)</f>
        <v>0</v>
      </c>
      <c r="E21" s="132">
        <f>IF(SER_hh_emih_in!E21=0,0,SER_hh_emih_in!E21/SER_summary!E$27)</f>
        <v>0</v>
      </c>
      <c r="F21" s="132">
        <f>IF(SER_hh_emih_in!F21=0,0,SER_hh_emih_in!F21/SER_summary!F$27)</f>
        <v>0</v>
      </c>
      <c r="G21" s="132">
        <f>IF(SER_hh_emih_in!G21=0,0,SER_hh_emih_in!G21/SER_summary!G$27)</f>
        <v>0</v>
      </c>
      <c r="H21" s="132">
        <f>IF(SER_hh_emih_in!H21=0,0,SER_hh_emih_in!H21/SER_summary!H$27)</f>
        <v>0</v>
      </c>
      <c r="I21" s="132">
        <f>IF(SER_hh_emih_in!I21=0,0,SER_hh_emih_in!I21/SER_summary!I$27)</f>
        <v>0</v>
      </c>
      <c r="J21" s="132">
        <f>IF(SER_hh_emih_in!J21=0,0,SER_hh_emih_in!J21/SER_summary!J$27)</f>
        <v>0</v>
      </c>
      <c r="K21" s="132">
        <f>IF(SER_hh_emih_in!K21=0,0,SER_hh_emih_in!K21/SER_summary!K$27)</f>
        <v>0</v>
      </c>
      <c r="L21" s="132">
        <f>IF(SER_hh_emih_in!L21=0,0,SER_hh_emih_in!L21/SER_summary!L$27)</f>
        <v>0</v>
      </c>
      <c r="M21" s="132">
        <f>IF(SER_hh_emih_in!M21=0,0,SER_hh_emih_in!M21/SER_summary!M$27)</f>
        <v>0</v>
      </c>
      <c r="N21" s="132">
        <f>IF(SER_hh_emih_in!N21=0,0,SER_hh_emih_in!N21/SER_summary!N$27)</f>
        <v>0</v>
      </c>
      <c r="O21" s="132">
        <f>IF(SER_hh_emih_in!O21=0,0,SER_hh_emih_in!O21/SER_summary!O$27)</f>
        <v>0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0</v>
      </c>
      <c r="S21" s="132">
        <f>IF(SER_hh_emih_in!S21=0,0,SER_hh_emih_in!S21/SER_summary!S$27)</f>
        <v>0</v>
      </c>
      <c r="T21" s="132">
        <f>IF(SER_hh_emih_in!T21=0,0,SER_hh_emih_in!T21/SER_summary!T$27)</f>
        <v>0</v>
      </c>
      <c r="U21" s="132">
        <f>IF(SER_hh_emih_in!U21=0,0,SER_hh_emih_in!U21/SER_summary!U$27)</f>
        <v>0</v>
      </c>
      <c r="V21" s="132">
        <f>IF(SER_hh_emih_in!V21=0,0,SER_hh_emih_in!V21/SER_summary!V$27)</f>
        <v>0</v>
      </c>
      <c r="W21" s="132">
        <f>IF(SER_hh_emih_in!W21=0,0,SER_hh_emih_in!W21/SER_summary!W$27)</f>
        <v>0</v>
      </c>
      <c r="X21" s="132">
        <f>IF(SER_hh_emih_in!X21=0,0,SER_hh_emih_in!X21/SER_summary!X$27)</f>
        <v>0</v>
      </c>
      <c r="Y21" s="132">
        <f>IF(SER_hh_emih_in!Y21=0,0,SER_hh_emih_in!Y21/SER_summary!Y$27)</f>
        <v>0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13.53320727838687</v>
      </c>
      <c r="D22" s="132">
        <f>IF(SER_hh_emih_in!D22=0,0,SER_hh_emih_in!D22/SER_summary!D$27)</f>
        <v>13.283777401732648</v>
      </c>
      <c r="E22" s="132">
        <f>IF(SER_hh_emih_in!E22=0,0,SER_hh_emih_in!E22/SER_summary!E$27)</f>
        <v>13.159332766650147</v>
      </c>
      <c r="F22" s="132">
        <f>IF(SER_hh_emih_in!F22=0,0,SER_hh_emih_in!F22/SER_summary!F$27)</f>
        <v>12.92790757050396</v>
      </c>
      <c r="G22" s="132">
        <f>IF(SER_hh_emih_in!G22=0,0,SER_hh_emih_in!G22/SER_summary!G$27)</f>
        <v>12.871013546883718</v>
      </c>
      <c r="H22" s="132">
        <f>IF(SER_hh_emih_in!H22=0,0,SER_hh_emih_in!H22/SER_summary!H$27)</f>
        <v>13.065097120792615</v>
      </c>
      <c r="I22" s="132">
        <f>IF(SER_hh_emih_in!I22=0,0,SER_hh_emih_in!I22/SER_summary!I$27)</f>
        <v>12.561501289916906</v>
      </c>
      <c r="J22" s="132">
        <f>IF(SER_hh_emih_in!J22=0,0,SER_hh_emih_in!J22/SER_summary!J$27)</f>
        <v>12.7597912122712</v>
      </c>
      <c r="K22" s="132">
        <f>IF(SER_hh_emih_in!K22=0,0,SER_hh_emih_in!K22/SER_summary!K$27)</f>
        <v>12.523012261977978</v>
      </c>
      <c r="L22" s="132">
        <f>IF(SER_hh_emih_in!L22=0,0,SER_hh_emih_in!L22/SER_summary!L$27)</f>
        <v>12.318760171328043</v>
      </c>
      <c r="M22" s="132">
        <f>IF(SER_hh_emih_in!M22=0,0,SER_hh_emih_in!M22/SER_summary!M$27)</f>
        <v>12.189323800555284</v>
      </c>
      <c r="N22" s="132">
        <f>IF(SER_hh_emih_in!N22=0,0,SER_hh_emih_in!N22/SER_summary!N$27)</f>
        <v>11.827757765754166</v>
      </c>
      <c r="O22" s="132">
        <f>IF(SER_hh_emih_in!O22=0,0,SER_hh_emih_in!O22/SER_summary!O$27)</f>
        <v>11.323378815302588</v>
      </c>
      <c r="P22" s="132">
        <f>IF(SER_hh_emih_in!P22=0,0,SER_hh_emih_in!P22/SER_summary!P$27)</f>
        <v>10.616351625128127</v>
      </c>
      <c r="Q22" s="132">
        <f>IF(SER_hh_emih_in!Q22=0,0,SER_hh_emih_in!Q22/SER_summary!Q$27)</f>
        <v>10.197600656007387</v>
      </c>
      <c r="R22" s="132">
        <f>IF(SER_hh_emih_in!R22=0,0,SER_hh_emih_in!R22/SER_summary!R$27)</f>
        <v>9.8637321720741991</v>
      </c>
      <c r="S22" s="132">
        <f>IF(SER_hh_emih_in!S22=0,0,SER_hh_emih_in!S22/SER_summary!S$27)</f>
        <v>9.6502859706946005</v>
      </c>
      <c r="T22" s="132">
        <f>IF(SER_hh_emih_in!T22=0,0,SER_hh_emih_in!T22/SER_summary!T$27)</f>
        <v>9.3371495144938716</v>
      </c>
      <c r="U22" s="132">
        <f>IF(SER_hh_emih_in!U22=0,0,SER_hh_emih_in!U22/SER_summary!U$27)</f>
        <v>8.8047177829904992</v>
      </c>
      <c r="V22" s="132">
        <f>IF(SER_hh_emih_in!V22=0,0,SER_hh_emih_in!V22/SER_summary!V$27)</f>
        <v>7.8787561940044455</v>
      </c>
      <c r="W22" s="132">
        <f>IF(SER_hh_emih_in!W22=0,0,SER_hh_emih_in!W22/SER_summary!W$27)</f>
        <v>8.2679665472813308</v>
      </c>
      <c r="X22" s="132">
        <f>IF(SER_hh_emih_in!X22=0,0,SER_hh_emih_in!X22/SER_summary!X$27)</f>
        <v>8.1496848203521548</v>
      </c>
      <c r="Y22" s="132">
        <f>IF(SER_hh_emih_in!Y22=0,0,SER_hh_emih_in!Y22/SER_summary!Y$27)</f>
        <v>8.5065509733266875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9.0114703297217957</v>
      </c>
      <c r="D23" s="132">
        <f>IF(SER_hh_emih_in!D23=0,0,SER_hh_emih_in!D23/SER_summary!D$27)</f>
        <v>9.2746938449711376</v>
      </c>
      <c r="E23" s="132">
        <f>IF(SER_hh_emih_in!E23=0,0,SER_hh_emih_in!E23/SER_summary!E$27)</f>
        <v>8.7658297226378892</v>
      </c>
      <c r="F23" s="132">
        <f>IF(SER_hh_emih_in!F23=0,0,SER_hh_emih_in!F23/SER_summary!F$27)</f>
        <v>8.5117212937328031</v>
      </c>
      <c r="G23" s="132">
        <f>IF(SER_hh_emih_in!G23=0,0,SER_hh_emih_in!G23/SER_summary!G$27)</f>
        <v>8.7140691612922954</v>
      </c>
      <c r="H23" s="132">
        <f>IF(SER_hh_emih_in!H23=0,0,SER_hh_emih_in!H23/SER_summary!H$27)</f>
        <v>8.3524000011406301</v>
      </c>
      <c r="I23" s="132">
        <f>IF(SER_hh_emih_in!I23=0,0,SER_hh_emih_in!I23/SER_summary!I$27)</f>
        <v>8.1209472636350366</v>
      </c>
      <c r="J23" s="132">
        <f>IF(SER_hh_emih_in!J23=0,0,SER_hh_emih_in!J23/SER_summary!J$27)</f>
        <v>8.5481470984932297</v>
      </c>
      <c r="K23" s="132">
        <f>IF(SER_hh_emih_in!K23=0,0,SER_hh_emih_in!K23/SER_summary!K$27)</f>
        <v>8.5168117904134935</v>
      </c>
      <c r="L23" s="132">
        <f>IF(SER_hh_emih_in!L23=0,0,SER_hh_emih_in!L23/SER_summary!L$27)</f>
        <v>8.1339787692763981</v>
      </c>
      <c r="M23" s="132">
        <f>IF(SER_hh_emih_in!M23=0,0,SER_hh_emih_in!M23/SER_summary!M$27)</f>
        <v>8.0070553553918113</v>
      </c>
      <c r="N23" s="132">
        <f>IF(SER_hh_emih_in!N23=0,0,SER_hh_emih_in!N23/SER_summary!N$27)</f>
        <v>7.6820787894482843</v>
      </c>
      <c r="O23" s="132">
        <f>IF(SER_hh_emih_in!O23=0,0,SER_hh_emih_in!O23/SER_summary!O$27)</f>
        <v>7.3676852037094127</v>
      </c>
      <c r="P23" s="132">
        <f>IF(SER_hh_emih_in!P23=0,0,SER_hh_emih_in!P23/SER_summary!P$27)</f>
        <v>6.9455599725924877</v>
      </c>
      <c r="Q23" s="132">
        <f>IF(SER_hh_emih_in!Q23=0,0,SER_hh_emih_in!Q23/SER_summary!Q$27)</f>
        <v>6.7449267475179013</v>
      </c>
      <c r="R23" s="132">
        <f>IF(SER_hh_emih_in!R23=0,0,SER_hh_emih_in!R23/SER_summary!R$27)</f>
        <v>6.6630052566170175</v>
      </c>
      <c r="S23" s="132">
        <f>IF(SER_hh_emih_in!S23=0,0,SER_hh_emih_in!S23/SER_summary!S$27)</f>
        <v>6.6394825669268913</v>
      </c>
      <c r="T23" s="132">
        <f>IF(SER_hh_emih_in!T23=0,0,SER_hh_emih_in!T23/SER_summary!T$27)</f>
        <v>6.2906690366310807</v>
      </c>
      <c r="U23" s="132">
        <f>IF(SER_hh_emih_in!U23=0,0,SER_hh_emih_in!U23/SER_summary!U$27)</f>
        <v>6.102004753718866</v>
      </c>
      <c r="V23" s="132">
        <f>IF(SER_hh_emih_in!V23=0,0,SER_hh_emih_in!V23/SER_summary!V$27)</f>
        <v>5.9137719863809695</v>
      </c>
      <c r="W23" s="132">
        <f>IF(SER_hh_emih_in!W23=0,0,SER_hh_emih_in!W23/SER_summary!W$27)</f>
        <v>5.9714495674605317</v>
      </c>
      <c r="X23" s="132">
        <f>IF(SER_hh_emih_in!X23=0,0,SER_hh_emih_in!X23/SER_summary!X$27)</f>
        <v>5.9903838282655562</v>
      </c>
      <c r="Y23" s="132">
        <f>IF(SER_hh_emih_in!Y23=0,0,SER_hh_emih_in!Y23/SER_summary!Y$27)</f>
        <v>5.806387643034097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8.0499204874557915</v>
      </c>
      <c r="D29" s="130">
        <f>IF(SER_hh_emih_in!D29=0,0,SER_hh_emih_in!D29/SER_summary!D$27)</f>
        <v>4.6783483385342874</v>
      </c>
      <c r="E29" s="130">
        <f>IF(SER_hh_emih_in!E29=0,0,SER_hh_emih_in!E29/SER_summary!E$27)</f>
        <v>4.7114114748263791</v>
      </c>
      <c r="F29" s="130">
        <f>IF(SER_hh_emih_in!F29=0,0,SER_hh_emih_in!F29/SER_summary!F$27)</f>
        <v>2.0090272409016268</v>
      </c>
      <c r="G29" s="130">
        <f>IF(SER_hh_emih_in!G29=0,0,SER_hh_emih_in!G29/SER_summary!G$27)</f>
        <v>1.7670701297219393</v>
      </c>
      <c r="H29" s="130">
        <f>IF(SER_hh_emih_in!H29=0,0,SER_hh_emih_in!H29/SER_summary!H$27)</f>
        <v>1.5493622294707812</v>
      </c>
      <c r="I29" s="130">
        <f>IF(SER_hh_emih_in!I29=0,0,SER_hh_emih_in!I29/SER_summary!I$27)</f>
        <v>1.8642977012517012</v>
      </c>
      <c r="J29" s="130">
        <f>IF(SER_hh_emih_in!J29=0,0,SER_hh_emih_in!J29/SER_summary!J$27)</f>
        <v>2.2189943605012319</v>
      </c>
      <c r="K29" s="130">
        <f>IF(SER_hh_emih_in!K29=0,0,SER_hh_emih_in!K29/SER_summary!K$27)</f>
        <v>2.3969352447840491</v>
      </c>
      <c r="L29" s="130">
        <f>IF(SER_hh_emih_in!L29=0,0,SER_hh_emih_in!L29/SER_summary!L$27)</f>
        <v>1.6590505892221001</v>
      </c>
      <c r="M29" s="130">
        <f>IF(SER_hh_emih_in!M29=0,0,SER_hh_emih_in!M29/SER_summary!M$27)</f>
        <v>0.30960374807304625</v>
      </c>
      <c r="N29" s="130">
        <f>IF(SER_hh_emih_in!N29=0,0,SER_hh_emih_in!N29/SER_summary!N$27)</f>
        <v>1.3743936178166958</v>
      </c>
      <c r="O29" s="130">
        <f>IF(SER_hh_emih_in!O29=0,0,SER_hh_emih_in!O29/SER_summary!O$27)</f>
        <v>2.0178766399899049</v>
      </c>
      <c r="P29" s="130">
        <f>IF(SER_hh_emih_in!P29=0,0,SER_hh_emih_in!P29/SER_summary!P$27)</f>
        <v>3.2969308907267876</v>
      </c>
      <c r="Q29" s="130">
        <f>IF(SER_hh_emih_in!Q29=0,0,SER_hh_emih_in!Q29/SER_summary!Q$27)</f>
        <v>3.2187397801043982</v>
      </c>
      <c r="R29" s="130">
        <f>IF(SER_hh_emih_in!R29=0,0,SER_hh_emih_in!R29/SER_summary!R$27)</f>
        <v>5.1129085422018665</v>
      </c>
      <c r="S29" s="130">
        <f>IF(SER_hh_emih_in!S29=0,0,SER_hh_emih_in!S29/SER_summary!S$27)</f>
        <v>4.8066575907308948</v>
      </c>
      <c r="T29" s="130">
        <f>IF(SER_hh_emih_in!T29=0,0,SER_hh_emih_in!T29/SER_summary!T$27)</f>
        <v>3.3972082305826063</v>
      </c>
      <c r="U29" s="130">
        <f>IF(SER_hh_emih_in!U29=0,0,SER_hh_emih_in!U29/SER_summary!U$27)</f>
        <v>2.9834869003865143</v>
      </c>
      <c r="V29" s="130">
        <f>IF(SER_hh_emih_in!V29=0,0,SER_hh_emih_in!V29/SER_summary!V$27)</f>
        <v>3.1026693432686989</v>
      </c>
      <c r="W29" s="130">
        <f>IF(SER_hh_emih_in!W29=0,0,SER_hh_emih_in!W29/SER_summary!W$27)</f>
        <v>2.2385383611447573</v>
      </c>
      <c r="X29" s="130">
        <f>IF(SER_hh_emih_in!X29=0,0,SER_hh_emih_in!X29/SER_summary!X$27)</f>
        <v>3.9906508339024991</v>
      </c>
      <c r="Y29" s="130">
        <f>IF(SER_hh_emih_in!Y29=0,0,SER_hh_emih_in!Y29/SER_summary!Y$27)</f>
        <v>2.6356513894527072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20.25728773605594</v>
      </c>
      <c r="D30" s="132">
        <f>IF(SER_hh_emih_in!D30=0,0,SER_hh_emih_in!D30/SER_summary!D$27)</f>
        <v>6.3740702589048821</v>
      </c>
      <c r="E30" s="132">
        <f>IF(SER_hh_emih_in!E30=0,0,SER_hh_emih_in!E30/SER_summary!E$27)</f>
        <v>16.524181399428485</v>
      </c>
      <c r="F30" s="132">
        <f>IF(SER_hh_emih_in!F30=0,0,SER_hh_emih_in!F30/SER_summary!F$27)</f>
        <v>11.993023787106182</v>
      </c>
      <c r="G30" s="132">
        <f>IF(SER_hh_emih_in!G30=0,0,SER_hh_emih_in!G30/SER_summary!G$27)</f>
        <v>11.648215106830643</v>
      </c>
      <c r="H30" s="132">
        <f>IF(SER_hh_emih_in!H30=0,0,SER_hh_emih_in!H30/SER_summary!H$27)</f>
        <v>0</v>
      </c>
      <c r="I30" s="132">
        <f>IF(SER_hh_emih_in!I30=0,0,SER_hh_emih_in!I30/SER_summary!I$27)</f>
        <v>0</v>
      </c>
      <c r="J30" s="132">
        <f>IF(SER_hh_emih_in!J30=0,0,SER_hh_emih_in!J30/SER_summary!J$27)</f>
        <v>0</v>
      </c>
      <c r="K30" s="132">
        <f>IF(SER_hh_emih_in!K30=0,0,SER_hh_emih_in!K30/SER_summary!K$27)</f>
        <v>0</v>
      </c>
      <c r="L30" s="132">
        <f>IF(SER_hh_emih_in!L30=0,0,SER_hh_emih_in!L30/SER_summary!L$27)</f>
        <v>0</v>
      </c>
      <c r="M30" s="132">
        <f>IF(SER_hh_emih_in!M30=0,0,SER_hh_emih_in!M30/SER_summary!M$27)</f>
        <v>0</v>
      </c>
      <c r="N30" s="132">
        <f>IF(SER_hh_emih_in!N30=0,0,SER_hh_emih_in!N30/SER_summary!N$27)</f>
        <v>12.843313600011832</v>
      </c>
      <c r="O30" s="132">
        <f>IF(SER_hh_emih_in!O30=0,0,SER_hh_emih_in!O30/SER_summary!O$27)</f>
        <v>11.153893605628395</v>
      </c>
      <c r="P30" s="132">
        <f>IF(SER_hh_emih_in!P30=0,0,SER_hh_emih_in!P30/SER_summary!P$27)</f>
        <v>12.596642860149423</v>
      </c>
      <c r="Q30" s="132">
        <f>IF(SER_hh_emih_in!Q30=0,0,SER_hh_emih_in!Q30/SER_summary!Q$27)</f>
        <v>9.6920221106471036</v>
      </c>
      <c r="R30" s="132">
        <f>IF(SER_hh_emih_in!R30=0,0,SER_hh_emih_in!R30/SER_summary!R$27)</f>
        <v>11.947608650786512</v>
      </c>
      <c r="S30" s="132">
        <f>IF(SER_hh_emih_in!S30=0,0,SER_hh_emih_in!S30/SER_summary!S$27)</f>
        <v>14.479438557253346</v>
      </c>
      <c r="T30" s="132">
        <f>IF(SER_hh_emih_in!T30=0,0,SER_hh_emih_in!T30/SER_summary!T$27)</f>
        <v>12.198404568684188</v>
      </c>
      <c r="U30" s="132">
        <f>IF(SER_hh_emih_in!U30=0,0,SER_hh_emih_in!U30/SER_summary!U$27)</f>
        <v>0</v>
      </c>
      <c r="V30" s="132">
        <f>IF(SER_hh_emih_in!V30=0,0,SER_hh_emih_in!V30/SER_summary!V$27)</f>
        <v>9.9027028709837221</v>
      </c>
      <c r="W30" s="132">
        <f>IF(SER_hh_emih_in!W30=0,0,SER_hh_emih_in!W30/SER_summary!W$27)</f>
        <v>10.134599298612152</v>
      </c>
      <c r="X30" s="132">
        <f>IF(SER_hh_emih_in!X30=0,0,SER_hh_emih_in!X30/SER_summary!X$27)</f>
        <v>14.65209639572827</v>
      </c>
      <c r="Y30" s="132">
        <f>IF(SER_hh_emih_in!Y30=0,0,SER_hh_emih_in!Y30/SER_summary!Y$27)</f>
        <v>10.043747919744657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12.098967016254282</v>
      </c>
      <c r="D31" s="132">
        <f>IF(SER_hh_emih_in!D31=0,0,SER_hh_emih_in!D31/SER_summary!D$27)</f>
        <v>12.265765153425194</v>
      </c>
      <c r="E31" s="132">
        <f>IF(SER_hh_emih_in!E31=0,0,SER_hh_emih_in!E31/SER_summary!E$27)</f>
        <v>10.606539718976345</v>
      </c>
      <c r="F31" s="132">
        <f>IF(SER_hh_emih_in!F31=0,0,SER_hh_emih_in!F31/SER_summary!F$27)</f>
        <v>10.875531940653252</v>
      </c>
      <c r="G31" s="132">
        <f>IF(SER_hh_emih_in!G31=0,0,SER_hh_emih_in!G31/SER_summary!G$27)</f>
        <v>10.863948935724395</v>
      </c>
      <c r="H31" s="132">
        <f>IF(SER_hh_emih_in!H31=0,0,SER_hh_emih_in!H31/SER_summary!H$27)</f>
        <v>10.539973144767199</v>
      </c>
      <c r="I31" s="132">
        <f>IF(SER_hh_emih_in!I31=0,0,SER_hh_emih_in!I31/SER_summary!I$27)</f>
        <v>10.547983039115424</v>
      </c>
      <c r="J31" s="132">
        <f>IF(SER_hh_emih_in!J31=0,0,SER_hh_emih_in!J31/SER_summary!J$27)</f>
        <v>10.931356128116507</v>
      </c>
      <c r="K31" s="132">
        <f>IF(SER_hh_emih_in!K31=0,0,SER_hh_emih_in!K31/SER_summary!K$27)</f>
        <v>11.265686931624305</v>
      </c>
      <c r="L31" s="132">
        <f>IF(SER_hh_emih_in!L31=0,0,SER_hh_emih_in!L31/SER_summary!L$27)</f>
        <v>11.130140500023314</v>
      </c>
      <c r="M31" s="132">
        <f>IF(SER_hh_emih_in!M31=0,0,SER_hh_emih_in!M31/SER_summary!M$27)</f>
        <v>11.382965623644965</v>
      </c>
      <c r="N31" s="132">
        <f>IF(SER_hh_emih_in!N31=0,0,SER_hh_emih_in!N31/SER_summary!N$27)</f>
        <v>0</v>
      </c>
      <c r="O31" s="132">
        <f>IF(SER_hh_emih_in!O31=0,0,SER_hh_emih_in!O31/SER_summary!O$27)</f>
        <v>10.047804049399792</v>
      </c>
      <c r="P31" s="132">
        <f>IF(SER_hh_emih_in!P31=0,0,SER_hh_emih_in!P31/SER_summary!P$27)</f>
        <v>10.558792874650562</v>
      </c>
      <c r="Q31" s="132">
        <f>IF(SER_hh_emih_in!Q31=0,0,SER_hh_emih_in!Q31/SER_summary!Q$27)</f>
        <v>9.8507763200742477</v>
      </c>
      <c r="R31" s="132">
        <f>IF(SER_hh_emih_in!R31=0,0,SER_hh_emih_in!R31/SER_summary!R$27)</f>
        <v>10.386317452088377</v>
      </c>
      <c r="S31" s="132">
        <f>IF(SER_hh_emih_in!S31=0,0,SER_hh_emih_in!S31/SER_summary!S$27)</f>
        <v>10.289058013766622</v>
      </c>
      <c r="T31" s="132">
        <f>IF(SER_hh_emih_in!T31=0,0,SER_hh_emih_in!T31/SER_summary!T$27)</f>
        <v>9.9975506363440942</v>
      </c>
      <c r="U31" s="132">
        <f>IF(SER_hh_emih_in!U31=0,0,SER_hh_emih_in!U31/SER_summary!U$27)</f>
        <v>9.8823637437017151</v>
      </c>
      <c r="V31" s="132">
        <f>IF(SER_hh_emih_in!V31=0,0,SER_hh_emih_in!V31/SER_summary!V$27)</f>
        <v>9.7582354949630528</v>
      </c>
      <c r="W31" s="132">
        <f>IF(SER_hh_emih_in!W31=0,0,SER_hh_emih_in!W31/SER_summary!W$27)</f>
        <v>9.7369549285088581</v>
      </c>
      <c r="X31" s="132">
        <f>IF(SER_hh_emih_in!X31=0,0,SER_hh_emih_in!X31/SER_summary!X$27)</f>
        <v>9.257077783703231</v>
      </c>
      <c r="Y31" s="132">
        <f>IF(SER_hh_emih_in!Y31=0,0,SER_hh_emih_in!Y31/SER_summary!Y$27)</f>
        <v>9.920528274973071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59.121133905228703</v>
      </c>
      <c r="C3" s="179">
        <f t="shared" ref="C3:W3" si="1">SUM(C4:C9)</f>
        <v>62.145010475068688</v>
      </c>
      <c r="D3" s="179">
        <f t="shared" si="1"/>
        <v>65.465693343641334</v>
      </c>
      <c r="E3" s="179">
        <f t="shared" si="1"/>
        <v>69.593152541694934</v>
      </c>
      <c r="F3" s="179">
        <f t="shared" si="1"/>
        <v>74.528544095519806</v>
      </c>
      <c r="G3" s="179">
        <f t="shared" si="1"/>
        <v>79.957941588904561</v>
      </c>
      <c r="H3" s="179">
        <f t="shared" si="1"/>
        <v>85.986227085319513</v>
      </c>
      <c r="I3" s="179">
        <f t="shared" si="1"/>
        <v>92.341508448851144</v>
      </c>
      <c r="J3" s="179">
        <f t="shared" si="1"/>
        <v>97.045256899184778</v>
      </c>
      <c r="K3" s="179">
        <f t="shared" si="1"/>
        <v>99.450318987724458</v>
      </c>
      <c r="L3" s="179">
        <f t="shared" si="1"/>
        <v>100.66595578296914</v>
      </c>
      <c r="M3" s="179">
        <f t="shared" si="1"/>
        <v>101.60021264442821</v>
      </c>
      <c r="N3" s="179">
        <f t="shared" si="1"/>
        <v>102.72676252378226</v>
      </c>
      <c r="O3" s="179">
        <f t="shared" si="1"/>
        <v>104.59846387057908</v>
      </c>
      <c r="P3" s="179">
        <f t="shared" si="1"/>
        <v>106.59020926830767</v>
      </c>
      <c r="Q3" s="179">
        <f t="shared" si="1"/>
        <v>109.49965076458017</v>
      </c>
      <c r="R3" s="179">
        <f t="shared" si="1"/>
        <v>110.02717298892479</v>
      </c>
      <c r="S3" s="179">
        <f t="shared" si="1"/>
        <v>112.95352055558379</v>
      </c>
      <c r="T3" s="179">
        <f t="shared" si="1"/>
        <v>112.146298008071</v>
      </c>
      <c r="U3" s="179">
        <f t="shared" si="1"/>
        <v>111.59583301441714</v>
      </c>
      <c r="V3" s="179">
        <f t="shared" si="1"/>
        <v>107.85022886017234</v>
      </c>
      <c r="W3" s="179">
        <f t="shared" si="1"/>
        <v>108.83821946978057</v>
      </c>
      <c r="X3" s="179">
        <f t="shared" ref="X3:Y3" si="2">SUM(X4:X9)</f>
        <v>109.14742513079143</v>
      </c>
      <c r="Y3" s="179">
        <f t="shared" si="2"/>
        <v>111.38910589074301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2.6834682573710316</v>
      </c>
      <c r="C4" s="180">
        <f t="shared" ref="C4:R9" si="4">C12*C44/11630</f>
        <v>2.9051145974701504</v>
      </c>
      <c r="D4" s="180">
        <f t="shared" si="4"/>
        <v>3.1126960185759529</v>
      </c>
      <c r="E4" s="180">
        <f t="shared" si="4"/>
        <v>3.3486069817109771</v>
      </c>
      <c r="F4" s="180">
        <f t="shared" si="4"/>
        <v>3.6364972631701455</v>
      </c>
      <c r="G4" s="180">
        <f t="shared" si="4"/>
        <v>3.8799474981378244</v>
      </c>
      <c r="H4" s="180">
        <f t="shared" si="4"/>
        <v>4.1800681886688267</v>
      </c>
      <c r="I4" s="180">
        <f t="shared" si="4"/>
        <v>4.4758323229288921</v>
      </c>
      <c r="J4" s="180">
        <f t="shared" si="4"/>
        <v>4.6824028486292741</v>
      </c>
      <c r="K4" s="180">
        <f t="shared" si="4"/>
        <v>4.7864578000432996</v>
      </c>
      <c r="L4" s="180">
        <f t="shared" si="4"/>
        <v>4.8390241263577662</v>
      </c>
      <c r="M4" s="180">
        <f t="shared" si="4"/>
        <v>4.994181590887564</v>
      </c>
      <c r="N4" s="180">
        <f t="shared" si="4"/>
        <v>5.0486701688134996</v>
      </c>
      <c r="O4" s="180">
        <f t="shared" si="4"/>
        <v>5.1382074345819655</v>
      </c>
      <c r="P4" s="180">
        <f t="shared" si="4"/>
        <v>5.2270218213349855</v>
      </c>
      <c r="Q4" s="180">
        <f t="shared" si="4"/>
        <v>5.3150815914391973</v>
      </c>
      <c r="R4" s="180">
        <f t="shared" si="4"/>
        <v>5.3323702953655676</v>
      </c>
      <c r="S4" s="180">
        <f t="shared" ref="D4:W9" si="5">S12*S44/11630</f>
        <v>5.3759977112358097</v>
      </c>
      <c r="T4" s="180">
        <f t="shared" si="5"/>
        <v>5.400947738517714</v>
      </c>
      <c r="U4" s="180">
        <f t="shared" si="5"/>
        <v>5.3912895868736399</v>
      </c>
      <c r="V4" s="180">
        <f t="shared" si="5"/>
        <v>5.3823667358155598</v>
      </c>
      <c r="W4" s="180">
        <f t="shared" si="5"/>
        <v>5.3613608977293952</v>
      </c>
      <c r="X4" s="180">
        <f t="shared" ref="X4:Y4" si="6">X12*X44/11630</f>
        <v>5.3020745020520161</v>
      </c>
      <c r="Y4" s="180">
        <f t="shared" si="6"/>
        <v>5.2427925648265612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14.111071740534987</v>
      </c>
      <c r="C5" s="180">
        <f t="shared" si="4"/>
        <v>14.496788975086268</v>
      </c>
      <c r="D5" s="180">
        <f t="shared" si="5"/>
        <v>14.983931563753236</v>
      </c>
      <c r="E5" s="180">
        <f t="shared" si="5"/>
        <v>15.567981970724997</v>
      </c>
      <c r="F5" s="180">
        <f t="shared" si="5"/>
        <v>16.237521091169729</v>
      </c>
      <c r="G5" s="180">
        <f t="shared" si="5"/>
        <v>16.870635187534475</v>
      </c>
      <c r="H5" s="180">
        <f t="shared" si="5"/>
        <v>17.364298350830346</v>
      </c>
      <c r="I5" s="180">
        <f t="shared" si="5"/>
        <v>17.805298218013586</v>
      </c>
      <c r="J5" s="180">
        <f t="shared" si="5"/>
        <v>18.224810280988716</v>
      </c>
      <c r="K5" s="180">
        <f t="shared" si="5"/>
        <v>18.475789301310428</v>
      </c>
      <c r="L5" s="180">
        <f t="shared" si="5"/>
        <v>18.662675721427522</v>
      </c>
      <c r="M5" s="180">
        <f t="shared" si="5"/>
        <v>18.896591945703733</v>
      </c>
      <c r="N5" s="180">
        <f t="shared" si="5"/>
        <v>19.173468097317024</v>
      </c>
      <c r="O5" s="180">
        <f t="shared" si="5"/>
        <v>19.336482460568686</v>
      </c>
      <c r="P5" s="180">
        <f t="shared" si="5"/>
        <v>19.357433544348158</v>
      </c>
      <c r="Q5" s="180">
        <f t="shared" si="5"/>
        <v>19.319382373800419</v>
      </c>
      <c r="R5" s="180">
        <f t="shared" si="5"/>
        <v>19.108736009193503</v>
      </c>
      <c r="S5" s="180">
        <f t="shared" si="5"/>
        <v>19.030423166218</v>
      </c>
      <c r="T5" s="180">
        <f t="shared" si="5"/>
        <v>18.298427354023037</v>
      </c>
      <c r="U5" s="180">
        <f t="shared" si="5"/>
        <v>17.502966328548268</v>
      </c>
      <c r="V5" s="180">
        <f t="shared" si="5"/>
        <v>16.684823659036631</v>
      </c>
      <c r="W5" s="180">
        <f t="shared" si="5"/>
        <v>15.768749079024937</v>
      </c>
      <c r="X5" s="180">
        <f t="shared" ref="X5:Y5" si="7">X13*X45/11630</f>
        <v>15.034810982676238</v>
      </c>
      <c r="Y5" s="180">
        <f t="shared" si="7"/>
        <v>14.601799656127721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16.495381976401617</v>
      </c>
      <c r="C6" s="180">
        <f t="shared" si="4"/>
        <v>17.40177622999326</v>
      </c>
      <c r="D6" s="180">
        <f t="shared" si="5"/>
        <v>18.288763486324395</v>
      </c>
      <c r="E6" s="180">
        <f t="shared" si="5"/>
        <v>19.294201239279055</v>
      </c>
      <c r="F6" s="180">
        <f t="shared" si="5"/>
        <v>20.44843593236471</v>
      </c>
      <c r="G6" s="180">
        <f t="shared" si="5"/>
        <v>21.369075471026306</v>
      </c>
      <c r="H6" s="180">
        <f t="shared" si="5"/>
        <v>22.496076921545175</v>
      </c>
      <c r="I6" s="180">
        <f t="shared" si="5"/>
        <v>23.871140775089881</v>
      </c>
      <c r="J6" s="180">
        <f t="shared" si="5"/>
        <v>24.592633493550903</v>
      </c>
      <c r="K6" s="180">
        <f t="shared" si="5"/>
        <v>24.632512989358112</v>
      </c>
      <c r="L6" s="180">
        <f t="shared" si="5"/>
        <v>24.660067119313059</v>
      </c>
      <c r="M6" s="180">
        <f t="shared" si="5"/>
        <v>25.254839787805128</v>
      </c>
      <c r="N6" s="180">
        <f t="shared" si="5"/>
        <v>25.334025206802973</v>
      </c>
      <c r="O6" s="180">
        <f t="shared" si="5"/>
        <v>25.492942049119147</v>
      </c>
      <c r="P6" s="180">
        <f t="shared" si="5"/>
        <v>25.830857481403509</v>
      </c>
      <c r="Q6" s="180">
        <f t="shared" si="5"/>
        <v>26.492001639983528</v>
      </c>
      <c r="R6" s="180">
        <f t="shared" si="5"/>
        <v>26.17984988880713</v>
      </c>
      <c r="S6" s="180">
        <f t="shared" si="5"/>
        <v>26.356456565480386</v>
      </c>
      <c r="T6" s="180">
        <f t="shared" si="5"/>
        <v>25.04001953031899</v>
      </c>
      <c r="U6" s="180">
        <f t="shared" si="5"/>
        <v>23.500052880037163</v>
      </c>
      <c r="V6" s="180">
        <f t="shared" si="5"/>
        <v>20.378601394016638</v>
      </c>
      <c r="W6" s="180">
        <f t="shared" si="5"/>
        <v>19.793382042423104</v>
      </c>
      <c r="X6" s="180">
        <f t="shared" ref="X6:Y6" si="8">X14*X46/11630</f>
        <v>19.116254954154439</v>
      </c>
      <c r="Y6" s="180">
        <f t="shared" si="8"/>
        <v>18.127704067300613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13.684527277527</v>
      </c>
      <c r="C7" s="180">
        <f t="shared" si="4"/>
        <v>13.833465119608297</v>
      </c>
      <c r="D7" s="180">
        <f t="shared" si="5"/>
        <v>14.148169735678305</v>
      </c>
      <c r="E7" s="180">
        <f t="shared" si="5"/>
        <v>14.703100724549577</v>
      </c>
      <c r="F7" s="180">
        <f t="shared" si="5"/>
        <v>15.374597153397978</v>
      </c>
      <c r="G7" s="180">
        <f t="shared" si="5"/>
        <v>16.395429932194173</v>
      </c>
      <c r="H7" s="180">
        <f t="shared" si="5"/>
        <v>17.7255884725407</v>
      </c>
      <c r="I7" s="180">
        <f t="shared" si="5"/>
        <v>18.713914903868314</v>
      </c>
      <c r="J7" s="180">
        <f t="shared" si="5"/>
        <v>19.358242028731038</v>
      </c>
      <c r="K7" s="180">
        <f t="shared" si="5"/>
        <v>19.614666832277656</v>
      </c>
      <c r="L7" s="180">
        <f t="shared" si="5"/>
        <v>19.487195250885229</v>
      </c>
      <c r="M7" s="180">
        <f t="shared" si="5"/>
        <v>19.094602588383793</v>
      </c>
      <c r="N7" s="180">
        <f t="shared" si="5"/>
        <v>18.881024570866352</v>
      </c>
      <c r="O7" s="180">
        <f t="shared" si="5"/>
        <v>18.796443680700293</v>
      </c>
      <c r="P7" s="180">
        <f t="shared" si="5"/>
        <v>18.748165433682406</v>
      </c>
      <c r="Q7" s="180">
        <f t="shared" si="5"/>
        <v>18.903658337564121</v>
      </c>
      <c r="R7" s="180">
        <f t="shared" si="5"/>
        <v>18.636427185263695</v>
      </c>
      <c r="S7" s="180">
        <f t="shared" si="5"/>
        <v>18.446180707807848</v>
      </c>
      <c r="T7" s="180">
        <f t="shared" si="5"/>
        <v>18.355183843775777</v>
      </c>
      <c r="U7" s="180">
        <f t="shared" si="5"/>
        <v>18.341837594302362</v>
      </c>
      <c r="V7" s="180">
        <f t="shared" si="5"/>
        <v>18.394694998277988</v>
      </c>
      <c r="W7" s="180">
        <f t="shared" si="5"/>
        <v>18.4871898339556</v>
      </c>
      <c r="X7" s="180">
        <f t="shared" ref="X7:Y7" si="9">X15*X47/11630</f>
        <v>18.356447161937073</v>
      </c>
      <c r="Y7" s="180">
        <f t="shared" si="9"/>
        <v>18.293420047032487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3.1400491203761769</v>
      </c>
      <c r="C8" s="55">
        <f t="shared" si="4"/>
        <v>3.4288733763409804</v>
      </c>
      <c r="D8" s="55">
        <f t="shared" si="5"/>
        <v>3.9100154076847793</v>
      </c>
      <c r="E8" s="55">
        <f t="shared" si="5"/>
        <v>4.6197734171703306</v>
      </c>
      <c r="F8" s="55">
        <f t="shared" si="5"/>
        <v>5.6041149376097632</v>
      </c>
      <c r="G8" s="55">
        <f t="shared" si="5"/>
        <v>6.7855057468109647</v>
      </c>
      <c r="H8" s="55">
        <f t="shared" si="5"/>
        <v>7.8915577291800121</v>
      </c>
      <c r="I8" s="55">
        <f t="shared" si="5"/>
        <v>8.9827754369612141</v>
      </c>
      <c r="J8" s="55">
        <f t="shared" si="5"/>
        <v>9.8496982942739653</v>
      </c>
      <c r="K8" s="55">
        <f t="shared" si="5"/>
        <v>10.245940655890434</v>
      </c>
      <c r="L8" s="55">
        <f t="shared" si="5"/>
        <v>10.478504310936417</v>
      </c>
      <c r="M8" s="55">
        <f t="shared" si="5"/>
        <v>10.850309033292513</v>
      </c>
      <c r="N8" s="55">
        <f t="shared" si="5"/>
        <v>10.950485371432709</v>
      </c>
      <c r="O8" s="55">
        <f t="shared" si="5"/>
        <v>11.120021616661049</v>
      </c>
      <c r="P8" s="55">
        <f t="shared" si="5"/>
        <v>11.232010348986694</v>
      </c>
      <c r="Q8" s="55">
        <f t="shared" si="5"/>
        <v>11.362191311835621</v>
      </c>
      <c r="R8" s="55">
        <f t="shared" si="5"/>
        <v>11.736395629592526</v>
      </c>
      <c r="S8" s="55">
        <f t="shared" si="5"/>
        <v>12.324576469304894</v>
      </c>
      <c r="T8" s="55">
        <f t="shared" si="5"/>
        <v>12.44753928992071</v>
      </c>
      <c r="U8" s="55">
        <f t="shared" si="5"/>
        <v>12.48052012585064</v>
      </c>
      <c r="V8" s="55">
        <f t="shared" si="5"/>
        <v>11.456241906109707</v>
      </c>
      <c r="W8" s="55">
        <f t="shared" si="5"/>
        <v>11.814261140036734</v>
      </c>
      <c r="X8" s="55">
        <f t="shared" ref="X8:Y8" si="10">X16*X48/11630</f>
        <v>11.906194429438829</v>
      </c>
      <c r="Y8" s="55">
        <f t="shared" si="10"/>
        <v>11.933961669168328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9.0066355330178958</v>
      </c>
      <c r="C9" s="63">
        <f t="shared" si="4"/>
        <v>10.078992176569724</v>
      </c>
      <c r="D9" s="63">
        <f t="shared" si="5"/>
        <v>11.022117131624647</v>
      </c>
      <c r="E9" s="63">
        <f t="shared" si="5"/>
        <v>12.059488208259994</v>
      </c>
      <c r="F9" s="63">
        <f t="shared" si="5"/>
        <v>13.227377717807475</v>
      </c>
      <c r="G9" s="63">
        <f t="shared" si="5"/>
        <v>14.657347753200813</v>
      </c>
      <c r="H9" s="63">
        <f t="shared" si="5"/>
        <v>16.328637422554447</v>
      </c>
      <c r="I9" s="63">
        <f t="shared" si="5"/>
        <v>18.492546791989255</v>
      </c>
      <c r="J9" s="63">
        <f t="shared" si="5"/>
        <v>20.337469953010885</v>
      </c>
      <c r="K9" s="63">
        <f t="shared" si="5"/>
        <v>21.694951408844528</v>
      </c>
      <c r="L9" s="63">
        <f t="shared" si="5"/>
        <v>22.538489254049136</v>
      </c>
      <c r="M9" s="63">
        <f t="shared" si="5"/>
        <v>22.509687698355485</v>
      </c>
      <c r="N9" s="63">
        <f t="shared" si="5"/>
        <v>23.339089108549711</v>
      </c>
      <c r="O9" s="63">
        <f t="shared" si="5"/>
        <v>24.71436662894795</v>
      </c>
      <c r="P9" s="63">
        <f t="shared" si="5"/>
        <v>26.194720638551924</v>
      </c>
      <c r="Q9" s="63">
        <f t="shared" si="5"/>
        <v>28.107335509957274</v>
      </c>
      <c r="R9" s="63">
        <f t="shared" si="5"/>
        <v>29.033393980702371</v>
      </c>
      <c r="S9" s="63">
        <f t="shared" si="5"/>
        <v>31.419885935536858</v>
      </c>
      <c r="T9" s="63">
        <f t="shared" si="5"/>
        <v>32.604180251514777</v>
      </c>
      <c r="U9" s="63">
        <f t="shared" si="5"/>
        <v>34.379166498805063</v>
      </c>
      <c r="V9" s="63">
        <f t="shared" si="5"/>
        <v>35.553500166915811</v>
      </c>
      <c r="W9" s="63">
        <f t="shared" si="5"/>
        <v>37.6132764766108</v>
      </c>
      <c r="X9" s="63">
        <f t="shared" ref="X9:Y9" si="11">X17*X49/11630</f>
        <v>39.431643100532838</v>
      </c>
      <c r="Y9" s="63">
        <f t="shared" si="11"/>
        <v>43.189427886287305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233.1791432711363</v>
      </c>
      <c r="C11" s="179">
        <f t="shared" ref="C11:W11" si="13">SUM(C12:C17)</f>
        <v>244.38295322812115</v>
      </c>
      <c r="D11" s="179">
        <f t="shared" si="13"/>
        <v>257.32705020733101</v>
      </c>
      <c r="E11" s="179">
        <f t="shared" si="13"/>
        <v>275.10060277578157</v>
      </c>
      <c r="F11" s="179">
        <f t="shared" si="13"/>
        <v>298.39516058027135</v>
      </c>
      <c r="G11" s="179">
        <f t="shared" si="13"/>
        <v>325.30474236423805</v>
      </c>
      <c r="H11" s="179">
        <f t="shared" si="13"/>
        <v>354.56630991373561</v>
      </c>
      <c r="I11" s="179">
        <f t="shared" si="13"/>
        <v>387.76700579061372</v>
      </c>
      <c r="J11" s="179">
        <f t="shared" si="13"/>
        <v>412.25486285327037</v>
      </c>
      <c r="K11" s="179">
        <f t="shared" si="13"/>
        <v>423.58020276091293</v>
      </c>
      <c r="L11" s="179">
        <f t="shared" si="13"/>
        <v>428.46241592359746</v>
      </c>
      <c r="M11" s="179">
        <f t="shared" si="13"/>
        <v>434.65993446924392</v>
      </c>
      <c r="N11" s="179">
        <f t="shared" si="13"/>
        <v>437.14284750344194</v>
      </c>
      <c r="O11" s="179">
        <f t="shared" si="13"/>
        <v>443.16730522775026</v>
      </c>
      <c r="P11" s="179">
        <f t="shared" si="13"/>
        <v>450.66989822161702</v>
      </c>
      <c r="Q11" s="179">
        <f t="shared" si="13"/>
        <v>462.47008565121951</v>
      </c>
      <c r="R11" s="179">
        <f t="shared" si="13"/>
        <v>464.89984346946346</v>
      </c>
      <c r="S11" s="179">
        <f t="shared" si="13"/>
        <v>469.35256917890365</v>
      </c>
      <c r="T11" s="179">
        <f t="shared" si="13"/>
        <v>469.54130087579153</v>
      </c>
      <c r="U11" s="179">
        <f t="shared" si="13"/>
        <v>467.13321980695684</v>
      </c>
      <c r="V11" s="179">
        <f t="shared" si="13"/>
        <v>463.23799066632296</v>
      </c>
      <c r="W11" s="179">
        <f t="shared" si="13"/>
        <v>458.72801820789624</v>
      </c>
      <c r="X11" s="179">
        <f t="shared" ref="X11:Y11" si="14">SUM(X12:X17)</f>
        <v>454.0042893520714</v>
      </c>
      <c r="Y11" s="179">
        <f t="shared" si="14"/>
        <v>453.8959602387506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3.5626410768521812</v>
      </c>
      <c r="C12" s="180">
        <f t="shared" ref="C12:W12" si="15">C20*C52</f>
        <v>3.8569044256367429</v>
      </c>
      <c r="D12" s="180">
        <f t="shared" si="15"/>
        <v>4.1324948283148775</v>
      </c>
      <c r="E12" s="180">
        <f t="shared" si="15"/>
        <v>4.4456962553993895</v>
      </c>
      <c r="F12" s="180">
        <f t="shared" si="15"/>
        <v>4.827906754642556</v>
      </c>
      <c r="G12" s="180">
        <f t="shared" si="15"/>
        <v>5.1511175117971355</v>
      </c>
      <c r="H12" s="180">
        <f t="shared" si="15"/>
        <v>5.5495654148651203</v>
      </c>
      <c r="I12" s="180">
        <f t="shared" si="15"/>
        <v>5.942229442427287</v>
      </c>
      <c r="J12" s="180">
        <f t="shared" si="15"/>
        <v>6.2164777545158083</v>
      </c>
      <c r="K12" s="180">
        <f t="shared" si="15"/>
        <v>6.3546237687789482</v>
      </c>
      <c r="L12" s="180">
        <f t="shared" si="15"/>
        <v>6.4244121677558015</v>
      </c>
      <c r="M12" s="180">
        <f t="shared" si="15"/>
        <v>6.6304031851623701</v>
      </c>
      <c r="N12" s="180">
        <f t="shared" si="15"/>
        <v>6.7027436145320776</v>
      </c>
      <c r="O12" s="180">
        <f t="shared" si="15"/>
        <v>6.8216155781036809</v>
      </c>
      <c r="P12" s="180">
        <f t="shared" si="15"/>
        <v>6.9395278290098057</v>
      </c>
      <c r="Q12" s="180">
        <f t="shared" si="15"/>
        <v>7.0564382315568306</v>
      </c>
      <c r="R12" s="180">
        <f t="shared" si="15"/>
        <v>7.0793911569750598</v>
      </c>
      <c r="S12" s="180">
        <f t="shared" si="15"/>
        <v>7.1373120298712829</v>
      </c>
      <c r="T12" s="180">
        <f t="shared" si="15"/>
        <v>7.1704363240823072</v>
      </c>
      <c r="U12" s="180">
        <f t="shared" si="15"/>
        <v>7.1576139149931999</v>
      </c>
      <c r="V12" s="180">
        <f t="shared" si="15"/>
        <v>7.1457677097642636</v>
      </c>
      <c r="W12" s="180">
        <f t="shared" si="15"/>
        <v>7.1178798219854853</v>
      </c>
      <c r="X12" s="180">
        <f t="shared" ref="X12:Y12" si="16">X20*X52</f>
        <v>7.0391696870850389</v>
      </c>
      <c r="Y12" s="180">
        <f t="shared" si="16"/>
        <v>6.9604654713393712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42.484709664301796</v>
      </c>
      <c r="C13" s="180">
        <f t="shared" ref="C13:W13" si="17">C21*C53/1000</f>
        <v>43.585419043656003</v>
      </c>
      <c r="D13" s="180">
        <f t="shared" si="17"/>
        <v>44.93299630115321</v>
      </c>
      <c r="E13" s="180">
        <f t="shared" si="17"/>
        <v>46.594188298488547</v>
      </c>
      <c r="F13" s="180">
        <f t="shared" si="17"/>
        <v>48.502125782928346</v>
      </c>
      <c r="G13" s="180">
        <f t="shared" si="17"/>
        <v>50.315331185167153</v>
      </c>
      <c r="H13" s="180">
        <f t="shared" si="17"/>
        <v>51.713456955638762</v>
      </c>
      <c r="I13" s="180">
        <f t="shared" si="17"/>
        <v>52.969756367155959</v>
      </c>
      <c r="J13" s="180">
        <f t="shared" si="17"/>
        <v>54.259801076181368</v>
      </c>
      <c r="K13" s="180">
        <f t="shared" si="17"/>
        <v>55.029186303768604</v>
      </c>
      <c r="L13" s="180">
        <f t="shared" si="17"/>
        <v>55.62015890434499</v>
      </c>
      <c r="M13" s="180">
        <f t="shared" si="17"/>
        <v>56.336309081364483</v>
      </c>
      <c r="N13" s="180">
        <f t="shared" si="17"/>
        <v>57.193667269440461</v>
      </c>
      <c r="O13" s="180">
        <f t="shared" si="17"/>
        <v>57.867371077526883</v>
      </c>
      <c r="P13" s="180">
        <f t="shared" si="17"/>
        <v>58.29016271236943</v>
      </c>
      <c r="Q13" s="180">
        <f t="shared" si="17"/>
        <v>58.668556598363658</v>
      </c>
      <c r="R13" s="180">
        <f t="shared" si="17"/>
        <v>57.73206401406987</v>
      </c>
      <c r="S13" s="180">
        <f t="shared" si="17"/>
        <v>56.531642181293932</v>
      </c>
      <c r="T13" s="180">
        <f t="shared" si="17"/>
        <v>54.959873302978046</v>
      </c>
      <c r="U13" s="180">
        <f t="shared" si="17"/>
        <v>53.0548409921835</v>
      </c>
      <c r="V13" s="180">
        <f t="shared" si="17"/>
        <v>50.991160441052834</v>
      </c>
      <c r="W13" s="180">
        <f t="shared" si="17"/>
        <v>48.880114806119963</v>
      </c>
      <c r="X13" s="180">
        <f t="shared" ref="X13:Y13" si="18">X21*X53/1000</f>
        <v>46.794431984857795</v>
      </c>
      <c r="Y13" s="180">
        <f t="shared" si="18"/>
        <v>45.632156894879877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86.752416684768647</v>
      </c>
      <c r="C14" s="180">
        <f t="shared" ref="C14:W14" si="19">C22*C54</f>
        <v>90.419823135348523</v>
      </c>
      <c r="D14" s="180">
        <f t="shared" si="19"/>
        <v>94.080684220631099</v>
      </c>
      <c r="E14" s="180">
        <f t="shared" si="19"/>
        <v>98.198502743895631</v>
      </c>
      <c r="F14" s="180">
        <f t="shared" si="19"/>
        <v>102.87071540463251</v>
      </c>
      <c r="G14" s="180">
        <f t="shared" si="19"/>
        <v>106.31453868539795</v>
      </c>
      <c r="H14" s="180">
        <f t="shared" si="19"/>
        <v>111.22485974195361</v>
      </c>
      <c r="I14" s="180">
        <f t="shared" si="19"/>
        <v>117.27803943889187</v>
      </c>
      <c r="J14" s="180">
        <f t="shared" si="19"/>
        <v>120.13522884263351</v>
      </c>
      <c r="K14" s="180">
        <f t="shared" si="19"/>
        <v>119.82311136867803</v>
      </c>
      <c r="L14" s="180">
        <f t="shared" si="19"/>
        <v>119.52403532194532</v>
      </c>
      <c r="M14" s="180">
        <f t="shared" si="19"/>
        <v>121.90062631253676</v>
      </c>
      <c r="N14" s="180">
        <f t="shared" si="19"/>
        <v>121.65278885896832</v>
      </c>
      <c r="O14" s="180">
        <f t="shared" si="19"/>
        <v>121.67865716097324</v>
      </c>
      <c r="P14" s="180">
        <f t="shared" si="19"/>
        <v>122.72516904635665</v>
      </c>
      <c r="Q14" s="180">
        <f t="shared" si="19"/>
        <v>125.0073429551998</v>
      </c>
      <c r="R14" s="180">
        <f t="shared" si="19"/>
        <v>122.07170540067217</v>
      </c>
      <c r="S14" s="180">
        <f t="shared" si="19"/>
        <v>118.95940854283961</v>
      </c>
      <c r="T14" s="180">
        <f t="shared" si="19"/>
        <v>114.87298352694239</v>
      </c>
      <c r="U14" s="180">
        <f t="shared" si="19"/>
        <v>108.92036732798775</v>
      </c>
      <c r="V14" s="180">
        <f t="shared" si="19"/>
        <v>102.76352231476227</v>
      </c>
      <c r="W14" s="180">
        <f t="shared" si="19"/>
        <v>96.561715152802165</v>
      </c>
      <c r="X14" s="180">
        <f t="shared" ref="X14:Y14" si="20">X22*X54</f>
        <v>92.102507024036811</v>
      </c>
      <c r="Y14" s="180">
        <f t="shared" si="20"/>
        <v>86.801733773596496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18.167928337630023</v>
      </c>
      <c r="C15" s="180">
        <f t="shared" ref="C15:W15" si="21">C23*C55/1000</f>
        <v>18.365662025233391</v>
      </c>
      <c r="D15" s="180">
        <f t="shared" si="21"/>
        <v>18.783471920769259</v>
      </c>
      <c r="E15" s="180">
        <f t="shared" si="21"/>
        <v>19.520212491610916</v>
      </c>
      <c r="F15" s="180">
        <f t="shared" si="21"/>
        <v>20.411708321234993</v>
      </c>
      <c r="G15" s="180">
        <f t="shared" si="21"/>
        <v>21.766992021851401</v>
      </c>
      <c r="H15" s="180">
        <f t="shared" si="21"/>
        <v>23.532944513201858</v>
      </c>
      <c r="I15" s="180">
        <f t="shared" si="21"/>
        <v>24.845071955706455</v>
      </c>
      <c r="J15" s="180">
        <f t="shared" si="21"/>
        <v>25.700497122618948</v>
      </c>
      <c r="K15" s="180">
        <f t="shared" si="21"/>
        <v>26.040933248788726</v>
      </c>
      <c r="L15" s="180">
        <f t="shared" si="21"/>
        <v>25.871698717784842</v>
      </c>
      <c r="M15" s="180">
        <f t="shared" si="21"/>
        <v>25.35048266014881</v>
      </c>
      <c r="N15" s="180">
        <f t="shared" si="21"/>
        <v>25.066931022736938</v>
      </c>
      <c r="O15" s="180">
        <f t="shared" si="21"/>
        <v>24.954639270153468</v>
      </c>
      <c r="P15" s="180">
        <f t="shared" si="21"/>
        <v>24.890543834900278</v>
      </c>
      <c r="Q15" s="180">
        <f t="shared" si="21"/>
        <v>25.096980190167891</v>
      </c>
      <c r="R15" s="180">
        <f t="shared" si="21"/>
        <v>24.742197279065838</v>
      </c>
      <c r="S15" s="180">
        <f t="shared" si="21"/>
        <v>24.489621190845348</v>
      </c>
      <c r="T15" s="180">
        <f t="shared" si="21"/>
        <v>24.368811427295924</v>
      </c>
      <c r="U15" s="180">
        <f t="shared" si="21"/>
        <v>24.351092605221059</v>
      </c>
      <c r="V15" s="180">
        <f t="shared" si="21"/>
        <v>24.421267446343951</v>
      </c>
      <c r="W15" s="180">
        <f t="shared" si="21"/>
        <v>24.544065955354295</v>
      </c>
      <c r="X15" s="180">
        <f t="shared" ref="X15:Y15" si="22">X23*X55/1000</f>
        <v>24.370488640790885</v>
      </c>
      <c r="Y15" s="180">
        <f t="shared" si="22"/>
        <v>24.286812231391306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40.551835277846941</v>
      </c>
      <c r="C16" s="55">
        <f t="shared" ref="C16:W16" si="23">C24*C56</f>
        <v>44.071302446576169</v>
      </c>
      <c r="D16" s="55">
        <f t="shared" si="23"/>
        <v>50.037255234626876</v>
      </c>
      <c r="E16" s="55">
        <f t="shared" si="23"/>
        <v>58.884037438643333</v>
      </c>
      <c r="F16" s="55">
        <f t="shared" si="23"/>
        <v>71.166351988991536</v>
      </c>
      <c r="G16" s="55">
        <f t="shared" si="23"/>
        <v>85.872030446617742</v>
      </c>
      <c r="H16" s="55">
        <f t="shared" si="23"/>
        <v>99.54760387562068</v>
      </c>
      <c r="I16" s="55">
        <f t="shared" si="23"/>
        <v>112.96975032618602</v>
      </c>
      <c r="J16" s="55">
        <f t="shared" si="23"/>
        <v>123.51888846139316</v>
      </c>
      <c r="K16" s="55">
        <f t="shared" si="23"/>
        <v>128.14103524533135</v>
      </c>
      <c r="L16" s="55">
        <f t="shared" si="23"/>
        <v>130.71392899172082</v>
      </c>
      <c r="M16" s="55">
        <f t="shared" si="23"/>
        <v>135.13205155412015</v>
      </c>
      <c r="N16" s="55">
        <f t="shared" si="23"/>
        <v>136.16835333532131</v>
      </c>
      <c r="O16" s="55">
        <f t="shared" si="23"/>
        <v>138.07178599258663</v>
      </c>
      <c r="P16" s="55">
        <f t="shared" si="23"/>
        <v>139.26458602319559</v>
      </c>
      <c r="Q16" s="55">
        <f t="shared" si="23"/>
        <v>140.68711897953077</v>
      </c>
      <c r="R16" s="55">
        <f t="shared" si="23"/>
        <v>144.30188316022603</v>
      </c>
      <c r="S16" s="55">
        <f t="shared" si="23"/>
        <v>147.89002039996345</v>
      </c>
      <c r="T16" s="55">
        <f t="shared" si="23"/>
        <v>150.05492119297358</v>
      </c>
      <c r="U16" s="55">
        <f t="shared" si="23"/>
        <v>150.96533016584303</v>
      </c>
      <c r="V16" s="55">
        <f t="shared" si="23"/>
        <v>150.76865516860968</v>
      </c>
      <c r="W16" s="55">
        <f t="shared" si="23"/>
        <v>150.41661413738973</v>
      </c>
      <c r="X16" s="55">
        <f t="shared" ref="X16:Y16" si="24">X24*X56</f>
        <v>149.48853556194916</v>
      </c>
      <c r="Y16" s="55">
        <f t="shared" si="24"/>
        <v>148.80713389392287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41.659612229736695</v>
      </c>
      <c r="C17" s="63">
        <f t="shared" ref="C17:W17" si="25">C25*C57/1000</f>
        <v>44.083842151670304</v>
      </c>
      <c r="D17" s="63">
        <f t="shared" si="25"/>
        <v>45.360147701835722</v>
      </c>
      <c r="E17" s="63">
        <f t="shared" si="25"/>
        <v>47.457965547743733</v>
      </c>
      <c r="F17" s="63">
        <f t="shared" si="25"/>
        <v>50.616352327841405</v>
      </c>
      <c r="G17" s="63">
        <f t="shared" si="25"/>
        <v>55.884732513406668</v>
      </c>
      <c r="H17" s="63">
        <f t="shared" si="25"/>
        <v>62.997879412455561</v>
      </c>
      <c r="I17" s="63">
        <f t="shared" si="25"/>
        <v>73.762158260246153</v>
      </c>
      <c r="J17" s="63">
        <f t="shared" si="25"/>
        <v>82.423969595927602</v>
      </c>
      <c r="K17" s="63">
        <f t="shared" si="25"/>
        <v>88.19131282556728</v>
      </c>
      <c r="L17" s="63">
        <f t="shared" si="25"/>
        <v>90.308181820045661</v>
      </c>
      <c r="M17" s="63">
        <f t="shared" si="25"/>
        <v>89.310061675911356</v>
      </c>
      <c r="N17" s="63">
        <f t="shared" si="25"/>
        <v>90.358363402442862</v>
      </c>
      <c r="O17" s="63">
        <f t="shared" si="25"/>
        <v>93.773236148406312</v>
      </c>
      <c r="P17" s="63">
        <f t="shared" si="25"/>
        <v>98.559908775785317</v>
      </c>
      <c r="Q17" s="63">
        <f t="shared" si="25"/>
        <v>105.95364869640055</v>
      </c>
      <c r="R17" s="63">
        <f t="shared" si="25"/>
        <v>108.97260245845447</v>
      </c>
      <c r="S17" s="63">
        <f t="shared" si="25"/>
        <v>114.34456483409004</v>
      </c>
      <c r="T17" s="63">
        <f t="shared" si="25"/>
        <v>118.11427510151933</v>
      </c>
      <c r="U17" s="63">
        <f t="shared" si="25"/>
        <v>122.68397480072832</v>
      </c>
      <c r="V17" s="63">
        <f t="shared" si="25"/>
        <v>127.1476175857899</v>
      </c>
      <c r="W17" s="63">
        <f t="shared" si="25"/>
        <v>131.20762833424459</v>
      </c>
      <c r="X17" s="63">
        <f t="shared" ref="X17:Y17" si="26">X25*X57/1000</f>
        <v>134.20915645335171</v>
      </c>
      <c r="Y17" s="63">
        <f t="shared" si="26"/>
        <v>141.40765797362067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4.5233676873256519</v>
      </c>
      <c r="C20" s="181">
        <v>4.9664649191504546</v>
      </c>
      <c r="D20" s="181">
        <v>5.3955254602101466</v>
      </c>
      <c r="E20" s="181">
        <v>5.8931587805771208</v>
      </c>
      <c r="F20" s="181">
        <v>6.5106136062327948</v>
      </c>
      <c r="G20" s="181">
        <v>7.0556848612592002</v>
      </c>
      <c r="H20" s="181">
        <v>7.7365529452056609</v>
      </c>
      <c r="I20" s="181">
        <v>8.4275060145894773</v>
      </c>
      <c r="J20" s="181">
        <v>8.9459193795661385</v>
      </c>
      <c r="K20" s="181">
        <v>9.2551497986803959</v>
      </c>
      <c r="L20" s="181">
        <v>9.4620169763991999</v>
      </c>
      <c r="M20" s="181">
        <v>9.9233411219541345</v>
      </c>
      <c r="N20" s="181">
        <v>10.164975186833644</v>
      </c>
      <c r="O20" s="181">
        <v>10.511140335930424</v>
      </c>
      <c r="P20" s="181">
        <v>10.880965796243316</v>
      </c>
      <c r="Q20" s="181">
        <v>11.276951186586423</v>
      </c>
      <c r="R20" s="181">
        <v>11.494144880313307</v>
      </c>
      <c r="S20" s="181">
        <v>11.791509430445046</v>
      </c>
      <c r="T20" s="181">
        <v>12.048683066129991</v>
      </c>
      <c r="U20" s="181">
        <v>12.303110850785458</v>
      </c>
      <c r="V20" s="181">
        <v>12.545483872076396</v>
      </c>
      <c r="W20" s="181">
        <v>12.773021473667585</v>
      </c>
      <c r="X20" s="181">
        <v>12.928228146391298</v>
      </c>
      <c r="Y20" s="181">
        <v>13.041691064956176</v>
      </c>
      <c r="DA20" s="190" t="s">
        <v>922</v>
      </c>
    </row>
    <row r="21" spans="1:105" ht="12" customHeight="1" x14ac:dyDescent="0.25">
      <c r="A21" s="131" t="s">
        <v>156</v>
      </c>
      <c r="B21" s="181">
        <v>206.16384368708782</v>
      </c>
      <c r="C21" s="181">
        <v>213.79564423148713</v>
      </c>
      <c r="D21" s="181">
        <v>223.26173990147757</v>
      </c>
      <c r="E21" s="181">
        <v>235.12081125962865</v>
      </c>
      <c r="F21" s="181">
        <v>249.11888153137392</v>
      </c>
      <c r="G21" s="181">
        <v>263.7232879552966</v>
      </c>
      <c r="H21" s="181">
        <v>277.16723573899708</v>
      </c>
      <c r="I21" s="181">
        <v>290.79318389423293</v>
      </c>
      <c r="J21" s="181">
        <v>302.60285950839733</v>
      </c>
      <c r="K21" s="181">
        <v>311.99333083760678</v>
      </c>
      <c r="L21" s="181">
        <v>321.20492650010181</v>
      </c>
      <c r="M21" s="181">
        <v>332.23776857916755</v>
      </c>
      <c r="N21" s="181">
        <v>345.44709763635149</v>
      </c>
      <c r="O21" s="181">
        <v>358.85581652757895</v>
      </c>
      <c r="P21" s="181">
        <v>372.85869158748505</v>
      </c>
      <c r="Q21" s="181">
        <v>388.68366309858766</v>
      </c>
      <c r="R21" s="181">
        <v>396.81319768329143</v>
      </c>
      <c r="S21" s="181">
        <v>405.10985331154325</v>
      </c>
      <c r="T21" s="181">
        <v>413.36758351731532</v>
      </c>
      <c r="U21" s="181">
        <v>420.69917211062773</v>
      </c>
      <c r="V21" s="181">
        <v>426.64585112625184</v>
      </c>
      <c r="W21" s="181">
        <v>430.49411943517288</v>
      </c>
      <c r="X21" s="181">
        <v>431.50282807061762</v>
      </c>
      <c r="Y21" s="181">
        <v>436.70520590049392</v>
      </c>
      <c r="DA21" s="190" t="s">
        <v>923</v>
      </c>
    </row>
    <row r="22" spans="1:105" ht="12" customHeight="1" x14ac:dyDescent="0.25">
      <c r="A22" s="131" t="s">
        <v>160</v>
      </c>
      <c r="B22" s="181">
        <v>1.8804749077003109</v>
      </c>
      <c r="C22" s="181">
        <v>1.9854545086064412</v>
      </c>
      <c r="D22" s="181">
        <v>2.1065317037066493</v>
      </c>
      <c r="E22" s="181">
        <v>2.2507722082671844</v>
      </c>
      <c r="F22" s="181">
        <v>2.4249672512071023</v>
      </c>
      <c r="G22" s="181">
        <v>2.5846980196318166</v>
      </c>
      <c r="H22" s="181">
        <v>2.7990279198855026</v>
      </c>
      <c r="I22" s="181">
        <v>3.0478554151738506</v>
      </c>
      <c r="J22" s="181">
        <v>3.2089905584592304</v>
      </c>
      <c r="K22" s="181">
        <v>3.2873934385843295</v>
      </c>
      <c r="L22" s="181">
        <v>3.3726448593085734</v>
      </c>
      <c r="M22" s="181">
        <v>3.5471382791125752</v>
      </c>
      <c r="N22" s="181">
        <v>3.6686405848803116</v>
      </c>
      <c r="O22" s="181">
        <v>3.8436840013406606</v>
      </c>
      <c r="P22" s="181">
        <v>4.0567811448934172</v>
      </c>
      <c r="Q22" s="181">
        <v>4.3349414902324339</v>
      </c>
      <c r="R22" s="181">
        <v>4.473281126335257</v>
      </c>
      <c r="S22" s="181">
        <v>4.6453207926474329</v>
      </c>
      <c r="T22" s="181">
        <v>4.7972244850761889</v>
      </c>
      <c r="U22" s="181">
        <v>4.9391094508800517</v>
      </c>
      <c r="V22" s="181">
        <v>5.0589293343205703</v>
      </c>
      <c r="W22" s="181">
        <v>5.1405237376320949</v>
      </c>
      <c r="X22" s="181">
        <v>5.1978530737945894</v>
      </c>
      <c r="Y22" s="181">
        <v>5.2408838221563476</v>
      </c>
      <c r="DA22" s="190" t="s">
        <v>924</v>
      </c>
    </row>
    <row r="23" spans="1:105" ht="12" customHeight="1" x14ac:dyDescent="0.25">
      <c r="A23" s="131" t="s">
        <v>172</v>
      </c>
      <c r="B23" s="181">
        <v>24.22908798933965</v>
      </c>
      <c r="C23" s="181">
        <v>24.777654241501942</v>
      </c>
      <c r="D23" s="181">
        <v>25.766440422739777</v>
      </c>
      <c r="E23" s="181">
        <v>27.310629144790816</v>
      </c>
      <c r="F23" s="181">
        <v>29.15634000002807</v>
      </c>
      <c r="G23" s="181">
        <v>31.810596007080896</v>
      </c>
      <c r="H23" s="181">
        <v>35.242480264166723</v>
      </c>
      <c r="I23" s="181">
        <v>38.053041441866739</v>
      </c>
      <c r="J23" s="181">
        <v>40.264393950228758</v>
      </c>
      <c r="K23" s="181">
        <v>41.744025510021849</v>
      </c>
      <c r="L23" s="181">
        <v>42.459992468653461</v>
      </c>
      <c r="M23" s="181">
        <v>42.248948149322821</v>
      </c>
      <c r="N23" s="181">
        <v>42.549076595702338</v>
      </c>
      <c r="O23" s="181">
        <v>43.394883823539089</v>
      </c>
      <c r="P23" s="181">
        <v>44.528382928373432</v>
      </c>
      <c r="Q23" s="181">
        <v>46.567854791639704</v>
      </c>
      <c r="R23" s="181">
        <v>47.641225826808942</v>
      </c>
      <c r="S23" s="181">
        <v>48.726092136997927</v>
      </c>
      <c r="T23" s="181">
        <v>49.834696579808003</v>
      </c>
      <c r="U23" s="181">
        <v>50.881804971819541</v>
      </c>
      <c r="V23" s="181">
        <v>51.851791338152182</v>
      </c>
      <c r="W23" s="181">
        <v>52.707719291264389</v>
      </c>
      <c r="X23" s="181">
        <v>53.105338510924383</v>
      </c>
      <c r="Y23" s="181">
        <v>53.940650319682227</v>
      </c>
      <c r="DA23" s="190" t="s">
        <v>925</v>
      </c>
    </row>
    <row r="24" spans="1:105" ht="12" customHeight="1" x14ac:dyDescent="0.25">
      <c r="A24" s="60" t="s">
        <v>159</v>
      </c>
      <c r="B24" s="36">
        <v>0.72916006113281329</v>
      </c>
      <c r="C24" s="36">
        <v>0.79795667205748622</v>
      </c>
      <c r="D24" s="36">
        <v>0.91492765476249804</v>
      </c>
      <c r="E24" s="36">
        <v>1.0900445119617073</v>
      </c>
      <c r="F24" s="36">
        <v>1.3363811397811858</v>
      </c>
      <c r="G24" s="36">
        <v>1.6362705502648505</v>
      </c>
      <c r="H24" s="36">
        <v>1.9209925357356337</v>
      </c>
      <c r="I24" s="36">
        <v>2.2060704729004739</v>
      </c>
      <c r="J24" s="36">
        <v>2.4366052419414084</v>
      </c>
      <c r="K24" s="36">
        <v>2.5459140159231435</v>
      </c>
      <c r="L24" s="36">
        <v>2.6154985720910049</v>
      </c>
      <c r="M24" s="36">
        <v>2.7322939092668586</v>
      </c>
      <c r="N24" s="36">
        <v>2.7782721420725833</v>
      </c>
      <c r="O24" s="36">
        <v>2.8528558641456643</v>
      </c>
      <c r="P24" s="36">
        <v>2.9192834023907346</v>
      </c>
      <c r="Q24" s="36">
        <v>3.0037575031288504</v>
      </c>
      <c r="R24" s="36">
        <v>3.1404024044043841</v>
      </c>
      <c r="S24" s="36">
        <v>3.3005344875116442</v>
      </c>
      <c r="T24" s="36">
        <v>3.4491806506777958</v>
      </c>
      <c r="U24" s="36">
        <v>3.5952532318559607</v>
      </c>
      <c r="V24" s="36">
        <v>3.7336198532520082</v>
      </c>
      <c r="W24" s="36">
        <v>3.8595511833969516</v>
      </c>
      <c r="X24" s="36">
        <v>3.9677811412096569</v>
      </c>
      <c r="Y24" s="36">
        <v>4.0597343622638933</v>
      </c>
      <c r="DA24" s="89" t="s">
        <v>926</v>
      </c>
    </row>
    <row r="25" spans="1:105" ht="12" customHeight="1" x14ac:dyDescent="0.25">
      <c r="A25" s="62" t="s">
        <v>157</v>
      </c>
      <c r="B25" s="38">
        <v>104.16649108401072</v>
      </c>
      <c r="C25" s="38">
        <v>112.31205737565796</v>
      </c>
      <c r="D25" s="38">
        <v>118.07272211334751</v>
      </c>
      <c r="E25" s="38">
        <v>126.94535938809385</v>
      </c>
      <c r="F25" s="38">
        <v>140.19173059420677</v>
      </c>
      <c r="G25" s="38">
        <v>161.41111574080992</v>
      </c>
      <c r="H25" s="38">
        <v>191.07846982700937</v>
      </c>
      <c r="I25" s="38">
        <v>236.01484950307855</v>
      </c>
      <c r="J25" s="38">
        <v>277.75827569021487</v>
      </c>
      <c r="K25" s="38">
        <v>313.83873113781016</v>
      </c>
      <c r="L25" s="38">
        <v>342.03844429061451</v>
      </c>
      <c r="M25" s="38">
        <v>364.0810112195345</v>
      </c>
      <c r="N25" s="38">
        <v>399.79088859324236</v>
      </c>
      <c r="O25" s="38">
        <v>444.34067628530568</v>
      </c>
      <c r="P25" s="38">
        <v>489.35993107598199</v>
      </c>
      <c r="Q25" s="38">
        <v>540.05810855985976</v>
      </c>
      <c r="R25" s="38">
        <v>563.57856476155462</v>
      </c>
      <c r="S25" s="38">
        <v>600.40193704942794</v>
      </c>
      <c r="T25" s="38">
        <v>629.39270136391031</v>
      </c>
      <c r="U25" s="38">
        <v>664.87075630825632</v>
      </c>
      <c r="V25" s="38">
        <v>704.13129385696129</v>
      </c>
      <c r="W25" s="38">
        <v>741.6256137673272</v>
      </c>
      <c r="X25" s="38">
        <v>777.13470404337147</v>
      </c>
      <c r="Y25" s="38">
        <v>837.73804445292853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0.63929073832993399</v>
      </c>
      <c r="D28" s="182">
        <v>0.63080349749370779</v>
      </c>
      <c r="E28" s="182">
        <v>0.70508269621913922</v>
      </c>
      <c r="F28" s="182">
        <v>0.83077203039054393</v>
      </c>
      <c r="G28" s="182">
        <v>0.7644222636711655</v>
      </c>
      <c r="H28" s="182">
        <v>0.90642356623057996</v>
      </c>
      <c r="I28" s="182">
        <v>0.92288852253148868</v>
      </c>
      <c r="J28" s="182">
        <v>0.75690925025536515</v>
      </c>
      <c r="K28" s="182">
        <v>0.55447230224567079</v>
      </c>
      <c r="L28" s="182">
        <v>0.45904587326132429</v>
      </c>
      <c r="M28" s="182">
        <v>0.72063586537014146</v>
      </c>
      <c r="N28" s="182">
        <v>0.50828057079809597</v>
      </c>
      <c r="O28" s="182">
        <v>0.62035390990273065</v>
      </c>
      <c r="P28" s="182">
        <v>0.65176981316804117</v>
      </c>
      <c r="Q28" s="182">
        <v>0.68590470677769666</v>
      </c>
      <c r="R28" s="182">
        <v>0.51531355032526527</v>
      </c>
      <c r="S28" s="182">
        <v>0.60391690404600595</v>
      </c>
      <c r="T28" s="182">
        <v>0.57239700511309444</v>
      </c>
      <c r="U28" s="182">
        <v>0.89371852298540233</v>
      </c>
      <c r="V28" s="182">
        <v>0.8731765187846463</v>
      </c>
      <c r="W28" s="182">
        <v>0.93262029781032929</v>
      </c>
      <c r="X28" s="182">
        <v>0.98597870311425595</v>
      </c>
      <c r="Y28" s="182">
        <v>0.87788518223604228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33.49390631121949</v>
      </c>
      <c r="D29" s="182">
        <v>36.44143271515884</v>
      </c>
      <c r="E29" s="182">
        <v>39.995558590138131</v>
      </c>
      <c r="F29" s="182">
        <v>43.345689262758611</v>
      </c>
      <c r="G29" s="182">
        <v>45.215290197023393</v>
      </c>
      <c r="H29" s="182">
        <v>45.372473421750044</v>
      </c>
      <c r="I29" s="182">
        <v>46.928833396184444</v>
      </c>
      <c r="J29" s="182">
        <v>45.303581925383867</v>
      </c>
      <c r="K29" s="182">
        <v>45.831904044368287</v>
      </c>
      <c r="L29" s="182">
        <v>49.207154252633131</v>
      </c>
      <c r="M29" s="182">
        <v>54.378531341824328</v>
      </c>
      <c r="N29" s="182">
        <v>58.4246192542073</v>
      </c>
      <c r="O29" s="182">
        <v>58.78119231297751</v>
      </c>
      <c r="P29" s="182">
        <v>60.931708456090519</v>
      </c>
      <c r="Q29" s="182">
        <v>61.12855343648647</v>
      </c>
      <c r="R29" s="182">
        <v>53.961438629072063</v>
      </c>
      <c r="S29" s="182">
        <v>57.503809880884944</v>
      </c>
      <c r="T29" s="182">
        <v>62.636261547596405</v>
      </c>
      <c r="U29" s="182">
        <v>65.756207847519704</v>
      </c>
      <c r="V29" s="182">
        <v>64.727871328601623</v>
      </c>
      <c r="W29" s="182">
        <v>64.779976765011554</v>
      </c>
      <c r="X29" s="182">
        <v>62.137262071931218</v>
      </c>
      <c r="Y29" s="182">
        <v>59.163816458948361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0.39864602820146744</v>
      </c>
      <c r="D30" s="182">
        <v>0.42237259223941281</v>
      </c>
      <c r="E30" s="182">
        <v>0.45336305960825829</v>
      </c>
      <c r="F30" s="182">
        <v>0.49134809256013323</v>
      </c>
      <c r="G30" s="182">
        <v>0.48512293163284426</v>
      </c>
      <c r="H30" s="182">
        <v>0.54817521564338678</v>
      </c>
      <c r="I30" s="182">
        <v>0.64747352348981524</v>
      </c>
      <c r="J30" s="182">
        <v>0.58350773552479263</v>
      </c>
      <c r="K30" s="182">
        <v>0.5317659397333574</v>
      </c>
      <c r="L30" s="182">
        <v>0.57659951328437709</v>
      </c>
      <c r="M30" s="182">
        <v>0.65961635143684605</v>
      </c>
      <c r="N30" s="182">
        <v>0.66967752141112324</v>
      </c>
      <c r="O30" s="182">
        <v>0.82251693995016417</v>
      </c>
      <c r="P30" s="182">
        <v>0.79660487907754929</v>
      </c>
      <c r="Q30" s="182">
        <v>0.80992628507237407</v>
      </c>
      <c r="R30" s="182">
        <v>0.71493914938720016</v>
      </c>
      <c r="S30" s="182">
        <v>0.83165601774902198</v>
      </c>
      <c r="T30" s="182">
        <v>0.82158121383987925</v>
      </c>
      <c r="U30" s="182">
        <v>0.96440190575402696</v>
      </c>
      <c r="V30" s="182">
        <v>0.91642476251806748</v>
      </c>
      <c r="W30" s="182">
        <v>0.8915206883838982</v>
      </c>
      <c r="X30" s="182">
        <v>0.77226848554969418</v>
      </c>
      <c r="Y30" s="182">
        <v>0.87468676611077978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2.750580936489591</v>
      </c>
      <c r="D31" s="182">
        <v>3.2371845106751564</v>
      </c>
      <c r="E31" s="182">
        <v>3.8399477302889444</v>
      </c>
      <c r="F31" s="182">
        <v>4.1898281563848983</v>
      </c>
      <c r="G31" s="182">
        <v>5.0477502291477165</v>
      </c>
      <c r="H31" s="182">
        <v>5.8757954847350895</v>
      </c>
      <c r="I31" s="182">
        <v>5.3059514040455653</v>
      </c>
      <c r="J31" s="182">
        <v>4.7593060965659788</v>
      </c>
      <c r="K31" s="182">
        <v>4.0812557142440582</v>
      </c>
      <c r="L31" s="182">
        <v>3.3723922060764622</v>
      </c>
      <c r="M31" s="182">
        <v>2.5395366171589515</v>
      </c>
      <c r="N31" s="182">
        <v>3.5373129570546737</v>
      </c>
      <c r="O31" s="182">
        <v>4.685754958125699</v>
      </c>
      <c r="P31" s="182">
        <v>5.3233272612192408</v>
      </c>
      <c r="Q31" s="182">
        <v>7.0872220924139882</v>
      </c>
      <c r="R31" s="182">
        <v>6.9491665199043311</v>
      </c>
      <c r="S31" s="182">
        <v>6.3908177142345508</v>
      </c>
      <c r="T31" s="182">
        <v>5.8679105393760551</v>
      </c>
      <c r="U31" s="182">
        <v>5.1283641062555958</v>
      </c>
      <c r="V31" s="182">
        <v>4.3423785724091033</v>
      </c>
      <c r="W31" s="182">
        <v>3.3954645702711588</v>
      </c>
      <c r="X31" s="182">
        <v>3.9349321767146677</v>
      </c>
      <c r="Y31" s="182">
        <v>5.5210667668835427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8.9564879221923799E-2</v>
      </c>
      <c r="D32" s="41">
        <v>0.14007633488972016</v>
      </c>
      <c r="E32" s="41">
        <v>0.20082228877099195</v>
      </c>
      <c r="F32" s="41">
        <v>0.2749347295497313</v>
      </c>
      <c r="G32" s="41">
        <v>0.33170569881518031</v>
      </c>
      <c r="H32" s="41">
        <v>0.32011860769215561</v>
      </c>
      <c r="I32" s="41">
        <v>0.32445779353361326</v>
      </c>
      <c r="J32" s="41">
        <v>0.27434609877535321</v>
      </c>
      <c r="K32" s="41">
        <v>0.15805025732091815</v>
      </c>
      <c r="L32" s="41">
        <v>0.12381099057433476</v>
      </c>
      <c r="M32" s="41">
        <v>0.17712395228953692</v>
      </c>
      <c r="N32" s="41">
        <v>0.11309571602900759</v>
      </c>
      <c r="O32" s="41">
        <v>0.14925403475536081</v>
      </c>
      <c r="P32" s="41">
        <v>0.14950061143407334</v>
      </c>
      <c r="Q32" s="41">
        <v>0.1768955094769491</v>
      </c>
      <c r="R32" s="41">
        <v>0.22620978049745766</v>
      </c>
      <c r="S32" s="41">
        <v>0.30020841799698017</v>
      </c>
      <c r="T32" s="41">
        <v>0.3494684519371436</v>
      </c>
      <c r="U32" s="41">
        <v>0.42100731072789621</v>
      </c>
      <c r="V32" s="41">
        <v>0.4700723202112278</v>
      </c>
      <c r="W32" s="41">
        <v>0.44604993783709901</v>
      </c>
      <c r="X32" s="41">
        <v>0.43268775134631854</v>
      </c>
      <c r="Y32" s="41">
        <v>0.36629931982958963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28.978864508449391</v>
      </c>
      <c r="D33" s="42">
        <v>26.593962954491701</v>
      </c>
      <c r="E33" s="42">
        <v>29.705935491548487</v>
      </c>
      <c r="F33" s="42">
        <v>34.079669422915075</v>
      </c>
      <c r="G33" s="42">
        <v>42.052683363405293</v>
      </c>
      <c r="H33" s="42">
        <v>58.646218594648843</v>
      </c>
      <c r="I33" s="42">
        <v>71.530342630560881</v>
      </c>
      <c r="J33" s="42">
        <v>71.449361678684795</v>
      </c>
      <c r="K33" s="42">
        <v>70.160124870510344</v>
      </c>
      <c r="L33" s="42">
        <v>70.252396516209615</v>
      </c>
      <c r="M33" s="42">
        <v>80.688785523568868</v>
      </c>
      <c r="N33" s="42">
        <v>107.24022000426874</v>
      </c>
      <c r="O33" s="42">
        <v>115.99914937074811</v>
      </c>
      <c r="P33" s="42">
        <v>115.17937966118666</v>
      </c>
      <c r="Q33" s="42">
        <v>120.95057400008739</v>
      </c>
      <c r="R33" s="42">
        <v>104.20924172526372</v>
      </c>
      <c r="S33" s="42">
        <v>144.06359229214206</v>
      </c>
      <c r="T33" s="42">
        <v>144.98991368523048</v>
      </c>
      <c r="U33" s="42">
        <v>150.65743460553267</v>
      </c>
      <c r="V33" s="42">
        <v>160.21111154879236</v>
      </c>
      <c r="W33" s="42">
        <v>141.70356163562963</v>
      </c>
      <c r="X33" s="42">
        <v>179.57268256818634</v>
      </c>
      <c r="Y33" s="42">
        <v>205.59325409478754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0.19619350650513123</v>
      </c>
      <c r="D36" s="182">
        <v>0.20174295643401585</v>
      </c>
      <c r="E36" s="182">
        <v>0.20744937585216494</v>
      </c>
      <c r="F36" s="182">
        <v>0.21331720473486993</v>
      </c>
      <c r="G36" s="182">
        <v>0.21935100864476009</v>
      </c>
      <c r="H36" s="182">
        <v>0.22555548228411926</v>
      </c>
      <c r="I36" s="182">
        <v>0.23193545314767228</v>
      </c>
      <c r="J36" s="182">
        <v>0.23849588527870402</v>
      </c>
      <c r="K36" s="182">
        <v>0.24524188313141337</v>
      </c>
      <c r="L36" s="182">
        <v>0.25217869554252026</v>
      </c>
      <c r="M36" s="182">
        <v>0.25931171981520684</v>
      </c>
      <c r="N36" s="182">
        <v>0.26664650591858674</v>
      </c>
      <c r="O36" s="182">
        <v>0.27418876080595034</v>
      </c>
      <c r="P36" s="182">
        <v>0.28194435285514885</v>
      </c>
      <c r="Q36" s="182">
        <v>0.2899193164345899</v>
      </c>
      <c r="R36" s="182">
        <v>0.29811985659838136</v>
      </c>
      <c r="S36" s="182">
        <v>0.30655235391426672</v>
      </c>
      <c r="T36" s="182">
        <v>0.31522336942814988</v>
      </c>
      <c r="U36" s="182">
        <v>0.63929073832993488</v>
      </c>
      <c r="V36" s="182">
        <v>0.63080349749370868</v>
      </c>
      <c r="W36" s="182">
        <v>0.7050826962191401</v>
      </c>
      <c r="X36" s="182">
        <v>0.83077203039054304</v>
      </c>
      <c r="Y36" s="182">
        <v>0.76442226367116461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25.862105766820179</v>
      </c>
      <c r="D37" s="182">
        <v>26.975337045168402</v>
      </c>
      <c r="E37" s="182">
        <v>28.136487231987047</v>
      </c>
      <c r="F37" s="182">
        <v>29.347618991013348</v>
      </c>
      <c r="G37" s="182">
        <v>30.610883773100738</v>
      </c>
      <c r="H37" s="182">
        <v>31.928525638049564</v>
      </c>
      <c r="I37" s="182">
        <v>33.302885240948626</v>
      </c>
      <c r="J37" s="182">
        <v>33.493906311219462</v>
      </c>
      <c r="K37" s="182">
        <v>36.44143271515884</v>
      </c>
      <c r="L37" s="182">
        <v>39.995558590138103</v>
      </c>
      <c r="M37" s="182">
        <v>43.345689262758583</v>
      </c>
      <c r="N37" s="182">
        <v>45.215290197023364</v>
      </c>
      <c r="O37" s="182">
        <v>45.372473421750044</v>
      </c>
      <c r="P37" s="182">
        <v>46.928833396184416</v>
      </c>
      <c r="Q37" s="182">
        <v>45.303581925383867</v>
      </c>
      <c r="R37" s="182">
        <v>45.831904044368287</v>
      </c>
      <c r="S37" s="182">
        <v>49.207154252633131</v>
      </c>
      <c r="T37" s="182">
        <v>54.378531341824328</v>
      </c>
      <c r="U37" s="182">
        <v>58.4246192542073</v>
      </c>
      <c r="V37" s="182">
        <v>58.78119231297751</v>
      </c>
      <c r="W37" s="182">
        <v>60.931708456090519</v>
      </c>
      <c r="X37" s="182">
        <v>61.12855343648647</v>
      </c>
      <c r="Y37" s="182">
        <v>53.961438629072063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0.29366642729533687</v>
      </c>
      <c r="D38" s="182">
        <v>0.30129539713920472</v>
      </c>
      <c r="E38" s="182">
        <v>0.30912255504772324</v>
      </c>
      <c r="F38" s="182">
        <v>0.31715304962021529</v>
      </c>
      <c r="G38" s="182">
        <v>0.32539216320813003</v>
      </c>
      <c r="H38" s="182">
        <v>0.33384531538970075</v>
      </c>
      <c r="I38" s="182">
        <v>0.39864602820146722</v>
      </c>
      <c r="J38" s="182">
        <v>0.42237259223941281</v>
      </c>
      <c r="K38" s="182">
        <v>0.45336305960825829</v>
      </c>
      <c r="L38" s="182">
        <v>0.49134809256013323</v>
      </c>
      <c r="M38" s="182">
        <v>0.48512293163284426</v>
      </c>
      <c r="N38" s="182">
        <v>0.54817521564338678</v>
      </c>
      <c r="O38" s="182">
        <v>0.6474735234898148</v>
      </c>
      <c r="P38" s="182">
        <v>0.58350773552479218</v>
      </c>
      <c r="Q38" s="182">
        <v>0.53176593973335695</v>
      </c>
      <c r="R38" s="182">
        <v>0.57659951328437664</v>
      </c>
      <c r="S38" s="182">
        <v>0.65961635143684649</v>
      </c>
      <c r="T38" s="182">
        <v>0.66967752141112324</v>
      </c>
      <c r="U38" s="182">
        <v>0.82251693995016417</v>
      </c>
      <c r="V38" s="182">
        <v>0.79660487907754884</v>
      </c>
      <c r="W38" s="182">
        <v>0.80992628507237363</v>
      </c>
      <c r="X38" s="182">
        <v>0.71493914938719971</v>
      </c>
      <c r="Y38" s="182">
        <v>0.83165601774902154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2.202014684327299</v>
      </c>
      <c r="D39" s="182">
        <v>2.2483983294373218</v>
      </c>
      <c r="E39" s="182">
        <v>2.2957590082379049</v>
      </c>
      <c r="F39" s="182">
        <v>2.3441173011476444</v>
      </c>
      <c r="G39" s="182">
        <v>2.393494222094894</v>
      </c>
      <c r="H39" s="182">
        <v>2.4439112276492594</v>
      </c>
      <c r="I39" s="182">
        <v>2.495390226345549</v>
      </c>
      <c r="J39" s="182">
        <v>2.5479535882039599</v>
      </c>
      <c r="K39" s="182">
        <v>2.6016241544509668</v>
      </c>
      <c r="L39" s="182">
        <v>2.6564252474448509</v>
      </c>
      <c r="M39" s="182">
        <v>2.750580936489591</v>
      </c>
      <c r="N39" s="182">
        <v>3.2371845106751564</v>
      </c>
      <c r="O39" s="182">
        <v>3.839947730288948</v>
      </c>
      <c r="P39" s="182">
        <v>4.1898281563848983</v>
      </c>
      <c r="Q39" s="182">
        <v>5.0477502291477165</v>
      </c>
      <c r="R39" s="182">
        <v>5.8757954847350931</v>
      </c>
      <c r="S39" s="182">
        <v>5.3059514040455653</v>
      </c>
      <c r="T39" s="182">
        <v>4.7593060965659788</v>
      </c>
      <c r="U39" s="182">
        <v>4.0812557142440582</v>
      </c>
      <c r="V39" s="182">
        <v>3.3723922060764622</v>
      </c>
      <c r="W39" s="182">
        <v>2.5395366171589515</v>
      </c>
      <c r="X39" s="182">
        <v>3.5373129570546737</v>
      </c>
      <c r="Y39" s="182">
        <v>4.685754958125699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2.0768268297250869E-2</v>
      </c>
      <c r="D40" s="41">
        <v>2.3105352184708328E-2</v>
      </c>
      <c r="E40" s="41">
        <v>2.5705431571782844E-2</v>
      </c>
      <c r="F40" s="41">
        <v>2.859810173025279E-2</v>
      </c>
      <c r="G40" s="41">
        <v>3.1816288331515619E-2</v>
      </c>
      <c r="H40" s="41">
        <v>3.5396622221372409E-2</v>
      </c>
      <c r="I40" s="41">
        <v>3.9379856368773059E-2</v>
      </c>
      <c r="J40" s="41">
        <v>4.3811329734418702E-2</v>
      </c>
      <c r="K40" s="41">
        <v>4.8741483339183045E-2</v>
      </c>
      <c r="L40" s="41">
        <v>5.4226434406473345E-2</v>
      </c>
      <c r="M40" s="41">
        <v>6.0328615113683259E-2</v>
      </c>
      <c r="N40" s="41">
        <v>6.7117483223282814E-2</v>
      </c>
      <c r="O40" s="41">
        <v>7.467031268227986E-2</v>
      </c>
      <c r="P40" s="41">
        <v>8.3073073189003033E-2</v>
      </c>
      <c r="Q40" s="41">
        <v>9.2421408738833311E-2</v>
      </c>
      <c r="R40" s="41">
        <v>8.956487922192391E-2</v>
      </c>
      <c r="S40" s="41">
        <v>0.14007633488972004</v>
      </c>
      <c r="T40" s="41">
        <v>0.20082228877099206</v>
      </c>
      <c r="U40" s="41">
        <v>0.2749347295497313</v>
      </c>
      <c r="V40" s="41">
        <v>0.33170569881517986</v>
      </c>
      <c r="W40" s="41">
        <v>0.32011860769215605</v>
      </c>
      <c r="X40" s="41">
        <v>0.3244577935336137</v>
      </c>
      <c r="Y40" s="41">
        <v>0.27434609877535276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20.833298216802149</v>
      </c>
      <c r="D41" s="42">
        <v>20.833298216802149</v>
      </c>
      <c r="E41" s="42">
        <v>20.833298216802163</v>
      </c>
      <c r="F41" s="42">
        <v>20.833298216802149</v>
      </c>
      <c r="G41" s="42">
        <v>20.833298216802149</v>
      </c>
      <c r="H41" s="42">
        <v>28.978864508449391</v>
      </c>
      <c r="I41" s="42">
        <v>26.593962954491701</v>
      </c>
      <c r="J41" s="42">
        <v>29.705935491548473</v>
      </c>
      <c r="K41" s="42">
        <v>34.07966942291506</v>
      </c>
      <c r="L41" s="42">
        <v>42.052683363405265</v>
      </c>
      <c r="M41" s="42">
        <v>58.646218594648872</v>
      </c>
      <c r="N41" s="42">
        <v>71.530342630560881</v>
      </c>
      <c r="O41" s="42">
        <v>71.449361678684795</v>
      </c>
      <c r="P41" s="42">
        <v>70.160124870510344</v>
      </c>
      <c r="Q41" s="42">
        <v>70.252396516209615</v>
      </c>
      <c r="R41" s="42">
        <v>80.688785523568868</v>
      </c>
      <c r="S41" s="42">
        <v>107.24022000426874</v>
      </c>
      <c r="T41" s="42">
        <v>115.99914937074811</v>
      </c>
      <c r="U41" s="42">
        <v>115.17937966118666</v>
      </c>
      <c r="V41" s="42">
        <v>120.95057400008739</v>
      </c>
      <c r="W41" s="42">
        <v>104.20924172526372</v>
      </c>
      <c r="X41" s="42">
        <v>144.06359229214206</v>
      </c>
      <c r="Y41" s="42">
        <v>144.98991368523048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8759.9999999999964</v>
      </c>
      <c r="C44" s="184">
        <v>8759.9999999999964</v>
      </c>
      <c r="D44" s="184">
        <v>8760.0000000000018</v>
      </c>
      <c r="E44" s="184">
        <v>8760.0000000000018</v>
      </c>
      <c r="F44" s="184">
        <v>8760</v>
      </c>
      <c r="G44" s="184">
        <v>8759.9999999999982</v>
      </c>
      <c r="H44" s="184">
        <v>8760</v>
      </c>
      <c r="I44" s="184">
        <v>8759.9999999999964</v>
      </c>
      <c r="J44" s="184">
        <v>8759.9999999999964</v>
      </c>
      <c r="K44" s="184">
        <v>8759.9999999999982</v>
      </c>
      <c r="L44" s="184">
        <v>8760</v>
      </c>
      <c r="M44" s="184">
        <v>8760</v>
      </c>
      <c r="N44" s="184">
        <v>8760</v>
      </c>
      <c r="O44" s="184">
        <v>8760.0000000000018</v>
      </c>
      <c r="P44" s="184">
        <v>8759.9999999999982</v>
      </c>
      <c r="Q44" s="184">
        <v>8760.0000000000036</v>
      </c>
      <c r="R44" s="184">
        <v>8760.0000000000036</v>
      </c>
      <c r="S44" s="184">
        <v>8760.0000000000036</v>
      </c>
      <c r="T44" s="184">
        <v>8760</v>
      </c>
      <c r="U44" s="184">
        <v>8760</v>
      </c>
      <c r="V44" s="184">
        <v>8760.0000000000018</v>
      </c>
      <c r="W44" s="184">
        <v>8760.0000000000018</v>
      </c>
      <c r="X44" s="184">
        <v>8760.0000000000018</v>
      </c>
      <c r="Y44" s="184">
        <v>8760.0000000000018</v>
      </c>
      <c r="DA44" s="193" t="s">
        <v>940</v>
      </c>
    </row>
    <row r="45" spans="1:105" ht="12" customHeight="1" x14ac:dyDescent="0.25">
      <c r="A45" s="131" t="s">
        <v>6</v>
      </c>
      <c r="B45" s="184">
        <v>3862.8430237412795</v>
      </c>
      <c r="C45" s="184">
        <v>3868.2123398052595</v>
      </c>
      <c r="D45" s="184">
        <v>3878.2885280672381</v>
      </c>
      <c r="E45" s="184">
        <v>3885.7985712652694</v>
      </c>
      <c r="F45" s="184">
        <v>3893.4864656338877</v>
      </c>
      <c r="G45" s="184">
        <v>3899.5169585382137</v>
      </c>
      <c r="H45" s="184">
        <v>3905.1110041510565</v>
      </c>
      <c r="I45" s="184">
        <v>3909.31792927588</v>
      </c>
      <c r="J45" s="184">
        <v>3906.2904648380891</v>
      </c>
      <c r="K45" s="184">
        <v>3904.7175509394178</v>
      </c>
      <c r="L45" s="184">
        <v>3902.3066980710587</v>
      </c>
      <c r="M45" s="184">
        <v>3900.989750875096</v>
      </c>
      <c r="N45" s="184">
        <v>3898.8133585017185</v>
      </c>
      <c r="O45" s="184">
        <v>3886.1846810896254</v>
      </c>
      <c r="P45" s="184">
        <v>3862.1774523370154</v>
      </c>
      <c r="Q45" s="184">
        <v>3829.7246435676861</v>
      </c>
      <c r="R45" s="184">
        <v>3849.4137284397052</v>
      </c>
      <c r="S45" s="184">
        <v>3915.0432020591543</v>
      </c>
      <c r="T45" s="184">
        <v>3872.1106388678045</v>
      </c>
      <c r="U45" s="184">
        <v>3836.7752045662805</v>
      </c>
      <c r="V45" s="184">
        <v>3805.4536801318091</v>
      </c>
      <c r="W45" s="184">
        <v>3751.843720426346</v>
      </c>
      <c r="X45" s="184">
        <v>3736.6593483837114</v>
      </c>
      <c r="Y45" s="184">
        <v>3721.4749763410769</v>
      </c>
      <c r="DA45" s="193" t="s">
        <v>941</v>
      </c>
    </row>
    <row r="46" spans="1:105" ht="12" customHeight="1" x14ac:dyDescent="0.25">
      <c r="A46" s="131" t="s">
        <v>5</v>
      </c>
      <c r="B46" s="184">
        <v>2211.3653972619868</v>
      </c>
      <c r="C46" s="184">
        <v>2238.2554017151419</v>
      </c>
      <c r="D46" s="184">
        <v>2260.8075303443611</v>
      </c>
      <c r="E46" s="184">
        <v>2285.0812806997137</v>
      </c>
      <c r="F46" s="184">
        <v>2311.7882378670829</v>
      </c>
      <c r="G46" s="184">
        <v>2337.6139406808138</v>
      </c>
      <c r="H46" s="184">
        <v>2352.2562779990158</v>
      </c>
      <c r="I46" s="184">
        <v>2367.2067553529569</v>
      </c>
      <c r="J46" s="184">
        <v>2380.7531752792324</v>
      </c>
      <c r="K46" s="184">
        <v>2390.825299009221</v>
      </c>
      <c r="L46" s="184">
        <v>2399.4887708159004</v>
      </c>
      <c r="M46" s="184">
        <v>2409.4526469382622</v>
      </c>
      <c r="N46" s="184">
        <v>2421.9314322229607</v>
      </c>
      <c r="O46" s="184">
        <v>2436.6057527987618</v>
      </c>
      <c r="P46" s="184">
        <v>2447.8505496720782</v>
      </c>
      <c r="Q46" s="184">
        <v>2464.6710488313165</v>
      </c>
      <c r="R46" s="184">
        <v>2494.2033308002788</v>
      </c>
      <c r="S46" s="184">
        <v>2576.7242256097047</v>
      </c>
      <c r="T46" s="184">
        <v>2535.1080662870395</v>
      </c>
      <c r="U46" s="184">
        <v>2509.2241396123595</v>
      </c>
      <c r="V46" s="184">
        <v>2306.296328443068</v>
      </c>
      <c r="W46" s="184">
        <v>2383.9368717623747</v>
      </c>
      <c r="X46" s="184">
        <v>2413.8544356756192</v>
      </c>
      <c r="Y46" s="184">
        <v>2428.8132176322415</v>
      </c>
      <c r="DA46" s="193" t="s">
        <v>942</v>
      </c>
    </row>
    <row r="47" spans="1:105" ht="12" customHeight="1" x14ac:dyDescent="0.25">
      <c r="A47" s="131" t="s">
        <v>171</v>
      </c>
      <c r="B47" s="184">
        <v>8760</v>
      </c>
      <c r="C47" s="184">
        <v>8760</v>
      </c>
      <c r="D47" s="184">
        <v>8759.9999999999982</v>
      </c>
      <c r="E47" s="184">
        <v>8759.9999999999982</v>
      </c>
      <c r="F47" s="184">
        <v>8759.9999999999982</v>
      </c>
      <c r="G47" s="184">
        <v>8759.9999999999982</v>
      </c>
      <c r="H47" s="184">
        <v>8760.0000000000018</v>
      </c>
      <c r="I47" s="184">
        <v>8759.9999999999982</v>
      </c>
      <c r="J47" s="184">
        <v>8759.9999999999982</v>
      </c>
      <c r="K47" s="184">
        <v>8759.9999999999964</v>
      </c>
      <c r="L47" s="184">
        <v>8760</v>
      </c>
      <c r="M47" s="184">
        <v>8759.9999999999982</v>
      </c>
      <c r="N47" s="184">
        <v>8760.0000000000036</v>
      </c>
      <c r="O47" s="184">
        <v>8760.0000000000018</v>
      </c>
      <c r="P47" s="184">
        <v>8759.9999999999982</v>
      </c>
      <c r="Q47" s="184">
        <v>8760</v>
      </c>
      <c r="R47" s="184">
        <v>8760.0000000000018</v>
      </c>
      <c r="S47" s="184">
        <v>8760</v>
      </c>
      <c r="T47" s="184">
        <v>8760</v>
      </c>
      <c r="U47" s="184">
        <v>8760</v>
      </c>
      <c r="V47" s="184">
        <v>8760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900.54546285664105</v>
      </c>
      <c r="C48" s="44">
        <v>904.84726234687548</v>
      </c>
      <c r="D48" s="44">
        <v>908.79243831714689</v>
      </c>
      <c r="E48" s="44">
        <v>912.4368365140557</v>
      </c>
      <c r="F48" s="44">
        <v>915.82405031078963</v>
      </c>
      <c r="G48" s="44">
        <v>918.98877230426285</v>
      </c>
      <c r="H48" s="44">
        <v>921.95907100924478</v>
      </c>
      <c r="I48" s="44">
        <v>924.75798193955291</v>
      </c>
      <c r="J48" s="44">
        <v>927.4046470893428</v>
      </c>
      <c r="K48" s="44">
        <v>929.91514856945253</v>
      </c>
      <c r="L48" s="44">
        <v>932.30313001997854</v>
      </c>
      <c r="M48" s="44">
        <v>933.82060440822511</v>
      </c>
      <c r="N48" s="44">
        <v>935.26977267725715</v>
      </c>
      <c r="O48" s="44">
        <v>936.65661287753449</v>
      </c>
      <c r="P48" s="44">
        <v>937.98634734718644</v>
      </c>
      <c r="Q48" s="44">
        <v>939.26356524419464</v>
      </c>
      <c r="R48" s="44">
        <v>945.89397021662046</v>
      </c>
      <c r="S48" s="44">
        <v>969.19875966188829</v>
      </c>
      <c r="T48" s="44">
        <v>964.7459796110744</v>
      </c>
      <c r="U48" s="44">
        <v>961.4687617626513</v>
      </c>
      <c r="V48" s="44">
        <v>883.71215634346174</v>
      </c>
      <c r="W48" s="44">
        <v>913.4619725792187</v>
      </c>
      <c r="X48" s="44">
        <v>926.28535488590012</v>
      </c>
      <c r="Y48" s="44">
        <v>932.69704603924083</v>
      </c>
      <c r="DA48" s="95" t="s">
        <v>944</v>
      </c>
    </row>
    <row r="49" spans="1:105" ht="12" customHeight="1" x14ac:dyDescent="0.25">
      <c r="A49" s="62" t="s">
        <v>3</v>
      </c>
      <c r="B49" s="185">
        <v>2514.3578070616181</v>
      </c>
      <c r="C49" s="185">
        <v>2658.9941641251557</v>
      </c>
      <c r="D49" s="185">
        <v>2825.9877609615214</v>
      </c>
      <c r="E49" s="185">
        <v>2955.2857195483307</v>
      </c>
      <c r="F49" s="185">
        <v>3039.2234087062943</v>
      </c>
      <c r="G49" s="185">
        <v>3050.2956121125062</v>
      </c>
      <c r="H49" s="185">
        <v>3014.4197708782231</v>
      </c>
      <c r="I49" s="185">
        <v>2915.6999234219174</v>
      </c>
      <c r="J49" s="185">
        <v>2869.6115549038395</v>
      </c>
      <c r="K49" s="185">
        <v>2860.965290129061</v>
      </c>
      <c r="L49" s="185">
        <v>2902.5346844753799</v>
      </c>
      <c r="M49" s="185">
        <v>2931.222563498503</v>
      </c>
      <c r="N49" s="185">
        <v>3003.9677137965386</v>
      </c>
      <c r="O49" s="185">
        <v>3065.13985973331</v>
      </c>
      <c r="P49" s="185">
        <v>3090.9586343002529</v>
      </c>
      <c r="Q49" s="185">
        <v>3085.2010855942153</v>
      </c>
      <c r="R49" s="185">
        <v>3098.5620640224679</v>
      </c>
      <c r="S49" s="185">
        <v>3195.7205308402331</v>
      </c>
      <c r="T49" s="185">
        <v>3210.3369046561534</v>
      </c>
      <c r="U49" s="185">
        <v>3259.0214576152557</v>
      </c>
      <c r="V49" s="185">
        <v>3252.024810156116</v>
      </c>
      <c r="W49" s="185">
        <v>3333.9708291092797</v>
      </c>
      <c r="X49" s="185">
        <v>3416.9800435232837</v>
      </c>
      <c r="Y49" s="185">
        <v>3552.0922523957165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0.7876081103984981</v>
      </c>
      <c r="C52" s="180">
        <v>0.77658948334955535</v>
      </c>
      <c r="D52" s="180">
        <v>0.76591146845481173</v>
      </c>
      <c r="E52" s="180">
        <v>0.75438256814862525</v>
      </c>
      <c r="F52" s="180">
        <v>0.74154404586699241</v>
      </c>
      <c r="G52" s="180">
        <v>0.73006626756822524</v>
      </c>
      <c r="H52" s="180">
        <v>0.71731757724274148</v>
      </c>
      <c r="I52" s="180">
        <v>0.70509940095447632</v>
      </c>
      <c r="J52" s="180">
        <v>0.69489534733737968</v>
      </c>
      <c r="K52" s="180">
        <v>0.68660409685481194</v>
      </c>
      <c r="L52" s="180">
        <v>0.678968573379228</v>
      </c>
      <c r="M52" s="180">
        <v>0.66816237632841657</v>
      </c>
      <c r="N52" s="180">
        <v>0.6593959642138546</v>
      </c>
      <c r="O52" s="180">
        <v>0.64898910680368593</v>
      </c>
      <c r="P52" s="180">
        <v>0.63776763560875238</v>
      </c>
      <c r="Q52" s="180">
        <v>0.62573989323907342</v>
      </c>
      <c r="R52" s="180">
        <v>0.61591281741196302</v>
      </c>
      <c r="S52" s="180">
        <v>0.60529248371231636</v>
      </c>
      <c r="T52" s="180">
        <v>0.59512199671340804</v>
      </c>
      <c r="U52" s="180">
        <v>0.58177269162264289</v>
      </c>
      <c r="V52" s="180">
        <v>0.56958884827625</v>
      </c>
      <c r="W52" s="180">
        <v>0.55725889419817054</v>
      </c>
      <c r="X52" s="180">
        <v>0.54448062080726101</v>
      </c>
      <c r="Y52" s="180">
        <v>0.5337088140388917</v>
      </c>
      <c r="DA52" s="189" t="s">
        <v>946</v>
      </c>
    </row>
    <row r="53" spans="1:105" ht="12" customHeight="1" x14ac:dyDescent="0.25">
      <c r="A53" s="131" t="s">
        <v>100</v>
      </c>
      <c r="B53" s="180">
        <v>206.07255328817214</v>
      </c>
      <c r="C53" s="180">
        <v>203.86485983065171</v>
      </c>
      <c r="D53" s="180">
        <v>201.25703723791432</v>
      </c>
      <c r="E53" s="180">
        <v>198.17126373827287</v>
      </c>
      <c r="F53" s="180">
        <v>194.69469951365372</v>
      </c>
      <c r="G53" s="180">
        <v>190.78835083269567</v>
      </c>
      <c r="H53" s="180">
        <v>186.57853558252575</v>
      </c>
      <c r="I53" s="180">
        <v>182.15611403884239</v>
      </c>
      <c r="J53" s="180">
        <v>179.31027209832314</v>
      </c>
      <c r="K53" s="180">
        <v>176.379367328244</v>
      </c>
      <c r="L53" s="180">
        <v>173.16097704475078</v>
      </c>
      <c r="M53" s="180">
        <v>169.56623963100191</v>
      </c>
      <c r="N53" s="180">
        <v>165.56418525666015</v>
      </c>
      <c r="O53" s="180">
        <v>161.25521285254027</v>
      </c>
      <c r="P53" s="180">
        <v>156.33312036845095</v>
      </c>
      <c r="Q53" s="180">
        <v>150.94165813571297</v>
      </c>
      <c r="R53" s="180">
        <v>145.48927392316111</v>
      </c>
      <c r="S53" s="180">
        <v>139.54645071992158</v>
      </c>
      <c r="T53" s="180">
        <v>132.95641819643524</v>
      </c>
      <c r="U53" s="180">
        <v>126.11111337826001</v>
      </c>
      <c r="V53" s="180">
        <v>119.51636305954295</v>
      </c>
      <c r="W53" s="180">
        <v>113.54421024438804</v>
      </c>
      <c r="X53" s="180">
        <v>108.44524981235962</v>
      </c>
      <c r="Y53" s="180">
        <v>104.49190043609751</v>
      </c>
      <c r="DA53" s="189" t="s">
        <v>947</v>
      </c>
    </row>
    <row r="54" spans="1:105" ht="12" customHeight="1" x14ac:dyDescent="0.25">
      <c r="A54" s="131" t="s">
        <v>140</v>
      </c>
      <c r="B54" s="180">
        <v>46.133248749838828</v>
      </c>
      <c r="C54" s="180">
        <v>45.541120556226062</v>
      </c>
      <c r="D54" s="180">
        <v>44.661413856286565</v>
      </c>
      <c r="E54" s="180">
        <v>43.628805430957541</v>
      </c>
      <c r="F54" s="180">
        <v>42.421486456538922</v>
      </c>
      <c r="G54" s="180">
        <v>41.132286200514123</v>
      </c>
      <c r="H54" s="180">
        <v>39.736959732257112</v>
      </c>
      <c r="I54" s="180">
        <v>38.478872342506541</v>
      </c>
      <c r="J54" s="180">
        <v>37.437077689725399</v>
      </c>
      <c r="K54" s="180">
        <v>36.449276184075551</v>
      </c>
      <c r="L54" s="180">
        <v>35.439259189136493</v>
      </c>
      <c r="M54" s="180">
        <v>34.365907591015571</v>
      </c>
      <c r="N54" s="180">
        <v>33.160181828751483</v>
      </c>
      <c r="O54" s="180">
        <v>31.656779568386018</v>
      </c>
      <c r="P54" s="180">
        <v>30.251858471793646</v>
      </c>
      <c r="Q54" s="180">
        <v>28.837146530551458</v>
      </c>
      <c r="R54" s="180">
        <v>27.289075278995401</v>
      </c>
      <c r="S54" s="180">
        <v>25.608437792095515</v>
      </c>
      <c r="T54" s="180">
        <v>23.945717754985985</v>
      </c>
      <c r="U54" s="180">
        <v>22.052632850357323</v>
      </c>
      <c r="V54" s="180">
        <v>20.313294676325761</v>
      </c>
      <c r="W54" s="180">
        <v>18.784411877316195</v>
      </c>
      <c r="X54" s="180">
        <v>17.719336371468309</v>
      </c>
      <c r="Y54" s="180">
        <v>16.562422812471763</v>
      </c>
      <c r="DA54" s="189" t="s">
        <v>948</v>
      </c>
    </row>
    <row r="55" spans="1:105" ht="12" customHeight="1" x14ac:dyDescent="0.25">
      <c r="A55" s="131" t="s">
        <v>173</v>
      </c>
      <c r="B55" s="180">
        <v>749.83954598801142</v>
      </c>
      <c r="C55" s="180">
        <v>741.21875485982741</v>
      </c>
      <c r="D55" s="180">
        <v>728.98978720367575</v>
      </c>
      <c r="E55" s="180">
        <v>714.74781441767595</v>
      </c>
      <c r="F55" s="180">
        <v>700.07786715394809</v>
      </c>
      <c r="G55" s="180">
        <v>684.26860084627674</v>
      </c>
      <c r="H55" s="180">
        <v>667.74370977315425</v>
      </c>
      <c r="I55" s="180">
        <v>652.9063384765717</v>
      </c>
      <c r="J55" s="180">
        <v>638.29340519535958</v>
      </c>
      <c r="K55" s="180">
        <v>623.82419832837763</v>
      </c>
      <c r="L55" s="180">
        <v>609.31943727698251</v>
      </c>
      <c r="M55" s="180">
        <v>600.02636208956449</v>
      </c>
      <c r="N55" s="180">
        <v>589.12984789119537</v>
      </c>
      <c r="O55" s="180">
        <v>575.05947870788145</v>
      </c>
      <c r="P55" s="180">
        <v>558.98153487716377</v>
      </c>
      <c r="Q55" s="180">
        <v>538.93356914249648</v>
      </c>
      <c r="R55" s="180">
        <v>519.34426223648438</v>
      </c>
      <c r="S55" s="180">
        <v>502.5976867176318</v>
      </c>
      <c r="T55" s="180">
        <v>488.99287243116612</v>
      </c>
      <c r="U55" s="180">
        <v>478.58154046830111</v>
      </c>
      <c r="V55" s="180">
        <v>470.98213612487007</v>
      </c>
      <c r="W55" s="180">
        <v>465.66359321531388</v>
      </c>
      <c r="X55" s="180">
        <v>458.90845109249409</v>
      </c>
      <c r="Y55" s="180">
        <v>450.25063820058114</v>
      </c>
      <c r="DA55" s="189" t="s">
        <v>949</v>
      </c>
    </row>
    <row r="56" spans="1:105" ht="12" customHeight="1" x14ac:dyDescent="0.25">
      <c r="A56" s="60" t="s">
        <v>99</v>
      </c>
      <c r="B56" s="55">
        <v>55.614449336193964</v>
      </c>
      <c r="C56" s="55">
        <v>55.230194808623885</v>
      </c>
      <c r="D56" s="55">
        <v>54.689848945068583</v>
      </c>
      <c r="E56" s="55">
        <v>54.019846705775535</v>
      </c>
      <c r="F56" s="55">
        <v>53.25303528351504</v>
      </c>
      <c r="G56" s="55">
        <v>52.480337333406325</v>
      </c>
      <c r="H56" s="55">
        <v>51.820921749443166</v>
      </c>
      <c r="I56" s="55">
        <v>51.208586359282009</v>
      </c>
      <c r="J56" s="55">
        <v>50.693024185968383</v>
      </c>
      <c r="K56" s="55">
        <v>50.332035741932806</v>
      </c>
      <c r="L56" s="55">
        <v>49.976677634818721</v>
      </c>
      <c r="M56" s="55">
        <v>49.457362949061142</v>
      </c>
      <c r="N56" s="55">
        <v>49.011884499457317</v>
      </c>
      <c r="O56" s="55">
        <v>48.397743372827058</v>
      </c>
      <c r="P56" s="55">
        <v>47.705058682944404</v>
      </c>
      <c r="Q56" s="55">
        <v>46.83704288145254</v>
      </c>
      <c r="R56" s="55">
        <v>45.950125040613912</v>
      </c>
      <c r="S56" s="55">
        <v>44.807900344486761</v>
      </c>
      <c r="T56" s="55">
        <v>43.504512053750041</v>
      </c>
      <c r="U56" s="55">
        <v>41.990179948440215</v>
      </c>
      <c r="V56" s="55">
        <v>40.381362081436642</v>
      </c>
      <c r="W56" s="55">
        <v>38.972566236316062</v>
      </c>
      <c r="X56" s="55">
        <v>37.675600100355993</v>
      </c>
      <c r="Y56" s="55">
        <v>36.654401646845983</v>
      </c>
      <c r="DA56" s="101" t="s">
        <v>950</v>
      </c>
    </row>
    <row r="57" spans="1:105" ht="12" customHeight="1" x14ac:dyDescent="0.25">
      <c r="A57" s="62" t="s">
        <v>98</v>
      </c>
      <c r="B57" s="63">
        <v>399.93295152985468</v>
      </c>
      <c r="C57" s="63">
        <v>392.51210583935796</v>
      </c>
      <c r="D57" s="63">
        <v>384.17127080623129</v>
      </c>
      <c r="E57" s="63">
        <v>373.84561181678606</v>
      </c>
      <c r="F57" s="63">
        <v>361.05091301250445</v>
      </c>
      <c r="G57" s="63">
        <v>346.22604680550643</v>
      </c>
      <c r="H57" s="63">
        <v>329.69637798277296</v>
      </c>
      <c r="I57" s="63">
        <v>312.53185304039107</v>
      </c>
      <c r="J57" s="63">
        <v>296.74712442359572</v>
      </c>
      <c r="K57" s="63">
        <v>281.00837811137296</v>
      </c>
      <c r="L57" s="63">
        <v>264.02933157804597</v>
      </c>
      <c r="M57" s="63">
        <v>245.30271814164718</v>
      </c>
      <c r="N57" s="63">
        <v>226.0140638031794</v>
      </c>
      <c r="O57" s="63">
        <v>211.03905438581921</v>
      </c>
      <c r="P57" s="63">
        <v>201.40575988531864</v>
      </c>
      <c r="Q57" s="63">
        <v>196.18934891828718</v>
      </c>
      <c r="R57" s="63">
        <v>193.35831643022101</v>
      </c>
      <c r="S57" s="63">
        <v>190.44669541876686</v>
      </c>
      <c r="T57" s="63">
        <v>187.6638779661134</v>
      </c>
      <c r="U57" s="63">
        <v>184.52304246608784</v>
      </c>
      <c r="V57" s="63">
        <v>180.57373489157683</v>
      </c>
      <c r="W57" s="63">
        <v>176.91895465655912</v>
      </c>
      <c r="X57" s="63">
        <v>172.69741751986098</v>
      </c>
      <c r="Y57" s="63">
        <v>168.79698720853091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0.70200758247792328</v>
      </c>
      <c r="D60" s="180">
        <v>0.68877993401688387</v>
      </c>
      <c r="E60" s="180">
        <v>0.67593523505597319</v>
      </c>
      <c r="F60" s="180">
        <v>0.66230065487547762</v>
      </c>
      <c r="G60" s="180">
        <v>0.64882122637997708</v>
      </c>
      <c r="H60" s="180">
        <v>0.63557176989069009</v>
      </c>
      <c r="I60" s="180">
        <v>0.623410365936796</v>
      </c>
      <c r="J60" s="180">
        <v>0.61049538696323158</v>
      </c>
      <c r="K60" s="180">
        <v>0.59750596934245581</v>
      </c>
      <c r="L60" s="180">
        <v>0.58470492926761941</v>
      </c>
      <c r="M60" s="180">
        <v>0.56925702808824552</v>
      </c>
      <c r="N60" s="180">
        <v>0.55550693113699234</v>
      </c>
      <c r="O60" s="180">
        <v>0.53973264296018242</v>
      </c>
      <c r="P60" s="180">
        <v>0.52161653244324446</v>
      </c>
      <c r="Q60" s="180">
        <v>0.50335448076170441</v>
      </c>
      <c r="R60" s="180">
        <v>0.50018972368038006</v>
      </c>
      <c r="S60" s="180">
        <v>0.49570394717424193</v>
      </c>
      <c r="T60" s="180">
        <v>0.49161119650543533</v>
      </c>
      <c r="U60" s="180">
        <v>0.48780966871997661</v>
      </c>
      <c r="V60" s="180">
        <v>0.48402422312118437</v>
      </c>
      <c r="W60" s="180">
        <v>0.48112007778245724</v>
      </c>
      <c r="X60" s="180">
        <v>0.47821593244373017</v>
      </c>
      <c r="Y60" s="180">
        <v>0.47531178710500305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191.98057964286122</v>
      </c>
      <c r="D61" s="180">
        <v>189.52201721012852</v>
      </c>
      <c r="E61" s="180">
        <v>186.50445261265173</v>
      </c>
      <c r="F61" s="180">
        <v>183.54019507267759</v>
      </c>
      <c r="G61" s="180">
        <v>179.61331983895519</v>
      </c>
      <c r="H61" s="180">
        <v>175.82727962119654</v>
      </c>
      <c r="I61" s="180">
        <v>173.00898866244927</v>
      </c>
      <c r="J61" s="180">
        <v>170.41090194308302</v>
      </c>
      <c r="K61" s="180">
        <v>167.47807506230996</v>
      </c>
      <c r="L61" s="180">
        <v>163.60064882103143</v>
      </c>
      <c r="M61" s="180">
        <v>159.47150880840482</v>
      </c>
      <c r="N61" s="180">
        <v>153.67882037500087</v>
      </c>
      <c r="O61" s="180">
        <v>147.18011049271857</v>
      </c>
      <c r="P61" s="180">
        <v>140.18811972063071</v>
      </c>
      <c r="Q61" s="180">
        <v>132.48502848289775</v>
      </c>
      <c r="R61" s="180">
        <v>124.89189785734604</v>
      </c>
      <c r="S61" s="180">
        <v>119.12081206063554</v>
      </c>
      <c r="T61" s="180">
        <v>113.35378878183433</v>
      </c>
      <c r="U61" s="180">
        <v>107.57302600924548</v>
      </c>
      <c r="V61" s="180">
        <v>101.77596904034368</v>
      </c>
      <c r="W61" s="180">
        <v>99.272280201951233</v>
      </c>
      <c r="X61" s="180">
        <v>96.768591363558784</v>
      </c>
      <c r="Y61" s="180">
        <v>94.264902525166335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43.184157304012821</v>
      </c>
      <c r="D62" s="180">
        <v>41.576079772555744</v>
      </c>
      <c r="E62" s="180">
        <v>40.538473216912564</v>
      </c>
      <c r="F62" s="180">
        <v>39.286838562976229</v>
      </c>
      <c r="G62" s="180">
        <v>38.042359335966651</v>
      </c>
      <c r="H62" s="180">
        <v>37.053280512796483</v>
      </c>
      <c r="I62" s="180">
        <v>35.937179889605751</v>
      </c>
      <c r="J62" s="180">
        <v>34.991457266741051</v>
      </c>
      <c r="K62" s="180">
        <v>33.974588114030972</v>
      </c>
      <c r="L62" s="180">
        <v>32.959509514068223</v>
      </c>
      <c r="M62" s="180">
        <v>31.581709326197956</v>
      </c>
      <c r="N62" s="180">
        <v>29.960468942649818</v>
      </c>
      <c r="O62" s="180">
        <v>28.320682113643354</v>
      </c>
      <c r="P62" s="180">
        <v>26.944723088649948</v>
      </c>
      <c r="Q62" s="180">
        <v>25.124141615599278</v>
      </c>
      <c r="R62" s="180">
        <v>22.47575839587056</v>
      </c>
      <c r="S62" s="180">
        <v>21.30630289673509</v>
      </c>
      <c r="T62" s="180">
        <v>19.447167604109016</v>
      </c>
      <c r="U62" s="180">
        <v>17.981740275494293</v>
      </c>
      <c r="V62" s="180">
        <v>16.703447452168504</v>
      </c>
      <c r="W62" s="180">
        <v>15.868275079560078</v>
      </c>
      <c r="X62" s="180">
        <v>15.033102706951652</v>
      </c>
      <c r="Y62" s="180">
        <v>14.197930334343226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672.18213950029008</v>
      </c>
      <c r="D63" s="180">
        <v>649.86962316911263</v>
      </c>
      <c r="E63" s="180">
        <v>640.16274072868396</v>
      </c>
      <c r="F63" s="180">
        <v>632.29506881377245</v>
      </c>
      <c r="G63" s="180">
        <v>624.0444115573506</v>
      </c>
      <c r="H63" s="180">
        <v>612.42665543322994</v>
      </c>
      <c r="I63" s="180">
        <v>599.94324758861342</v>
      </c>
      <c r="J63" s="180">
        <v>581.17327874448779</v>
      </c>
      <c r="K63" s="180">
        <v>561.40486198354233</v>
      </c>
      <c r="L63" s="180">
        <v>540.46447124600149</v>
      </c>
      <c r="M63" s="180">
        <v>522.802196334369</v>
      </c>
      <c r="N63" s="180">
        <v>514.57031446407723</v>
      </c>
      <c r="O63" s="180">
        <v>500.64498285918722</v>
      </c>
      <c r="P63" s="180">
        <v>485.61963605709241</v>
      </c>
      <c r="Q63" s="180">
        <v>473.59270429767622</v>
      </c>
      <c r="R63" s="180">
        <v>466.77696617760529</v>
      </c>
      <c r="S63" s="180">
        <v>458.57881725249456</v>
      </c>
      <c r="T63" s="180">
        <v>450.78597354037436</v>
      </c>
      <c r="U63" s="180">
        <v>443.32226257621153</v>
      </c>
      <c r="V63" s="180">
        <v>435.89774130725294</v>
      </c>
      <c r="W63" s="180">
        <v>427.1797864811079</v>
      </c>
      <c r="X63" s="180">
        <v>418.46183165496279</v>
      </c>
      <c r="Y63" s="180">
        <v>409.74387682881775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52.191026375022965</v>
      </c>
      <c r="D64" s="55">
        <v>51.764234352866502</v>
      </c>
      <c r="E64" s="55">
        <v>51.171489423412822</v>
      </c>
      <c r="F64" s="55">
        <v>50.458457004891734</v>
      </c>
      <c r="G64" s="55">
        <v>49.667894980256627</v>
      </c>
      <c r="H64" s="55">
        <v>48.869814832039218</v>
      </c>
      <c r="I64" s="55">
        <v>48.117924083200265</v>
      </c>
      <c r="J64" s="55">
        <v>47.333208567716959</v>
      </c>
      <c r="K64" s="55">
        <v>46.395859544770261</v>
      </c>
      <c r="L64" s="55">
        <v>45.138698991470754</v>
      </c>
      <c r="M64" s="55">
        <v>43.88601976572545</v>
      </c>
      <c r="N64" s="55">
        <v>42.167854088054639</v>
      </c>
      <c r="O64" s="55">
        <v>40.576330072271219</v>
      </c>
      <c r="P64" s="55">
        <v>38.881869411243429</v>
      </c>
      <c r="Q64" s="55">
        <v>37.098164501885428</v>
      </c>
      <c r="R64" s="55">
        <v>36.644070544666675</v>
      </c>
      <c r="S64" s="55">
        <v>36.105188317432649</v>
      </c>
      <c r="T64" s="55">
        <v>35.600570952476765</v>
      </c>
      <c r="U64" s="55">
        <v>35.113858658290077</v>
      </c>
      <c r="V64" s="55">
        <v>34.629668916810296</v>
      </c>
      <c r="W64" s="55">
        <v>34.28337222764219</v>
      </c>
      <c r="X64" s="55">
        <v>33.93707553847409</v>
      </c>
      <c r="Y64" s="55">
        <v>33.590778849305984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371.17231990731619</v>
      </c>
      <c r="D65" s="63">
        <v>361.29357676231325</v>
      </c>
      <c r="E65" s="63">
        <v>351.09954018524928</v>
      </c>
      <c r="F65" s="63">
        <v>337.16023132310573</v>
      </c>
      <c r="G65" s="63">
        <v>323.41105355830274</v>
      </c>
      <c r="H65" s="63">
        <v>304.69652937794541</v>
      </c>
      <c r="I65" s="63">
        <v>284.809300426856</v>
      </c>
      <c r="J65" s="63">
        <v>267.20394946834477</v>
      </c>
      <c r="K65" s="63">
        <v>245.97522435337646</v>
      </c>
      <c r="L65" s="63">
        <v>223.72434828418289</v>
      </c>
      <c r="M65" s="63">
        <v>209.08951613688018</v>
      </c>
      <c r="N65" s="63">
        <v>199.74603343393179</v>
      </c>
      <c r="O65" s="63">
        <v>194.02232253933892</v>
      </c>
      <c r="P65" s="63">
        <v>191.39124683523735</v>
      </c>
      <c r="Q65" s="63">
        <v>191.07732011746828</v>
      </c>
      <c r="R65" s="63">
        <v>190.86726431891344</v>
      </c>
      <c r="S65" s="63">
        <v>185.97877867531037</v>
      </c>
      <c r="T65" s="63">
        <v>181.22732797796104</v>
      </c>
      <c r="U65" s="63">
        <v>176.65258174584181</v>
      </c>
      <c r="V65" s="63">
        <v>172.11386941329599</v>
      </c>
      <c r="W65" s="63">
        <v>169.01581976385665</v>
      </c>
      <c r="X65" s="63">
        <v>165.91777011441732</v>
      </c>
      <c r="Y65" s="63">
        <v>162.81972046497799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354.08172344863965</v>
      </c>
      <c r="C68" s="187">
        <f>1000000*C20/SER_summary!C$8</f>
        <v>373.04090585898604</v>
      </c>
      <c r="D68" s="187">
        <f>1000000*D20/SER_summary!D$8</f>
        <v>387.01867006330099</v>
      </c>
      <c r="E68" s="187">
        <f>1000000*E20/SER_summary!E$8</f>
        <v>403.28791965967537</v>
      </c>
      <c r="F68" s="187">
        <f>1000000*F20/SER_summary!F$8</f>
        <v>422.34116804224124</v>
      </c>
      <c r="G68" s="187">
        <f>1000000*G20/SER_summary!G$8</f>
        <v>439.62570705514509</v>
      </c>
      <c r="H68" s="187">
        <f>1000000*H20/SER_summary!H$8</f>
        <v>454.87006852719782</v>
      </c>
      <c r="I68" s="187">
        <f>1000000*I20/SER_summary!I$8</f>
        <v>467.58891763163672</v>
      </c>
      <c r="J68" s="187">
        <f>1000000*J20/SER_summary!J$8</f>
        <v>481.49736976815348</v>
      </c>
      <c r="K68" s="187">
        <f>1000000*K20/SER_summary!K$8</f>
        <v>497.21914928370984</v>
      </c>
      <c r="L68" s="187">
        <f>1000000*L20/SER_summary!L$8</f>
        <v>510.8191977650277</v>
      </c>
      <c r="M68" s="187">
        <f>1000000*M20/SER_summary!M$8</f>
        <v>527.16045712040091</v>
      </c>
      <c r="N68" s="187">
        <f>1000000*N20/SER_summary!N$8</f>
        <v>542.4134328512888</v>
      </c>
      <c r="O68" s="187">
        <f>1000000*O20/SER_summary!O$8</f>
        <v>555.24353434360546</v>
      </c>
      <c r="P68" s="187">
        <f>1000000*P20/SER_summary!P$8</f>
        <v>568.45551804295803</v>
      </c>
      <c r="Q68" s="187">
        <f>1000000*Q20/SER_summary!Q$8</f>
        <v>581.14689273055421</v>
      </c>
      <c r="R68" s="187">
        <f>1000000*R20/SER_summary!R$8</f>
        <v>589.76980692322081</v>
      </c>
      <c r="S68" s="187">
        <f>1000000*S20/SER_summary!S$8</f>
        <v>598.42303688681068</v>
      </c>
      <c r="T68" s="187">
        <f>1000000*T20/SER_summary!T$8</f>
        <v>606.94625080205822</v>
      </c>
      <c r="U68" s="187">
        <f>1000000*U20/SER_summary!U$8</f>
        <v>615.24220520140761</v>
      </c>
      <c r="V68" s="187">
        <f>1000000*V20/SER_summary!V$8</f>
        <v>623.12989514452363</v>
      </c>
      <c r="W68" s="187">
        <f>1000000*W20/SER_summary!W$8</f>
        <v>630.27357543518178</v>
      </c>
      <c r="X68" s="187">
        <f>1000000*X20/SER_summary!X$8</f>
        <v>633.87606834541145</v>
      </c>
      <c r="Y68" s="187">
        <f>1000000*Y20/SER_summary!Y$8</f>
        <v>635.68502908065182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8.6561088831824048E-2</v>
      </c>
      <c r="C69" s="187">
        <f>1000*C21/SER_summary!C$3</f>
        <v>9.084605157147628E-2</v>
      </c>
      <c r="D69" s="187">
        <f>1000*D21/SER_summary!D$3</f>
        <v>9.6193870069694362E-2</v>
      </c>
      <c r="E69" s="187">
        <f>1000*E21/SER_summary!E$3</f>
        <v>0.10225355910029559</v>
      </c>
      <c r="F69" s="187">
        <f>1000*F21/SER_summary!F$3</f>
        <v>0.10942969160445501</v>
      </c>
      <c r="G69" s="187">
        <f>1000*G21/SER_summary!G$3</f>
        <v>0.11722472976920573</v>
      </c>
      <c r="H69" s="187">
        <f>1000*H21/SER_summary!H$3</f>
        <v>0.12440884706181636</v>
      </c>
      <c r="I69" s="187">
        <f>1000*I21/SER_summary!I$3</f>
        <v>0.13164972741087308</v>
      </c>
      <c r="J69" s="187">
        <f>1000*J21/SER_summary!J$3</f>
        <v>0.13806071671741499</v>
      </c>
      <c r="K69" s="187">
        <f>1000*K21/SER_summary!K$3</f>
        <v>0.14425209278086382</v>
      </c>
      <c r="L69" s="187">
        <f>1000*L21/SER_summary!L$3</f>
        <v>0.1514757465678451</v>
      </c>
      <c r="M69" s="187">
        <f>1000*M21/SER_summary!M$3</f>
        <v>0.1601450727146457</v>
      </c>
      <c r="N69" s="187">
        <f>1000*N21/SER_summary!N$3</f>
        <v>0.16893823427196106</v>
      </c>
      <c r="O69" s="187">
        <f>1000*O21/SER_summary!O$3</f>
        <v>0.17731563575288325</v>
      </c>
      <c r="P69" s="187">
        <f>1000*P21/SER_summary!P$3</f>
        <v>0.18629260702018971</v>
      </c>
      <c r="Q69" s="187">
        <f>1000*Q21/SER_summary!Q$3</f>
        <v>0.19570235431650215</v>
      </c>
      <c r="R69" s="187">
        <f>1000*R21/SER_summary!R$3</f>
        <v>0.20153471999809616</v>
      </c>
      <c r="S69" s="187">
        <f>1000*S21/SER_summary!S$3</f>
        <v>0.20773628507819189</v>
      </c>
      <c r="T69" s="187">
        <f>1000*T21/SER_summary!T$3</f>
        <v>0.21369523941136423</v>
      </c>
      <c r="U69" s="187">
        <f>1000*U21/SER_summary!U$3</f>
        <v>0.21911780410435369</v>
      </c>
      <c r="V69" s="187">
        <f>1000*V21/SER_summary!V$3</f>
        <v>0.22364703166223379</v>
      </c>
      <c r="W69" s="187">
        <f>1000*W21/SER_summary!W$3</f>
        <v>0.22738690552310684</v>
      </c>
      <c r="X69" s="187">
        <f>1000*X21/SER_summary!X$3</f>
        <v>0.23004196602791174</v>
      </c>
      <c r="Y69" s="187">
        <f>1000*Y21/SER_summary!Y$3</f>
        <v>0.23191893284600701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147.20045820863015</v>
      </c>
      <c r="C70" s="187">
        <f>1000000*C22/SER_summary!C$8</f>
        <v>149.13137623834231</v>
      </c>
      <c r="D70" s="187">
        <f>1000000*D22/SER_summary!D$8</f>
        <v>151.10059333923962</v>
      </c>
      <c r="E70" s="187">
        <f>1000000*E22/SER_summary!E$8</f>
        <v>154.0276234354225</v>
      </c>
      <c r="F70" s="187">
        <f>1000000*F22/SER_summary!F$8</f>
        <v>157.30675528932173</v>
      </c>
      <c r="G70" s="187">
        <f>1000000*G22/SER_summary!G$8</f>
        <v>161.04739890577818</v>
      </c>
      <c r="H70" s="187">
        <f>1000000*H22/SER_summary!H$8</f>
        <v>164.56864326338729</v>
      </c>
      <c r="I70" s="187">
        <f>1000000*I22/SER_summary!I$8</f>
        <v>169.10618778695533</v>
      </c>
      <c r="J70" s="187">
        <f>1000000*J22/SER_summary!J$8</f>
        <v>172.71791170377091</v>
      </c>
      <c r="K70" s="187">
        <f>1000000*K22/SER_summary!K$8</f>
        <v>176.6103201405563</v>
      </c>
      <c r="L70" s="187">
        <f>1000000*L22/SER_summary!L$8</f>
        <v>182.07658532800176</v>
      </c>
      <c r="M70" s="187">
        <f>1000000*M22/SER_summary!M$8</f>
        <v>188.43563006710676</v>
      </c>
      <c r="N70" s="187">
        <f>1000000*N22/SER_summary!N$8</f>
        <v>195.76239951081897</v>
      </c>
      <c r="O70" s="187">
        <f>1000000*O22/SER_summary!O$8</f>
        <v>203.03988164909671</v>
      </c>
      <c r="P70" s="187">
        <f>1000000*P22/SER_summary!P$8</f>
        <v>211.93887293566158</v>
      </c>
      <c r="Q70" s="187">
        <f>1000000*Q22/SER_summary!Q$8</f>
        <v>223.39706322519964</v>
      </c>
      <c r="R70" s="187">
        <f>1000000*R22/SER_summary!R$8</f>
        <v>229.52609121106886</v>
      </c>
      <c r="S70" s="187">
        <f>1000000*S22/SER_summary!S$8</f>
        <v>235.75157976569611</v>
      </c>
      <c r="T70" s="187">
        <f>1000000*T22/SER_summary!T$8</f>
        <v>241.65773134640557</v>
      </c>
      <c r="U70" s="187">
        <f>1000000*U22/SER_summary!U$8</f>
        <v>246.99026345004083</v>
      </c>
      <c r="V70" s="187">
        <f>1000000*V22/SER_summary!V$8</f>
        <v>251.27529059721991</v>
      </c>
      <c r="W70" s="187">
        <f>1000000*W22/SER_summary!W$8</f>
        <v>253.65464877720157</v>
      </c>
      <c r="X70" s="187">
        <f>1000000*X22/SER_summary!X$8</f>
        <v>254.85276349905024</v>
      </c>
      <c r="Y70" s="187">
        <f>1000000*Y22/SER_summary!Y$8</f>
        <v>255.45394138708428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1.0172958556896879E-2</v>
      </c>
      <c r="C71" s="187">
        <f>1000*C23/SER_summary!C$3</f>
        <v>1.0528521584876053E-2</v>
      </c>
      <c r="D71" s="187">
        <f>1000*D23/SER_summary!D$3</f>
        <v>1.1101649674849405E-2</v>
      </c>
      <c r="E71" s="187">
        <f>1000*E23/SER_summary!E$3</f>
        <v>1.1877336660936516E-2</v>
      </c>
      <c r="F71" s="187">
        <f>1000*F23/SER_summary!F$3</f>
        <v>1.2807416583218276E-2</v>
      </c>
      <c r="G71" s="187">
        <f>1000*G23/SER_summary!G$3</f>
        <v>1.4139777149144028E-2</v>
      </c>
      <c r="H71" s="187">
        <f>1000*H23/SER_summary!H$3</f>
        <v>1.5818883951321628E-2</v>
      </c>
      <c r="I71" s="187">
        <f>1000*I23/SER_summary!I$3</f>
        <v>1.7227613336351543E-2</v>
      </c>
      <c r="J71" s="187">
        <f>1000*J23/SER_summary!J$3</f>
        <v>1.837038518403911E-2</v>
      </c>
      <c r="K71" s="187">
        <f>1000*K23/SER_summary!K$3</f>
        <v>1.9300614614908888E-2</v>
      </c>
      <c r="L71" s="187">
        <f>1000*L23/SER_summary!L$3</f>
        <v>2.002353802145785E-2</v>
      </c>
      <c r="M71" s="187">
        <f>1000*M23/SER_summary!M$3</f>
        <v>2.0364815542873376E-2</v>
      </c>
      <c r="N71" s="187">
        <f>1000*N23/SER_summary!N$3</f>
        <v>2.0808297186932175E-2</v>
      </c>
      <c r="O71" s="187">
        <f>1000*O23/SER_summary!O$3</f>
        <v>2.1442013920936389E-2</v>
      </c>
      <c r="P71" s="187">
        <f>1000*P23/SER_summary!P$3</f>
        <v>2.2247861533820891E-2</v>
      </c>
      <c r="Q71" s="187">
        <f>1000*Q23/SER_summary!Q$3</f>
        <v>2.3446930456352412E-2</v>
      </c>
      <c r="R71" s="187">
        <f>1000*R23/SER_summary!R$3</f>
        <v>2.4196173825435974E-2</v>
      </c>
      <c r="S71" s="187">
        <f>1000*S23/SER_summary!S$3</f>
        <v>2.4986253195706267E-2</v>
      </c>
      <c r="T71" s="187">
        <f>1000*T23/SER_summary!T$3</f>
        <v>2.5762633165376591E-2</v>
      </c>
      <c r="U71" s="187">
        <f>1000*U23/SER_summary!U$3</f>
        <v>2.6501381779185665E-2</v>
      </c>
      <c r="V71" s="187">
        <f>1000*V23/SER_summary!V$3</f>
        <v>2.7180621090150146E-2</v>
      </c>
      <c r="W71" s="187">
        <f>1000*W23/SER_summary!W$3</f>
        <v>2.7840206510941601E-2</v>
      </c>
      <c r="X71" s="187">
        <f>1000*X23/SER_summary!X$3</f>
        <v>2.8311416943092513E-2</v>
      </c>
      <c r="Y71" s="187">
        <f>1000*Y23/SER_summary!Y$3</f>
        <v>2.8646001673748721E-2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57.077440739394532</v>
      </c>
      <c r="C72" s="187">
        <f>1000000*C24/SER_summary!C$8</f>
        <v>59.93608826929254</v>
      </c>
      <c r="D72" s="187">
        <f>1000000*D24/SER_summary!D$8</f>
        <v>65.627358588448885</v>
      </c>
      <c r="E72" s="187">
        <f>1000000*E24/SER_summary!E$8</f>
        <v>74.595272235721524</v>
      </c>
      <c r="F72" s="187">
        <f>1000000*F24/SER_summary!F$8</f>
        <v>86.690564923785857</v>
      </c>
      <c r="G72" s="187">
        <f>1000000*G24/SER_summary!G$8</f>
        <v>101.95276741219381</v>
      </c>
      <c r="H72" s="187">
        <f>1000000*H24/SER_summary!H$8</f>
        <v>112.94461662177314</v>
      </c>
      <c r="I72" s="187">
        <f>1000000*I24/SER_summary!I$8</f>
        <v>122.40087433421949</v>
      </c>
      <c r="J72" s="187">
        <f>1000000*J24/SER_summary!J$8</f>
        <v>131.14571743602974</v>
      </c>
      <c r="K72" s="187">
        <f>1000000*K24/SER_summary!K$8</f>
        <v>136.77544163869374</v>
      </c>
      <c r="L72" s="187">
        <f>1000000*L24/SER_summary!L$8</f>
        <v>141.20106587037</v>
      </c>
      <c r="M72" s="187">
        <f>1000000*M24/SER_summary!M$8</f>
        <v>145.14842213876901</v>
      </c>
      <c r="N72" s="187">
        <f>1000000*N24/SER_summary!N$8</f>
        <v>148.25143222470672</v>
      </c>
      <c r="O72" s="187">
        <f>1000000*O24/SER_summary!O$8</f>
        <v>150.70008794063966</v>
      </c>
      <c r="P72" s="187">
        <f>1000000*P24/SER_summary!P$8</f>
        <v>152.51245063128269</v>
      </c>
      <c r="Q72" s="187">
        <f>1000000*Q24/SER_summary!Q$8</f>
        <v>154.79576975874335</v>
      </c>
      <c r="R72" s="187">
        <f>1000000*R24/SER_summary!R$8</f>
        <v>161.13547714880616</v>
      </c>
      <c r="S72" s="187">
        <f>1000000*S24/SER_summary!S$8</f>
        <v>167.5032261999238</v>
      </c>
      <c r="T72" s="187">
        <f>1000000*T24/SER_summary!T$8</f>
        <v>173.75071223782376</v>
      </c>
      <c r="U72" s="187">
        <f>1000000*U24/SER_summary!U$8</f>
        <v>179.78798642485879</v>
      </c>
      <c r="V72" s="187">
        <f>1000000*V24/SER_summary!V$8</f>
        <v>185.44762174098375</v>
      </c>
      <c r="W72" s="187">
        <f>1000000*W24/SER_summary!W$8</f>
        <v>190.44617821629689</v>
      </c>
      <c r="X72" s="187">
        <f>1000000*X24/SER_summary!X$8</f>
        <v>194.54185688601811</v>
      </c>
      <c r="Y72" s="187">
        <f>1000000*Y24/SER_summary!Y$8</f>
        <v>197.88172739883228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4.3735917640864132E-2</v>
      </c>
      <c r="C73" s="52">
        <f>1000*C25/SER_summary!C$3</f>
        <v>4.7723642795080595E-2</v>
      </c>
      <c r="D73" s="52">
        <f>1000*D25/SER_summary!D$3</f>
        <v>5.0872451745465022E-2</v>
      </c>
      <c r="E73" s="52">
        <f>1000*E25/SER_summary!E$3</f>
        <v>5.5208276711690422E-2</v>
      </c>
      <c r="F73" s="52">
        <f>1000*F25/SER_summary!F$3</f>
        <v>6.158159409722154E-2</v>
      </c>
      <c r="G73" s="52">
        <f>1000*G25/SER_summary!G$3</f>
        <v>7.1747074637071001E-2</v>
      </c>
      <c r="H73" s="52">
        <f>1000*H25/SER_summary!H$3</f>
        <v>8.5767179753886161E-2</v>
      </c>
      <c r="I73" s="52">
        <f>1000*I25/SER_summary!I$3</f>
        <v>0.10685013378202068</v>
      </c>
      <c r="J73" s="52">
        <f>1000*J25/SER_summary!J$3</f>
        <v>0.12672552625009234</v>
      </c>
      <c r="K73" s="52">
        <f>1000*K25/SER_summary!K$3</f>
        <v>0.14510532529903367</v>
      </c>
      <c r="L73" s="52">
        <f>1000*L25/SER_summary!L$3</f>
        <v>0.16130054189504689</v>
      </c>
      <c r="M73" s="52">
        <f>1000*M25/SER_summary!M$3</f>
        <v>0.17549413561595315</v>
      </c>
      <c r="N73" s="52">
        <f>1000*N25/SER_summary!N$3</f>
        <v>0.19551464539458735</v>
      </c>
      <c r="O73" s="52">
        <f>1000*O25/SER_summary!O$3</f>
        <v>0.21955489050945892</v>
      </c>
      <c r="P73" s="52">
        <f>1000*P25/SER_summary!P$3</f>
        <v>0.24450050216939867</v>
      </c>
      <c r="Q73" s="52">
        <f>1000*Q25/SER_summary!Q$3</f>
        <v>0.2719194382143964</v>
      </c>
      <c r="R73" s="52">
        <f>1000*R25/SER_summary!R$3</f>
        <v>0.28623203287911042</v>
      </c>
      <c r="S73" s="52">
        <f>1000*S25/SER_summary!S$3</f>
        <v>0.30788011433649487</v>
      </c>
      <c r="T73" s="52">
        <f>1000*T25/SER_summary!T$3</f>
        <v>0.3253719676257395</v>
      </c>
      <c r="U73" s="52">
        <f>1000*U25/SER_summary!U$3</f>
        <v>0.34629262378761327</v>
      </c>
      <c r="V73" s="52">
        <f>1000*V25/SER_summary!V$3</f>
        <v>0.36910443018698746</v>
      </c>
      <c r="W73" s="52">
        <f>1000*W25/SER_summary!W$3</f>
        <v>0.39172649696698547</v>
      </c>
      <c r="X73" s="52">
        <f>1000*X25/SER_summary!X$3</f>
        <v>0.41430457358995409</v>
      </c>
      <c r="Y73" s="52">
        <f>1000*Y25/SER_summary!Y$3</f>
        <v>0.44489351317303411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2.6834682573710316</v>
      </c>
      <c r="C3" s="198">
        <f>'SER_se-appl'!C4</f>
        <v>2.9051145974701504</v>
      </c>
      <c r="D3" s="198">
        <f>'SER_se-appl'!D4</f>
        <v>3.1126960185759529</v>
      </c>
      <c r="E3" s="198">
        <f>'SER_se-appl'!E4</f>
        <v>3.3486069817109771</v>
      </c>
      <c r="F3" s="198">
        <f>'SER_se-appl'!F4</f>
        <v>3.6364972631701455</v>
      </c>
      <c r="G3" s="198">
        <f>'SER_se-appl'!G4</f>
        <v>3.8799474981378244</v>
      </c>
      <c r="H3" s="198">
        <f>'SER_se-appl'!H4</f>
        <v>4.1800681886688267</v>
      </c>
      <c r="I3" s="198">
        <f>'SER_se-appl'!I4</f>
        <v>4.4758323229288921</v>
      </c>
      <c r="J3" s="198">
        <f>'SER_se-appl'!J4</f>
        <v>4.6824028486292741</v>
      </c>
      <c r="K3" s="198">
        <f>'SER_se-appl'!K4</f>
        <v>4.7864578000432996</v>
      </c>
      <c r="L3" s="198">
        <f>'SER_se-appl'!L4</f>
        <v>4.8390241263577662</v>
      </c>
      <c r="M3" s="198">
        <f>'SER_se-appl'!M4</f>
        <v>4.994181590887564</v>
      </c>
      <c r="N3" s="198">
        <f>'SER_se-appl'!N4</f>
        <v>5.0486701688134996</v>
      </c>
      <c r="O3" s="198">
        <f>'SER_se-appl'!O4</f>
        <v>5.1382074345819655</v>
      </c>
      <c r="P3" s="198">
        <f>'SER_se-appl'!P4</f>
        <v>5.2270218213349855</v>
      </c>
      <c r="Q3" s="198">
        <f>'SER_se-appl'!Q4</f>
        <v>5.3150815914391973</v>
      </c>
      <c r="R3" s="198">
        <f>'SER_se-appl'!R4</f>
        <v>5.3323702953655676</v>
      </c>
      <c r="S3" s="198">
        <f>'SER_se-appl'!S4</f>
        <v>5.3759977112358097</v>
      </c>
      <c r="T3" s="198">
        <f>'SER_se-appl'!T4</f>
        <v>5.400947738517714</v>
      </c>
      <c r="U3" s="198">
        <f>'SER_se-appl'!U4</f>
        <v>5.3912895868736399</v>
      </c>
      <c r="V3" s="198">
        <f>'SER_se-appl'!V4</f>
        <v>5.3823667358155598</v>
      </c>
      <c r="W3" s="198">
        <f>'SER_se-appl'!W4</f>
        <v>5.3613608977293952</v>
      </c>
      <c r="X3" s="198">
        <f>'SER_se-appl'!X4</f>
        <v>5.3020745020520161</v>
      </c>
      <c r="Y3" s="198">
        <f>'SER_se-appl'!Y4</f>
        <v>5.2427925648265612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3.5626410768521812</v>
      </c>
      <c r="C5" s="59">
        <f>'SER_se-appl'!C12</f>
        <v>3.8569044256367429</v>
      </c>
      <c r="D5" s="59">
        <f>'SER_se-appl'!D12</f>
        <v>4.1324948283148775</v>
      </c>
      <c r="E5" s="59">
        <f>'SER_se-appl'!E12</f>
        <v>4.4456962553993895</v>
      </c>
      <c r="F5" s="59">
        <f>'SER_se-appl'!F12</f>
        <v>4.827906754642556</v>
      </c>
      <c r="G5" s="59">
        <f>'SER_se-appl'!G12</f>
        <v>5.1511175117971355</v>
      </c>
      <c r="H5" s="59">
        <f>'SER_se-appl'!H12</f>
        <v>5.5495654148651203</v>
      </c>
      <c r="I5" s="59">
        <f>'SER_se-appl'!I12</f>
        <v>5.942229442427287</v>
      </c>
      <c r="J5" s="59">
        <f>'SER_se-appl'!J12</f>
        <v>6.2164777545158083</v>
      </c>
      <c r="K5" s="59">
        <f>'SER_se-appl'!K12</f>
        <v>6.3546237687789482</v>
      </c>
      <c r="L5" s="59">
        <f>'SER_se-appl'!L12</f>
        <v>6.4244121677558015</v>
      </c>
      <c r="M5" s="59">
        <f>'SER_se-appl'!M12</f>
        <v>6.6304031851623701</v>
      </c>
      <c r="N5" s="59">
        <f>'SER_se-appl'!N12</f>
        <v>6.7027436145320776</v>
      </c>
      <c r="O5" s="59">
        <f>'SER_se-appl'!O12</f>
        <v>6.8216155781036809</v>
      </c>
      <c r="P5" s="59">
        <f>'SER_se-appl'!P12</f>
        <v>6.9395278290098057</v>
      </c>
      <c r="Q5" s="59">
        <f>'SER_se-appl'!Q12</f>
        <v>7.0564382315568306</v>
      </c>
      <c r="R5" s="59">
        <f>'SER_se-appl'!R12</f>
        <v>7.0793911569750598</v>
      </c>
      <c r="S5" s="59">
        <f>'SER_se-appl'!S12</f>
        <v>7.1373120298712829</v>
      </c>
      <c r="T5" s="59">
        <f>'SER_se-appl'!T12</f>
        <v>7.1704363240823072</v>
      </c>
      <c r="U5" s="59">
        <f>'SER_se-appl'!U12</f>
        <v>7.1576139149931999</v>
      </c>
      <c r="V5" s="59">
        <f>'SER_se-appl'!V12</f>
        <v>7.1457677097642636</v>
      </c>
      <c r="W5" s="59">
        <f>'SER_se-appl'!W12</f>
        <v>7.1178798219854853</v>
      </c>
      <c r="X5" s="59">
        <f>'SER_se-appl'!X12</f>
        <v>7.0391696870850389</v>
      </c>
      <c r="Y5" s="59">
        <f>'SER_se-appl'!Y12</f>
        <v>6.9604654713393712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354.08172344863965</v>
      </c>
      <c r="C6" s="201">
        <f>'SER_se-appl'!C68</f>
        <v>373.04090585898604</v>
      </c>
      <c r="D6" s="201">
        <f>'SER_se-appl'!D68</f>
        <v>387.01867006330099</v>
      </c>
      <c r="E6" s="201">
        <f>'SER_se-appl'!E68</f>
        <v>403.28791965967537</v>
      </c>
      <c r="F6" s="201">
        <f>'SER_se-appl'!F68</f>
        <v>422.34116804224124</v>
      </c>
      <c r="G6" s="201">
        <f>'SER_se-appl'!G68</f>
        <v>439.62570705514509</v>
      </c>
      <c r="H6" s="201">
        <f>'SER_se-appl'!H68</f>
        <v>454.87006852719782</v>
      </c>
      <c r="I6" s="201">
        <f>'SER_se-appl'!I68</f>
        <v>467.58891763163672</v>
      </c>
      <c r="J6" s="201">
        <f>'SER_se-appl'!J68</f>
        <v>481.49736976815348</v>
      </c>
      <c r="K6" s="201">
        <f>'SER_se-appl'!K68</f>
        <v>497.21914928370984</v>
      </c>
      <c r="L6" s="201">
        <f>'SER_se-appl'!L68</f>
        <v>510.8191977650277</v>
      </c>
      <c r="M6" s="201">
        <f>'SER_se-appl'!M68</f>
        <v>527.16045712040091</v>
      </c>
      <c r="N6" s="201">
        <f>'SER_se-appl'!N68</f>
        <v>542.4134328512888</v>
      </c>
      <c r="O6" s="201">
        <f>'SER_se-appl'!O68</f>
        <v>555.24353434360546</v>
      </c>
      <c r="P6" s="201">
        <f>'SER_se-appl'!P68</f>
        <v>568.45551804295803</v>
      </c>
      <c r="Q6" s="201">
        <f>'SER_se-appl'!Q68</f>
        <v>581.14689273055421</v>
      </c>
      <c r="R6" s="201">
        <f>'SER_se-appl'!R68</f>
        <v>589.76980692322081</v>
      </c>
      <c r="S6" s="201">
        <f>'SER_se-appl'!S68</f>
        <v>598.42303688681068</v>
      </c>
      <c r="T6" s="201">
        <f>'SER_se-appl'!T68</f>
        <v>606.94625080205822</v>
      </c>
      <c r="U6" s="201">
        <f>'SER_se-appl'!U68</f>
        <v>615.24220520140761</v>
      </c>
      <c r="V6" s="201">
        <f>'SER_se-appl'!V68</f>
        <v>623.12989514452363</v>
      </c>
      <c r="W6" s="201">
        <f>'SER_se-appl'!W68</f>
        <v>630.27357543518178</v>
      </c>
      <c r="X6" s="201">
        <f>'SER_se-appl'!X68</f>
        <v>633.87606834541145</v>
      </c>
      <c r="Y6" s="201">
        <f>'SER_se-appl'!Y68</f>
        <v>635.68502908065182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4.5233676873256519</v>
      </c>
      <c r="C8" s="34">
        <f>'SER_se-appl'!C20</f>
        <v>4.9664649191504546</v>
      </c>
      <c r="D8" s="34">
        <f>'SER_se-appl'!D20</f>
        <v>5.3955254602101466</v>
      </c>
      <c r="E8" s="34">
        <f>'SER_se-appl'!E20</f>
        <v>5.8931587805771208</v>
      </c>
      <c r="F8" s="34">
        <f>'SER_se-appl'!F20</f>
        <v>6.5106136062327948</v>
      </c>
      <c r="G8" s="34">
        <f>'SER_se-appl'!G20</f>
        <v>7.0556848612592002</v>
      </c>
      <c r="H8" s="34">
        <f>'SER_se-appl'!H20</f>
        <v>7.7365529452056609</v>
      </c>
      <c r="I8" s="34">
        <f>'SER_se-appl'!I20</f>
        <v>8.4275060145894773</v>
      </c>
      <c r="J8" s="34">
        <f>'SER_se-appl'!J20</f>
        <v>8.9459193795661385</v>
      </c>
      <c r="K8" s="34">
        <f>'SER_se-appl'!K20</f>
        <v>9.2551497986803959</v>
      </c>
      <c r="L8" s="34">
        <f>'SER_se-appl'!L20</f>
        <v>9.4620169763991999</v>
      </c>
      <c r="M8" s="34">
        <f>'SER_se-appl'!M20</f>
        <v>9.9233411219541345</v>
      </c>
      <c r="N8" s="34">
        <f>'SER_se-appl'!N20</f>
        <v>10.164975186833644</v>
      </c>
      <c r="O8" s="34">
        <f>'SER_se-appl'!O20</f>
        <v>10.511140335930424</v>
      </c>
      <c r="P8" s="34">
        <f>'SER_se-appl'!P20</f>
        <v>10.880965796243316</v>
      </c>
      <c r="Q8" s="34">
        <f>'SER_se-appl'!Q20</f>
        <v>11.276951186586423</v>
      </c>
      <c r="R8" s="34">
        <f>'SER_se-appl'!R20</f>
        <v>11.494144880313307</v>
      </c>
      <c r="S8" s="34">
        <f>'SER_se-appl'!S20</f>
        <v>11.791509430445046</v>
      </c>
      <c r="T8" s="34">
        <f>'SER_se-appl'!T20</f>
        <v>12.048683066129991</v>
      </c>
      <c r="U8" s="34">
        <f>'SER_se-appl'!U20</f>
        <v>12.303110850785458</v>
      </c>
      <c r="V8" s="34">
        <f>'SER_se-appl'!V20</f>
        <v>12.545483872076396</v>
      </c>
      <c r="W8" s="34">
        <f>'SER_se-appl'!W20</f>
        <v>12.773021473667585</v>
      </c>
      <c r="X8" s="34">
        <f>'SER_se-appl'!X20</f>
        <v>12.928228146391298</v>
      </c>
      <c r="Y8" s="34">
        <f>'SER_se-appl'!Y20</f>
        <v>13.041691064956176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0.63929073832993399</v>
      </c>
      <c r="D9" s="36">
        <f>'SER_se-appl'!D28</f>
        <v>0.63080349749370779</v>
      </c>
      <c r="E9" s="36">
        <f>'SER_se-appl'!E28</f>
        <v>0.70508269621913922</v>
      </c>
      <c r="F9" s="36">
        <f>'SER_se-appl'!F28</f>
        <v>0.83077203039054393</v>
      </c>
      <c r="G9" s="36">
        <f>'SER_se-appl'!G28</f>
        <v>0.7644222636711655</v>
      </c>
      <c r="H9" s="36">
        <f>'SER_se-appl'!H28</f>
        <v>0.90642356623057996</v>
      </c>
      <c r="I9" s="36">
        <f>'SER_se-appl'!I28</f>
        <v>0.92288852253148868</v>
      </c>
      <c r="J9" s="36">
        <f>'SER_se-appl'!J28</f>
        <v>0.75690925025536515</v>
      </c>
      <c r="K9" s="36">
        <f>'SER_se-appl'!K28</f>
        <v>0.55447230224567079</v>
      </c>
      <c r="L9" s="36">
        <f>'SER_se-appl'!L28</f>
        <v>0.45904587326132429</v>
      </c>
      <c r="M9" s="36">
        <f>'SER_se-appl'!M28</f>
        <v>0.72063586537014146</v>
      </c>
      <c r="N9" s="36">
        <f>'SER_se-appl'!N28</f>
        <v>0.50828057079809597</v>
      </c>
      <c r="O9" s="36">
        <f>'SER_se-appl'!O28</f>
        <v>0.62035390990273065</v>
      </c>
      <c r="P9" s="36">
        <f>'SER_se-appl'!P28</f>
        <v>0.65176981316804117</v>
      </c>
      <c r="Q9" s="36">
        <f>'SER_se-appl'!Q28</f>
        <v>0.68590470677769666</v>
      </c>
      <c r="R9" s="36">
        <f>'SER_se-appl'!R28</f>
        <v>0.51531355032526527</v>
      </c>
      <c r="S9" s="36">
        <f>'SER_se-appl'!S28</f>
        <v>0.60391690404600595</v>
      </c>
      <c r="T9" s="36">
        <f>'SER_se-appl'!T28</f>
        <v>0.57239700511309444</v>
      </c>
      <c r="U9" s="36">
        <f>'SER_se-appl'!U28</f>
        <v>0.89371852298540233</v>
      </c>
      <c r="V9" s="36">
        <f>'SER_se-appl'!V28</f>
        <v>0.8731765187846463</v>
      </c>
      <c r="W9" s="36">
        <f>'SER_se-appl'!W28</f>
        <v>0.93262029781032929</v>
      </c>
      <c r="X9" s="36">
        <f>'SER_se-appl'!X28</f>
        <v>0.98597870311425595</v>
      </c>
      <c r="Y9" s="36">
        <f>'SER_se-appl'!Y28</f>
        <v>0.87788518223604228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0.19619350650513123</v>
      </c>
      <c r="D10" s="38">
        <f>'SER_se-appl'!D36</f>
        <v>0.20174295643401585</v>
      </c>
      <c r="E10" s="38">
        <f>'SER_se-appl'!E36</f>
        <v>0.20744937585216494</v>
      </c>
      <c r="F10" s="38">
        <f>'SER_se-appl'!F36</f>
        <v>0.21331720473486993</v>
      </c>
      <c r="G10" s="38">
        <f>'SER_se-appl'!G36</f>
        <v>0.21935100864476009</v>
      </c>
      <c r="H10" s="38">
        <f>'SER_se-appl'!H36</f>
        <v>0.22555548228411926</v>
      </c>
      <c r="I10" s="38">
        <f>'SER_se-appl'!I36</f>
        <v>0.23193545314767228</v>
      </c>
      <c r="J10" s="38">
        <f>'SER_se-appl'!J36</f>
        <v>0.23849588527870402</v>
      </c>
      <c r="K10" s="38">
        <f>'SER_se-appl'!K36</f>
        <v>0.24524188313141337</v>
      </c>
      <c r="L10" s="38">
        <f>'SER_se-appl'!L36</f>
        <v>0.25217869554252026</v>
      </c>
      <c r="M10" s="38">
        <f>'SER_se-appl'!M36</f>
        <v>0.25931171981520684</v>
      </c>
      <c r="N10" s="38">
        <f>'SER_se-appl'!N36</f>
        <v>0.26664650591858674</v>
      </c>
      <c r="O10" s="38">
        <f>'SER_se-appl'!O36</f>
        <v>0.27418876080595034</v>
      </c>
      <c r="P10" s="38">
        <f>'SER_se-appl'!P36</f>
        <v>0.28194435285514885</v>
      </c>
      <c r="Q10" s="38">
        <f>'SER_se-appl'!Q36</f>
        <v>0.2899193164345899</v>
      </c>
      <c r="R10" s="38">
        <f>'SER_se-appl'!R36</f>
        <v>0.29811985659838136</v>
      </c>
      <c r="S10" s="38">
        <f>'SER_se-appl'!S36</f>
        <v>0.30655235391426672</v>
      </c>
      <c r="T10" s="38">
        <f>'SER_se-appl'!T36</f>
        <v>0.31522336942814988</v>
      </c>
      <c r="U10" s="38">
        <f>'SER_se-appl'!U36</f>
        <v>0.63929073832993488</v>
      </c>
      <c r="V10" s="38">
        <f>'SER_se-appl'!V36</f>
        <v>0.63080349749370868</v>
      </c>
      <c r="W10" s="38">
        <f>'SER_se-appl'!W36</f>
        <v>0.7050826962191401</v>
      </c>
      <c r="X10" s="38">
        <f>'SER_se-appl'!X36</f>
        <v>0.83077203039054304</v>
      </c>
      <c r="Y10" s="38">
        <f>'SER_se-appl'!Y36</f>
        <v>0.76442226367116461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8759.9999999999964</v>
      </c>
      <c r="C12" s="204">
        <f>'SER_se-appl'!C44</f>
        <v>8759.9999999999964</v>
      </c>
      <c r="D12" s="204">
        <f>'SER_se-appl'!D44</f>
        <v>8760.0000000000018</v>
      </c>
      <c r="E12" s="204">
        <f>'SER_se-appl'!E44</f>
        <v>8760.0000000000018</v>
      </c>
      <c r="F12" s="204">
        <f>'SER_se-appl'!F44</f>
        <v>8760</v>
      </c>
      <c r="G12" s="204">
        <f>'SER_se-appl'!G44</f>
        <v>8759.9999999999982</v>
      </c>
      <c r="H12" s="204">
        <f>'SER_se-appl'!H44</f>
        <v>8760</v>
      </c>
      <c r="I12" s="204">
        <f>'SER_se-appl'!I44</f>
        <v>8759.9999999999964</v>
      </c>
      <c r="J12" s="204">
        <f>'SER_se-appl'!J44</f>
        <v>8759.9999999999964</v>
      </c>
      <c r="K12" s="204">
        <f>'SER_se-appl'!K44</f>
        <v>8759.9999999999982</v>
      </c>
      <c r="L12" s="204">
        <f>'SER_se-appl'!L44</f>
        <v>8760</v>
      </c>
      <c r="M12" s="204">
        <f>'SER_se-appl'!M44</f>
        <v>8760</v>
      </c>
      <c r="N12" s="204">
        <f>'SER_se-appl'!N44</f>
        <v>8760</v>
      </c>
      <c r="O12" s="204">
        <f>'SER_se-appl'!O44</f>
        <v>8760.0000000000018</v>
      </c>
      <c r="P12" s="204">
        <f>'SER_se-appl'!P44</f>
        <v>8759.9999999999982</v>
      </c>
      <c r="Q12" s="204">
        <f>'SER_se-appl'!Q44</f>
        <v>8760.0000000000036</v>
      </c>
      <c r="R12" s="204">
        <f>'SER_se-appl'!R44</f>
        <v>8760.0000000000036</v>
      </c>
      <c r="S12" s="204">
        <f>'SER_se-appl'!S44</f>
        <v>8760.0000000000036</v>
      </c>
      <c r="T12" s="204">
        <f>'SER_se-appl'!T44</f>
        <v>8760</v>
      </c>
      <c r="U12" s="204">
        <f>'SER_se-appl'!U44</f>
        <v>8760</v>
      </c>
      <c r="V12" s="204">
        <f>'SER_se-appl'!V44</f>
        <v>8760.0000000000018</v>
      </c>
      <c r="W12" s="204">
        <f>'SER_se-appl'!W44</f>
        <v>8760.0000000000018</v>
      </c>
      <c r="X12" s="204">
        <f>'SER_se-appl'!X44</f>
        <v>8760.0000000000018</v>
      </c>
      <c r="Y12" s="204">
        <f>'SER_se-appl'!Y44</f>
        <v>8760.0000000000018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0.7876081103984981</v>
      </c>
      <c r="C14" s="59">
        <f>'SER_se-appl'!C52</f>
        <v>0.77658948334955535</v>
      </c>
      <c r="D14" s="59">
        <f>'SER_se-appl'!D52</f>
        <v>0.76591146845481173</v>
      </c>
      <c r="E14" s="59">
        <f>'SER_se-appl'!E52</f>
        <v>0.75438256814862525</v>
      </c>
      <c r="F14" s="59">
        <f>'SER_se-appl'!F52</f>
        <v>0.74154404586699241</v>
      </c>
      <c r="G14" s="59">
        <f>'SER_se-appl'!G52</f>
        <v>0.73006626756822524</v>
      </c>
      <c r="H14" s="59">
        <f>'SER_se-appl'!H52</f>
        <v>0.71731757724274148</v>
      </c>
      <c r="I14" s="59">
        <f>'SER_se-appl'!I52</f>
        <v>0.70509940095447632</v>
      </c>
      <c r="J14" s="59">
        <f>'SER_se-appl'!J52</f>
        <v>0.69489534733737968</v>
      </c>
      <c r="K14" s="59">
        <f>'SER_se-appl'!K52</f>
        <v>0.68660409685481194</v>
      </c>
      <c r="L14" s="59">
        <f>'SER_se-appl'!L52</f>
        <v>0.678968573379228</v>
      </c>
      <c r="M14" s="59">
        <f>'SER_se-appl'!M52</f>
        <v>0.66816237632841657</v>
      </c>
      <c r="N14" s="59">
        <f>'SER_se-appl'!N52</f>
        <v>0.6593959642138546</v>
      </c>
      <c r="O14" s="59">
        <f>'SER_se-appl'!O52</f>
        <v>0.64898910680368593</v>
      </c>
      <c r="P14" s="59">
        <f>'SER_se-appl'!P52</f>
        <v>0.63776763560875238</v>
      </c>
      <c r="Q14" s="59">
        <f>'SER_se-appl'!Q52</f>
        <v>0.62573989323907342</v>
      </c>
      <c r="R14" s="59">
        <f>'SER_se-appl'!R52</f>
        <v>0.61591281741196302</v>
      </c>
      <c r="S14" s="59">
        <f>'SER_se-appl'!S52</f>
        <v>0.60529248371231636</v>
      </c>
      <c r="T14" s="59">
        <f>'SER_se-appl'!T52</f>
        <v>0.59512199671340804</v>
      </c>
      <c r="U14" s="59">
        <f>'SER_se-appl'!U52</f>
        <v>0.58177269162264289</v>
      </c>
      <c r="V14" s="59">
        <f>'SER_se-appl'!V52</f>
        <v>0.56958884827625</v>
      </c>
      <c r="W14" s="59">
        <f>'SER_se-appl'!W52</f>
        <v>0.55725889419817054</v>
      </c>
      <c r="X14" s="59">
        <f>'SER_se-appl'!X52</f>
        <v>0.54448062080726101</v>
      </c>
      <c r="Y14" s="59">
        <f>'SER_se-appl'!Y52</f>
        <v>0.5337088140388917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0.70200758247792328</v>
      </c>
      <c r="D15" s="63">
        <f>'SER_se-appl'!D60</f>
        <v>0.68877993401688387</v>
      </c>
      <c r="E15" s="63">
        <f>'SER_se-appl'!E60</f>
        <v>0.67593523505597319</v>
      </c>
      <c r="F15" s="63">
        <f>'SER_se-appl'!F60</f>
        <v>0.66230065487547762</v>
      </c>
      <c r="G15" s="63">
        <f>'SER_se-appl'!G60</f>
        <v>0.64882122637997708</v>
      </c>
      <c r="H15" s="63">
        <f>'SER_se-appl'!H60</f>
        <v>0.63557176989069009</v>
      </c>
      <c r="I15" s="63">
        <f>'SER_se-appl'!I60</f>
        <v>0.623410365936796</v>
      </c>
      <c r="J15" s="63">
        <f>'SER_se-appl'!J60</f>
        <v>0.61049538696323158</v>
      </c>
      <c r="K15" s="63">
        <f>'SER_se-appl'!K60</f>
        <v>0.59750596934245581</v>
      </c>
      <c r="L15" s="63">
        <f>'SER_se-appl'!L60</f>
        <v>0.58470492926761941</v>
      </c>
      <c r="M15" s="63">
        <f>'SER_se-appl'!M60</f>
        <v>0.56925702808824552</v>
      </c>
      <c r="N15" s="63">
        <f>'SER_se-appl'!N60</f>
        <v>0.55550693113699234</v>
      </c>
      <c r="O15" s="63">
        <f>'SER_se-appl'!O60</f>
        <v>0.53973264296018242</v>
      </c>
      <c r="P15" s="63">
        <f>'SER_se-appl'!P60</f>
        <v>0.52161653244324446</v>
      </c>
      <c r="Q15" s="63">
        <f>'SER_se-appl'!Q60</f>
        <v>0.50335448076170441</v>
      </c>
      <c r="R15" s="63">
        <f>'SER_se-appl'!R60</f>
        <v>0.50018972368038006</v>
      </c>
      <c r="S15" s="63">
        <f>'SER_se-appl'!S60</f>
        <v>0.49570394717424193</v>
      </c>
      <c r="T15" s="63">
        <f>'SER_se-appl'!T60</f>
        <v>0.49161119650543533</v>
      </c>
      <c r="U15" s="63">
        <f>'SER_se-appl'!U60</f>
        <v>0.48780966871997661</v>
      </c>
      <c r="V15" s="63">
        <f>'SER_se-appl'!V60</f>
        <v>0.48402422312118437</v>
      </c>
      <c r="W15" s="63">
        <f>'SER_se-appl'!W60</f>
        <v>0.48112007778245724</v>
      </c>
      <c r="X15" s="63">
        <f>'SER_se-appl'!X60</f>
        <v>0.47821593244373017</v>
      </c>
      <c r="Y15" s="63">
        <f>'SER_se-appl'!Y60</f>
        <v>0.47531178710500305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14.111071740534987</v>
      </c>
      <c r="C3" s="198">
        <f>'SER_se-appl'!C5</f>
        <v>14.496788975086268</v>
      </c>
      <c r="D3" s="198">
        <f>'SER_se-appl'!D5</f>
        <v>14.983931563753236</v>
      </c>
      <c r="E3" s="198">
        <f>'SER_se-appl'!E5</f>
        <v>15.567981970724997</v>
      </c>
      <c r="F3" s="198">
        <f>'SER_se-appl'!F5</f>
        <v>16.237521091169729</v>
      </c>
      <c r="G3" s="198">
        <f>'SER_se-appl'!G5</f>
        <v>16.870635187534475</v>
      </c>
      <c r="H3" s="198">
        <f>'SER_se-appl'!H5</f>
        <v>17.364298350830346</v>
      </c>
      <c r="I3" s="198">
        <f>'SER_se-appl'!I5</f>
        <v>17.805298218013586</v>
      </c>
      <c r="J3" s="198">
        <f>'SER_se-appl'!J5</f>
        <v>18.224810280988716</v>
      </c>
      <c r="K3" s="198">
        <f>'SER_se-appl'!K5</f>
        <v>18.475789301310428</v>
      </c>
      <c r="L3" s="198">
        <f>'SER_se-appl'!L5</f>
        <v>18.662675721427522</v>
      </c>
      <c r="M3" s="198">
        <f>'SER_se-appl'!M5</f>
        <v>18.896591945703733</v>
      </c>
      <c r="N3" s="198">
        <f>'SER_se-appl'!N5</f>
        <v>19.173468097317024</v>
      </c>
      <c r="O3" s="198">
        <f>'SER_se-appl'!O5</f>
        <v>19.336482460568686</v>
      </c>
      <c r="P3" s="198">
        <f>'SER_se-appl'!P5</f>
        <v>19.357433544348158</v>
      </c>
      <c r="Q3" s="198">
        <f>'SER_se-appl'!Q5</f>
        <v>19.319382373800419</v>
      </c>
      <c r="R3" s="198">
        <f>'SER_se-appl'!R5</f>
        <v>19.108736009193503</v>
      </c>
      <c r="S3" s="198">
        <f>'SER_se-appl'!S5</f>
        <v>19.030423166218</v>
      </c>
      <c r="T3" s="198">
        <f>'SER_se-appl'!T5</f>
        <v>18.298427354023037</v>
      </c>
      <c r="U3" s="198">
        <f>'SER_se-appl'!U5</f>
        <v>17.502966328548268</v>
      </c>
      <c r="V3" s="198">
        <f>'SER_se-appl'!V5</f>
        <v>16.684823659036631</v>
      </c>
      <c r="W3" s="198">
        <f>'SER_se-appl'!W5</f>
        <v>15.768749079024937</v>
      </c>
      <c r="X3" s="198">
        <f>'SER_se-appl'!X5</f>
        <v>15.034810982676238</v>
      </c>
      <c r="Y3" s="198">
        <f>'SER_se-appl'!Y5</f>
        <v>14.601799656127721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42.484709664301796</v>
      </c>
      <c r="C5" s="59">
        <f>'SER_se-appl'!C13</f>
        <v>43.585419043656003</v>
      </c>
      <c r="D5" s="59">
        <f>'SER_se-appl'!D13</f>
        <v>44.93299630115321</v>
      </c>
      <c r="E5" s="59">
        <f>'SER_se-appl'!E13</f>
        <v>46.594188298488547</v>
      </c>
      <c r="F5" s="59">
        <f>'SER_se-appl'!F13</f>
        <v>48.502125782928346</v>
      </c>
      <c r="G5" s="59">
        <f>'SER_se-appl'!G13</f>
        <v>50.315331185167153</v>
      </c>
      <c r="H5" s="59">
        <f>'SER_se-appl'!H13</f>
        <v>51.713456955638762</v>
      </c>
      <c r="I5" s="59">
        <f>'SER_se-appl'!I13</f>
        <v>52.969756367155959</v>
      </c>
      <c r="J5" s="59">
        <f>'SER_se-appl'!J13</f>
        <v>54.259801076181368</v>
      </c>
      <c r="K5" s="59">
        <f>'SER_se-appl'!K13</f>
        <v>55.029186303768604</v>
      </c>
      <c r="L5" s="59">
        <f>'SER_se-appl'!L13</f>
        <v>55.62015890434499</v>
      </c>
      <c r="M5" s="59">
        <f>'SER_se-appl'!M13</f>
        <v>56.336309081364483</v>
      </c>
      <c r="N5" s="59">
        <f>'SER_se-appl'!N13</f>
        <v>57.193667269440461</v>
      </c>
      <c r="O5" s="59">
        <f>'SER_se-appl'!O13</f>
        <v>57.867371077526883</v>
      </c>
      <c r="P5" s="59">
        <f>'SER_se-appl'!P13</f>
        <v>58.29016271236943</v>
      </c>
      <c r="Q5" s="59">
        <f>'SER_se-appl'!Q13</f>
        <v>58.668556598363658</v>
      </c>
      <c r="R5" s="59">
        <f>'SER_se-appl'!R13</f>
        <v>57.73206401406987</v>
      </c>
      <c r="S5" s="59">
        <f>'SER_se-appl'!S13</f>
        <v>56.531642181293932</v>
      </c>
      <c r="T5" s="59">
        <f>'SER_se-appl'!T13</f>
        <v>54.959873302978046</v>
      </c>
      <c r="U5" s="59">
        <f>'SER_se-appl'!U13</f>
        <v>53.0548409921835</v>
      </c>
      <c r="V5" s="59">
        <f>'SER_se-appl'!V13</f>
        <v>50.991160441052834</v>
      </c>
      <c r="W5" s="59">
        <f>'SER_se-appl'!W13</f>
        <v>48.880114806119963</v>
      </c>
      <c r="X5" s="59">
        <f>'SER_se-appl'!X13</f>
        <v>46.794431984857795</v>
      </c>
      <c r="Y5" s="59">
        <f>'SER_se-appl'!Y13</f>
        <v>45.632156894879877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8.6561088831824048E-2</v>
      </c>
      <c r="C6" s="201">
        <f>'SER_se-appl'!C69</f>
        <v>9.084605157147628E-2</v>
      </c>
      <c r="D6" s="201">
        <f>'SER_se-appl'!D69</f>
        <v>9.6193870069694362E-2</v>
      </c>
      <c r="E6" s="201">
        <f>'SER_se-appl'!E69</f>
        <v>0.10225355910029559</v>
      </c>
      <c r="F6" s="201">
        <f>'SER_se-appl'!F69</f>
        <v>0.10942969160445501</v>
      </c>
      <c r="G6" s="201">
        <f>'SER_se-appl'!G69</f>
        <v>0.11722472976920573</v>
      </c>
      <c r="H6" s="201">
        <f>'SER_se-appl'!H69</f>
        <v>0.12440884706181636</v>
      </c>
      <c r="I6" s="201">
        <f>'SER_se-appl'!I69</f>
        <v>0.13164972741087308</v>
      </c>
      <c r="J6" s="201">
        <f>'SER_se-appl'!J69</f>
        <v>0.13806071671741499</v>
      </c>
      <c r="K6" s="201">
        <f>'SER_se-appl'!K69</f>
        <v>0.14425209278086382</v>
      </c>
      <c r="L6" s="201">
        <f>'SER_se-appl'!L69</f>
        <v>0.1514757465678451</v>
      </c>
      <c r="M6" s="201">
        <f>'SER_se-appl'!M69</f>
        <v>0.1601450727146457</v>
      </c>
      <c r="N6" s="201">
        <f>'SER_se-appl'!N69</f>
        <v>0.16893823427196106</v>
      </c>
      <c r="O6" s="201">
        <f>'SER_se-appl'!O69</f>
        <v>0.17731563575288325</v>
      </c>
      <c r="P6" s="201">
        <f>'SER_se-appl'!P69</f>
        <v>0.18629260702018971</v>
      </c>
      <c r="Q6" s="201">
        <f>'SER_se-appl'!Q69</f>
        <v>0.19570235431650215</v>
      </c>
      <c r="R6" s="201">
        <f>'SER_se-appl'!R69</f>
        <v>0.20153471999809616</v>
      </c>
      <c r="S6" s="201">
        <f>'SER_se-appl'!S69</f>
        <v>0.20773628507819189</v>
      </c>
      <c r="T6" s="201">
        <f>'SER_se-appl'!T69</f>
        <v>0.21369523941136423</v>
      </c>
      <c r="U6" s="201">
        <f>'SER_se-appl'!U69</f>
        <v>0.21911780410435369</v>
      </c>
      <c r="V6" s="201">
        <f>'SER_se-appl'!V69</f>
        <v>0.22364703166223379</v>
      </c>
      <c r="W6" s="201">
        <f>'SER_se-appl'!W69</f>
        <v>0.22738690552310684</v>
      </c>
      <c r="X6" s="201">
        <f>'SER_se-appl'!X69</f>
        <v>0.23004196602791174</v>
      </c>
      <c r="Y6" s="201">
        <f>'SER_se-appl'!Y69</f>
        <v>0.23191893284600701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206.16384368708782</v>
      </c>
      <c r="C8" s="34">
        <f>'SER_se-appl'!C21</f>
        <v>213.79564423148713</v>
      </c>
      <c r="D8" s="34">
        <f>'SER_se-appl'!D21</f>
        <v>223.26173990147757</v>
      </c>
      <c r="E8" s="34">
        <f>'SER_se-appl'!E21</f>
        <v>235.12081125962865</v>
      </c>
      <c r="F8" s="34">
        <f>'SER_se-appl'!F21</f>
        <v>249.11888153137392</v>
      </c>
      <c r="G8" s="34">
        <f>'SER_se-appl'!G21</f>
        <v>263.7232879552966</v>
      </c>
      <c r="H8" s="34">
        <f>'SER_se-appl'!H21</f>
        <v>277.16723573899708</v>
      </c>
      <c r="I8" s="34">
        <f>'SER_se-appl'!I21</f>
        <v>290.79318389423293</v>
      </c>
      <c r="J8" s="34">
        <f>'SER_se-appl'!J21</f>
        <v>302.60285950839733</v>
      </c>
      <c r="K8" s="34">
        <f>'SER_se-appl'!K21</f>
        <v>311.99333083760678</v>
      </c>
      <c r="L8" s="34">
        <f>'SER_se-appl'!L21</f>
        <v>321.20492650010181</v>
      </c>
      <c r="M8" s="34">
        <f>'SER_se-appl'!M21</f>
        <v>332.23776857916755</v>
      </c>
      <c r="N8" s="34">
        <f>'SER_se-appl'!N21</f>
        <v>345.44709763635149</v>
      </c>
      <c r="O8" s="34">
        <f>'SER_se-appl'!O21</f>
        <v>358.85581652757895</v>
      </c>
      <c r="P8" s="34">
        <f>'SER_se-appl'!P21</f>
        <v>372.85869158748505</v>
      </c>
      <c r="Q8" s="34">
        <f>'SER_se-appl'!Q21</f>
        <v>388.68366309858766</v>
      </c>
      <c r="R8" s="34">
        <f>'SER_se-appl'!R21</f>
        <v>396.81319768329143</v>
      </c>
      <c r="S8" s="34">
        <f>'SER_se-appl'!S21</f>
        <v>405.10985331154325</v>
      </c>
      <c r="T8" s="34">
        <f>'SER_se-appl'!T21</f>
        <v>413.36758351731532</v>
      </c>
      <c r="U8" s="34">
        <f>'SER_se-appl'!U21</f>
        <v>420.69917211062773</v>
      </c>
      <c r="V8" s="34">
        <f>'SER_se-appl'!V21</f>
        <v>426.64585112625184</v>
      </c>
      <c r="W8" s="34">
        <f>'SER_se-appl'!W21</f>
        <v>430.49411943517288</v>
      </c>
      <c r="X8" s="34">
        <f>'SER_se-appl'!X21</f>
        <v>431.50282807061762</v>
      </c>
      <c r="Y8" s="34">
        <f>'SER_se-appl'!Y21</f>
        <v>436.70520590049392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33.49390631121949</v>
      </c>
      <c r="D9" s="36">
        <f>'SER_se-appl'!D29</f>
        <v>36.44143271515884</v>
      </c>
      <c r="E9" s="36">
        <f>'SER_se-appl'!E29</f>
        <v>39.995558590138131</v>
      </c>
      <c r="F9" s="36">
        <f>'SER_se-appl'!F29</f>
        <v>43.345689262758611</v>
      </c>
      <c r="G9" s="36">
        <f>'SER_se-appl'!G29</f>
        <v>45.215290197023393</v>
      </c>
      <c r="H9" s="36">
        <f>'SER_se-appl'!H29</f>
        <v>45.372473421750044</v>
      </c>
      <c r="I9" s="36">
        <f>'SER_se-appl'!I29</f>
        <v>46.928833396184444</v>
      </c>
      <c r="J9" s="36">
        <f>'SER_se-appl'!J29</f>
        <v>45.303581925383867</v>
      </c>
      <c r="K9" s="36">
        <f>'SER_se-appl'!K29</f>
        <v>45.831904044368287</v>
      </c>
      <c r="L9" s="36">
        <f>'SER_se-appl'!L29</f>
        <v>49.207154252633131</v>
      </c>
      <c r="M9" s="36">
        <f>'SER_se-appl'!M29</f>
        <v>54.378531341824328</v>
      </c>
      <c r="N9" s="36">
        <f>'SER_se-appl'!N29</f>
        <v>58.4246192542073</v>
      </c>
      <c r="O9" s="36">
        <f>'SER_se-appl'!O29</f>
        <v>58.78119231297751</v>
      </c>
      <c r="P9" s="36">
        <f>'SER_se-appl'!P29</f>
        <v>60.931708456090519</v>
      </c>
      <c r="Q9" s="36">
        <f>'SER_se-appl'!Q29</f>
        <v>61.12855343648647</v>
      </c>
      <c r="R9" s="36">
        <f>'SER_se-appl'!R29</f>
        <v>53.961438629072063</v>
      </c>
      <c r="S9" s="36">
        <f>'SER_se-appl'!S29</f>
        <v>57.503809880884944</v>
      </c>
      <c r="T9" s="36">
        <f>'SER_se-appl'!T29</f>
        <v>62.636261547596405</v>
      </c>
      <c r="U9" s="36">
        <f>'SER_se-appl'!U29</f>
        <v>65.756207847519704</v>
      </c>
      <c r="V9" s="36">
        <f>'SER_se-appl'!V29</f>
        <v>64.727871328601623</v>
      </c>
      <c r="W9" s="36">
        <f>'SER_se-appl'!W29</f>
        <v>64.779976765011554</v>
      </c>
      <c r="X9" s="36">
        <f>'SER_se-appl'!X29</f>
        <v>62.137262071931218</v>
      </c>
      <c r="Y9" s="36">
        <f>'SER_se-appl'!Y29</f>
        <v>59.163816458948361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25.862105766820179</v>
      </c>
      <c r="D10" s="38">
        <f>'SER_se-appl'!D37</f>
        <v>26.975337045168402</v>
      </c>
      <c r="E10" s="38">
        <f>'SER_se-appl'!E37</f>
        <v>28.136487231987047</v>
      </c>
      <c r="F10" s="38">
        <f>'SER_se-appl'!F37</f>
        <v>29.347618991013348</v>
      </c>
      <c r="G10" s="38">
        <f>'SER_se-appl'!G37</f>
        <v>30.610883773100738</v>
      </c>
      <c r="H10" s="38">
        <f>'SER_se-appl'!H37</f>
        <v>31.928525638049564</v>
      </c>
      <c r="I10" s="38">
        <f>'SER_se-appl'!I37</f>
        <v>33.302885240948626</v>
      </c>
      <c r="J10" s="38">
        <f>'SER_se-appl'!J37</f>
        <v>33.493906311219462</v>
      </c>
      <c r="K10" s="38">
        <f>'SER_se-appl'!K37</f>
        <v>36.44143271515884</v>
      </c>
      <c r="L10" s="38">
        <f>'SER_se-appl'!L37</f>
        <v>39.995558590138103</v>
      </c>
      <c r="M10" s="38">
        <f>'SER_se-appl'!M37</f>
        <v>43.345689262758583</v>
      </c>
      <c r="N10" s="38">
        <f>'SER_se-appl'!N37</f>
        <v>45.215290197023364</v>
      </c>
      <c r="O10" s="38">
        <f>'SER_se-appl'!O37</f>
        <v>45.372473421750044</v>
      </c>
      <c r="P10" s="38">
        <f>'SER_se-appl'!P37</f>
        <v>46.928833396184416</v>
      </c>
      <c r="Q10" s="38">
        <f>'SER_se-appl'!Q37</f>
        <v>45.303581925383867</v>
      </c>
      <c r="R10" s="38">
        <f>'SER_se-appl'!R37</f>
        <v>45.831904044368287</v>
      </c>
      <c r="S10" s="38">
        <f>'SER_se-appl'!S37</f>
        <v>49.207154252633131</v>
      </c>
      <c r="T10" s="38">
        <f>'SER_se-appl'!T37</f>
        <v>54.378531341824328</v>
      </c>
      <c r="U10" s="38">
        <f>'SER_se-appl'!U37</f>
        <v>58.4246192542073</v>
      </c>
      <c r="V10" s="38">
        <f>'SER_se-appl'!V37</f>
        <v>58.78119231297751</v>
      </c>
      <c r="W10" s="38">
        <f>'SER_se-appl'!W37</f>
        <v>60.931708456090519</v>
      </c>
      <c r="X10" s="38">
        <f>'SER_se-appl'!X37</f>
        <v>61.12855343648647</v>
      </c>
      <c r="Y10" s="38">
        <f>'SER_se-appl'!Y37</f>
        <v>53.961438629072063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3862.8430237412795</v>
      </c>
      <c r="C12" s="204">
        <f>'SER_se-appl'!C45</f>
        <v>3868.2123398052595</v>
      </c>
      <c r="D12" s="204">
        <f>'SER_se-appl'!D45</f>
        <v>3878.2885280672381</v>
      </c>
      <c r="E12" s="204">
        <f>'SER_se-appl'!E45</f>
        <v>3885.7985712652694</v>
      </c>
      <c r="F12" s="204">
        <f>'SER_se-appl'!F45</f>
        <v>3893.4864656338877</v>
      </c>
      <c r="G12" s="204">
        <f>'SER_se-appl'!G45</f>
        <v>3899.5169585382137</v>
      </c>
      <c r="H12" s="204">
        <f>'SER_se-appl'!H45</f>
        <v>3905.1110041510565</v>
      </c>
      <c r="I12" s="204">
        <f>'SER_se-appl'!I45</f>
        <v>3909.31792927588</v>
      </c>
      <c r="J12" s="204">
        <f>'SER_se-appl'!J45</f>
        <v>3906.2904648380891</v>
      </c>
      <c r="K12" s="204">
        <f>'SER_se-appl'!K45</f>
        <v>3904.7175509394178</v>
      </c>
      <c r="L12" s="204">
        <f>'SER_se-appl'!L45</f>
        <v>3902.3066980710587</v>
      </c>
      <c r="M12" s="204">
        <f>'SER_se-appl'!M45</f>
        <v>3900.989750875096</v>
      </c>
      <c r="N12" s="204">
        <f>'SER_se-appl'!N45</f>
        <v>3898.8133585017185</v>
      </c>
      <c r="O12" s="204">
        <f>'SER_se-appl'!O45</f>
        <v>3886.1846810896254</v>
      </c>
      <c r="P12" s="204">
        <f>'SER_se-appl'!P45</f>
        <v>3862.1774523370154</v>
      </c>
      <c r="Q12" s="204">
        <f>'SER_se-appl'!Q45</f>
        <v>3829.7246435676861</v>
      </c>
      <c r="R12" s="204">
        <f>'SER_se-appl'!R45</f>
        <v>3849.4137284397052</v>
      </c>
      <c r="S12" s="204">
        <f>'SER_se-appl'!S45</f>
        <v>3915.0432020591543</v>
      </c>
      <c r="T12" s="204">
        <f>'SER_se-appl'!T45</f>
        <v>3872.1106388678045</v>
      </c>
      <c r="U12" s="204">
        <f>'SER_se-appl'!U45</f>
        <v>3836.7752045662805</v>
      </c>
      <c r="V12" s="204">
        <f>'SER_se-appl'!V45</f>
        <v>3805.4536801318091</v>
      </c>
      <c r="W12" s="204">
        <f>'SER_se-appl'!W45</f>
        <v>3751.843720426346</v>
      </c>
      <c r="X12" s="204">
        <f>'SER_se-appl'!X45</f>
        <v>3736.6593483837114</v>
      </c>
      <c r="Y12" s="204">
        <f>'SER_se-appl'!Y45</f>
        <v>3721.4749763410769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206.07255328817214</v>
      </c>
      <c r="C14" s="59">
        <f>'SER_se-appl'!C53</f>
        <v>203.86485983065171</v>
      </c>
      <c r="D14" s="59">
        <f>'SER_se-appl'!D53</f>
        <v>201.25703723791432</v>
      </c>
      <c r="E14" s="59">
        <f>'SER_se-appl'!E53</f>
        <v>198.17126373827287</v>
      </c>
      <c r="F14" s="59">
        <f>'SER_se-appl'!F53</f>
        <v>194.69469951365372</v>
      </c>
      <c r="G14" s="59">
        <f>'SER_se-appl'!G53</f>
        <v>190.78835083269567</v>
      </c>
      <c r="H14" s="59">
        <f>'SER_se-appl'!H53</f>
        <v>186.57853558252575</v>
      </c>
      <c r="I14" s="59">
        <f>'SER_se-appl'!I53</f>
        <v>182.15611403884239</v>
      </c>
      <c r="J14" s="59">
        <f>'SER_se-appl'!J53</f>
        <v>179.31027209832314</v>
      </c>
      <c r="K14" s="59">
        <f>'SER_se-appl'!K53</f>
        <v>176.379367328244</v>
      </c>
      <c r="L14" s="59">
        <f>'SER_se-appl'!L53</f>
        <v>173.16097704475078</v>
      </c>
      <c r="M14" s="59">
        <f>'SER_se-appl'!M53</f>
        <v>169.56623963100191</v>
      </c>
      <c r="N14" s="59">
        <f>'SER_se-appl'!N53</f>
        <v>165.56418525666015</v>
      </c>
      <c r="O14" s="59">
        <f>'SER_se-appl'!O53</f>
        <v>161.25521285254027</v>
      </c>
      <c r="P14" s="59">
        <f>'SER_se-appl'!P53</f>
        <v>156.33312036845095</v>
      </c>
      <c r="Q14" s="59">
        <f>'SER_se-appl'!Q53</f>
        <v>150.94165813571297</v>
      </c>
      <c r="R14" s="59">
        <f>'SER_se-appl'!R53</f>
        <v>145.48927392316111</v>
      </c>
      <c r="S14" s="59">
        <f>'SER_se-appl'!S53</f>
        <v>139.54645071992158</v>
      </c>
      <c r="T14" s="59">
        <f>'SER_se-appl'!T53</f>
        <v>132.95641819643524</v>
      </c>
      <c r="U14" s="59">
        <f>'SER_se-appl'!U53</f>
        <v>126.11111337826001</v>
      </c>
      <c r="V14" s="59">
        <f>'SER_se-appl'!V53</f>
        <v>119.51636305954295</v>
      </c>
      <c r="W14" s="59">
        <f>'SER_se-appl'!W53</f>
        <v>113.54421024438804</v>
      </c>
      <c r="X14" s="59">
        <f>'SER_se-appl'!X53</f>
        <v>108.44524981235962</v>
      </c>
      <c r="Y14" s="59">
        <f>'SER_se-appl'!Y53</f>
        <v>104.49190043609751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191.98057964286122</v>
      </c>
      <c r="D15" s="63">
        <f>'SER_se-appl'!D61</f>
        <v>189.52201721012852</v>
      </c>
      <c r="E15" s="63">
        <f>'SER_se-appl'!E61</f>
        <v>186.50445261265173</v>
      </c>
      <c r="F15" s="63">
        <f>'SER_se-appl'!F61</f>
        <v>183.54019507267759</v>
      </c>
      <c r="G15" s="63">
        <f>'SER_se-appl'!G61</f>
        <v>179.61331983895519</v>
      </c>
      <c r="H15" s="63">
        <f>'SER_se-appl'!H61</f>
        <v>175.82727962119654</v>
      </c>
      <c r="I15" s="63">
        <f>'SER_se-appl'!I61</f>
        <v>173.00898866244927</v>
      </c>
      <c r="J15" s="63">
        <f>'SER_se-appl'!J61</f>
        <v>170.41090194308302</v>
      </c>
      <c r="K15" s="63">
        <f>'SER_se-appl'!K61</f>
        <v>167.47807506230996</v>
      </c>
      <c r="L15" s="63">
        <f>'SER_se-appl'!L61</f>
        <v>163.60064882103143</v>
      </c>
      <c r="M15" s="63">
        <f>'SER_se-appl'!M61</f>
        <v>159.47150880840482</v>
      </c>
      <c r="N15" s="63">
        <f>'SER_se-appl'!N61</f>
        <v>153.67882037500087</v>
      </c>
      <c r="O15" s="63">
        <f>'SER_se-appl'!O61</f>
        <v>147.18011049271857</v>
      </c>
      <c r="P15" s="63">
        <f>'SER_se-appl'!P61</f>
        <v>140.18811972063071</v>
      </c>
      <c r="Q15" s="63">
        <f>'SER_se-appl'!Q61</f>
        <v>132.48502848289775</v>
      </c>
      <c r="R15" s="63">
        <f>'SER_se-appl'!R61</f>
        <v>124.89189785734604</v>
      </c>
      <c r="S15" s="63">
        <f>'SER_se-appl'!S61</f>
        <v>119.12081206063554</v>
      </c>
      <c r="T15" s="63">
        <f>'SER_se-appl'!T61</f>
        <v>113.35378878183433</v>
      </c>
      <c r="U15" s="63">
        <f>'SER_se-appl'!U61</f>
        <v>107.57302600924548</v>
      </c>
      <c r="V15" s="63">
        <f>'SER_se-appl'!V61</f>
        <v>101.77596904034368</v>
      </c>
      <c r="W15" s="63">
        <f>'SER_se-appl'!W61</f>
        <v>99.272280201951233</v>
      </c>
      <c r="X15" s="63">
        <f>'SER_se-appl'!X61</f>
        <v>96.768591363558784</v>
      </c>
      <c r="Y15" s="63">
        <f>'SER_se-appl'!Y61</f>
        <v>94.264902525166335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16.495381976401617</v>
      </c>
      <c r="C3" s="198">
        <f>'SER_se-appl'!C6</f>
        <v>17.40177622999326</v>
      </c>
      <c r="D3" s="198">
        <f>'SER_se-appl'!D6</f>
        <v>18.288763486324395</v>
      </c>
      <c r="E3" s="198">
        <f>'SER_se-appl'!E6</f>
        <v>19.294201239279055</v>
      </c>
      <c r="F3" s="198">
        <f>'SER_se-appl'!F6</f>
        <v>20.44843593236471</v>
      </c>
      <c r="G3" s="198">
        <f>'SER_se-appl'!G6</f>
        <v>21.369075471026306</v>
      </c>
      <c r="H3" s="198">
        <f>'SER_se-appl'!H6</f>
        <v>22.496076921545175</v>
      </c>
      <c r="I3" s="198">
        <f>'SER_se-appl'!I6</f>
        <v>23.871140775089881</v>
      </c>
      <c r="J3" s="198">
        <f>'SER_se-appl'!J6</f>
        <v>24.592633493550903</v>
      </c>
      <c r="K3" s="198">
        <f>'SER_se-appl'!K6</f>
        <v>24.632512989358112</v>
      </c>
      <c r="L3" s="198">
        <f>'SER_se-appl'!L6</f>
        <v>24.660067119313059</v>
      </c>
      <c r="M3" s="198">
        <f>'SER_se-appl'!M6</f>
        <v>25.254839787805128</v>
      </c>
      <c r="N3" s="198">
        <f>'SER_se-appl'!N6</f>
        <v>25.334025206802973</v>
      </c>
      <c r="O3" s="198">
        <f>'SER_se-appl'!O6</f>
        <v>25.492942049119147</v>
      </c>
      <c r="P3" s="198">
        <f>'SER_se-appl'!P6</f>
        <v>25.830857481403509</v>
      </c>
      <c r="Q3" s="198">
        <f>'SER_se-appl'!Q6</f>
        <v>26.492001639983528</v>
      </c>
      <c r="R3" s="198">
        <f>'SER_se-appl'!R6</f>
        <v>26.17984988880713</v>
      </c>
      <c r="S3" s="198">
        <f>'SER_se-appl'!S6</f>
        <v>26.356456565480386</v>
      </c>
      <c r="T3" s="198">
        <f>'SER_se-appl'!T6</f>
        <v>25.04001953031899</v>
      </c>
      <c r="U3" s="198">
        <f>'SER_se-appl'!U6</f>
        <v>23.500052880037163</v>
      </c>
      <c r="V3" s="198">
        <f>'SER_se-appl'!V6</f>
        <v>20.378601394016638</v>
      </c>
      <c r="W3" s="198">
        <f>'SER_se-appl'!W6</f>
        <v>19.793382042423104</v>
      </c>
      <c r="X3" s="198">
        <f>'SER_se-appl'!X6</f>
        <v>19.116254954154439</v>
      </c>
      <c r="Y3" s="198">
        <f>'SER_se-appl'!Y6</f>
        <v>18.127704067300613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86.752416684768647</v>
      </c>
      <c r="C5" s="59">
        <f>'SER_se-appl'!C14</f>
        <v>90.419823135348523</v>
      </c>
      <c r="D5" s="59">
        <f>'SER_se-appl'!D14</f>
        <v>94.080684220631099</v>
      </c>
      <c r="E5" s="59">
        <f>'SER_se-appl'!E14</f>
        <v>98.198502743895631</v>
      </c>
      <c r="F5" s="59">
        <f>'SER_se-appl'!F14</f>
        <v>102.87071540463251</v>
      </c>
      <c r="G5" s="59">
        <f>'SER_se-appl'!G14</f>
        <v>106.31453868539795</v>
      </c>
      <c r="H5" s="59">
        <f>'SER_se-appl'!H14</f>
        <v>111.22485974195361</v>
      </c>
      <c r="I5" s="59">
        <f>'SER_se-appl'!I14</f>
        <v>117.27803943889187</v>
      </c>
      <c r="J5" s="59">
        <f>'SER_se-appl'!J14</f>
        <v>120.13522884263351</v>
      </c>
      <c r="K5" s="59">
        <f>'SER_se-appl'!K14</f>
        <v>119.82311136867803</v>
      </c>
      <c r="L5" s="59">
        <f>'SER_se-appl'!L14</f>
        <v>119.52403532194532</v>
      </c>
      <c r="M5" s="59">
        <f>'SER_se-appl'!M14</f>
        <v>121.90062631253676</v>
      </c>
      <c r="N5" s="59">
        <f>'SER_se-appl'!N14</f>
        <v>121.65278885896832</v>
      </c>
      <c r="O5" s="59">
        <f>'SER_se-appl'!O14</f>
        <v>121.67865716097324</v>
      </c>
      <c r="P5" s="59">
        <f>'SER_se-appl'!P14</f>
        <v>122.72516904635665</v>
      </c>
      <c r="Q5" s="59">
        <f>'SER_se-appl'!Q14</f>
        <v>125.0073429551998</v>
      </c>
      <c r="R5" s="59">
        <f>'SER_se-appl'!R14</f>
        <v>122.07170540067217</v>
      </c>
      <c r="S5" s="59">
        <f>'SER_se-appl'!S14</f>
        <v>118.95940854283961</v>
      </c>
      <c r="T5" s="59">
        <f>'SER_se-appl'!T14</f>
        <v>114.87298352694239</v>
      </c>
      <c r="U5" s="59">
        <f>'SER_se-appl'!U14</f>
        <v>108.92036732798775</v>
      </c>
      <c r="V5" s="59">
        <f>'SER_se-appl'!V14</f>
        <v>102.76352231476227</v>
      </c>
      <c r="W5" s="59">
        <f>'SER_se-appl'!W14</f>
        <v>96.561715152802165</v>
      </c>
      <c r="X5" s="59">
        <f>'SER_se-appl'!X14</f>
        <v>92.102507024036811</v>
      </c>
      <c r="Y5" s="59">
        <f>'SER_se-appl'!Y14</f>
        <v>86.801733773596496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147.20045820863015</v>
      </c>
      <c r="C6" s="201">
        <f>'SER_se-appl'!C70</f>
        <v>149.13137623834231</v>
      </c>
      <c r="D6" s="201">
        <f>'SER_se-appl'!D70</f>
        <v>151.10059333923962</v>
      </c>
      <c r="E6" s="201">
        <f>'SER_se-appl'!E70</f>
        <v>154.0276234354225</v>
      </c>
      <c r="F6" s="201">
        <f>'SER_se-appl'!F70</f>
        <v>157.30675528932173</v>
      </c>
      <c r="G6" s="201">
        <f>'SER_se-appl'!G70</f>
        <v>161.04739890577818</v>
      </c>
      <c r="H6" s="201">
        <f>'SER_se-appl'!H70</f>
        <v>164.56864326338729</v>
      </c>
      <c r="I6" s="201">
        <f>'SER_se-appl'!I70</f>
        <v>169.10618778695533</v>
      </c>
      <c r="J6" s="201">
        <f>'SER_se-appl'!J70</f>
        <v>172.71791170377091</v>
      </c>
      <c r="K6" s="201">
        <f>'SER_se-appl'!K70</f>
        <v>176.6103201405563</v>
      </c>
      <c r="L6" s="201">
        <f>'SER_se-appl'!L70</f>
        <v>182.07658532800176</v>
      </c>
      <c r="M6" s="201">
        <f>'SER_se-appl'!M70</f>
        <v>188.43563006710676</v>
      </c>
      <c r="N6" s="201">
        <f>'SER_se-appl'!N70</f>
        <v>195.76239951081897</v>
      </c>
      <c r="O6" s="201">
        <f>'SER_se-appl'!O70</f>
        <v>203.03988164909671</v>
      </c>
      <c r="P6" s="201">
        <f>'SER_se-appl'!P70</f>
        <v>211.93887293566158</v>
      </c>
      <c r="Q6" s="201">
        <f>'SER_se-appl'!Q70</f>
        <v>223.39706322519964</v>
      </c>
      <c r="R6" s="201">
        <f>'SER_se-appl'!R70</f>
        <v>229.52609121106886</v>
      </c>
      <c r="S6" s="201">
        <f>'SER_se-appl'!S70</f>
        <v>235.75157976569611</v>
      </c>
      <c r="T6" s="201">
        <f>'SER_se-appl'!T70</f>
        <v>241.65773134640557</v>
      </c>
      <c r="U6" s="201">
        <f>'SER_se-appl'!U70</f>
        <v>246.99026345004083</v>
      </c>
      <c r="V6" s="201">
        <f>'SER_se-appl'!V70</f>
        <v>251.27529059721991</v>
      </c>
      <c r="W6" s="201">
        <f>'SER_se-appl'!W70</f>
        <v>253.65464877720157</v>
      </c>
      <c r="X6" s="201">
        <f>'SER_se-appl'!X70</f>
        <v>254.85276349905024</v>
      </c>
      <c r="Y6" s="201">
        <f>'SER_se-appl'!Y70</f>
        <v>255.45394138708428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1.8804749077003109</v>
      </c>
      <c r="C8" s="34">
        <f>'SER_se-appl'!C22</f>
        <v>1.9854545086064412</v>
      </c>
      <c r="D8" s="34">
        <f>'SER_se-appl'!D22</f>
        <v>2.1065317037066493</v>
      </c>
      <c r="E8" s="34">
        <f>'SER_se-appl'!E22</f>
        <v>2.2507722082671844</v>
      </c>
      <c r="F8" s="34">
        <f>'SER_se-appl'!F22</f>
        <v>2.4249672512071023</v>
      </c>
      <c r="G8" s="34">
        <f>'SER_se-appl'!G22</f>
        <v>2.5846980196318166</v>
      </c>
      <c r="H8" s="34">
        <f>'SER_se-appl'!H22</f>
        <v>2.7990279198855026</v>
      </c>
      <c r="I8" s="34">
        <f>'SER_se-appl'!I22</f>
        <v>3.0478554151738506</v>
      </c>
      <c r="J8" s="34">
        <f>'SER_se-appl'!J22</f>
        <v>3.2089905584592304</v>
      </c>
      <c r="K8" s="34">
        <f>'SER_se-appl'!K22</f>
        <v>3.2873934385843295</v>
      </c>
      <c r="L8" s="34">
        <f>'SER_se-appl'!L22</f>
        <v>3.3726448593085734</v>
      </c>
      <c r="M8" s="34">
        <f>'SER_se-appl'!M22</f>
        <v>3.5471382791125752</v>
      </c>
      <c r="N8" s="34">
        <f>'SER_se-appl'!N22</f>
        <v>3.6686405848803116</v>
      </c>
      <c r="O8" s="34">
        <f>'SER_se-appl'!O22</f>
        <v>3.8436840013406606</v>
      </c>
      <c r="P8" s="34">
        <f>'SER_se-appl'!P22</f>
        <v>4.0567811448934172</v>
      </c>
      <c r="Q8" s="34">
        <f>'SER_se-appl'!Q22</f>
        <v>4.3349414902324339</v>
      </c>
      <c r="R8" s="34">
        <f>'SER_se-appl'!R22</f>
        <v>4.473281126335257</v>
      </c>
      <c r="S8" s="34">
        <f>'SER_se-appl'!S22</f>
        <v>4.6453207926474329</v>
      </c>
      <c r="T8" s="34">
        <f>'SER_se-appl'!T22</f>
        <v>4.7972244850761889</v>
      </c>
      <c r="U8" s="34">
        <f>'SER_se-appl'!U22</f>
        <v>4.9391094508800517</v>
      </c>
      <c r="V8" s="34">
        <f>'SER_se-appl'!V22</f>
        <v>5.0589293343205703</v>
      </c>
      <c r="W8" s="34">
        <f>'SER_se-appl'!W22</f>
        <v>5.1405237376320949</v>
      </c>
      <c r="X8" s="34">
        <f>'SER_se-appl'!X22</f>
        <v>5.1978530737945894</v>
      </c>
      <c r="Y8" s="34">
        <f>'SER_se-appl'!Y22</f>
        <v>5.2408838221563476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0.39864602820146744</v>
      </c>
      <c r="D9" s="36">
        <f>'SER_se-appl'!D30</f>
        <v>0.42237259223941281</v>
      </c>
      <c r="E9" s="36">
        <f>'SER_se-appl'!E30</f>
        <v>0.45336305960825829</v>
      </c>
      <c r="F9" s="36">
        <f>'SER_se-appl'!F30</f>
        <v>0.49134809256013323</v>
      </c>
      <c r="G9" s="36">
        <f>'SER_se-appl'!G30</f>
        <v>0.48512293163284426</v>
      </c>
      <c r="H9" s="36">
        <f>'SER_se-appl'!H30</f>
        <v>0.54817521564338678</v>
      </c>
      <c r="I9" s="36">
        <f>'SER_se-appl'!I30</f>
        <v>0.64747352348981524</v>
      </c>
      <c r="J9" s="36">
        <f>'SER_se-appl'!J30</f>
        <v>0.58350773552479263</v>
      </c>
      <c r="K9" s="36">
        <f>'SER_se-appl'!K30</f>
        <v>0.5317659397333574</v>
      </c>
      <c r="L9" s="36">
        <f>'SER_se-appl'!L30</f>
        <v>0.57659951328437709</v>
      </c>
      <c r="M9" s="36">
        <f>'SER_se-appl'!M30</f>
        <v>0.65961635143684605</v>
      </c>
      <c r="N9" s="36">
        <f>'SER_se-appl'!N30</f>
        <v>0.66967752141112324</v>
      </c>
      <c r="O9" s="36">
        <f>'SER_se-appl'!O30</f>
        <v>0.82251693995016417</v>
      </c>
      <c r="P9" s="36">
        <f>'SER_se-appl'!P30</f>
        <v>0.79660487907754929</v>
      </c>
      <c r="Q9" s="36">
        <f>'SER_se-appl'!Q30</f>
        <v>0.80992628507237407</v>
      </c>
      <c r="R9" s="36">
        <f>'SER_se-appl'!R30</f>
        <v>0.71493914938720016</v>
      </c>
      <c r="S9" s="36">
        <f>'SER_se-appl'!S30</f>
        <v>0.83165601774902198</v>
      </c>
      <c r="T9" s="36">
        <f>'SER_se-appl'!T30</f>
        <v>0.82158121383987925</v>
      </c>
      <c r="U9" s="36">
        <f>'SER_se-appl'!U30</f>
        <v>0.96440190575402696</v>
      </c>
      <c r="V9" s="36">
        <f>'SER_se-appl'!V30</f>
        <v>0.91642476251806748</v>
      </c>
      <c r="W9" s="36">
        <f>'SER_se-appl'!W30</f>
        <v>0.8915206883838982</v>
      </c>
      <c r="X9" s="36">
        <f>'SER_se-appl'!X30</f>
        <v>0.77226848554969418</v>
      </c>
      <c r="Y9" s="36">
        <f>'SER_se-appl'!Y30</f>
        <v>0.87468676611077978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0.29366642729533687</v>
      </c>
      <c r="D10" s="38">
        <f>'SER_se-appl'!D38</f>
        <v>0.30129539713920472</v>
      </c>
      <c r="E10" s="38">
        <f>'SER_se-appl'!E38</f>
        <v>0.30912255504772324</v>
      </c>
      <c r="F10" s="38">
        <f>'SER_se-appl'!F38</f>
        <v>0.31715304962021529</v>
      </c>
      <c r="G10" s="38">
        <f>'SER_se-appl'!G38</f>
        <v>0.32539216320813003</v>
      </c>
      <c r="H10" s="38">
        <f>'SER_se-appl'!H38</f>
        <v>0.33384531538970075</v>
      </c>
      <c r="I10" s="38">
        <f>'SER_se-appl'!I38</f>
        <v>0.39864602820146722</v>
      </c>
      <c r="J10" s="38">
        <f>'SER_se-appl'!J38</f>
        <v>0.42237259223941281</v>
      </c>
      <c r="K10" s="38">
        <f>'SER_se-appl'!K38</f>
        <v>0.45336305960825829</v>
      </c>
      <c r="L10" s="38">
        <f>'SER_se-appl'!L38</f>
        <v>0.49134809256013323</v>
      </c>
      <c r="M10" s="38">
        <f>'SER_se-appl'!M38</f>
        <v>0.48512293163284426</v>
      </c>
      <c r="N10" s="38">
        <f>'SER_se-appl'!N38</f>
        <v>0.54817521564338678</v>
      </c>
      <c r="O10" s="38">
        <f>'SER_se-appl'!O38</f>
        <v>0.6474735234898148</v>
      </c>
      <c r="P10" s="38">
        <f>'SER_se-appl'!P38</f>
        <v>0.58350773552479218</v>
      </c>
      <c r="Q10" s="38">
        <f>'SER_se-appl'!Q38</f>
        <v>0.53176593973335695</v>
      </c>
      <c r="R10" s="38">
        <f>'SER_se-appl'!R38</f>
        <v>0.57659951328437664</v>
      </c>
      <c r="S10" s="38">
        <f>'SER_se-appl'!S38</f>
        <v>0.65961635143684649</v>
      </c>
      <c r="T10" s="38">
        <f>'SER_se-appl'!T38</f>
        <v>0.66967752141112324</v>
      </c>
      <c r="U10" s="38">
        <f>'SER_se-appl'!U38</f>
        <v>0.82251693995016417</v>
      </c>
      <c r="V10" s="38">
        <f>'SER_se-appl'!V38</f>
        <v>0.79660487907754884</v>
      </c>
      <c r="W10" s="38">
        <f>'SER_se-appl'!W38</f>
        <v>0.80992628507237363</v>
      </c>
      <c r="X10" s="38">
        <f>'SER_se-appl'!X38</f>
        <v>0.71493914938719971</v>
      </c>
      <c r="Y10" s="38">
        <f>'SER_se-appl'!Y38</f>
        <v>0.83165601774902154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2211.3653972619868</v>
      </c>
      <c r="C12" s="204">
        <f>'SER_se-appl'!C46</f>
        <v>2238.2554017151419</v>
      </c>
      <c r="D12" s="204">
        <f>'SER_se-appl'!D46</f>
        <v>2260.8075303443611</v>
      </c>
      <c r="E12" s="204">
        <f>'SER_se-appl'!E46</f>
        <v>2285.0812806997137</v>
      </c>
      <c r="F12" s="204">
        <f>'SER_se-appl'!F46</f>
        <v>2311.7882378670829</v>
      </c>
      <c r="G12" s="204">
        <f>'SER_se-appl'!G46</f>
        <v>2337.6139406808138</v>
      </c>
      <c r="H12" s="204">
        <f>'SER_se-appl'!H46</f>
        <v>2352.2562779990158</v>
      </c>
      <c r="I12" s="204">
        <f>'SER_se-appl'!I46</f>
        <v>2367.2067553529569</v>
      </c>
      <c r="J12" s="204">
        <f>'SER_se-appl'!J46</f>
        <v>2380.7531752792324</v>
      </c>
      <c r="K12" s="204">
        <f>'SER_se-appl'!K46</f>
        <v>2390.825299009221</v>
      </c>
      <c r="L12" s="204">
        <f>'SER_se-appl'!L46</f>
        <v>2399.4887708159004</v>
      </c>
      <c r="M12" s="204">
        <f>'SER_se-appl'!M46</f>
        <v>2409.4526469382622</v>
      </c>
      <c r="N12" s="204">
        <f>'SER_se-appl'!N46</f>
        <v>2421.9314322229607</v>
      </c>
      <c r="O12" s="204">
        <f>'SER_se-appl'!O46</f>
        <v>2436.6057527987618</v>
      </c>
      <c r="P12" s="204">
        <f>'SER_se-appl'!P46</f>
        <v>2447.8505496720782</v>
      </c>
      <c r="Q12" s="204">
        <f>'SER_se-appl'!Q46</f>
        <v>2464.6710488313165</v>
      </c>
      <c r="R12" s="204">
        <f>'SER_se-appl'!R46</f>
        <v>2494.2033308002788</v>
      </c>
      <c r="S12" s="204">
        <f>'SER_se-appl'!S46</f>
        <v>2576.7242256097047</v>
      </c>
      <c r="T12" s="204">
        <f>'SER_se-appl'!T46</f>
        <v>2535.1080662870395</v>
      </c>
      <c r="U12" s="204">
        <f>'SER_se-appl'!U46</f>
        <v>2509.2241396123595</v>
      </c>
      <c r="V12" s="204">
        <f>'SER_se-appl'!V46</f>
        <v>2306.296328443068</v>
      </c>
      <c r="W12" s="204">
        <f>'SER_se-appl'!W46</f>
        <v>2383.9368717623747</v>
      </c>
      <c r="X12" s="204">
        <f>'SER_se-appl'!X46</f>
        <v>2413.8544356756192</v>
      </c>
      <c r="Y12" s="204">
        <f>'SER_se-appl'!Y46</f>
        <v>2428.8132176322415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46.133248749838828</v>
      </c>
      <c r="C14" s="59">
        <f>'SER_se-appl'!C54</f>
        <v>45.541120556226062</v>
      </c>
      <c r="D14" s="59">
        <f>'SER_se-appl'!D54</f>
        <v>44.661413856286565</v>
      </c>
      <c r="E14" s="59">
        <f>'SER_se-appl'!E54</f>
        <v>43.628805430957541</v>
      </c>
      <c r="F14" s="59">
        <f>'SER_se-appl'!F54</f>
        <v>42.421486456538922</v>
      </c>
      <c r="G14" s="59">
        <f>'SER_se-appl'!G54</f>
        <v>41.132286200514123</v>
      </c>
      <c r="H14" s="59">
        <f>'SER_se-appl'!H54</f>
        <v>39.736959732257112</v>
      </c>
      <c r="I14" s="59">
        <f>'SER_se-appl'!I54</f>
        <v>38.478872342506541</v>
      </c>
      <c r="J14" s="59">
        <f>'SER_se-appl'!J54</f>
        <v>37.437077689725399</v>
      </c>
      <c r="K14" s="59">
        <f>'SER_se-appl'!K54</f>
        <v>36.449276184075551</v>
      </c>
      <c r="L14" s="59">
        <f>'SER_se-appl'!L54</f>
        <v>35.439259189136493</v>
      </c>
      <c r="M14" s="59">
        <f>'SER_se-appl'!M54</f>
        <v>34.365907591015571</v>
      </c>
      <c r="N14" s="59">
        <f>'SER_se-appl'!N54</f>
        <v>33.160181828751483</v>
      </c>
      <c r="O14" s="59">
        <f>'SER_se-appl'!O54</f>
        <v>31.656779568386018</v>
      </c>
      <c r="P14" s="59">
        <f>'SER_se-appl'!P54</f>
        <v>30.251858471793646</v>
      </c>
      <c r="Q14" s="59">
        <f>'SER_se-appl'!Q54</f>
        <v>28.837146530551458</v>
      </c>
      <c r="R14" s="59">
        <f>'SER_se-appl'!R54</f>
        <v>27.289075278995401</v>
      </c>
      <c r="S14" s="59">
        <f>'SER_se-appl'!S54</f>
        <v>25.608437792095515</v>
      </c>
      <c r="T14" s="59">
        <f>'SER_se-appl'!T54</f>
        <v>23.945717754985985</v>
      </c>
      <c r="U14" s="59">
        <f>'SER_se-appl'!U54</f>
        <v>22.052632850357323</v>
      </c>
      <c r="V14" s="59">
        <f>'SER_se-appl'!V54</f>
        <v>20.313294676325761</v>
      </c>
      <c r="W14" s="59">
        <f>'SER_se-appl'!W54</f>
        <v>18.784411877316195</v>
      </c>
      <c r="X14" s="59">
        <f>'SER_se-appl'!X54</f>
        <v>17.719336371468309</v>
      </c>
      <c r="Y14" s="59">
        <f>'SER_se-appl'!Y54</f>
        <v>16.562422812471763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43.184157304012821</v>
      </c>
      <c r="D15" s="63">
        <f>'SER_se-appl'!D62</f>
        <v>41.576079772555744</v>
      </c>
      <c r="E15" s="63">
        <f>'SER_se-appl'!E62</f>
        <v>40.538473216912564</v>
      </c>
      <c r="F15" s="63">
        <f>'SER_se-appl'!F62</f>
        <v>39.286838562976229</v>
      </c>
      <c r="G15" s="63">
        <f>'SER_se-appl'!G62</f>
        <v>38.042359335966651</v>
      </c>
      <c r="H15" s="63">
        <f>'SER_se-appl'!H62</f>
        <v>37.053280512796483</v>
      </c>
      <c r="I15" s="63">
        <f>'SER_se-appl'!I62</f>
        <v>35.937179889605751</v>
      </c>
      <c r="J15" s="63">
        <f>'SER_se-appl'!J62</f>
        <v>34.991457266741051</v>
      </c>
      <c r="K15" s="63">
        <f>'SER_se-appl'!K62</f>
        <v>33.974588114030972</v>
      </c>
      <c r="L15" s="63">
        <f>'SER_se-appl'!L62</f>
        <v>32.959509514068223</v>
      </c>
      <c r="M15" s="63">
        <f>'SER_se-appl'!M62</f>
        <v>31.581709326197956</v>
      </c>
      <c r="N15" s="63">
        <f>'SER_se-appl'!N62</f>
        <v>29.960468942649818</v>
      </c>
      <c r="O15" s="63">
        <f>'SER_se-appl'!O62</f>
        <v>28.320682113643354</v>
      </c>
      <c r="P15" s="63">
        <f>'SER_se-appl'!P62</f>
        <v>26.944723088649948</v>
      </c>
      <c r="Q15" s="63">
        <f>'SER_se-appl'!Q62</f>
        <v>25.124141615599278</v>
      </c>
      <c r="R15" s="63">
        <f>'SER_se-appl'!R62</f>
        <v>22.47575839587056</v>
      </c>
      <c r="S15" s="63">
        <f>'SER_se-appl'!S62</f>
        <v>21.30630289673509</v>
      </c>
      <c r="T15" s="63">
        <f>'SER_se-appl'!T62</f>
        <v>19.447167604109016</v>
      </c>
      <c r="U15" s="63">
        <f>'SER_se-appl'!U62</f>
        <v>17.981740275494293</v>
      </c>
      <c r="V15" s="63">
        <f>'SER_se-appl'!V62</f>
        <v>16.703447452168504</v>
      </c>
      <c r="W15" s="63">
        <f>'SER_se-appl'!W62</f>
        <v>15.868275079560078</v>
      </c>
      <c r="X15" s="63">
        <f>'SER_se-appl'!X62</f>
        <v>15.033102706951652</v>
      </c>
      <c r="Y15" s="63">
        <f>'SER_se-appl'!Y62</f>
        <v>14.197930334343226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13.684527277527</v>
      </c>
      <c r="C3" s="198">
        <f>'SER_se-appl'!C7</f>
        <v>13.833465119608297</v>
      </c>
      <c r="D3" s="198">
        <f>'SER_se-appl'!D7</f>
        <v>14.148169735678305</v>
      </c>
      <c r="E3" s="198">
        <f>'SER_se-appl'!E7</f>
        <v>14.703100724549577</v>
      </c>
      <c r="F3" s="198">
        <f>'SER_se-appl'!F7</f>
        <v>15.374597153397978</v>
      </c>
      <c r="G3" s="198">
        <f>'SER_se-appl'!G7</f>
        <v>16.395429932194173</v>
      </c>
      <c r="H3" s="198">
        <f>'SER_se-appl'!H7</f>
        <v>17.7255884725407</v>
      </c>
      <c r="I3" s="198">
        <f>'SER_se-appl'!I7</f>
        <v>18.713914903868314</v>
      </c>
      <c r="J3" s="198">
        <f>'SER_se-appl'!J7</f>
        <v>19.358242028731038</v>
      </c>
      <c r="K3" s="198">
        <f>'SER_se-appl'!K7</f>
        <v>19.614666832277656</v>
      </c>
      <c r="L3" s="198">
        <f>'SER_se-appl'!L7</f>
        <v>19.487195250885229</v>
      </c>
      <c r="M3" s="198">
        <f>'SER_se-appl'!M7</f>
        <v>19.094602588383793</v>
      </c>
      <c r="N3" s="198">
        <f>'SER_se-appl'!N7</f>
        <v>18.881024570866352</v>
      </c>
      <c r="O3" s="198">
        <f>'SER_se-appl'!O7</f>
        <v>18.796443680700293</v>
      </c>
      <c r="P3" s="198">
        <f>'SER_se-appl'!P7</f>
        <v>18.748165433682406</v>
      </c>
      <c r="Q3" s="198">
        <f>'SER_se-appl'!Q7</f>
        <v>18.903658337564121</v>
      </c>
      <c r="R3" s="198">
        <f>'SER_se-appl'!R7</f>
        <v>18.636427185263695</v>
      </c>
      <c r="S3" s="198">
        <f>'SER_se-appl'!S7</f>
        <v>18.446180707807848</v>
      </c>
      <c r="T3" s="198">
        <f>'SER_se-appl'!T7</f>
        <v>18.355183843775777</v>
      </c>
      <c r="U3" s="198">
        <f>'SER_se-appl'!U7</f>
        <v>18.341837594302362</v>
      </c>
      <c r="V3" s="198">
        <f>'SER_se-appl'!V7</f>
        <v>18.394694998277988</v>
      </c>
      <c r="W3" s="198">
        <f>'SER_se-appl'!W7</f>
        <v>18.4871898339556</v>
      </c>
      <c r="X3" s="198">
        <f>'SER_se-appl'!X7</f>
        <v>18.356447161937073</v>
      </c>
      <c r="Y3" s="198">
        <f>'SER_se-appl'!Y7</f>
        <v>18.293420047032487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18.167928337630023</v>
      </c>
      <c r="C5" s="59">
        <f>'SER_se-appl'!C15</f>
        <v>18.365662025233391</v>
      </c>
      <c r="D5" s="59">
        <f>'SER_se-appl'!D15</f>
        <v>18.783471920769259</v>
      </c>
      <c r="E5" s="59">
        <f>'SER_se-appl'!E15</f>
        <v>19.520212491610916</v>
      </c>
      <c r="F5" s="59">
        <f>'SER_se-appl'!F15</f>
        <v>20.411708321234993</v>
      </c>
      <c r="G5" s="59">
        <f>'SER_se-appl'!G15</f>
        <v>21.766992021851401</v>
      </c>
      <c r="H5" s="59">
        <f>'SER_se-appl'!H15</f>
        <v>23.532944513201858</v>
      </c>
      <c r="I5" s="59">
        <f>'SER_se-appl'!I15</f>
        <v>24.845071955706455</v>
      </c>
      <c r="J5" s="59">
        <f>'SER_se-appl'!J15</f>
        <v>25.700497122618948</v>
      </c>
      <c r="K5" s="59">
        <f>'SER_se-appl'!K15</f>
        <v>26.040933248788726</v>
      </c>
      <c r="L5" s="59">
        <f>'SER_se-appl'!L15</f>
        <v>25.871698717784842</v>
      </c>
      <c r="M5" s="59">
        <f>'SER_se-appl'!M15</f>
        <v>25.35048266014881</v>
      </c>
      <c r="N5" s="59">
        <f>'SER_se-appl'!N15</f>
        <v>25.066931022736938</v>
      </c>
      <c r="O5" s="59">
        <f>'SER_se-appl'!O15</f>
        <v>24.954639270153468</v>
      </c>
      <c r="P5" s="59">
        <f>'SER_se-appl'!P15</f>
        <v>24.890543834900278</v>
      </c>
      <c r="Q5" s="59">
        <f>'SER_se-appl'!Q15</f>
        <v>25.096980190167891</v>
      </c>
      <c r="R5" s="59">
        <f>'SER_se-appl'!R15</f>
        <v>24.742197279065838</v>
      </c>
      <c r="S5" s="59">
        <f>'SER_se-appl'!S15</f>
        <v>24.489621190845348</v>
      </c>
      <c r="T5" s="59">
        <f>'SER_se-appl'!T15</f>
        <v>24.368811427295924</v>
      </c>
      <c r="U5" s="59">
        <f>'SER_se-appl'!U15</f>
        <v>24.351092605221059</v>
      </c>
      <c r="V5" s="59">
        <f>'SER_se-appl'!V15</f>
        <v>24.421267446343951</v>
      </c>
      <c r="W5" s="59">
        <f>'SER_se-appl'!W15</f>
        <v>24.544065955354295</v>
      </c>
      <c r="X5" s="59">
        <f>'SER_se-appl'!X15</f>
        <v>24.370488640790885</v>
      </c>
      <c r="Y5" s="59">
        <f>'SER_se-appl'!Y15</f>
        <v>24.286812231391306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1.0172958556896879E-2</v>
      </c>
      <c r="C6" s="201">
        <f>'SER_se-appl'!C71</f>
        <v>1.0528521584876053E-2</v>
      </c>
      <c r="D6" s="201">
        <f>'SER_se-appl'!D71</f>
        <v>1.1101649674849405E-2</v>
      </c>
      <c r="E6" s="201">
        <f>'SER_se-appl'!E71</f>
        <v>1.1877336660936516E-2</v>
      </c>
      <c r="F6" s="201">
        <f>'SER_se-appl'!F71</f>
        <v>1.2807416583218276E-2</v>
      </c>
      <c r="G6" s="201">
        <f>'SER_se-appl'!G71</f>
        <v>1.4139777149144028E-2</v>
      </c>
      <c r="H6" s="201">
        <f>'SER_se-appl'!H71</f>
        <v>1.5818883951321628E-2</v>
      </c>
      <c r="I6" s="201">
        <f>'SER_se-appl'!I71</f>
        <v>1.7227613336351543E-2</v>
      </c>
      <c r="J6" s="201">
        <f>'SER_se-appl'!J71</f>
        <v>1.837038518403911E-2</v>
      </c>
      <c r="K6" s="201">
        <f>'SER_se-appl'!K71</f>
        <v>1.9300614614908888E-2</v>
      </c>
      <c r="L6" s="201">
        <f>'SER_se-appl'!L71</f>
        <v>2.002353802145785E-2</v>
      </c>
      <c r="M6" s="201">
        <f>'SER_se-appl'!M71</f>
        <v>2.0364815542873376E-2</v>
      </c>
      <c r="N6" s="201">
        <f>'SER_se-appl'!N71</f>
        <v>2.0808297186932175E-2</v>
      </c>
      <c r="O6" s="201">
        <f>'SER_se-appl'!O71</f>
        <v>2.1442013920936389E-2</v>
      </c>
      <c r="P6" s="201">
        <f>'SER_se-appl'!P71</f>
        <v>2.2247861533820891E-2</v>
      </c>
      <c r="Q6" s="201">
        <f>'SER_se-appl'!Q71</f>
        <v>2.3446930456352412E-2</v>
      </c>
      <c r="R6" s="201">
        <f>'SER_se-appl'!R71</f>
        <v>2.4196173825435974E-2</v>
      </c>
      <c r="S6" s="201">
        <f>'SER_se-appl'!S71</f>
        <v>2.4986253195706267E-2</v>
      </c>
      <c r="T6" s="201">
        <f>'SER_se-appl'!T71</f>
        <v>2.5762633165376591E-2</v>
      </c>
      <c r="U6" s="201">
        <f>'SER_se-appl'!U71</f>
        <v>2.6501381779185665E-2</v>
      </c>
      <c r="V6" s="201">
        <f>'SER_se-appl'!V71</f>
        <v>2.7180621090150146E-2</v>
      </c>
      <c r="W6" s="201">
        <f>'SER_se-appl'!W71</f>
        <v>2.7840206510941601E-2</v>
      </c>
      <c r="X6" s="201">
        <f>'SER_se-appl'!X71</f>
        <v>2.8311416943092513E-2</v>
      </c>
      <c r="Y6" s="201">
        <f>'SER_se-appl'!Y71</f>
        <v>2.8646001673748721E-2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24.22908798933965</v>
      </c>
      <c r="C8" s="34">
        <f>'SER_se-appl'!C23</f>
        <v>24.777654241501942</v>
      </c>
      <c r="D8" s="34">
        <f>'SER_se-appl'!D23</f>
        <v>25.766440422739777</v>
      </c>
      <c r="E8" s="34">
        <f>'SER_se-appl'!E23</f>
        <v>27.310629144790816</v>
      </c>
      <c r="F8" s="34">
        <f>'SER_se-appl'!F23</f>
        <v>29.15634000002807</v>
      </c>
      <c r="G8" s="34">
        <f>'SER_se-appl'!G23</f>
        <v>31.810596007080896</v>
      </c>
      <c r="H8" s="34">
        <f>'SER_se-appl'!H23</f>
        <v>35.242480264166723</v>
      </c>
      <c r="I8" s="34">
        <f>'SER_se-appl'!I23</f>
        <v>38.053041441866739</v>
      </c>
      <c r="J8" s="34">
        <f>'SER_se-appl'!J23</f>
        <v>40.264393950228758</v>
      </c>
      <c r="K8" s="34">
        <f>'SER_se-appl'!K23</f>
        <v>41.744025510021849</v>
      </c>
      <c r="L8" s="34">
        <f>'SER_se-appl'!L23</f>
        <v>42.459992468653461</v>
      </c>
      <c r="M8" s="34">
        <f>'SER_se-appl'!M23</f>
        <v>42.248948149322821</v>
      </c>
      <c r="N8" s="34">
        <f>'SER_se-appl'!N23</f>
        <v>42.549076595702338</v>
      </c>
      <c r="O8" s="34">
        <f>'SER_se-appl'!O23</f>
        <v>43.394883823539089</v>
      </c>
      <c r="P8" s="34">
        <f>'SER_se-appl'!P23</f>
        <v>44.528382928373432</v>
      </c>
      <c r="Q8" s="34">
        <f>'SER_se-appl'!Q23</f>
        <v>46.567854791639704</v>
      </c>
      <c r="R8" s="34">
        <f>'SER_se-appl'!R23</f>
        <v>47.641225826808942</v>
      </c>
      <c r="S8" s="34">
        <f>'SER_se-appl'!S23</f>
        <v>48.726092136997927</v>
      </c>
      <c r="T8" s="34">
        <f>'SER_se-appl'!T23</f>
        <v>49.834696579808003</v>
      </c>
      <c r="U8" s="34">
        <f>'SER_se-appl'!U23</f>
        <v>50.881804971819541</v>
      </c>
      <c r="V8" s="34">
        <f>'SER_se-appl'!V23</f>
        <v>51.851791338152182</v>
      </c>
      <c r="W8" s="34">
        <f>'SER_se-appl'!W23</f>
        <v>52.707719291264389</v>
      </c>
      <c r="X8" s="34">
        <f>'SER_se-appl'!X23</f>
        <v>53.105338510924383</v>
      </c>
      <c r="Y8" s="34">
        <f>'SER_se-appl'!Y23</f>
        <v>53.940650319682227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2.750580936489591</v>
      </c>
      <c r="D9" s="36">
        <f>'SER_se-appl'!D31</f>
        <v>3.2371845106751564</v>
      </c>
      <c r="E9" s="36">
        <f>'SER_se-appl'!E31</f>
        <v>3.8399477302889444</v>
      </c>
      <c r="F9" s="36">
        <f>'SER_se-appl'!F31</f>
        <v>4.1898281563848983</v>
      </c>
      <c r="G9" s="36">
        <f>'SER_se-appl'!G31</f>
        <v>5.0477502291477165</v>
      </c>
      <c r="H9" s="36">
        <f>'SER_se-appl'!H31</f>
        <v>5.8757954847350895</v>
      </c>
      <c r="I9" s="36">
        <f>'SER_se-appl'!I31</f>
        <v>5.3059514040455653</v>
      </c>
      <c r="J9" s="36">
        <f>'SER_se-appl'!J31</f>
        <v>4.7593060965659788</v>
      </c>
      <c r="K9" s="36">
        <f>'SER_se-appl'!K31</f>
        <v>4.0812557142440582</v>
      </c>
      <c r="L9" s="36">
        <f>'SER_se-appl'!L31</f>
        <v>3.3723922060764622</v>
      </c>
      <c r="M9" s="36">
        <f>'SER_se-appl'!M31</f>
        <v>2.5395366171589515</v>
      </c>
      <c r="N9" s="36">
        <f>'SER_se-appl'!N31</f>
        <v>3.5373129570546737</v>
      </c>
      <c r="O9" s="36">
        <f>'SER_se-appl'!O31</f>
        <v>4.685754958125699</v>
      </c>
      <c r="P9" s="36">
        <f>'SER_se-appl'!P31</f>
        <v>5.3233272612192408</v>
      </c>
      <c r="Q9" s="36">
        <f>'SER_se-appl'!Q31</f>
        <v>7.0872220924139882</v>
      </c>
      <c r="R9" s="36">
        <f>'SER_se-appl'!R31</f>
        <v>6.9491665199043311</v>
      </c>
      <c r="S9" s="36">
        <f>'SER_se-appl'!S31</f>
        <v>6.3908177142345508</v>
      </c>
      <c r="T9" s="36">
        <f>'SER_se-appl'!T31</f>
        <v>5.8679105393760551</v>
      </c>
      <c r="U9" s="36">
        <f>'SER_se-appl'!U31</f>
        <v>5.1283641062555958</v>
      </c>
      <c r="V9" s="36">
        <f>'SER_se-appl'!V31</f>
        <v>4.3423785724091033</v>
      </c>
      <c r="W9" s="36">
        <f>'SER_se-appl'!W31</f>
        <v>3.3954645702711588</v>
      </c>
      <c r="X9" s="36">
        <f>'SER_se-appl'!X31</f>
        <v>3.9349321767146677</v>
      </c>
      <c r="Y9" s="36">
        <f>'SER_se-appl'!Y31</f>
        <v>5.5210667668835427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2.202014684327299</v>
      </c>
      <c r="D10" s="38">
        <f>'SER_se-appl'!D39</f>
        <v>2.2483983294373218</v>
      </c>
      <c r="E10" s="38">
        <f>'SER_se-appl'!E39</f>
        <v>2.2957590082379049</v>
      </c>
      <c r="F10" s="38">
        <f>'SER_se-appl'!F39</f>
        <v>2.3441173011476444</v>
      </c>
      <c r="G10" s="38">
        <f>'SER_se-appl'!G39</f>
        <v>2.393494222094894</v>
      </c>
      <c r="H10" s="38">
        <f>'SER_se-appl'!H39</f>
        <v>2.4439112276492594</v>
      </c>
      <c r="I10" s="38">
        <f>'SER_se-appl'!I39</f>
        <v>2.495390226345549</v>
      </c>
      <c r="J10" s="38">
        <f>'SER_se-appl'!J39</f>
        <v>2.5479535882039599</v>
      </c>
      <c r="K10" s="38">
        <f>'SER_se-appl'!K39</f>
        <v>2.6016241544509668</v>
      </c>
      <c r="L10" s="38">
        <f>'SER_se-appl'!L39</f>
        <v>2.6564252474448509</v>
      </c>
      <c r="M10" s="38">
        <f>'SER_se-appl'!M39</f>
        <v>2.750580936489591</v>
      </c>
      <c r="N10" s="38">
        <f>'SER_se-appl'!N39</f>
        <v>3.2371845106751564</v>
      </c>
      <c r="O10" s="38">
        <f>'SER_se-appl'!O39</f>
        <v>3.839947730288948</v>
      </c>
      <c r="P10" s="38">
        <f>'SER_se-appl'!P39</f>
        <v>4.1898281563848983</v>
      </c>
      <c r="Q10" s="38">
        <f>'SER_se-appl'!Q39</f>
        <v>5.0477502291477165</v>
      </c>
      <c r="R10" s="38">
        <f>'SER_se-appl'!R39</f>
        <v>5.8757954847350931</v>
      </c>
      <c r="S10" s="38">
        <f>'SER_se-appl'!S39</f>
        <v>5.3059514040455653</v>
      </c>
      <c r="T10" s="38">
        <f>'SER_se-appl'!T39</f>
        <v>4.7593060965659788</v>
      </c>
      <c r="U10" s="38">
        <f>'SER_se-appl'!U39</f>
        <v>4.0812557142440582</v>
      </c>
      <c r="V10" s="38">
        <f>'SER_se-appl'!V39</f>
        <v>3.3723922060764622</v>
      </c>
      <c r="W10" s="38">
        <f>'SER_se-appl'!W39</f>
        <v>2.5395366171589515</v>
      </c>
      <c r="X10" s="38">
        <f>'SER_se-appl'!X39</f>
        <v>3.5373129570546737</v>
      </c>
      <c r="Y10" s="38">
        <f>'SER_se-appl'!Y39</f>
        <v>4.685754958125699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8760</v>
      </c>
      <c r="C12" s="204">
        <f>'SER_se-appl'!C47</f>
        <v>8760</v>
      </c>
      <c r="D12" s="204">
        <f>'SER_se-appl'!D47</f>
        <v>8759.9999999999982</v>
      </c>
      <c r="E12" s="204">
        <f>'SER_se-appl'!E47</f>
        <v>8759.9999999999982</v>
      </c>
      <c r="F12" s="204">
        <f>'SER_se-appl'!F47</f>
        <v>8759.9999999999982</v>
      </c>
      <c r="G12" s="204">
        <f>'SER_se-appl'!G47</f>
        <v>8759.9999999999982</v>
      </c>
      <c r="H12" s="204">
        <f>'SER_se-appl'!H47</f>
        <v>8760.0000000000018</v>
      </c>
      <c r="I12" s="204">
        <f>'SER_se-appl'!I47</f>
        <v>8759.9999999999982</v>
      </c>
      <c r="J12" s="204">
        <f>'SER_se-appl'!J47</f>
        <v>8759.9999999999982</v>
      </c>
      <c r="K12" s="204">
        <f>'SER_se-appl'!K47</f>
        <v>8759.9999999999964</v>
      </c>
      <c r="L12" s="204">
        <f>'SER_se-appl'!L47</f>
        <v>8760</v>
      </c>
      <c r="M12" s="204">
        <f>'SER_se-appl'!M47</f>
        <v>8759.9999999999982</v>
      </c>
      <c r="N12" s="204">
        <f>'SER_se-appl'!N47</f>
        <v>8760.0000000000036</v>
      </c>
      <c r="O12" s="204">
        <f>'SER_se-appl'!O47</f>
        <v>8760.0000000000018</v>
      </c>
      <c r="P12" s="204">
        <f>'SER_se-appl'!P47</f>
        <v>8759.9999999999982</v>
      </c>
      <c r="Q12" s="204">
        <f>'SER_se-appl'!Q47</f>
        <v>8760</v>
      </c>
      <c r="R12" s="204">
        <f>'SER_se-appl'!R47</f>
        <v>8760.0000000000018</v>
      </c>
      <c r="S12" s="204">
        <f>'SER_se-appl'!S47</f>
        <v>8760</v>
      </c>
      <c r="T12" s="204">
        <f>'SER_se-appl'!T47</f>
        <v>8760</v>
      </c>
      <c r="U12" s="204">
        <f>'SER_se-appl'!U47</f>
        <v>8760</v>
      </c>
      <c r="V12" s="204">
        <f>'SER_se-appl'!V47</f>
        <v>8760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749.83954598801142</v>
      </c>
      <c r="C14" s="59">
        <f>'SER_se-appl'!C55</f>
        <v>741.21875485982741</v>
      </c>
      <c r="D14" s="59">
        <f>'SER_se-appl'!D55</f>
        <v>728.98978720367575</v>
      </c>
      <c r="E14" s="59">
        <f>'SER_se-appl'!E55</f>
        <v>714.74781441767595</v>
      </c>
      <c r="F14" s="59">
        <f>'SER_se-appl'!F55</f>
        <v>700.07786715394809</v>
      </c>
      <c r="G14" s="59">
        <f>'SER_se-appl'!G55</f>
        <v>684.26860084627674</v>
      </c>
      <c r="H14" s="59">
        <f>'SER_se-appl'!H55</f>
        <v>667.74370977315425</v>
      </c>
      <c r="I14" s="59">
        <f>'SER_se-appl'!I55</f>
        <v>652.9063384765717</v>
      </c>
      <c r="J14" s="59">
        <f>'SER_se-appl'!J55</f>
        <v>638.29340519535958</v>
      </c>
      <c r="K14" s="59">
        <f>'SER_se-appl'!K55</f>
        <v>623.82419832837763</v>
      </c>
      <c r="L14" s="59">
        <f>'SER_se-appl'!L55</f>
        <v>609.31943727698251</v>
      </c>
      <c r="M14" s="59">
        <f>'SER_se-appl'!M55</f>
        <v>600.02636208956449</v>
      </c>
      <c r="N14" s="59">
        <f>'SER_se-appl'!N55</f>
        <v>589.12984789119537</v>
      </c>
      <c r="O14" s="59">
        <f>'SER_se-appl'!O55</f>
        <v>575.05947870788145</v>
      </c>
      <c r="P14" s="59">
        <f>'SER_se-appl'!P55</f>
        <v>558.98153487716377</v>
      </c>
      <c r="Q14" s="59">
        <f>'SER_se-appl'!Q55</f>
        <v>538.93356914249648</v>
      </c>
      <c r="R14" s="59">
        <f>'SER_se-appl'!R55</f>
        <v>519.34426223648438</v>
      </c>
      <c r="S14" s="59">
        <f>'SER_se-appl'!S55</f>
        <v>502.5976867176318</v>
      </c>
      <c r="T14" s="59">
        <f>'SER_se-appl'!T55</f>
        <v>488.99287243116612</v>
      </c>
      <c r="U14" s="59">
        <f>'SER_se-appl'!U55</f>
        <v>478.58154046830111</v>
      </c>
      <c r="V14" s="59">
        <f>'SER_se-appl'!V55</f>
        <v>470.98213612487007</v>
      </c>
      <c r="W14" s="59">
        <f>'SER_se-appl'!W55</f>
        <v>465.66359321531388</v>
      </c>
      <c r="X14" s="59">
        <f>'SER_se-appl'!X55</f>
        <v>458.90845109249409</v>
      </c>
      <c r="Y14" s="59">
        <f>'SER_se-appl'!Y55</f>
        <v>450.25063820058114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672.18213950029008</v>
      </c>
      <c r="D15" s="63">
        <f>'SER_se-appl'!D63</f>
        <v>649.86962316911263</v>
      </c>
      <c r="E15" s="63">
        <f>'SER_se-appl'!E63</f>
        <v>640.16274072868396</v>
      </c>
      <c r="F15" s="63">
        <f>'SER_se-appl'!F63</f>
        <v>632.29506881377245</v>
      </c>
      <c r="G15" s="63">
        <f>'SER_se-appl'!G63</f>
        <v>624.0444115573506</v>
      </c>
      <c r="H15" s="63">
        <f>'SER_se-appl'!H63</f>
        <v>612.42665543322994</v>
      </c>
      <c r="I15" s="63">
        <f>'SER_se-appl'!I63</f>
        <v>599.94324758861342</v>
      </c>
      <c r="J15" s="63">
        <f>'SER_se-appl'!J63</f>
        <v>581.17327874448779</v>
      </c>
      <c r="K15" s="63">
        <f>'SER_se-appl'!K63</f>
        <v>561.40486198354233</v>
      </c>
      <c r="L15" s="63">
        <f>'SER_se-appl'!L63</f>
        <v>540.46447124600149</v>
      </c>
      <c r="M15" s="63">
        <f>'SER_se-appl'!M63</f>
        <v>522.802196334369</v>
      </c>
      <c r="N15" s="63">
        <f>'SER_se-appl'!N63</f>
        <v>514.57031446407723</v>
      </c>
      <c r="O15" s="63">
        <f>'SER_se-appl'!O63</f>
        <v>500.64498285918722</v>
      </c>
      <c r="P15" s="63">
        <f>'SER_se-appl'!P63</f>
        <v>485.61963605709241</v>
      </c>
      <c r="Q15" s="63">
        <f>'SER_se-appl'!Q63</f>
        <v>473.59270429767622</v>
      </c>
      <c r="R15" s="63">
        <f>'SER_se-appl'!R63</f>
        <v>466.77696617760529</v>
      </c>
      <c r="S15" s="63">
        <f>'SER_se-appl'!S63</f>
        <v>458.57881725249456</v>
      </c>
      <c r="T15" s="63">
        <f>'SER_se-appl'!T63</f>
        <v>450.78597354037436</v>
      </c>
      <c r="U15" s="63">
        <f>'SER_se-appl'!U63</f>
        <v>443.32226257621153</v>
      </c>
      <c r="V15" s="63">
        <f>'SER_se-appl'!V63</f>
        <v>435.89774130725294</v>
      </c>
      <c r="W15" s="63">
        <f>'SER_se-appl'!W63</f>
        <v>427.1797864811079</v>
      </c>
      <c r="X15" s="63">
        <f>'SER_se-appl'!X63</f>
        <v>418.46183165496279</v>
      </c>
      <c r="Y15" s="63">
        <f>'SER_se-appl'!Y63</f>
        <v>409.74387682881775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3.1400491203761769</v>
      </c>
      <c r="C3" s="198">
        <f>'SER_se-appl'!C8</f>
        <v>3.4288733763409804</v>
      </c>
      <c r="D3" s="198">
        <f>'SER_se-appl'!D8</f>
        <v>3.9100154076847793</v>
      </c>
      <c r="E3" s="198">
        <f>'SER_se-appl'!E8</f>
        <v>4.6197734171703306</v>
      </c>
      <c r="F3" s="198">
        <f>'SER_se-appl'!F8</f>
        <v>5.6041149376097632</v>
      </c>
      <c r="G3" s="198">
        <f>'SER_se-appl'!G8</f>
        <v>6.7855057468109647</v>
      </c>
      <c r="H3" s="198">
        <f>'SER_se-appl'!H8</f>
        <v>7.8915577291800121</v>
      </c>
      <c r="I3" s="198">
        <f>'SER_se-appl'!I8</f>
        <v>8.9827754369612141</v>
      </c>
      <c r="J3" s="198">
        <f>'SER_se-appl'!J8</f>
        <v>9.8496982942739653</v>
      </c>
      <c r="K3" s="198">
        <f>'SER_se-appl'!K8</f>
        <v>10.245940655890434</v>
      </c>
      <c r="L3" s="198">
        <f>'SER_se-appl'!L8</f>
        <v>10.478504310936417</v>
      </c>
      <c r="M3" s="198">
        <f>'SER_se-appl'!M8</f>
        <v>10.850309033292513</v>
      </c>
      <c r="N3" s="198">
        <f>'SER_se-appl'!N8</f>
        <v>10.950485371432709</v>
      </c>
      <c r="O3" s="198">
        <f>'SER_se-appl'!O8</f>
        <v>11.120021616661049</v>
      </c>
      <c r="P3" s="198">
        <f>'SER_se-appl'!P8</f>
        <v>11.232010348986694</v>
      </c>
      <c r="Q3" s="198">
        <f>'SER_se-appl'!Q8</f>
        <v>11.362191311835621</v>
      </c>
      <c r="R3" s="198">
        <f>'SER_se-appl'!R8</f>
        <v>11.736395629592526</v>
      </c>
      <c r="S3" s="198">
        <f>'SER_se-appl'!S8</f>
        <v>12.324576469304894</v>
      </c>
      <c r="T3" s="198">
        <f>'SER_se-appl'!T8</f>
        <v>12.44753928992071</v>
      </c>
      <c r="U3" s="198">
        <f>'SER_se-appl'!U8</f>
        <v>12.48052012585064</v>
      </c>
      <c r="V3" s="198">
        <f>'SER_se-appl'!V8</f>
        <v>11.456241906109707</v>
      </c>
      <c r="W3" s="198">
        <f>'SER_se-appl'!W8</f>
        <v>11.814261140036734</v>
      </c>
      <c r="X3" s="198">
        <f>'SER_se-appl'!X8</f>
        <v>11.906194429438829</v>
      </c>
      <c r="Y3" s="198">
        <f>'SER_se-appl'!Y8</f>
        <v>11.933961669168328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40.551835277846941</v>
      </c>
      <c r="C5" s="59">
        <f>'SER_se-appl'!C16</f>
        <v>44.071302446576169</v>
      </c>
      <c r="D5" s="59">
        <f>'SER_se-appl'!D16</f>
        <v>50.037255234626876</v>
      </c>
      <c r="E5" s="59">
        <f>'SER_se-appl'!E16</f>
        <v>58.884037438643333</v>
      </c>
      <c r="F5" s="59">
        <f>'SER_se-appl'!F16</f>
        <v>71.166351988991536</v>
      </c>
      <c r="G5" s="59">
        <f>'SER_se-appl'!G16</f>
        <v>85.872030446617742</v>
      </c>
      <c r="H5" s="59">
        <f>'SER_se-appl'!H16</f>
        <v>99.54760387562068</v>
      </c>
      <c r="I5" s="59">
        <f>'SER_se-appl'!I16</f>
        <v>112.96975032618602</v>
      </c>
      <c r="J5" s="59">
        <f>'SER_se-appl'!J16</f>
        <v>123.51888846139316</v>
      </c>
      <c r="K5" s="59">
        <f>'SER_se-appl'!K16</f>
        <v>128.14103524533135</v>
      </c>
      <c r="L5" s="59">
        <f>'SER_se-appl'!L16</f>
        <v>130.71392899172082</v>
      </c>
      <c r="M5" s="59">
        <f>'SER_se-appl'!M16</f>
        <v>135.13205155412015</v>
      </c>
      <c r="N5" s="59">
        <f>'SER_se-appl'!N16</f>
        <v>136.16835333532131</v>
      </c>
      <c r="O5" s="59">
        <f>'SER_se-appl'!O16</f>
        <v>138.07178599258663</v>
      </c>
      <c r="P5" s="59">
        <f>'SER_se-appl'!P16</f>
        <v>139.26458602319559</v>
      </c>
      <c r="Q5" s="59">
        <f>'SER_se-appl'!Q16</f>
        <v>140.68711897953077</v>
      </c>
      <c r="R5" s="59">
        <f>'SER_se-appl'!R16</f>
        <v>144.30188316022603</v>
      </c>
      <c r="S5" s="59">
        <f>'SER_se-appl'!S16</f>
        <v>147.89002039996345</v>
      </c>
      <c r="T5" s="59">
        <f>'SER_se-appl'!T16</f>
        <v>150.05492119297358</v>
      </c>
      <c r="U5" s="59">
        <f>'SER_se-appl'!U16</f>
        <v>150.96533016584303</v>
      </c>
      <c r="V5" s="59">
        <f>'SER_se-appl'!V16</f>
        <v>150.76865516860968</v>
      </c>
      <c r="W5" s="59">
        <f>'SER_se-appl'!W16</f>
        <v>150.41661413738973</v>
      </c>
      <c r="X5" s="59">
        <f>'SER_se-appl'!X16</f>
        <v>149.48853556194916</v>
      </c>
      <c r="Y5" s="59">
        <f>'SER_se-appl'!Y16</f>
        <v>148.80713389392287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57.077440739394532</v>
      </c>
      <c r="C6" s="201">
        <f>'SER_se-appl'!C72</f>
        <v>59.93608826929254</v>
      </c>
      <c r="D6" s="201">
        <f>'SER_se-appl'!D72</f>
        <v>65.627358588448885</v>
      </c>
      <c r="E6" s="201">
        <f>'SER_se-appl'!E72</f>
        <v>74.595272235721524</v>
      </c>
      <c r="F6" s="201">
        <f>'SER_se-appl'!F72</f>
        <v>86.690564923785857</v>
      </c>
      <c r="G6" s="201">
        <f>'SER_se-appl'!G72</f>
        <v>101.95276741219381</v>
      </c>
      <c r="H6" s="201">
        <f>'SER_se-appl'!H72</f>
        <v>112.94461662177314</v>
      </c>
      <c r="I6" s="201">
        <f>'SER_se-appl'!I72</f>
        <v>122.40087433421949</v>
      </c>
      <c r="J6" s="201">
        <f>'SER_se-appl'!J72</f>
        <v>131.14571743602974</v>
      </c>
      <c r="K6" s="201">
        <f>'SER_se-appl'!K72</f>
        <v>136.77544163869374</v>
      </c>
      <c r="L6" s="201">
        <f>'SER_se-appl'!L72</f>
        <v>141.20106587037</v>
      </c>
      <c r="M6" s="201">
        <f>'SER_se-appl'!M72</f>
        <v>145.14842213876901</v>
      </c>
      <c r="N6" s="201">
        <f>'SER_se-appl'!N72</f>
        <v>148.25143222470672</v>
      </c>
      <c r="O6" s="201">
        <f>'SER_se-appl'!O72</f>
        <v>150.70008794063966</v>
      </c>
      <c r="P6" s="201">
        <f>'SER_se-appl'!P72</f>
        <v>152.51245063128269</v>
      </c>
      <c r="Q6" s="201">
        <f>'SER_se-appl'!Q72</f>
        <v>154.79576975874335</v>
      </c>
      <c r="R6" s="201">
        <f>'SER_se-appl'!R72</f>
        <v>161.13547714880616</v>
      </c>
      <c r="S6" s="201">
        <f>'SER_se-appl'!S72</f>
        <v>167.5032261999238</v>
      </c>
      <c r="T6" s="201">
        <f>'SER_se-appl'!T72</f>
        <v>173.75071223782376</v>
      </c>
      <c r="U6" s="201">
        <f>'SER_se-appl'!U72</f>
        <v>179.78798642485879</v>
      </c>
      <c r="V6" s="201">
        <f>'SER_se-appl'!V72</f>
        <v>185.44762174098375</v>
      </c>
      <c r="W6" s="201">
        <f>'SER_se-appl'!W72</f>
        <v>190.44617821629689</v>
      </c>
      <c r="X6" s="201">
        <f>'SER_se-appl'!X72</f>
        <v>194.54185688601811</v>
      </c>
      <c r="Y6" s="201">
        <f>'SER_se-appl'!Y72</f>
        <v>197.88172739883228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0.72916006113281329</v>
      </c>
      <c r="C8" s="34">
        <f>'SER_se-appl'!C24</f>
        <v>0.79795667205748622</v>
      </c>
      <c r="D8" s="34">
        <f>'SER_se-appl'!D24</f>
        <v>0.91492765476249804</v>
      </c>
      <c r="E8" s="34">
        <f>'SER_se-appl'!E24</f>
        <v>1.0900445119617073</v>
      </c>
      <c r="F8" s="34">
        <f>'SER_se-appl'!F24</f>
        <v>1.3363811397811858</v>
      </c>
      <c r="G8" s="34">
        <f>'SER_se-appl'!G24</f>
        <v>1.6362705502648505</v>
      </c>
      <c r="H8" s="34">
        <f>'SER_se-appl'!H24</f>
        <v>1.9209925357356337</v>
      </c>
      <c r="I8" s="34">
        <f>'SER_se-appl'!I24</f>
        <v>2.2060704729004739</v>
      </c>
      <c r="J8" s="34">
        <f>'SER_se-appl'!J24</f>
        <v>2.4366052419414084</v>
      </c>
      <c r="K8" s="34">
        <f>'SER_se-appl'!K24</f>
        <v>2.5459140159231435</v>
      </c>
      <c r="L8" s="34">
        <f>'SER_se-appl'!L24</f>
        <v>2.6154985720910049</v>
      </c>
      <c r="M8" s="34">
        <f>'SER_se-appl'!M24</f>
        <v>2.7322939092668586</v>
      </c>
      <c r="N8" s="34">
        <f>'SER_se-appl'!N24</f>
        <v>2.7782721420725833</v>
      </c>
      <c r="O8" s="34">
        <f>'SER_se-appl'!O24</f>
        <v>2.8528558641456643</v>
      </c>
      <c r="P8" s="34">
        <f>'SER_se-appl'!P24</f>
        <v>2.9192834023907346</v>
      </c>
      <c r="Q8" s="34">
        <f>'SER_se-appl'!Q24</f>
        <v>3.0037575031288504</v>
      </c>
      <c r="R8" s="34">
        <f>'SER_se-appl'!R24</f>
        <v>3.1404024044043841</v>
      </c>
      <c r="S8" s="34">
        <f>'SER_se-appl'!S24</f>
        <v>3.3005344875116442</v>
      </c>
      <c r="T8" s="34">
        <f>'SER_se-appl'!T24</f>
        <v>3.4491806506777958</v>
      </c>
      <c r="U8" s="34">
        <f>'SER_se-appl'!U24</f>
        <v>3.5952532318559607</v>
      </c>
      <c r="V8" s="34">
        <f>'SER_se-appl'!V24</f>
        <v>3.7336198532520082</v>
      </c>
      <c r="W8" s="34">
        <f>'SER_se-appl'!W24</f>
        <v>3.8595511833969516</v>
      </c>
      <c r="X8" s="34">
        <f>'SER_se-appl'!X24</f>
        <v>3.9677811412096569</v>
      </c>
      <c r="Y8" s="34">
        <f>'SER_se-appl'!Y24</f>
        <v>4.0597343622638933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8.9564879221923799E-2</v>
      </c>
      <c r="D9" s="36">
        <f>'SER_se-appl'!D32</f>
        <v>0.14007633488972016</v>
      </c>
      <c r="E9" s="36">
        <f>'SER_se-appl'!E32</f>
        <v>0.20082228877099195</v>
      </c>
      <c r="F9" s="36">
        <f>'SER_se-appl'!F32</f>
        <v>0.2749347295497313</v>
      </c>
      <c r="G9" s="36">
        <f>'SER_se-appl'!G32</f>
        <v>0.33170569881518031</v>
      </c>
      <c r="H9" s="36">
        <f>'SER_se-appl'!H32</f>
        <v>0.32011860769215561</v>
      </c>
      <c r="I9" s="36">
        <f>'SER_se-appl'!I32</f>
        <v>0.32445779353361326</v>
      </c>
      <c r="J9" s="36">
        <f>'SER_se-appl'!J32</f>
        <v>0.27434609877535321</v>
      </c>
      <c r="K9" s="36">
        <f>'SER_se-appl'!K32</f>
        <v>0.15805025732091815</v>
      </c>
      <c r="L9" s="36">
        <f>'SER_se-appl'!L32</f>
        <v>0.12381099057433476</v>
      </c>
      <c r="M9" s="36">
        <f>'SER_se-appl'!M32</f>
        <v>0.17712395228953692</v>
      </c>
      <c r="N9" s="36">
        <f>'SER_se-appl'!N32</f>
        <v>0.11309571602900759</v>
      </c>
      <c r="O9" s="36">
        <f>'SER_se-appl'!O32</f>
        <v>0.14925403475536081</v>
      </c>
      <c r="P9" s="36">
        <f>'SER_se-appl'!P32</f>
        <v>0.14950061143407334</v>
      </c>
      <c r="Q9" s="36">
        <f>'SER_se-appl'!Q32</f>
        <v>0.1768955094769491</v>
      </c>
      <c r="R9" s="36">
        <f>'SER_se-appl'!R32</f>
        <v>0.22620978049745766</v>
      </c>
      <c r="S9" s="36">
        <f>'SER_se-appl'!S32</f>
        <v>0.30020841799698017</v>
      </c>
      <c r="T9" s="36">
        <f>'SER_se-appl'!T32</f>
        <v>0.3494684519371436</v>
      </c>
      <c r="U9" s="36">
        <f>'SER_se-appl'!U32</f>
        <v>0.42100731072789621</v>
      </c>
      <c r="V9" s="36">
        <f>'SER_se-appl'!V32</f>
        <v>0.4700723202112278</v>
      </c>
      <c r="W9" s="36">
        <f>'SER_se-appl'!W32</f>
        <v>0.44604993783709901</v>
      </c>
      <c r="X9" s="36">
        <f>'SER_se-appl'!X32</f>
        <v>0.43268775134631854</v>
      </c>
      <c r="Y9" s="36">
        <f>'SER_se-appl'!Y32</f>
        <v>0.36629931982958963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2.0768268297250869E-2</v>
      </c>
      <c r="D10" s="38">
        <f>'SER_se-appl'!D40</f>
        <v>2.3105352184708328E-2</v>
      </c>
      <c r="E10" s="38">
        <f>'SER_se-appl'!E40</f>
        <v>2.5705431571782844E-2</v>
      </c>
      <c r="F10" s="38">
        <f>'SER_se-appl'!F40</f>
        <v>2.859810173025279E-2</v>
      </c>
      <c r="G10" s="38">
        <f>'SER_se-appl'!G40</f>
        <v>3.1816288331515619E-2</v>
      </c>
      <c r="H10" s="38">
        <f>'SER_se-appl'!H40</f>
        <v>3.5396622221372409E-2</v>
      </c>
      <c r="I10" s="38">
        <f>'SER_se-appl'!I40</f>
        <v>3.9379856368773059E-2</v>
      </c>
      <c r="J10" s="38">
        <f>'SER_se-appl'!J40</f>
        <v>4.3811329734418702E-2</v>
      </c>
      <c r="K10" s="38">
        <f>'SER_se-appl'!K40</f>
        <v>4.8741483339183045E-2</v>
      </c>
      <c r="L10" s="38">
        <f>'SER_se-appl'!L40</f>
        <v>5.4226434406473345E-2</v>
      </c>
      <c r="M10" s="38">
        <f>'SER_se-appl'!M40</f>
        <v>6.0328615113683259E-2</v>
      </c>
      <c r="N10" s="38">
        <f>'SER_se-appl'!N40</f>
        <v>6.7117483223282814E-2</v>
      </c>
      <c r="O10" s="38">
        <f>'SER_se-appl'!O40</f>
        <v>7.467031268227986E-2</v>
      </c>
      <c r="P10" s="38">
        <f>'SER_se-appl'!P40</f>
        <v>8.3073073189003033E-2</v>
      </c>
      <c r="Q10" s="38">
        <f>'SER_se-appl'!Q40</f>
        <v>9.2421408738833311E-2</v>
      </c>
      <c r="R10" s="38">
        <f>'SER_se-appl'!R40</f>
        <v>8.956487922192391E-2</v>
      </c>
      <c r="S10" s="38">
        <f>'SER_se-appl'!S40</f>
        <v>0.14007633488972004</v>
      </c>
      <c r="T10" s="38">
        <f>'SER_se-appl'!T40</f>
        <v>0.20082228877099206</v>
      </c>
      <c r="U10" s="38">
        <f>'SER_se-appl'!U40</f>
        <v>0.2749347295497313</v>
      </c>
      <c r="V10" s="38">
        <f>'SER_se-appl'!V40</f>
        <v>0.33170569881517986</v>
      </c>
      <c r="W10" s="38">
        <f>'SER_se-appl'!W40</f>
        <v>0.32011860769215605</v>
      </c>
      <c r="X10" s="38">
        <f>'SER_se-appl'!X40</f>
        <v>0.3244577935336137</v>
      </c>
      <c r="Y10" s="38">
        <f>'SER_se-appl'!Y40</f>
        <v>0.27434609877535276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900.54546285664105</v>
      </c>
      <c r="C12" s="204">
        <f>'SER_se-appl'!C48</f>
        <v>904.84726234687548</v>
      </c>
      <c r="D12" s="204">
        <f>'SER_se-appl'!D48</f>
        <v>908.79243831714689</v>
      </c>
      <c r="E12" s="204">
        <f>'SER_se-appl'!E48</f>
        <v>912.4368365140557</v>
      </c>
      <c r="F12" s="204">
        <f>'SER_se-appl'!F48</f>
        <v>915.82405031078963</v>
      </c>
      <c r="G12" s="204">
        <f>'SER_se-appl'!G48</f>
        <v>918.98877230426285</v>
      </c>
      <c r="H12" s="204">
        <f>'SER_se-appl'!H48</f>
        <v>921.95907100924478</v>
      </c>
      <c r="I12" s="204">
        <f>'SER_se-appl'!I48</f>
        <v>924.75798193955291</v>
      </c>
      <c r="J12" s="204">
        <f>'SER_se-appl'!J48</f>
        <v>927.4046470893428</v>
      </c>
      <c r="K12" s="204">
        <f>'SER_se-appl'!K48</f>
        <v>929.91514856945253</v>
      </c>
      <c r="L12" s="204">
        <f>'SER_se-appl'!L48</f>
        <v>932.30313001997854</v>
      </c>
      <c r="M12" s="204">
        <f>'SER_se-appl'!M48</f>
        <v>933.82060440822511</v>
      </c>
      <c r="N12" s="204">
        <f>'SER_se-appl'!N48</f>
        <v>935.26977267725715</v>
      </c>
      <c r="O12" s="204">
        <f>'SER_se-appl'!O48</f>
        <v>936.65661287753449</v>
      </c>
      <c r="P12" s="204">
        <f>'SER_se-appl'!P48</f>
        <v>937.98634734718644</v>
      </c>
      <c r="Q12" s="204">
        <f>'SER_se-appl'!Q48</f>
        <v>939.26356524419464</v>
      </c>
      <c r="R12" s="204">
        <f>'SER_se-appl'!R48</f>
        <v>945.89397021662046</v>
      </c>
      <c r="S12" s="204">
        <f>'SER_se-appl'!S48</f>
        <v>969.19875966188829</v>
      </c>
      <c r="T12" s="204">
        <f>'SER_se-appl'!T48</f>
        <v>964.7459796110744</v>
      </c>
      <c r="U12" s="204">
        <f>'SER_se-appl'!U48</f>
        <v>961.4687617626513</v>
      </c>
      <c r="V12" s="204">
        <f>'SER_se-appl'!V48</f>
        <v>883.71215634346174</v>
      </c>
      <c r="W12" s="204">
        <f>'SER_se-appl'!W48</f>
        <v>913.4619725792187</v>
      </c>
      <c r="X12" s="204">
        <f>'SER_se-appl'!X48</f>
        <v>926.28535488590012</v>
      </c>
      <c r="Y12" s="204">
        <f>'SER_se-appl'!Y48</f>
        <v>932.69704603924083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55.614449336193964</v>
      </c>
      <c r="C14" s="59">
        <f>'SER_se-appl'!C56</f>
        <v>55.230194808623885</v>
      </c>
      <c r="D14" s="59">
        <f>'SER_se-appl'!D56</f>
        <v>54.689848945068583</v>
      </c>
      <c r="E14" s="59">
        <f>'SER_se-appl'!E56</f>
        <v>54.019846705775535</v>
      </c>
      <c r="F14" s="59">
        <f>'SER_se-appl'!F56</f>
        <v>53.25303528351504</v>
      </c>
      <c r="G14" s="59">
        <f>'SER_se-appl'!G56</f>
        <v>52.480337333406325</v>
      </c>
      <c r="H14" s="59">
        <f>'SER_se-appl'!H56</f>
        <v>51.820921749443166</v>
      </c>
      <c r="I14" s="59">
        <f>'SER_se-appl'!I56</f>
        <v>51.208586359282009</v>
      </c>
      <c r="J14" s="59">
        <f>'SER_se-appl'!J56</f>
        <v>50.693024185968383</v>
      </c>
      <c r="K14" s="59">
        <f>'SER_se-appl'!K56</f>
        <v>50.332035741932806</v>
      </c>
      <c r="L14" s="59">
        <f>'SER_se-appl'!L56</f>
        <v>49.976677634818721</v>
      </c>
      <c r="M14" s="59">
        <f>'SER_se-appl'!M56</f>
        <v>49.457362949061142</v>
      </c>
      <c r="N14" s="59">
        <f>'SER_se-appl'!N56</f>
        <v>49.011884499457317</v>
      </c>
      <c r="O14" s="59">
        <f>'SER_se-appl'!O56</f>
        <v>48.397743372827058</v>
      </c>
      <c r="P14" s="59">
        <f>'SER_se-appl'!P56</f>
        <v>47.705058682944404</v>
      </c>
      <c r="Q14" s="59">
        <f>'SER_se-appl'!Q56</f>
        <v>46.83704288145254</v>
      </c>
      <c r="R14" s="59">
        <f>'SER_se-appl'!R56</f>
        <v>45.950125040613912</v>
      </c>
      <c r="S14" s="59">
        <f>'SER_se-appl'!S56</f>
        <v>44.807900344486761</v>
      </c>
      <c r="T14" s="59">
        <f>'SER_se-appl'!T56</f>
        <v>43.504512053750041</v>
      </c>
      <c r="U14" s="59">
        <f>'SER_se-appl'!U56</f>
        <v>41.990179948440215</v>
      </c>
      <c r="V14" s="59">
        <f>'SER_se-appl'!V56</f>
        <v>40.381362081436642</v>
      </c>
      <c r="W14" s="59">
        <f>'SER_se-appl'!W56</f>
        <v>38.972566236316062</v>
      </c>
      <c r="X14" s="59">
        <f>'SER_se-appl'!X56</f>
        <v>37.675600100355993</v>
      </c>
      <c r="Y14" s="59">
        <f>'SER_se-appl'!Y56</f>
        <v>36.654401646845983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52.191026375022965</v>
      </c>
      <c r="D15" s="63">
        <f>'SER_se-appl'!D64</f>
        <v>51.764234352866502</v>
      </c>
      <c r="E15" s="63">
        <f>'SER_se-appl'!E64</f>
        <v>51.171489423412822</v>
      </c>
      <c r="F15" s="63">
        <f>'SER_se-appl'!F64</f>
        <v>50.458457004891734</v>
      </c>
      <c r="G15" s="63">
        <f>'SER_se-appl'!G64</f>
        <v>49.667894980256627</v>
      </c>
      <c r="H15" s="63">
        <f>'SER_se-appl'!H64</f>
        <v>48.869814832039218</v>
      </c>
      <c r="I15" s="63">
        <f>'SER_se-appl'!I64</f>
        <v>48.117924083200265</v>
      </c>
      <c r="J15" s="63">
        <f>'SER_se-appl'!J64</f>
        <v>47.333208567716959</v>
      </c>
      <c r="K15" s="63">
        <f>'SER_se-appl'!K64</f>
        <v>46.395859544770261</v>
      </c>
      <c r="L15" s="63">
        <f>'SER_se-appl'!L64</f>
        <v>45.138698991470754</v>
      </c>
      <c r="M15" s="63">
        <f>'SER_se-appl'!M64</f>
        <v>43.88601976572545</v>
      </c>
      <c r="N15" s="63">
        <f>'SER_se-appl'!N64</f>
        <v>42.167854088054639</v>
      </c>
      <c r="O15" s="63">
        <f>'SER_se-appl'!O64</f>
        <v>40.576330072271219</v>
      </c>
      <c r="P15" s="63">
        <f>'SER_se-appl'!P64</f>
        <v>38.881869411243429</v>
      </c>
      <c r="Q15" s="63">
        <f>'SER_se-appl'!Q64</f>
        <v>37.098164501885428</v>
      </c>
      <c r="R15" s="63">
        <f>'SER_se-appl'!R64</f>
        <v>36.644070544666675</v>
      </c>
      <c r="S15" s="63">
        <f>'SER_se-appl'!S64</f>
        <v>36.105188317432649</v>
      </c>
      <c r="T15" s="63">
        <f>'SER_se-appl'!T64</f>
        <v>35.600570952476765</v>
      </c>
      <c r="U15" s="63">
        <f>'SER_se-appl'!U64</f>
        <v>35.113858658290077</v>
      </c>
      <c r="V15" s="63">
        <f>'SER_se-appl'!V64</f>
        <v>34.629668916810296</v>
      </c>
      <c r="W15" s="63">
        <f>'SER_se-appl'!W64</f>
        <v>34.28337222764219</v>
      </c>
      <c r="X15" s="63">
        <f>'SER_se-appl'!X64</f>
        <v>33.93707553847409</v>
      </c>
      <c r="Y15" s="63">
        <f>'SER_se-appl'!Y64</f>
        <v>33.590778849305984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9.0066355330178958</v>
      </c>
      <c r="C3" s="198">
        <f>'SER_se-appl'!C9</f>
        <v>10.078992176569724</v>
      </c>
      <c r="D3" s="198">
        <f>'SER_se-appl'!D9</f>
        <v>11.022117131624647</v>
      </c>
      <c r="E3" s="198">
        <f>'SER_se-appl'!E9</f>
        <v>12.059488208259994</v>
      </c>
      <c r="F3" s="198">
        <f>'SER_se-appl'!F9</f>
        <v>13.227377717807475</v>
      </c>
      <c r="G3" s="198">
        <f>'SER_se-appl'!G9</f>
        <v>14.657347753200813</v>
      </c>
      <c r="H3" s="198">
        <f>'SER_se-appl'!H9</f>
        <v>16.328637422554447</v>
      </c>
      <c r="I3" s="198">
        <f>'SER_se-appl'!I9</f>
        <v>18.492546791989255</v>
      </c>
      <c r="J3" s="198">
        <f>'SER_se-appl'!J9</f>
        <v>20.337469953010885</v>
      </c>
      <c r="K3" s="198">
        <f>'SER_se-appl'!K9</f>
        <v>21.694951408844528</v>
      </c>
      <c r="L3" s="198">
        <f>'SER_se-appl'!L9</f>
        <v>22.538489254049136</v>
      </c>
      <c r="M3" s="198">
        <f>'SER_se-appl'!M9</f>
        <v>22.509687698355485</v>
      </c>
      <c r="N3" s="198">
        <f>'SER_se-appl'!N9</f>
        <v>23.339089108549711</v>
      </c>
      <c r="O3" s="198">
        <f>'SER_se-appl'!O9</f>
        <v>24.71436662894795</v>
      </c>
      <c r="P3" s="198">
        <f>'SER_se-appl'!P9</f>
        <v>26.194720638551924</v>
      </c>
      <c r="Q3" s="198">
        <f>'SER_se-appl'!Q9</f>
        <v>28.107335509957274</v>
      </c>
      <c r="R3" s="198">
        <f>'SER_se-appl'!R9</f>
        <v>29.033393980702371</v>
      </c>
      <c r="S3" s="198">
        <f>'SER_se-appl'!S9</f>
        <v>31.419885935536858</v>
      </c>
      <c r="T3" s="198">
        <f>'SER_se-appl'!T9</f>
        <v>32.604180251514777</v>
      </c>
      <c r="U3" s="198">
        <f>'SER_se-appl'!U9</f>
        <v>34.379166498805063</v>
      </c>
      <c r="V3" s="198">
        <f>'SER_se-appl'!V9</f>
        <v>35.553500166915811</v>
      </c>
      <c r="W3" s="198">
        <f>'SER_se-appl'!W9</f>
        <v>37.6132764766108</v>
      </c>
      <c r="X3" s="198">
        <f>'SER_se-appl'!X9</f>
        <v>39.431643100532838</v>
      </c>
      <c r="Y3" s="198">
        <f>'SER_se-appl'!Y9</f>
        <v>43.189427886287305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41.659612229736695</v>
      </c>
      <c r="C5" s="59">
        <f>'SER_se-appl'!C17</f>
        <v>44.083842151670304</v>
      </c>
      <c r="D5" s="59">
        <f>'SER_se-appl'!D17</f>
        <v>45.360147701835722</v>
      </c>
      <c r="E5" s="59">
        <f>'SER_se-appl'!E17</f>
        <v>47.457965547743733</v>
      </c>
      <c r="F5" s="59">
        <f>'SER_se-appl'!F17</f>
        <v>50.616352327841405</v>
      </c>
      <c r="G5" s="59">
        <f>'SER_se-appl'!G17</f>
        <v>55.884732513406668</v>
      </c>
      <c r="H5" s="59">
        <f>'SER_se-appl'!H17</f>
        <v>62.997879412455561</v>
      </c>
      <c r="I5" s="59">
        <f>'SER_se-appl'!I17</f>
        <v>73.762158260246153</v>
      </c>
      <c r="J5" s="59">
        <f>'SER_se-appl'!J17</f>
        <v>82.423969595927602</v>
      </c>
      <c r="K5" s="59">
        <f>'SER_se-appl'!K17</f>
        <v>88.19131282556728</v>
      </c>
      <c r="L5" s="59">
        <f>'SER_se-appl'!L17</f>
        <v>90.308181820045661</v>
      </c>
      <c r="M5" s="59">
        <f>'SER_se-appl'!M17</f>
        <v>89.310061675911356</v>
      </c>
      <c r="N5" s="59">
        <f>'SER_se-appl'!N17</f>
        <v>90.358363402442862</v>
      </c>
      <c r="O5" s="59">
        <f>'SER_se-appl'!O17</f>
        <v>93.773236148406312</v>
      </c>
      <c r="P5" s="59">
        <f>'SER_se-appl'!P17</f>
        <v>98.559908775785317</v>
      </c>
      <c r="Q5" s="59">
        <f>'SER_se-appl'!Q17</f>
        <v>105.95364869640055</v>
      </c>
      <c r="R5" s="59">
        <f>'SER_se-appl'!R17</f>
        <v>108.97260245845447</v>
      </c>
      <c r="S5" s="59">
        <f>'SER_se-appl'!S17</f>
        <v>114.34456483409004</v>
      </c>
      <c r="T5" s="59">
        <f>'SER_se-appl'!T17</f>
        <v>118.11427510151933</v>
      </c>
      <c r="U5" s="59">
        <f>'SER_se-appl'!U17</f>
        <v>122.68397480072832</v>
      </c>
      <c r="V5" s="59">
        <f>'SER_se-appl'!V17</f>
        <v>127.1476175857899</v>
      </c>
      <c r="W5" s="59">
        <f>'SER_se-appl'!W17</f>
        <v>131.20762833424459</v>
      </c>
      <c r="X5" s="59">
        <f>'SER_se-appl'!X17</f>
        <v>134.20915645335171</v>
      </c>
      <c r="Y5" s="59">
        <f>'SER_se-appl'!Y17</f>
        <v>141.40765797362067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4.3735917640864132E-2</v>
      </c>
      <c r="C6" s="201">
        <f>'SER_se-appl'!C73</f>
        <v>4.7723642795080595E-2</v>
      </c>
      <c r="D6" s="201">
        <f>'SER_se-appl'!D73</f>
        <v>5.0872451745465022E-2</v>
      </c>
      <c r="E6" s="201">
        <f>'SER_se-appl'!E73</f>
        <v>5.5208276711690422E-2</v>
      </c>
      <c r="F6" s="201">
        <f>'SER_se-appl'!F73</f>
        <v>6.158159409722154E-2</v>
      </c>
      <c r="G6" s="201">
        <f>'SER_se-appl'!G73</f>
        <v>7.1747074637071001E-2</v>
      </c>
      <c r="H6" s="201">
        <f>'SER_se-appl'!H73</f>
        <v>8.5767179753886161E-2</v>
      </c>
      <c r="I6" s="201">
        <f>'SER_se-appl'!I73</f>
        <v>0.10685013378202068</v>
      </c>
      <c r="J6" s="201">
        <f>'SER_se-appl'!J73</f>
        <v>0.12672552625009234</v>
      </c>
      <c r="K6" s="201">
        <f>'SER_se-appl'!K73</f>
        <v>0.14510532529903367</v>
      </c>
      <c r="L6" s="201">
        <f>'SER_se-appl'!L73</f>
        <v>0.16130054189504689</v>
      </c>
      <c r="M6" s="201">
        <f>'SER_se-appl'!M73</f>
        <v>0.17549413561595315</v>
      </c>
      <c r="N6" s="201">
        <f>'SER_se-appl'!N73</f>
        <v>0.19551464539458735</v>
      </c>
      <c r="O6" s="201">
        <f>'SER_se-appl'!O73</f>
        <v>0.21955489050945892</v>
      </c>
      <c r="P6" s="201">
        <f>'SER_se-appl'!P73</f>
        <v>0.24450050216939867</v>
      </c>
      <c r="Q6" s="201">
        <f>'SER_se-appl'!Q73</f>
        <v>0.2719194382143964</v>
      </c>
      <c r="R6" s="201">
        <f>'SER_se-appl'!R73</f>
        <v>0.28623203287911042</v>
      </c>
      <c r="S6" s="201">
        <f>'SER_se-appl'!S73</f>
        <v>0.30788011433649487</v>
      </c>
      <c r="T6" s="201">
        <f>'SER_se-appl'!T73</f>
        <v>0.3253719676257395</v>
      </c>
      <c r="U6" s="201">
        <f>'SER_se-appl'!U73</f>
        <v>0.34629262378761327</v>
      </c>
      <c r="V6" s="201">
        <f>'SER_se-appl'!V73</f>
        <v>0.36910443018698746</v>
      </c>
      <c r="W6" s="201">
        <f>'SER_se-appl'!W73</f>
        <v>0.39172649696698547</v>
      </c>
      <c r="X6" s="201">
        <f>'SER_se-appl'!X73</f>
        <v>0.41430457358995409</v>
      </c>
      <c r="Y6" s="201">
        <f>'SER_se-appl'!Y73</f>
        <v>0.44489351317303411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104.16649108401072</v>
      </c>
      <c r="C8" s="34">
        <f>'SER_se-appl'!C25</f>
        <v>112.31205737565796</v>
      </c>
      <c r="D8" s="34">
        <f>'SER_se-appl'!D25</f>
        <v>118.07272211334751</v>
      </c>
      <c r="E8" s="34">
        <f>'SER_se-appl'!E25</f>
        <v>126.94535938809385</v>
      </c>
      <c r="F8" s="34">
        <f>'SER_se-appl'!F25</f>
        <v>140.19173059420677</v>
      </c>
      <c r="G8" s="34">
        <f>'SER_se-appl'!G25</f>
        <v>161.41111574080992</v>
      </c>
      <c r="H8" s="34">
        <f>'SER_se-appl'!H25</f>
        <v>191.07846982700937</v>
      </c>
      <c r="I8" s="34">
        <f>'SER_se-appl'!I25</f>
        <v>236.01484950307855</v>
      </c>
      <c r="J8" s="34">
        <f>'SER_se-appl'!J25</f>
        <v>277.75827569021487</v>
      </c>
      <c r="K8" s="34">
        <f>'SER_se-appl'!K25</f>
        <v>313.83873113781016</v>
      </c>
      <c r="L8" s="34">
        <f>'SER_se-appl'!L25</f>
        <v>342.03844429061451</v>
      </c>
      <c r="M8" s="34">
        <f>'SER_se-appl'!M25</f>
        <v>364.0810112195345</v>
      </c>
      <c r="N8" s="34">
        <f>'SER_se-appl'!N25</f>
        <v>399.79088859324236</v>
      </c>
      <c r="O8" s="34">
        <f>'SER_se-appl'!O25</f>
        <v>444.34067628530568</v>
      </c>
      <c r="P8" s="34">
        <f>'SER_se-appl'!P25</f>
        <v>489.35993107598199</v>
      </c>
      <c r="Q8" s="34">
        <f>'SER_se-appl'!Q25</f>
        <v>540.05810855985976</v>
      </c>
      <c r="R8" s="34">
        <f>'SER_se-appl'!R25</f>
        <v>563.57856476155462</v>
      </c>
      <c r="S8" s="34">
        <f>'SER_se-appl'!S25</f>
        <v>600.40193704942794</v>
      </c>
      <c r="T8" s="34">
        <f>'SER_se-appl'!T25</f>
        <v>629.39270136391031</v>
      </c>
      <c r="U8" s="34">
        <f>'SER_se-appl'!U25</f>
        <v>664.87075630825632</v>
      </c>
      <c r="V8" s="34">
        <f>'SER_se-appl'!V25</f>
        <v>704.13129385696129</v>
      </c>
      <c r="W8" s="34">
        <f>'SER_se-appl'!W25</f>
        <v>741.6256137673272</v>
      </c>
      <c r="X8" s="34">
        <f>'SER_se-appl'!X25</f>
        <v>777.13470404337147</v>
      </c>
      <c r="Y8" s="34">
        <f>'SER_se-appl'!Y25</f>
        <v>837.73804445292853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28.978864508449391</v>
      </c>
      <c r="D9" s="36">
        <f>'SER_se-appl'!D33</f>
        <v>26.593962954491701</v>
      </c>
      <c r="E9" s="36">
        <f>'SER_se-appl'!E33</f>
        <v>29.705935491548487</v>
      </c>
      <c r="F9" s="36">
        <f>'SER_se-appl'!F33</f>
        <v>34.079669422915075</v>
      </c>
      <c r="G9" s="36">
        <f>'SER_se-appl'!G33</f>
        <v>42.052683363405293</v>
      </c>
      <c r="H9" s="36">
        <f>'SER_se-appl'!H33</f>
        <v>58.646218594648843</v>
      </c>
      <c r="I9" s="36">
        <f>'SER_se-appl'!I33</f>
        <v>71.530342630560881</v>
      </c>
      <c r="J9" s="36">
        <f>'SER_se-appl'!J33</f>
        <v>71.449361678684795</v>
      </c>
      <c r="K9" s="36">
        <f>'SER_se-appl'!K33</f>
        <v>70.160124870510344</v>
      </c>
      <c r="L9" s="36">
        <f>'SER_se-appl'!L33</f>
        <v>70.252396516209615</v>
      </c>
      <c r="M9" s="36">
        <f>'SER_se-appl'!M33</f>
        <v>80.688785523568868</v>
      </c>
      <c r="N9" s="36">
        <f>'SER_se-appl'!N33</f>
        <v>107.24022000426874</v>
      </c>
      <c r="O9" s="36">
        <f>'SER_se-appl'!O33</f>
        <v>115.99914937074811</v>
      </c>
      <c r="P9" s="36">
        <f>'SER_se-appl'!P33</f>
        <v>115.17937966118666</v>
      </c>
      <c r="Q9" s="36">
        <f>'SER_se-appl'!Q33</f>
        <v>120.95057400008739</v>
      </c>
      <c r="R9" s="36">
        <f>'SER_se-appl'!R33</f>
        <v>104.20924172526372</v>
      </c>
      <c r="S9" s="36">
        <f>'SER_se-appl'!S33</f>
        <v>144.06359229214206</v>
      </c>
      <c r="T9" s="36">
        <f>'SER_se-appl'!T33</f>
        <v>144.98991368523048</v>
      </c>
      <c r="U9" s="36">
        <f>'SER_se-appl'!U33</f>
        <v>150.65743460553267</v>
      </c>
      <c r="V9" s="36">
        <f>'SER_se-appl'!V33</f>
        <v>160.21111154879236</v>
      </c>
      <c r="W9" s="36">
        <f>'SER_se-appl'!W33</f>
        <v>141.70356163562963</v>
      </c>
      <c r="X9" s="36">
        <f>'SER_se-appl'!X33</f>
        <v>179.57268256818634</v>
      </c>
      <c r="Y9" s="36">
        <f>'SER_se-appl'!Y33</f>
        <v>205.59325409478754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20.833298216802149</v>
      </c>
      <c r="D10" s="38">
        <f>'SER_se-appl'!D41</f>
        <v>20.833298216802149</v>
      </c>
      <c r="E10" s="38">
        <f>'SER_se-appl'!E41</f>
        <v>20.833298216802163</v>
      </c>
      <c r="F10" s="38">
        <f>'SER_se-appl'!F41</f>
        <v>20.833298216802149</v>
      </c>
      <c r="G10" s="38">
        <f>'SER_se-appl'!G41</f>
        <v>20.833298216802149</v>
      </c>
      <c r="H10" s="38">
        <f>'SER_se-appl'!H41</f>
        <v>28.978864508449391</v>
      </c>
      <c r="I10" s="38">
        <f>'SER_se-appl'!I41</f>
        <v>26.593962954491701</v>
      </c>
      <c r="J10" s="38">
        <f>'SER_se-appl'!J41</f>
        <v>29.705935491548473</v>
      </c>
      <c r="K10" s="38">
        <f>'SER_se-appl'!K41</f>
        <v>34.07966942291506</v>
      </c>
      <c r="L10" s="38">
        <f>'SER_se-appl'!L41</f>
        <v>42.052683363405265</v>
      </c>
      <c r="M10" s="38">
        <f>'SER_se-appl'!M41</f>
        <v>58.646218594648872</v>
      </c>
      <c r="N10" s="38">
        <f>'SER_se-appl'!N41</f>
        <v>71.530342630560881</v>
      </c>
      <c r="O10" s="38">
        <f>'SER_se-appl'!O41</f>
        <v>71.449361678684795</v>
      </c>
      <c r="P10" s="38">
        <f>'SER_se-appl'!P41</f>
        <v>70.160124870510344</v>
      </c>
      <c r="Q10" s="38">
        <f>'SER_se-appl'!Q41</f>
        <v>70.252396516209615</v>
      </c>
      <c r="R10" s="38">
        <f>'SER_se-appl'!R41</f>
        <v>80.688785523568868</v>
      </c>
      <c r="S10" s="38">
        <f>'SER_se-appl'!S41</f>
        <v>107.24022000426874</v>
      </c>
      <c r="T10" s="38">
        <f>'SER_se-appl'!T41</f>
        <v>115.99914937074811</v>
      </c>
      <c r="U10" s="38">
        <f>'SER_se-appl'!U41</f>
        <v>115.17937966118666</v>
      </c>
      <c r="V10" s="38">
        <f>'SER_se-appl'!V41</f>
        <v>120.95057400008739</v>
      </c>
      <c r="W10" s="38">
        <f>'SER_se-appl'!W41</f>
        <v>104.20924172526372</v>
      </c>
      <c r="X10" s="38">
        <f>'SER_se-appl'!X41</f>
        <v>144.06359229214206</v>
      </c>
      <c r="Y10" s="38">
        <f>'SER_se-appl'!Y41</f>
        <v>144.98991368523048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2514.3578070616181</v>
      </c>
      <c r="C12" s="204">
        <f>'SER_se-appl'!C49</f>
        <v>2658.9941641251557</v>
      </c>
      <c r="D12" s="204">
        <f>'SER_se-appl'!D49</f>
        <v>2825.9877609615214</v>
      </c>
      <c r="E12" s="204">
        <f>'SER_se-appl'!E49</f>
        <v>2955.2857195483307</v>
      </c>
      <c r="F12" s="204">
        <f>'SER_se-appl'!F49</f>
        <v>3039.2234087062943</v>
      </c>
      <c r="G12" s="204">
        <f>'SER_se-appl'!G49</f>
        <v>3050.2956121125062</v>
      </c>
      <c r="H12" s="204">
        <f>'SER_se-appl'!H49</f>
        <v>3014.4197708782231</v>
      </c>
      <c r="I12" s="204">
        <f>'SER_se-appl'!I49</f>
        <v>2915.6999234219174</v>
      </c>
      <c r="J12" s="204">
        <f>'SER_se-appl'!J49</f>
        <v>2869.6115549038395</v>
      </c>
      <c r="K12" s="204">
        <f>'SER_se-appl'!K49</f>
        <v>2860.965290129061</v>
      </c>
      <c r="L12" s="204">
        <f>'SER_se-appl'!L49</f>
        <v>2902.5346844753799</v>
      </c>
      <c r="M12" s="204">
        <f>'SER_se-appl'!M49</f>
        <v>2931.222563498503</v>
      </c>
      <c r="N12" s="204">
        <f>'SER_se-appl'!N49</f>
        <v>3003.9677137965386</v>
      </c>
      <c r="O12" s="204">
        <f>'SER_se-appl'!O49</f>
        <v>3065.13985973331</v>
      </c>
      <c r="P12" s="204">
        <f>'SER_se-appl'!P49</f>
        <v>3090.9586343002529</v>
      </c>
      <c r="Q12" s="204">
        <f>'SER_se-appl'!Q49</f>
        <v>3085.2010855942153</v>
      </c>
      <c r="R12" s="204">
        <f>'SER_se-appl'!R49</f>
        <v>3098.5620640224679</v>
      </c>
      <c r="S12" s="204">
        <f>'SER_se-appl'!S49</f>
        <v>3195.7205308402331</v>
      </c>
      <c r="T12" s="204">
        <f>'SER_se-appl'!T49</f>
        <v>3210.3369046561534</v>
      </c>
      <c r="U12" s="204">
        <f>'SER_se-appl'!U49</f>
        <v>3259.0214576152557</v>
      </c>
      <c r="V12" s="204">
        <f>'SER_se-appl'!V49</f>
        <v>3252.024810156116</v>
      </c>
      <c r="W12" s="204">
        <f>'SER_se-appl'!W49</f>
        <v>3333.9708291092797</v>
      </c>
      <c r="X12" s="204">
        <f>'SER_se-appl'!X49</f>
        <v>3416.9800435232837</v>
      </c>
      <c r="Y12" s="204">
        <f>'SER_se-appl'!Y49</f>
        <v>3552.0922523957165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399.93295152985468</v>
      </c>
      <c r="C14" s="59">
        <f>'SER_se-appl'!C57</f>
        <v>392.51210583935796</v>
      </c>
      <c r="D14" s="59">
        <f>'SER_se-appl'!D57</f>
        <v>384.17127080623129</v>
      </c>
      <c r="E14" s="59">
        <f>'SER_se-appl'!E57</f>
        <v>373.84561181678606</v>
      </c>
      <c r="F14" s="59">
        <f>'SER_se-appl'!F57</f>
        <v>361.05091301250445</v>
      </c>
      <c r="G14" s="59">
        <f>'SER_se-appl'!G57</f>
        <v>346.22604680550643</v>
      </c>
      <c r="H14" s="59">
        <f>'SER_se-appl'!H57</f>
        <v>329.69637798277296</v>
      </c>
      <c r="I14" s="59">
        <f>'SER_se-appl'!I57</f>
        <v>312.53185304039107</v>
      </c>
      <c r="J14" s="59">
        <f>'SER_se-appl'!J57</f>
        <v>296.74712442359572</v>
      </c>
      <c r="K14" s="59">
        <f>'SER_se-appl'!K57</f>
        <v>281.00837811137296</v>
      </c>
      <c r="L14" s="59">
        <f>'SER_se-appl'!L57</f>
        <v>264.02933157804597</v>
      </c>
      <c r="M14" s="59">
        <f>'SER_se-appl'!M57</f>
        <v>245.30271814164718</v>
      </c>
      <c r="N14" s="59">
        <f>'SER_se-appl'!N57</f>
        <v>226.0140638031794</v>
      </c>
      <c r="O14" s="59">
        <f>'SER_se-appl'!O57</f>
        <v>211.03905438581921</v>
      </c>
      <c r="P14" s="59">
        <f>'SER_se-appl'!P57</f>
        <v>201.40575988531864</v>
      </c>
      <c r="Q14" s="59">
        <f>'SER_se-appl'!Q57</f>
        <v>196.18934891828718</v>
      </c>
      <c r="R14" s="59">
        <f>'SER_se-appl'!R57</f>
        <v>193.35831643022101</v>
      </c>
      <c r="S14" s="59">
        <f>'SER_se-appl'!S57</f>
        <v>190.44669541876686</v>
      </c>
      <c r="T14" s="59">
        <f>'SER_se-appl'!T57</f>
        <v>187.6638779661134</v>
      </c>
      <c r="U14" s="59">
        <f>'SER_se-appl'!U57</f>
        <v>184.52304246608784</v>
      </c>
      <c r="V14" s="59">
        <f>'SER_se-appl'!V57</f>
        <v>180.57373489157683</v>
      </c>
      <c r="W14" s="59">
        <f>'SER_se-appl'!W57</f>
        <v>176.91895465655912</v>
      </c>
      <c r="X14" s="59">
        <f>'SER_se-appl'!X57</f>
        <v>172.69741751986098</v>
      </c>
      <c r="Y14" s="59">
        <f>'SER_se-appl'!Y57</f>
        <v>168.79698720853091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371.17231990731619</v>
      </c>
      <c r="D15" s="63">
        <f>'SER_se-appl'!D65</f>
        <v>361.29357676231325</v>
      </c>
      <c r="E15" s="63">
        <f>'SER_se-appl'!E65</f>
        <v>351.09954018524928</v>
      </c>
      <c r="F15" s="63">
        <f>'SER_se-appl'!F65</f>
        <v>337.16023132310573</v>
      </c>
      <c r="G15" s="63">
        <f>'SER_se-appl'!G65</f>
        <v>323.41105355830274</v>
      </c>
      <c r="H15" s="63">
        <f>'SER_se-appl'!H65</f>
        <v>304.69652937794541</v>
      </c>
      <c r="I15" s="63">
        <f>'SER_se-appl'!I65</f>
        <v>284.809300426856</v>
      </c>
      <c r="J15" s="63">
        <f>'SER_se-appl'!J65</f>
        <v>267.20394946834477</v>
      </c>
      <c r="K15" s="63">
        <f>'SER_se-appl'!K65</f>
        <v>245.97522435337646</v>
      </c>
      <c r="L15" s="63">
        <f>'SER_se-appl'!L65</f>
        <v>223.72434828418289</v>
      </c>
      <c r="M15" s="63">
        <f>'SER_se-appl'!M65</f>
        <v>209.08951613688018</v>
      </c>
      <c r="N15" s="63">
        <f>'SER_se-appl'!N65</f>
        <v>199.74603343393179</v>
      </c>
      <c r="O15" s="63">
        <f>'SER_se-appl'!O65</f>
        <v>194.02232253933892</v>
      </c>
      <c r="P15" s="63">
        <f>'SER_se-appl'!P65</f>
        <v>191.39124683523735</v>
      </c>
      <c r="Q15" s="63">
        <f>'SER_se-appl'!Q65</f>
        <v>191.07732011746828</v>
      </c>
      <c r="R15" s="63">
        <f>'SER_se-appl'!R65</f>
        <v>190.86726431891344</v>
      </c>
      <c r="S15" s="63">
        <f>'SER_se-appl'!S65</f>
        <v>185.97877867531037</v>
      </c>
      <c r="T15" s="63">
        <f>'SER_se-appl'!T65</f>
        <v>181.22732797796104</v>
      </c>
      <c r="U15" s="63">
        <f>'SER_se-appl'!U65</f>
        <v>176.65258174584181</v>
      </c>
      <c r="V15" s="63">
        <f>'SER_se-appl'!V65</f>
        <v>172.11386941329599</v>
      </c>
      <c r="W15" s="63">
        <f>'SER_se-appl'!W65</f>
        <v>169.01581976385665</v>
      </c>
      <c r="X15" s="63">
        <f>'SER_se-appl'!X65</f>
        <v>165.91777011441732</v>
      </c>
      <c r="Y15" s="63">
        <f>'SER_se-appl'!Y65</f>
        <v>162.81972046497799</v>
      </c>
      <c r="DA15" s="105" t="s">
        <v>957</v>
      </c>
    </row>
    <row r="17" spans="1:105" ht="12" customHeight="1" x14ac:dyDescent="0.25">
      <c r="A17" s="197" t="s">
        <v>184</v>
      </c>
      <c r="B17" s="198">
        <v>4.3653042482851561</v>
      </c>
      <c r="C17" s="198">
        <v>5.2810156189639681</v>
      </c>
      <c r="D17" s="198">
        <v>6.2024402247176926</v>
      </c>
      <c r="E17" s="198">
        <v>7.0993623281428002</v>
      </c>
      <c r="F17" s="198">
        <v>7.9534556662862901</v>
      </c>
      <c r="G17" s="198">
        <v>8.7306084965703086</v>
      </c>
      <c r="H17" s="198">
        <v>9.4125715296067387</v>
      </c>
      <c r="I17" s="198">
        <v>10.018182721251151</v>
      </c>
      <c r="J17" s="198">
        <v>10.578812729956811</v>
      </c>
      <c r="K17" s="198">
        <v>11.112026808862845</v>
      </c>
      <c r="L17" s="198">
        <v>11.640811328760417</v>
      </c>
      <c r="M17" s="198">
        <v>11.650406887885206</v>
      </c>
      <c r="N17" s="198">
        <v>12.454611858794019</v>
      </c>
      <c r="O17" s="198">
        <v>13.486124831690402</v>
      </c>
      <c r="P17" s="198">
        <v>14.315663084004198</v>
      </c>
      <c r="Q17" s="198">
        <v>15.117617803193681</v>
      </c>
      <c r="R17" s="198">
        <v>15.385622454848139</v>
      </c>
      <c r="S17" s="198">
        <v>16.936178909349913</v>
      </c>
      <c r="T17" s="198">
        <v>17.684478182514816</v>
      </c>
      <c r="U17" s="198">
        <v>19.064212402518034</v>
      </c>
      <c r="V17" s="198">
        <v>20.777059958722546</v>
      </c>
      <c r="W17" s="198">
        <v>22.370232814532063</v>
      </c>
      <c r="X17" s="198">
        <v>24.037855212920242</v>
      </c>
      <c r="Y17" s="198">
        <v>27.643533494858268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825.86277228956953</v>
      </c>
      <c r="C3" s="219">
        <v>862.03830608537703</v>
      </c>
      <c r="D3" s="219">
        <v>959.49331323650313</v>
      </c>
      <c r="E3" s="219">
        <v>928.20548780487809</v>
      </c>
      <c r="F3" s="219">
        <v>1072.272305382123</v>
      </c>
      <c r="G3" s="219">
        <v>1073.929301478953</v>
      </c>
      <c r="H3" s="219">
        <v>1074.496638307847</v>
      </c>
      <c r="I3" s="219">
        <v>1182.2339587628869</v>
      </c>
      <c r="J3" s="219">
        <v>1024.5528040114441</v>
      </c>
      <c r="K3" s="219">
        <v>937.99095889490138</v>
      </c>
      <c r="L3" s="219">
        <v>1136.7363250241319</v>
      </c>
      <c r="M3" s="219">
        <v>1078.2856947682301</v>
      </c>
      <c r="N3" s="219">
        <v>1079.341904247922</v>
      </c>
      <c r="O3" s="219">
        <v>1000.033280494166</v>
      </c>
      <c r="P3" s="219">
        <v>1146.789786746298</v>
      </c>
      <c r="Q3" s="219">
        <v>1167.9862800000001</v>
      </c>
      <c r="R3" s="219">
        <v>1122.216859625895</v>
      </c>
      <c r="S3" s="219">
        <v>1265.504840445647</v>
      </c>
      <c r="T3" s="219">
        <v>1333.8147421870619</v>
      </c>
      <c r="U3" s="219">
        <v>1408.0564877247191</v>
      </c>
      <c r="V3" s="219">
        <v>1434.469307421416</v>
      </c>
      <c r="W3" s="219">
        <v>1585.1238936634979</v>
      </c>
      <c r="X3" s="219">
        <v>1934.399951959738</v>
      </c>
      <c r="Y3" s="219">
        <v>1540.7</v>
      </c>
      <c r="DA3" s="210" t="s">
        <v>974</v>
      </c>
    </row>
    <row r="5" spans="1:105" x14ac:dyDescent="0.25">
      <c r="A5" s="218" t="s">
        <v>120</v>
      </c>
      <c r="B5" s="219">
        <v>1152.7606732549909</v>
      </c>
      <c r="C5" s="219">
        <v>1238.2775740759839</v>
      </c>
      <c r="D5" s="219">
        <v>1129.6385868664611</v>
      </c>
      <c r="E5" s="219">
        <v>1225.9155590637829</v>
      </c>
      <c r="F5" s="219">
        <v>1329.373319590009</v>
      </c>
      <c r="G5" s="219">
        <v>1134.422498228663</v>
      </c>
      <c r="H5" s="219">
        <v>1190.2439442205689</v>
      </c>
      <c r="I5" s="219">
        <v>1323.75638549427</v>
      </c>
      <c r="J5" s="219">
        <v>1068.0359048371679</v>
      </c>
      <c r="K5" s="219">
        <v>1005.764914450186</v>
      </c>
      <c r="L5" s="219">
        <v>1213.716264391084</v>
      </c>
      <c r="M5" s="219">
        <v>1320.3121727715491</v>
      </c>
      <c r="N5" s="219">
        <v>1268.993031319771</v>
      </c>
      <c r="O5" s="219">
        <v>1322.5342637447559</v>
      </c>
      <c r="P5" s="219">
        <v>1348.4862063937851</v>
      </c>
      <c r="Q5" s="219">
        <v>1384.716838983888</v>
      </c>
      <c r="R5" s="219">
        <v>1491.7001510249379</v>
      </c>
      <c r="S5" s="219">
        <v>1774.094500057068</v>
      </c>
      <c r="T5" s="219">
        <v>1638.4895495882849</v>
      </c>
      <c r="U5" s="219">
        <v>1823.3341965319771</v>
      </c>
      <c r="V5" s="219">
        <v>1744.468060062231</v>
      </c>
      <c r="W5" s="219">
        <v>1706.568390105781</v>
      </c>
      <c r="X5" s="219">
        <v>2023.5705813962879</v>
      </c>
      <c r="Y5" s="219">
        <v>1921.3539669464769</v>
      </c>
      <c r="DA5" s="210" t="s">
        <v>975</v>
      </c>
    </row>
    <row r="6" spans="1:105" x14ac:dyDescent="0.25">
      <c r="A6" s="220" t="s">
        <v>119</v>
      </c>
      <c r="B6" s="221">
        <v>1440.950841568739</v>
      </c>
      <c r="C6" s="221">
        <v>1368.9032994903021</v>
      </c>
      <c r="D6" s="221">
        <v>1296.8557574118649</v>
      </c>
      <c r="E6" s="221">
        <v>1296.8557574118649</v>
      </c>
      <c r="F6" s="221">
        <v>1440.950841568739</v>
      </c>
      <c r="G6" s="221">
        <v>1368.9032994903021</v>
      </c>
      <c r="H6" s="221">
        <v>1368.9032994903021</v>
      </c>
      <c r="I6" s="221">
        <v>1440.950841568739</v>
      </c>
      <c r="J6" s="221">
        <v>1368.9032994903021</v>
      </c>
      <c r="K6" s="221">
        <v>1368.9032994903021</v>
      </c>
      <c r="L6" s="221">
        <v>1296.8557574118649</v>
      </c>
      <c r="M6" s="221">
        <v>1440.950841568739</v>
      </c>
      <c r="N6" s="221">
        <v>1440.950841568739</v>
      </c>
      <c r="O6" s="221">
        <v>1440.950841568739</v>
      </c>
      <c r="P6" s="221">
        <v>1440.950841568739</v>
      </c>
      <c r="Q6" s="221">
        <v>1512.9983836471761</v>
      </c>
      <c r="R6" s="221">
        <v>1585.045925725613</v>
      </c>
      <c r="S6" s="221">
        <v>1873.236094039361</v>
      </c>
      <c r="T6" s="221">
        <v>1873.236094039361</v>
      </c>
      <c r="U6" s="221">
        <v>1945.2836361177981</v>
      </c>
      <c r="V6" s="221">
        <v>1873.236094039361</v>
      </c>
      <c r="W6" s="221">
        <v>1873.236094039361</v>
      </c>
      <c r="X6" s="221">
        <v>2161.426262353109</v>
      </c>
      <c r="Y6" s="221">
        <v>2089.3787202746721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216.14262623531079</v>
      </c>
      <c r="G7" s="225">
        <v>0</v>
      </c>
      <c r="H7" s="225">
        <v>0</v>
      </c>
      <c r="I7" s="225">
        <v>144.0950841568739</v>
      </c>
      <c r="J7" s="225">
        <v>0</v>
      </c>
      <c r="K7" s="225">
        <v>0</v>
      </c>
      <c r="L7" s="225">
        <v>0</v>
      </c>
      <c r="M7" s="225">
        <v>216.14262623531079</v>
      </c>
      <c r="N7" s="225">
        <v>0</v>
      </c>
      <c r="O7" s="225">
        <v>72.047542078436948</v>
      </c>
      <c r="P7" s="225">
        <v>72.047542078436948</v>
      </c>
      <c r="Q7" s="225">
        <v>72.047542078437118</v>
      </c>
      <c r="R7" s="225">
        <v>144.0950841568739</v>
      </c>
      <c r="S7" s="225">
        <v>360.23771039218468</v>
      </c>
      <c r="T7" s="225">
        <v>0</v>
      </c>
      <c r="U7" s="225">
        <v>144.0950841568739</v>
      </c>
      <c r="V7" s="225">
        <v>0</v>
      </c>
      <c r="W7" s="225">
        <v>0</v>
      </c>
      <c r="X7" s="225">
        <v>360.23771039218468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72.047542078436891</v>
      </c>
      <c r="D8" s="227">
        <f t="shared" ref="D8" si="1">IF(C6=0,0,C6+D7-D6)</f>
        <v>72.047542078437118</v>
      </c>
      <c r="E8" s="227">
        <f t="shared" ref="E8" si="2">IF(D6=0,0,D6+E7-E6)</f>
        <v>0</v>
      </c>
      <c r="F8" s="227">
        <f t="shared" ref="F8" si="3">IF(E6=0,0,E6+F7-F6)</f>
        <v>72.047542078436663</v>
      </c>
      <c r="G8" s="227">
        <f t="shared" ref="G8" si="4">IF(F6=0,0,F6+G7-G6)</f>
        <v>72.047542078436891</v>
      </c>
      <c r="H8" s="227">
        <f t="shared" ref="H8" si="5">IF(G6=0,0,G6+H7-H6)</f>
        <v>0</v>
      </c>
      <c r="I8" s="227">
        <f t="shared" ref="I8" si="6">IF(H6=0,0,H6+I7-I6)</f>
        <v>72.047542078437118</v>
      </c>
      <c r="J8" s="227">
        <f t="shared" ref="J8" si="7">IF(I6=0,0,I6+J7-J6)</f>
        <v>72.047542078436891</v>
      </c>
      <c r="K8" s="227">
        <f t="shared" ref="K8" si="8">IF(J6=0,0,J6+K7-K6)</f>
        <v>0</v>
      </c>
      <c r="L8" s="227">
        <f t="shared" ref="L8" si="9">IF(K6=0,0,K6+L7-L6)</f>
        <v>72.047542078437118</v>
      </c>
      <c r="M8" s="227">
        <f t="shared" ref="M8" si="10">IF(L6=0,0,L6+M7-M6)</f>
        <v>72.047542078436663</v>
      </c>
      <c r="N8" s="227">
        <f t="shared" ref="N8" si="11">IF(M6=0,0,M6+N7-N6)</f>
        <v>0</v>
      </c>
      <c r="O8" s="227">
        <f t="shared" ref="O8" si="12">IF(N6=0,0,N6+O7-O6)</f>
        <v>72.047542078436891</v>
      </c>
      <c r="P8" s="227">
        <f t="shared" ref="P8" si="13">IF(O6=0,0,O6+P7-P6)</f>
        <v>72.047542078436891</v>
      </c>
      <c r="Q8" s="227">
        <f t="shared" ref="Q8" si="14">IF(P6=0,0,P6+Q7-Q6)</f>
        <v>0</v>
      </c>
      <c r="R8" s="227">
        <f t="shared" ref="R8" si="15">IF(Q6=0,0,Q6+R7-R6)</f>
        <v>72.047542078436891</v>
      </c>
      <c r="S8" s="227">
        <f t="shared" ref="S8" si="16">IF(R6=0,0,R6+S7-S6)</f>
        <v>72.047542078436663</v>
      </c>
      <c r="T8" s="227">
        <f t="shared" ref="T8" si="17">IF(S6=0,0,S6+T7-T6)</f>
        <v>0</v>
      </c>
      <c r="U8" s="227">
        <f t="shared" ref="U8" si="18">IF(T6=0,0,T6+U7-U6)</f>
        <v>72.047542078436663</v>
      </c>
      <c r="V8" s="227">
        <f t="shared" ref="V8" si="19">IF(U6=0,0,U6+V7-V6)</f>
        <v>72.047542078437118</v>
      </c>
      <c r="W8" s="227">
        <f t="shared" ref="W8" si="20">IF(V6=0,0,V6+W7-W6)</f>
        <v>0</v>
      </c>
      <c r="X8" s="227">
        <f t="shared" ref="X8" si="21">IF(W6=0,0,W6+X7-X6)</f>
        <v>72.047542078436436</v>
      </c>
      <c r="Y8" s="227">
        <f t="shared" ref="Y8" si="22">IF(X6=0,0,X6+Y7-Y6)</f>
        <v>72.047542078436891</v>
      </c>
      <c r="DA8" s="213" t="s">
        <v>978</v>
      </c>
    </row>
    <row r="9" spans="1:105" x14ac:dyDescent="0.25">
      <c r="A9" s="222" t="s">
        <v>116</v>
      </c>
      <c r="B9" s="223">
        <f>B6-B5</f>
        <v>288.19016831374802</v>
      </c>
      <c r="C9" s="223">
        <f t="shared" ref="C9:W9" si="23">C6-C5</f>
        <v>130.62572541431814</v>
      </c>
      <c r="D9" s="223">
        <f t="shared" si="23"/>
        <v>167.21717054540386</v>
      </c>
      <c r="E9" s="223">
        <f t="shared" si="23"/>
        <v>70.940198348082049</v>
      </c>
      <c r="F9" s="223">
        <f t="shared" si="23"/>
        <v>111.57752197872992</v>
      </c>
      <c r="G9" s="223">
        <f t="shared" si="23"/>
        <v>234.48080126163904</v>
      </c>
      <c r="H9" s="223">
        <f t="shared" si="23"/>
        <v>178.65935526973317</v>
      </c>
      <c r="I9" s="223">
        <f t="shared" si="23"/>
        <v>117.19445607446892</v>
      </c>
      <c r="J9" s="223">
        <f t="shared" si="23"/>
        <v>300.86739465313417</v>
      </c>
      <c r="K9" s="223">
        <f t="shared" si="23"/>
        <v>363.13838504011608</v>
      </c>
      <c r="L9" s="223">
        <f t="shared" si="23"/>
        <v>83.139493020780947</v>
      </c>
      <c r="M9" s="223">
        <f t="shared" si="23"/>
        <v>120.63866879718989</v>
      </c>
      <c r="N9" s="223">
        <f t="shared" si="23"/>
        <v>171.95781024896792</v>
      </c>
      <c r="O9" s="223">
        <f t="shared" si="23"/>
        <v>118.41657782398306</v>
      </c>
      <c r="P9" s="223">
        <f t="shared" si="23"/>
        <v>92.464635174953855</v>
      </c>
      <c r="Q9" s="223">
        <f t="shared" si="23"/>
        <v>128.28154466328806</v>
      </c>
      <c r="R9" s="223">
        <f t="shared" si="23"/>
        <v>93.345774700675065</v>
      </c>
      <c r="S9" s="223">
        <f t="shared" si="23"/>
        <v>99.141593982292989</v>
      </c>
      <c r="T9" s="223">
        <f t="shared" si="23"/>
        <v>234.74654445107603</v>
      </c>
      <c r="U9" s="223">
        <f t="shared" si="23"/>
        <v>121.94943958582098</v>
      </c>
      <c r="V9" s="223">
        <f t="shared" si="23"/>
        <v>128.76803397713002</v>
      </c>
      <c r="W9" s="223">
        <f t="shared" si="23"/>
        <v>166.66770393358001</v>
      </c>
      <c r="X9" s="223">
        <f t="shared" ref="X9:Y9" si="24">X6-X5</f>
        <v>137.85568095682106</v>
      </c>
      <c r="Y9" s="223">
        <f t="shared" si="24"/>
        <v>168.02475332819517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129.6529664660361</v>
      </c>
      <c r="C12" s="229">
        <f t="shared" ref="C12:W12" si="25">SUM(C13,C14,C18,C19,C26,C27)</f>
        <v>135.98693035253652</v>
      </c>
      <c r="D12" s="229">
        <f t="shared" si="25"/>
        <v>128.56311263972481</v>
      </c>
      <c r="E12" s="229">
        <f t="shared" si="25"/>
        <v>146.54333619948409</v>
      </c>
      <c r="F12" s="229">
        <f t="shared" si="25"/>
        <v>155.9436801375752</v>
      </c>
      <c r="G12" s="229">
        <f t="shared" si="25"/>
        <v>152.346173688736</v>
      </c>
      <c r="H12" s="229">
        <f t="shared" si="25"/>
        <v>154.79982803095442</v>
      </c>
      <c r="I12" s="229">
        <f t="shared" si="25"/>
        <v>155.95795356835771</v>
      </c>
      <c r="J12" s="229">
        <f t="shared" si="25"/>
        <v>131.89836629406705</v>
      </c>
      <c r="K12" s="229">
        <f t="shared" si="25"/>
        <v>138.62820292347376</v>
      </c>
      <c r="L12" s="229">
        <f t="shared" si="25"/>
        <v>155.93361994840924</v>
      </c>
      <c r="M12" s="229">
        <f t="shared" si="25"/>
        <v>153.184350816853</v>
      </c>
      <c r="N12" s="229">
        <f t="shared" si="25"/>
        <v>150.13731728288909</v>
      </c>
      <c r="O12" s="229">
        <f t="shared" si="25"/>
        <v>155.91994840928635</v>
      </c>
      <c r="P12" s="229">
        <f t="shared" si="25"/>
        <v>154.01418744625965</v>
      </c>
      <c r="Q12" s="229">
        <f t="shared" si="25"/>
        <v>161.56500429922608</v>
      </c>
      <c r="R12" s="229">
        <f t="shared" si="25"/>
        <v>176.63594153052449</v>
      </c>
      <c r="S12" s="229">
        <f t="shared" si="25"/>
        <v>193.8373172828891</v>
      </c>
      <c r="T12" s="229">
        <f t="shared" si="25"/>
        <v>188.49105760963027</v>
      </c>
      <c r="U12" s="229">
        <f t="shared" si="25"/>
        <v>208.42631126397245</v>
      </c>
      <c r="V12" s="229">
        <f t="shared" si="25"/>
        <v>211.12037833190027</v>
      </c>
      <c r="W12" s="229">
        <f t="shared" si="25"/>
        <v>197.30137575236458</v>
      </c>
      <c r="X12" s="229">
        <f t="shared" ref="X12:Y12" si="26">SUM(X13,X14,X18,X19,X26,X27)</f>
        <v>200.18478073946687</v>
      </c>
      <c r="Y12" s="229">
        <f t="shared" si="26"/>
        <v>194.78478073946684</v>
      </c>
      <c r="DA12" s="210" t="s">
        <v>980</v>
      </c>
    </row>
    <row r="13" spans="1:105" x14ac:dyDescent="0.25">
      <c r="A13" s="58" t="s">
        <v>29</v>
      </c>
      <c r="B13" s="59">
        <v>1.359501289767842</v>
      </c>
      <c r="C13" s="59">
        <v>2.0392949269131559</v>
      </c>
      <c r="D13" s="59">
        <v>2.0392949269131559</v>
      </c>
      <c r="E13" s="59">
        <v>1.252536543422184</v>
      </c>
      <c r="F13" s="59">
        <v>1.252536543422184</v>
      </c>
      <c r="G13" s="59">
        <v>1.252536543422184</v>
      </c>
      <c r="H13" s="59">
        <v>1.252536543422184</v>
      </c>
      <c r="I13" s="59">
        <v>1.252536543422184</v>
      </c>
      <c r="J13" s="59">
        <v>1.252536543422184</v>
      </c>
      <c r="K13" s="59">
        <v>0.62622527944969908</v>
      </c>
      <c r="L13" s="59">
        <v>0.62622527944969908</v>
      </c>
      <c r="M13" s="59">
        <v>0.62622527944969908</v>
      </c>
      <c r="N13" s="59">
        <v>1.252536543422184</v>
      </c>
      <c r="O13" s="59">
        <v>0.57463456577815986</v>
      </c>
      <c r="P13" s="59">
        <v>0.57712811693895094</v>
      </c>
      <c r="Q13" s="59">
        <v>0</v>
      </c>
      <c r="R13" s="59">
        <v>0</v>
      </c>
      <c r="S13" s="59">
        <v>2.5881341358555458E-2</v>
      </c>
      <c r="T13" s="59">
        <v>1.788478073946689E-2</v>
      </c>
      <c r="U13" s="59">
        <v>9.5442820292347356E-3</v>
      </c>
      <c r="V13" s="59">
        <v>1.109200343938091E-2</v>
      </c>
      <c r="W13" s="59">
        <v>0</v>
      </c>
      <c r="X13" s="59">
        <v>7.0507308684436797E-3</v>
      </c>
      <c r="Y13" s="59">
        <v>2.4935511607910577E-3</v>
      </c>
      <c r="DA13" s="9" t="s">
        <v>981</v>
      </c>
    </row>
    <row r="14" spans="1:105" x14ac:dyDescent="0.25">
      <c r="A14" s="60" t="s">
        <v>28</v>
      </c>
      <c r="B14" s="55">
        <f>SUM(B15:B17)</f>
        <v>89.072570937231291</v>
      </c>
      <c r="C14" s="55">
        <f t="shared" ref="C14:W14" si="27">SUM(C15:C17)</f>
        <v>94.15588993981082</v>
      </c>
      <c r="D14" s="55">
        <f t="shared" si="27"/>
        <v>86.037059329320698</v>
      </c>
      <c r="E14" s="55">
        <f t="shared" si="27"/>
        <v>101.29535683576955</v>
      </c>
      <c r="F14" s="55">
        <f t="shared" si="27"/>
        <v>103.3249355116079</v>
      </c>
      <c r="G14" s="55">
        <f t="shared" si="27"/>
        <v>104.38495270851244</v>
      </c>
      <c r="H14" s="55">
        <f t="shared" si="27"/>
        <v>108.5797936371453</v>
      </c>
      <c r="I14" s="55">
        <f t="shared" si="27"/>
        <v>108.62493551160792</v>
      </c>
      <c r="J14" s="55">
        <f t="shared" si="27"/>
        <v>98.513929492691304</v>
      </c>
      <c r="K14" s="55">
        <f t="shared" si="27"/>
        <v>99.528718830610472</v>
      </c>
      <c r="L14" s="55">
        <f t="shared" si="27"/>
        <v>106.55993121238176</v>
      </c>
      <c r="M14" s="55">
        <f t="shared" si="27"/>
        <v>112.79260533104041</v>
      </c>
      <c r="N14" s="55">
        <f t="shared" si="27"/>
        <v>101.62914875322441</v>
      </c>
      <c r="O14" s="55">
        <f t="shared" si="27"/>
        <v>102.64402407566639</v>
      </c>
      <c r="P14" s="55">
        <f t="shared" si="27"/>
        <v>103.62347377472054</v>
      </c>
      <c r="Q14" s="55">
        <f t="shared" si="27"/>
        <v>109.78555460017192</v>
      </c>
      <c r="R14" s="55">
        <f t="shared" si="27"/>
        <v>117.93972484952707</v>
      </c>
      <c r="S14" s="55">
        <f t="shared" si="27"/>
        <v>127.72553740326744</v>
      </c>
      <c r="T14" s="55">
        <f t="shared" si="27"/>
        <v>129.29251934651762</v>
      </c>
      <c r="U14" s="55">
        <f t="shared" si="27"/>
        <v>141.35674978503869</v>
      </c>
      <c r="V14" s="55">
        <f t="shared" si="27"/>
        <v>147.16766981943255</v>
      </c>
      <c r="W14" s="55">
        <f t="shared" si="27"/>
        <v>142.21392949269134</v>
      </c>
      <c r="X14" s="55">
        <f t="shared" ref="X14:Y14" si="28">SUM(X15:X17)</f>
        <v>152.32570937231296</v>
      </c>
      <c r="Y14" s="55">
        <f t="shared" si="28"/>
        <v>138.83181427343072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1.0877042132416159</v>
      </c>
      <c r="K15" s="55">
        <v>1.0877042132416159</v>
      </c>
      <c r="L15" s="55">
        <v>0</v>
      </c>
      <c r="M15" s="55">
        <v>1.0877042132416159</v>
      </c>
      <c r="N15" s="55">
        <v>1.0877042132416159</v>
      </c>
      <c r="O15" s="55">
        <v>1.0877042132416159</v>
      </c>
      <c r="P15" s="55">
        <v>1.0877042132416159</v>
      </c>
      <c r="Q15" s="55">
        <v>2.1754084264832332</v>
      </c>
      <c r="R15" s="55">
        <v>2.1754084264832332</v>
      </c>
      <c r="S15" s="55">
        <v>2.967239896818572</v>
      </c>
      <c r="T15" s="55">
        <v>1.713155631986242</v>
      </c>
      <c r="U15" s="55">
        <v>2.3320722269991401</v>
      </c>
      <c r="V15" s="55">
        <v>2.4179707652622526</v>
      </c>
      <c r="W15" s="55">
        <v>1.8947549441100597</v>
      </c>
      <c r="X15" s="55">
        <v>2.1895098882201198</v>
      </c>
      <c r="Y15" s="55">
        <v>2.8900257953568351</v>
      </c>
      <c r="DA15" s="10" t="s">
        <v>982</v>
      </c>
    </row>
    <row r="16" spans="1:105" x14ac:dyDescent="0.25">
      <c r="A16" s="61" t="s">
        <v>165</v>
      </c>
      <c r="B16" s="55">
        <v>82.20335339638865</v>
      </c>
      <c r="C16" s="55">
        <v>89.307308684436791</v>
      </c>
      <c r="D16" s="55">
        <v>81.188478073946669</v>
      </c>
      <c r="E16" s="55">
        <v>95.396560619088561</v>
      </c>
      <c r="F16" s="55">
        <v>97.426139294926912</v>
      </c>
      <c r="G16" s="55">
        <v>99.455889939810817</v>
      </c>
      <c r="H16" s="55">
        <v>106.55984522785897</v>
      </c>
      <c r="I16" s="55">
        <v>107.57472055030095</v>
      </c>
      <c r="J16" s="55">
        <v>97.426225279449682</v>
      </c>
      <c r="K16" s="55">
        <v>98.44101461736885</v>
      </c>
      <c r="L16" s="55">
        <v>106.55993121238176</v>
      </c>
      <c r="M16" s="55">
        <v>109.60447119518486</v>
      </c>
      <c r="N16" s="55">
        <v>98.441014617368864</v>
      </c>
      <c r="O16" s="55">
        <v>99.455889939810845</v>
      </c>
      <c r="P16" s="55">
        <v>101.48555460017195</v>
      </c>
      <c r="Q16" s="55">
        <v>106.55993121238173</v>
      </c>
      <c r="R16" s="55">
        <v>113.66388650042991</v>
      </c>
      <c r="S16" s="55">
        <v>124.23568357695618</v>
      </c>
      <c r="T16" s="55">
        <v>124.75021496130697</v>
      </c>
      <c r="U16" s="55">
        <v>137.59527085124677</v>
      </c>
      <c r="V16" s="55">
        <v>143.84668959587279</v>
      </c>
      <c r="W16" s="55">
        <v>139.48280309544285</v>
      </c>
      <c r="X16" s="55">
        <v>149.54926913155629</v>
      </c>
      <c r="Y16" s="55">
        <v>135.27222699914009</v>
      </c>
      <c r="DA16" s="10" t="s">
        <v>983</v>
      </c>
    </row>
    <row r="17" spans="1:105" x14ac:dyDescent="0.25">
      <c r="A17" s="61" t="s">
        <v>113</v>
      </c>
      <c r="B17" s="55">
        <v>6.8692175408426479</v>
      </c>
      <c r="C17" s="55">
        <v>4.8485812553740324</v>
      </c>
      <c r="D17" s="55">
        <v>4.8485812553740324</v>
      </c>
      <c r="E17" s="55">
        <v>5.8987962166809975</v>
      </c>
      <c r="F17" s="55">
        <v>5.8987962166809975</v>
      </c>
      <c r="G17" s="55">
        <v>4.9290627687016331</v>
      </c>
      <c r="H17" s="55">
        <v>2.0199484092863287</v>
      </c>
      <c r="I17" s="55">
        <v>1.0502149613069649</v>
      </c>
      <c r="J17" s="55">
        <v>0</v>
      </c>
      <c r="K17" s="55">
        <v>0</v>
      </c>
      <c r="L17" s="55">
        <v>0</v>
      </c>
      <c r="M17" s="55">
        <v>2.1004299226139289</v>
      </c>
      <c r="N17" s="55">
        <v>2.1004299226139289</v>
      </c>
      <c r="O17" s="55">
        <v>2.1004299226139289</v>
      </c>
      <c r="P17" s="55">
        <v>1.0502149613069649</v>
      </c>
      <c r="Q17" s="55">
        <v>1.0502149613069649</v>
      </c>
      <c r="R17" s="55">
        <v>2.1004299226139289</v>
      </c>
      <c r="S17" s="55">
        <v>0.52261392949269125</v>
      </c>
      <c r="T17" s="55">
        <v>2.8291487532244197</v>
      </c>
      <c r="U17" s="55">
        <v>1.4294067067927771</v>
      </c>
      <c r="V17" s="55">
        <v>0.90300945829750645</v>
      </c>
      <c r="W17" s="55">
        <v>0.83637145313843497</v>
      </c>
      <c r="X17" s="55">
        <v>0.58693035253654335</v>
      </c>
      <c r="Y17" s="55">
        <v>0.66956147893379181</v>
      </c>
      <c r="DA17" s="10" t="s">
        <v>984</v>
      </c>
    </row>
    <row r="18" spans="1:105" x14ac:dyDescent="0.25">
      <c r="A18" s="60" t="s">
        <v>149</v>
      </c>
      <c r="B18" s="55">
        <v>12.05932932072227</v>
      </c>
      <c r="C18" s="55">
        <v>14.4883920894239</v>
      </c>
      <c r="D18" s="55">
        <v>15.240756663800511</v>
      </c>
      <c r="E18" s="55">
        <v>17.669819432502148</v>
      </c>
      <c r="F18" s="55">
        <v>21.62510748065348</v>
      </c>
      <c r="G18" s="55">
        <v>17.626827171109198</v>
      </c>
      <c r="H18" s="55">
        <v>16.831470335339642</v>
      </c>
      <c r="I18" s="55">
        <v>15.19776440240757</v>
      </c>
      <c r="J18" s="55">
        <v>11.19948409286328</v>
      </c>
      <c r="K18" s="55">
        <v>5.631986242476354</v>
      </c>
      <c r="L18" s="55">
        <v>15.262252794496989</v>
      </c>
      <c r="M18" s="55">
        <v>12.05932932072227</v>
      </c>
      <c r="N18" s="55">
        <v>16.057609630266551</v>
      </c>
      <c r="O18" s="55">
        <v>15.58469475494411</v>
      </c>
      <c r="P18" s="55">
        <v>14.832330180567499</v>
      </c>
      <c r="Q18" s="55">
        <v>12.274290627687012</v>
      </c>
      <c r="R18" s="55">
        <v>13.134049871023214</v>
      </c>
      <c r="S18" s="55">
        <v>8.0558039552880487</v>
      </c>
      <c r="T18" s="55">
        <v>6.4418744625967319</v>
      </c>
      <c r="U18" s="55">
        <v>5.1713671539122954</v>
      </c>
      <c r="V18" s="55">
        <v>4.8729148753224409</v>
      </c>
      <c r="W18" s="55">
        <v>7.6533963886500418</v>
      </c>
      <c r="X18" s="55">
        <v>2.7484092863284615</v>
      </c>
      <c r="Y18" s="55">
        <v>3.2635425623387788</v>
      </c>
      <c r="DA18" s="10" t="s">
        <v>985</v>
      </c>
    </row>
    <row r="19" spans="1:105" x14ac:dyDescent="0.25">
      <c r="A19" s="60" t="s">
        <v>51</v>
      </c>
      <c r="B19" s="55">
        <f>SUM(B20:B25)</f>
        <v>12.467755803955287</v>
      </c>
      <c r="C19" s="55">
        <f t="shared" ref="C19:W19" si="29">SUM(C20:C25)</f>
        <v>11.536199484092867</v>
      </c>
      <c r="D19" s="55">
        <f t="shared" si="29"/>
        <v>10.365864144453996</v>
      </c>
      <c r="E19" s="55">
        <f t="shared" si="29"/>
        <v>10.318142734307827</v>
      </c>
      <c r="F19" s="55">
        <f t="shared" si="29"/>
        <v>12.969303525365429</v>
      </c>
      <c r="G19" s="55">
        <f t="shared" si="29"/>
        <v>11.966122098022357</v>
      </c>
      <c r="H19" s="55">
        <f t="shared" si="29"/>
        <v>11.464574376612207</v>
      </c>
      <c r="I19" s="55">
        <f t="shared" si="29"/>
        <v>15.930954428202927</v>
      </c>
      <c r="J19" s="55">
        <f t="shared" si="29"/>
        <v>7.2608770421324156</v>
      </c>
      <c r="K19" s="55">
        <f t="shared" si="29"/>
        <v>16.766981943250219</v>
      </c>
      <c r="L19" s="55">
        <f t="shared" si="29"/>
        <v>13.269303525365434</v>
      </c>
      <c r="M19" s="55">
        <f t="shared" si="29"/>
        <v>9.2195184866723991</v>
      </c>
      <c r="N19" s="55">
        <f t="shared" si="29"/>
        <v>12.119002579535683</v>
      </c>
      <c r="O19" s="55">
        <f t="shared" si="29"/>
        <v>18.285984522785895</v>
      </c>
      <c r="P19" s="55">
        <f t="shared" si="29"/>
        <v>14.00584694754944</v>
      </c>
      <c r="Q19" s="55">
        <f t="shared" si="29"/>
        <v>17.588650042992263</v>
      </c>
      <c r="R19" s="55">
        <f t="shared" si="29"/>
        <v>19.69036973344798</v>
      </c>
      <c r="S19" s="55">
        <f t="shared" si="29"/>
        <v>29.962424763542565</v>
      </c>
      <c r="T19" s="55">
        <f t="shared" si="29"/>
        <v>25.051504729148746</v>
      </c>
      <c r="U19" s="55">
        <f t="shared" si="29"/>
        <v>35.580137575236456</v>
      </c>
      <c r="V19" s="55">
        <f t="shared" si="29"/>
        <v>32.619776440240749</v>
      </c>
      <c r="W19" s="55">
        <f t="shared" si="29"/>
        <v>21.711607910576099</v>
      </c>
      <c r="X19" s="55">
        <f t="shared" ref="X19:Y19" si="30">SUM(X20:X25)</f>
        <v>21.893551160791056</v>
      </c>
      <c r="Y19" s="55">
        <f t="shared" si="30"/>
        <v>34.036715391229571</v>
      </c>
      <c r="DA19" s="10"/>
    </row>
    <row r="20" spans="1:105" x14ac:dyDescent="0.25">
      <c r="A20" s="61" t="s">
        <v>164</v>
      </c>
      <c r="B20" s="55">
        <v>12.467755803955287</v>
      </c>
      <c r="C20" s="55">
        <v>11.536199484092867</v>
      </c>
      <c r="D20" s="55">
        <v>10.365864144453996</v>
      </c>
      <c r="E20" s="55">
        <v>10.318142734307827</v>
      </c>
      <c r="F20" s="55">
        <v>12.969303525365429</v>
      </c>
      <c r="G20" s="55">
        <v>11.966122098022357</v>
      </c>
      <c r="H20" s="55">
        <v>11.464574376612207</v>
      </c>
      <c r="I20" s="55">
        <v>15.930954428202927</v>
      </c>
      <c r="J20" s="55">
        <v>7.2608770421324156</v>
      </c>
      <c r="K20" s="55">
        <v>16.766981943250219</v>
      </c>
      <c r="L20" s="55">
        <v>13.255975924333619</v>
      </c>
      <c r="M20" s="55">
        <v>8.3118658641444547</v>
      </c>
      <c r="N20" s="55">
        <v>7.165348237317283</v>
      </c>
      <c r="O20" s="55">
        <v>11.082373172828886</v>
      </c>
      <c r="P20" s="55">
        <v>7.8579535683576953</v>
      </c>
      <c r="Q20" s="55">
        <v>11.034651762682717</v>
      </c>
      <c r="R20" s="55">
        <v>13.231986242476356</v>
      </c>
      <c r="S20" s="55">
        <v>24.121926053310403</v>
      </c>
      <c r="T20" s="55">
        <v>18.162252794496986</v>
      </c>
      <c r="U20" s="55">
        <v>28.604385210662084</v>
      </c>
      <c r="V20" s="55">
        <v>24.038521066208077</v>
      </c>
      <c r="W20" s="55">
        <v>15.28641444539983</v>
      </c>
      <c r="X20" s="55">
        <v>14.728890799656062</v>
      </c>
      <c r="Y20" s="55">
        <v>27.656663800515904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0.90765262252794487</v>
      </c>
      <c r="N21" s="55">
        <v>3.176612209802236</v>
      </c>
      <c r="O21" s="55">
        <v>4.5380911435941522</v>
      </c>
      <c r="P21" s="55">
        <v>4.3708512467755796</v>
      </c>
      <c r="Q21" s="55">
        <v>4.7769561478933786</v>
      </c>
      <c r="R21" s="55">
        <v>4.6813413585554597</v>
      </c>
      <c r="S21" s="55">
        <v>4.4899398108340502</v>
      </c>
      <c r="T21" s="55">
        <v>5.0020636285468614</v>
      </c>
      <c r="U21" s="55">
        <v>4.9539122957867576</v>
      </c>
      <c r="V21" s="55">
        <v>4.6203783319002572</v>
      </c>
      <c r="W21" s="55">
        <v>3.7649183147033529</v>
      </c>
      <c r="X21" s="55">
        <v>4.2429922613929483</v>
      </c>
      <c r="Y21" s="55">
        <v>4.0603611349957003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1.332760103181427E-2</v>
      </c>
      <c r="M22" s="55">
        <v>0</v>
      </c>
      <c r="N22" s="55">
        <v>1.7770421324161649</v>
      </c>
      <c r="O22" s="55">
        <v>2.6655202063628551</v>
      </c>
      <c r="P22" s="55">
        <v>1.7770421324161649</v>
      </c>
      <c r="Q22" s="55">
        <v>1.7770421324161649</v>
      </c>
      <c r="R22" s="55">
        <v>1.7770421324161649</v>
      </c>
      <c r="S22" s="55">
        <v>1.3505588993981079</v>
      </c>
      <c r="T22" s="55">
        <v>1.8871883061049011</v>
      </c>
      <c r="U22" s="55">
        <v>2.0218400687876179</v>
      </c>
      <c r="V22" s="55">
        <v>3.9608770421324166</v>
      </c>
      <c r="W22" s="55">
        <v>2.660275150472915</v>
      </c>
      <c r="X22" s="55">
        <v>2.9216680997420461</v>
      </c>
      <c r="Y22" s="55">
        <v>2.3196904557179709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1.1942390369733447</v>
      </c>
      <c r="C26" s="55">
        <v>0.95546001719690443</v>
      </c>
      <c r="D26" s="55">
        <v>1.5525365434221836</v>
      </c>
      <c r="E26" s="55">
        <v>2.0779879621668096</v>
      </c>
      <c r="F26" s="55">
        <v>2.8423043852106615</v>
      </c>
      <c r="G26" s="55">
        <v>3.7021496130696465</v>
      </c>
      <c r="H26" s="55">
        <v>2.4840068787618224</v>
      </c>
      <c r="I26" s="55">
        <v>2.4840068787618228</v>
      </c>
      <c r="J26" s="55">
        <v>1.7196904557179711</v>
      </c>
      <c r="K26" s="55">
        <v>4.4663800515907139</v>
      </c>
      <c r="L26" s="55">
        <v>8.2640584694754935</v>
      </c>
      <c r="M26" s="55">
        <v>6.8787618228718834</v>
      </c>
      <c r="N26" s="55">
        <v>6.3533104041272566</v>
      </c>
      <c r="O26" s="55">
        <v>5.5889939810834042</v>
      </c>
      <c r="P26" s="55">
        <v>6.6159931212381773</v>
      </c>
      <c r="Q26" s="55">
        <v>7.643078245915734</v>
      </c>
      <c r="R26" s="55">
        <v>10.22261392949269</v>
      </c>
      <c r="S26" s="55">
        <v>11.349011177987959</v>
      </c>
      <c r="T26" s="55">
        <v>11.338435081685301</v>
      </c>
      <c r="U26" s="55">
        <v>9.8271711092003446</v>
      </c>
      <c r="V26" s="55">
        <v>9.55803955288048</v>
      </c>
      <c r="W26" s="55">
        <v>9.1611349957007722</v>
      </c>
      <c r="X26" s="55">
        <v>6.9300085984522788</v>
      </c>
      <c r="Y26" s="55">
        <v>1.9671539122957871</v>
      </c>
      <c r="DA26" s="10" t="s">
        <v>992</v>
      </c>
    </row>
    <row r="27" spans="1:105" x14ac:dyDescent="0.25">
      <c r="A27" s="62" t="s">
        <v>24</v>
      </c>
      <c r="B27" s="63">
        <v>13.499570077386073</v>
      </c>
      <c r="C27" s="63">
        <v>12.811693895098884</v>
      </c>
      <c r="D27" s="63">
        <v>13.327601031814275</v>
      </c>
      <c r="E27" s="63">
        <v>13.929492691315559</v>
      </c>
      <c r="F27" s="63">
        <v>13.929492691315559</v>
      </c>
      <c r="G27" s="63">
        <v>13.41358555460017</v>
      </c>
      <c r="H27" s="63">
        <v>14.187446259673258</v>
      </c>
      <c r="I27" s="63">
        <v>12.467755803955287</v>
      </c>
      <c r="J27" s="63">
        <v>11.951848667239899</v>
      </c>
      <c r="K27" s="63">
        <v>11.6079105760963</v>
      </c>
      <c r="L27" s="63">
        <v>11.951848667239892</v>
      </c>
      <c r="M27" s="63">
        <v>11.607910576096302</v>
      </c>
      <c r="N27" s="63">
        <v>12.725709372312989</v>
      </c>
      <c r="O27" s="63">
        <v>13.241616509028376</v>
      </c>
      <c r="P27" s="63">
        <v>14.35941530524506</v>
      </c>
      <c r="Q27" s="63">
        <v>14.273430782459156</v>
      </c>
      <c r="R27" s="63">
        <v>15.649183147033535</v>
      </c>
      <c r="S27" s="63">
        <v>16.718658641444542</v>
      </c>
      <c r="T27" s="63">
        <v>16.348839208942387</v>
      </c>
      <c r="U27" s="63">
        <v>16.481341358555465</v>
      </c>
      <c r="V27" s="63">
        <v>16.890885640584688</v>
      </c>
      <c r="W27" s="63">
        <v>16.561306964746343</v>
      </c>
      <c r="X27" s="63">
        <v>16.280051590713672</v>
      </c>
      <c r="Y27" s="63">
        <v>16.683061049011179</v>
      </c>
      <c r="DA27" s="11" t="s">
        <v>993</v>
      </c>
    </row>
    <row r="29" spans="1:105" x14ac:dyDescent="0.25">
      <c r="A29" s="218" t="s">
        <v>84</v>
      </c>
      <c r="B29" s="219">
        <v>310.47562644000004</v>
      </c>
      <c r="C29" s="219">
        <v>334.63777440000001</v>
      </c>
      <c r="D29" s="219">
        <v>311.21691167999995</v>
      </c>
      <c r="E29" s="219">
        <v>361.15915577025169</v>
      </c>
      <c r="F29" s="219">
        <v>376.74591881025168</v>
      </c>
      <c r="G29" s="219">
        <v>370.50941345025166</v>
      </c>
      <c r="H29" s="219">
        <v>381.25350077025178</v>
      </c>
      <c r="I29" s="219">
        <v>377.42232713025174</v>
      </c>
      <c r="J29" s="219">
        <v>336.37272989025172</v>
      </c>
      <c r="K29" s="219">
        <v>323.9754954697483</v>
      </c>
      <c r="L29" s="219">
        <v>368.90972094974825</v>
      </c>
      <c r="M29" s="219">
        <v>379.80002046974823</v>
      </c>
      <c r="N29" s="219">
        <v>357.0260688502517</v>
      </c>
      <c r="O29" s="219">
        <v>356.45129710605812</v>
      </c>
      <c r="P29" s="219">
        <v>357.94395441012443</v>
      </c>
      <c r="Q29" s="219">
        <v>368.21762063999984</v>
      </c>
      <c r="R29" s="219">
        <v>395.3236118399999</v>
      </c>
      <c r="S29" s="219">
        <v>413.81275792979261</v>
      </c>
      <c r="T29" s="219">
        <v>415.71128529883151</v>
      </c>
      <c r="U29" s="219">
        <v>449.57625926641998</v>
      </c>
      <c r="V29" s="219">
        <v>466.80987406705412</v>
      </c>
      <c r="W29" s="219">
        <v>458.18286912000008</v>
      </c>
      <c r="X29" s="219">
        <v>477.9383956540068</v>
      </c>
      <c r="Y29" s="219">
        <v>436.92581171958142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156.99093216975317</v>
      </c>
      <c r="C31" s="59">
        <f t="shared" si="31"/>
        <v>157.750449594369</v>
      </c>
      <c r="D31" s="59">
        <f t="shared" si="31"/>
        <v>133.99062908115923</v>
      </c>
      <c r="E31" s="59">
        <f t="shared" si="31"/>
        <v>157.87811871921357</v>
      </c>
      <c r="F31" s="59">
        <f t="shared" si="31"/>
        <v>145.4329085576839</v>
      </c>
      <c r="G31" s="59">
        <f t="shared" si="31"/>
        <v>141.85866190533559</v>
      </c>
      <c r="H31" s="59">
        <f t="shared" si="31"/>
        <v>144.06729859549708</v>
      </c>
      <c r="I31" s="59">
        <f t="shared" si="31"/>
        <v>131.91801200800828</v>
      </c>
      <c r="J31" s="59">
        <f t="shared" si="31"/>
        <v>128.73749969512917</v>
      </c>
      <c r="K31" s="59">
        <f t="shared" si="31"/>
        <v>147.79268564251331</v>
      </c>
      <c r="L31" s="59">
        <f t="shared" si="31"/>
        <v>137.17659629210749</v>
      </c>
      <c r="M31" s="59">
        <f t="shared" si="31"/>
        <v>142.062861039605</v>
      </c>
      <c r="N31" s="59">
        <f t="shared" si="31"/>
        <v>139.10079530128473</v>
      </c>
      <c r="O31" s="59">
        <f t="shared" si="31"/>
        <v>155.91475948904278</v>
      </c>
      <c r="P31" s="59">
        <f t="shared" si="31"/>
        <v>134.30027824300106</v>
      </c>
      <c r="Q31" s="59">
        <f t="shared" si="31"/>
        <v>138.32782718922527</v>
      </c>
      <c r="R31" s="59">
        <f t="shared" si="31"/>
        <v>157.39911587980265</v>
      </c>
      <c r="S31" s="59">
        <f t="shared" si="31"/>
        <v>153.16995327700948</v>
      </c>
      <c r="T31" s="59">
        <f t="shared" si="31"/>
        <v>141.3172696686203</v>
      </c>
      <c r="U31" s="59">
        <f t="shared" si="31"/>
        <v>148.02411201610875</v>
      </c>
      <c r="V31" s="59">
        <f t="shared" si="31"/>
        <v>147.17664382196341</v>
      </c>
      <c r="W31" s="59">
        <f t="shared" si="31"/>
        <v>124.4706338356724</v>
      </c>
      <c r="X31" s="59">
        <f t="shared" si="31"/>
        <v>103.48675853546209</v>
      </c>
      <c r="Y31" s="59">
        <f t="shared" si="31"/>
        <v>126.42615742160501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112.4717120162867</v>
      </c>
      <c r="C32" s="55">
        <f t="shared" si="32"/>
        <v>109.81942433546165</v>
      </c>
      <c r="D32" s="55">
        <f t="shared" si="32"/>
        <v>113.80906613357637</v>
      </c>
      <c r="E32" s="55">
        <f t="shared" si="32"/>
        <v>119.53787119840251</v>
      </c>
      <c r="F32" s="55">
        <f t="shared" si="32"/>
        <v>117.30616060932354</v>
      </c>
      <c r="G32" s="55">
        <f t="shared" si="32"/>
        <v>134.29403412451359</v>
      </c>
      <c r="H32" s="55">
        <f t="shared" si="32"/>
        <v>130.05722800154641</v>
      </c>
      <c r="I32" s="55">
        <f t="shared" si="32"/>
        <v>117.81469406104162</v>
      </c>
      <c r="J32" s="55">
        <f t="shared" si="32"/>
        <v>123.49619118298854</v>
      </c>
      <c r="K32" s="55">
        <f t="shared" si="32"/>
        <v>137.83360398812144</v>
      </c>
      <c r="L32" s="55">
        <f t="shared" si="32"/>
        <v>128.47617233393544</v>
      </c>
      <c r="M32" s="55">
        <f t="shared" si="32"/>
        <v>116.02131221383368</v>
      </c>
      <c r="N32" s="55">
        <f t="shared" si="32"/>
        <v>118.31216844961246</v>
      </c>
      <c r="O32" s="55">
        <f t="shared" si="32"/>
        <v>117.89482713876841</v>
      </c>
      <c r="P32" s="55">
        <f t="shared" si="32"/>
        <v>114.21265320772915</v>
      </c>
      <c r="Q32" s="55">
        <f t="shared" si="32"/>
        <v>116.67728719019786</v>
      </c>
      <c r="R32" s="55">
        <f t="shared" si="32"/>
        <v>118.41249825520164</v>
      </c>
      <c r="S32" s="55">
        <f t="shared" si="32"/>
        <v>109.25986032686188</v>
      </c>
      <c r="T32" s="55">
        <f t="shared" si="32"/>
        <v>115.03952384499112</v>
      </c>
      <c r="U32" s="55">
        <f t="shared" si="32"/>
        <v>114.31053707016738</v>
      </c>
      <c r="V32" s="55">
        <f t="shared" si="32"/>
        <v>121.02278233994659</v>
      </c>
      <c r="W32" s="55">
        <f t="shared" si="32"/>
        <v>115.61293230102248</v>
      </c>
      <c r="X32" s="55">
        <f t="shared" si="32"/>
        <v>98.926512660278433</v>
      </c>
      <c r="Y32" s="55">
        <f t="shared" si="32"/>
        <v>101.37891512464499</v>
      </c>
      <c r="DA32" s="216"/>
    </row>
    <row r="33" spans="1:105" x14ac:dyDescent="0.25">
      <c r="A33" s="35" t="s">
        <v>111</v>
      </c>
      <c r="B33" s="55">
        <f>IF(AGR_ued!B$5=0,"",AGR_ued!B$5/B$5*1000)</f>
        <v>43.923707106396776</v>
      </c>
      <c r="C33" s="55">
        <f>IF(AGR_ued!C$5=0,"",AGR_ued!C$5/C$5*1000)</f>
        <v>42.891022698607813</v>
      </c>
      <c r="D33" s="55">
        <f>IF(AGR_ued!D$5=0,"",AGR_ued!D$5/D$5*1000)</f>
        <v>44.825705399322324</v>
      </c>
      <c r="E33" s="55">
        <f>IF(AGR_ued!E$5=0,"",AGR_ued!E$5/E$5*1000)</f>
        <v>47.083517708911991</v>
      </c>
      <c r="F33" s="55">
        <f>IF(AGR_ued!F$5=0,"",AGR_ued!F$5/F$5*1000)</f>
        <v>46.20349956381672</v>
      </c>
      <c r="G33" s="55">
        <f>IF(AGR_ued!G$5=0,"",AGR_ued!G$5/G$5*1000)</f>
        <v>52.943065058215439</v>
      </c>
      <c r="H33" s="55">
        <f>IF(AGR_ued!H$5=0,"",AGR_ued!H$5/H$5*1000)</f>
        <v>51.273024402610702</v>
      </c>
      <c r="I33" s="55">
        <f>IF(AGR_ued!I$5=0,"",AGR_ued!I$5/I$5*1000)</f>
        <v>45.967921728785797</v>
      </c>
      <c r="J33" s="55">
        <f>IF(AGR_ued!J$5=0,"",AGR_ued!J$5/J$5*1000)</f>
        <v>48.66528829360378</v>
      </c>
      <c r="K33" s="55">
        <f>IF(AGR_ued!K$5=0,"",AGR_ued!K$5/K$5*1000)</f>
        <v>53.774913316985852</v>
      </c>
      <c r="L33" s="55">
        <f>IF(AGR_ued!L$5=0,"",AGR_ued!L$5/L$5*1000)</f>
        <v>51.208016471887575</v>
      </c>
      <c r="M33" s="55">
        <f>IF(AGR_ued!M$5=0,"",AGR_ued!M$5/M$5*1000)</f>
        <v>46.115608740956553</v>
      </c>
      <c r="N33" s="55">
        <f>IF(AGR_ued!N$5=0,"",AGR_ued!N$5/N$5*1000)</f>
        <v>47.396863252240429</v>
      </c>
      <c r="O33" s="55">
        <f>IF(AGR_ued!O$5=0,"",AGR_ued!O$5/O$5*1000)</f>
        <v>46.944076181555729</v>
      </c>
      <c r="P33" s="55">
        <f>IF(AGR_ued!P$5=0,"",AGR_ued!P$5/P$5*1000)</f>
        <v>45.95417396828303</v>
      </c>
      <c r="Q33" s="55">
        <f>IF(AGR_ued!Q$5=0,"",AGR_ued!Q$5/Q$5*1000)</f>
        <v>46.72703922392212</v>
      </c>
      <c r="R33" s="55">
        <f>IF(AGR_ued!R$5=0,"",AGR_ued!R$5/R$5*1000)</f>
        <v>47.567181194478948</v>
      </c>
      <c r="S33" s="55">
        <f>IF(AGR_ued!S$5=0,"",AGR_ued!S$5/S$5*1000)</f>
        <v>43.335660017382949</v>
      </c>
      <c r="T33" s="55">
        <f>IF(AGR_ued!T$5=0,"",AGR_ued!T$5/T$5*1000)</f>
        <v>45.825202820199763</v>
      </c>
      <c r="U33" s="55">
        <f>IF(AGR_ued!U$5=0,"",AGR_ued!U$5/U$5*1000)</f>
        <v>44.729698435379767</v>
      </c>
      <c r="V33" s="55">
        <f>IF(AGR_ued!V$5=0,"",AGR_ued!V$5/V$5*1000)</f>
        <v>47.536048957746907</v>
      </c>
      <c r="W33" s="55">
        <f>IF(AGR_ued!W$5=0,"",AGR_ued!W$5/W$5*1000)</f>
        <v>45.887722640561037</v>
      </c>
      <c r="X33" s="55">
        <f>IF(AGR_ued!X$5=0,"",AGR_ued!X$5/X$5*1000)</f>
        <v>38.919384295099128</v>
      </c>
      <c r="Y33" s="55">
        <f>IF(AGR_ued!Y$5=0,"",AGR_ued!Y$5/Y$5*1000)</f>
        <v>38.97668772461418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2.3946665849819353</v>
      </c>
      <c r="C34" s="217">
        <f t="shared" si="33"/>
        <v>2.4608083551299762</v>
      </c>
      <c r="D34" s="217">
        <f t="shared" si="33"/>
        <v>2.4207325514288835</v>
      </c>
      <c r="E34" s="217">
        <f t="shared" si="33"/>
        <v>2.4645211794456414</v>
      </c>
      <c r="F34" s="217">
        <f t="shared" si="33"/>
        <v>2.4159101444693518</v>
      </c>
      <c r="G34" s="217">
        <f t="shared" si="33"/>
        <v>2.4320230989670466</v>
      </c>
      <c r="H34" s="217">
        <f t="shared" si="33"/>
        <v>2.4628806479940968</v>
      </c>
      <c r="I34" s="217">
        <f t="shared" si="33"/>
        <v>2.4200261576580915</v>
      </c>
      <c r="J34" s="217">
        <f t="shared" si="33"/>
        <v>2.5502418213453049</v>
      </c>
      <c r="K34" s="217">
        <f t="shared" si="33"/>
        <v>2.3370099924658971</v>
      </c>
      <c r="L34" s="217">
        <f t="shared" si="33"/>
        <v>2.3658125878935041</v>
      </c>
      <c r="M34" s="217">
        <f t="shared" si="33"/>
        <v>2.4793656691722812</v>
      </c>
      <c r="N34" s="217">
        <f t="shared" si="33"/>
        <v>2.3779968585527764</v>
      </c>
      <c r="O34" s="217">
        <f t="shared" si="33"/>
        <v>2.2861173361241853</v>
      </c>
      <c r="P34" s="217">
        <f t="shared" si="33"/>
        <v>2.3240972818495842</v>
      </c>
      <c r="Q34" s="217">
        <f t="shared" si="33"/>
        <v>2.279067934526485</v>
      </c>
      <c r="R34" s="217">
        <f t="shared" si="33"/>
        <v>2.2380700576257517</v>
      </c>
      <c r="S34" s="217">
        <f t="shared" si="33"/>
        <v>2.134845672290584</v>
      </c>
      <c r="T34" s="217">
        <f t="shared" si="33"/>
        <v>2.2054695356412082</v>
      </c>
      <c r="U34" s="217">
        <f t="shared" si="33"/>
        <v>2.1570033866647025</v>
      </c>
      <c r="V34" s="217">
        <f t="shared" si="33"/>
        <v>2.2111076048432752</v>
      </c>
      <c r="W34" s="217">
        <f t="shared" si="33"/>
        <v>2.3222487292489595</v>
      </c>
      <c r="X34" s="217">
        <f t="shared" si="33"/>
        <v>2.3874861709693409</v>
      </c>
      <c r="Y34" s="217">
        <f t="shared" si="33"/>
        <v>2.2431208950764425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129.6529664660361</v>
      </c>
      <c r="C5" s="80">
        <f t="shared" ref="C5:W5" si="1">SUM(C6:C9,C16:C17,C25:C27)</f>
        <v>135.98693035253649</v>
      </c>
      <c r="D5" s="80">
        <f t="shared" si="1"/>
        <v>128.56311263972478</v>
      </c>
      <c r="E5" s="80">
        <f t="shared" si="1"/>
        <v>146.54333619948409</v>
      </c>
      <c r="F5" s="80">
        <f t="shared" si="1"/>
        <v>155.94368013757517</v>
      </c>
      <c r="G5" s="80">
        <f t="shared" si="1"/>
        <v>152.34617368873597</v>
      </c>
      <c r="H5" s="80">
        <f t="shared" si="1"/>
        <v>154.79982803095439</v>
      </c>
      <c r="I5" s="80">
        <f t="shared" si="1"/>
        <v>155.95795356835768</v>
      </c>
      <c r="J5" s="80">
        <f t="shared" si="1"/>
        <v>131.89836629406699</v>
      </c>
      <c r="K5" s="80">
        <f t="shared" si="1"/>
        <v>138.62820292347371</v>
      </c>
      <c r="L5" s="80">
        <f t="shared" si="1"/>
        <v>155.93361994840927</v>
      </c>
      <c r="M5" s="80">
        <f t="shared" si="1"/>
        <v>153.18435081685286</v>
      </c>
      <c r="N5" s="80">
        <f t="shared" si="1"/>
        <v>150.13731728288903</v>
      </c>
      <c r="O5" s="80">
        <f t="shared" si="1"/>
        <v>155.91994840928623</v>
      </c>
      <c r="P5" s="80">
        <f t="shared" si="1"/>
        <v>154.01418744625954</v>
      </c>
      <c r="Q5" s="80">
        <f t="shared" si="1"/>
        <v>161.56500429922602</v>
      </c>
      <c r="R5" s="80">
        <f t="shared" si="1"/>
        <v>176.63594153052452</v>
      </c>
      <c r="S5" s="80">
        <f t="shared" si="1"/>
        <v>193.83731728288907</v>
      </c>
      <c r="T5" s="80">
        <f t="shared" si="1"/>
        <v>188.49105760963022</v>
      </c>
      <c r="U5" s="80">
        <f t="shared" si="1"/>
        <v>208.42631126397251</v>
      </c>
      <c r="V5" s="80">
        <f t="shared" si="1"/>
        <v>211.12037833190024</v>
      </c>
      <c r="W5" s="80">
        <f t="shared" si="1"/>
        <v>197.30137575236455</v>
      </c>
      <c r="X5" s="80">
        <f t="shared" ref="X5:Y5" si="2">SUM(X6:X9,X16:X17,X25:X27)</f>
        <v>200.1847807394669</v>
      </c>
      <c r="Y5" s="80">
        <f t="shared" si="2"/>
        <v>194.78478073946681</v>
      </c>
      <c r="DA5" s="103"/>
    </row>
    <row r="6" spans="1:105" x14ac:dyDescent="0.25">
      <c r="A6" s="238" t="s">
        <v>125</v>
      </c>
      <c r="B6" s="239">
        <v>2.4395594860810852</v>
      </c>
      <c r="C6" s="239">
        <v>2.3614193512617998</v>
      </c>
      <c r="D6" s="239">
        <v>2.4209650641249478</v>
      </c>
      <c r="E6" s="239">
        <v>2.571341160841047</v>
      </c>
      <c r="F6" s="239">
        <v>2.5932924494775098</v>
      </c>
      <c r="G6" s="239">
        <v>2.5051182022567451</v>
      </c>
      <c r="H6" s="239">
        <v>2.6391583464898738</v>
      </c>
      <c r="I6" s="239">
        <v>2.3536966352138671</v>
      </c>
      <c r="J6" s="239">
        <v>2.230047442686649</v>
      </c>
      <c r="K6" s="239">
        <v>2.1783936364558132</v>
      </c>
      <c r="L6" s="239">
        <v>2.27723281132501</v>
      </c>
      <c r="M6" s="239">
        <v>2.2139282625268799</v>
      </c>
      <c r="N6" s="239">
        <v>2.4003815481486921</v>
      </c>
      <c r="O6" s="239">
        <v>2.4922469535321752</v>
      </c>
      <c r="P6" s="239">
        <v>2.6794659275443129</v>
      </c>
      <c r="Q6" s="239">
        <v>2.67760195563856</v>
      </c>
      <c r="R6" s="239">
        <v>2.9348348317005142</v>
      </c>
      <c r="S6" s="239">
        <v>3.132376882057633</v>
      </c>
      <c r="T6" s="239">
        <v>3.067534720098843</v>
      </c>
      <c r="U6" s="239">
        <v>3.1118208892052288</v>
      </c>
      <c r="V6" s="239">
        <v>3.1913511322380779</v>
      </c>
      <c r="W6" s="239">
        <v>3.1228981387250259</v>
      </c>
      <c r="X6" s="239">
        <v>3.0777905811678918</v>
      </c>
      <c r="Y6" s="239">
        <v>3.1065195310033209</v>
      </c>
      <c r="DA6" s="267" t="s">
        <v>995</v>
      </c>
    </row>
    <row r="7" spans="1:105" x14ac:dyDescent="0.25">
      <c r="A7" s="240" t="s">
        <v>124</v>
      </c>
      <c r="B7" s="241">
        <v>1.5857136659527049</v>
      </c>
      <c r="C7" s="241">
        <v>1.5349225783201701</v>
      </c>
      <c r="D7" s="241">
        <v>1.5736272916812151</v>
      </c>
      <c r="E7" s="241">
        <v>1.67137175454668</v>
      </c>
      <c r="F7" s="241">
        <v>1.685640092160382</v>
      </c>
      <c r="G7" s="241">
        <v>1.628326831466884</v>
      </c>
      <c r="H7" s="241">
        <v>1.7154529252184181</v>
      </c>
      <c r="I7" s="241">
        <v>1.5299028128890131</v>
      </c>
      <c r="J7" s="241">
        <v>1.4495308377463221</v>
      </c>
      <c r="K7" s="241">
        <v>1.4159558636962779</v>
      </c>
      <c r="L7" s="241">
        <v>1.480201327361256</v>
      </c>
      <c r="M7" s="241">
        <v>1.439053370642472</v>
      </c>
      <c r="N7" s="241">
        <v>1.5602480062966491</v>
      </c>
      <c r="O7" s="241">
        <v>1.6199605197959139</v>
      </c>
      <c r="P7" s="241">
        <v>1.7416528529038029</v>
      </c>
      <c r="Q7" s="241">
        <v>1.740441271165063</v>
      </c>
      <c r="R7" s="241">
        <v>1.907642640605334</v>
      </c>
      <c r="S7" s="241">
        <v>2.0360449733374599</v>
      </c>
      <c r="T7" s="241">
        <v>1.993897568064247</v>
      </c>
      <c r="U7" s="241">
        <v>2.0226835779833992</v>
      </c>
      <c r="V7" s="241">
        <v>2.0743782359547498</v>
      </c>
      <c r="W7" s="241">
        <v>2.029883790171267</v>
      </c>
      <c r="X7" s="241">
        <v>2.000563877759129</v>
      </c>
      <c r="Y7" s="241">
        <v>2.019237695152158</v>
      </c>
      <c r="DA7" s="268" t="s">
        <v>996</v>
      </c>
    </row>
    <row r="8" spans="1:105" x14ac:dyDescent="0.25">
      <c r="A8" s="240" t="s">
        <v>123</v>
      </c>
      <c r="B8" s="241">
        <v>2.1956035374729761</v>
      </c>
      <c r="C8" s="241">
        <v>2.1252774161356189</v>
      </c>
      <c r="D8" s="241">
        <v>2.1788685577124531</v>
      </c>
      <c r="E8" s="241">
        <v>2.3142070447569418</v>
      </c>
      <c r="F8" s="241">
        <v>2.33396320452976</v>
      </c>
      <c r="G8" s="241">
        <v>2.2546063820310702</v>
      </c>
      <c r="H8" s="241">
        <v>2.3752425118408871</v>
      </c>
      <c r="I8" s="241">
        <v>2.11832697169248</v>
      </c>
      <c r="J8" s="241">
        <v>2.007042698417985</v>
      </c>
      <c r="K8" s="241">
        <v>1.9605542728102321</v>
      </c>
      <c r="L8" s="241">
        <v>2.0495095301925081</v>
      </c>
      <c r="M8" s="241">
        <v>1.9925354362741921</v>
      </c>
      <c r="N8" s="241">
        <v>2.1603433933338221</v>
      </c>
      <c r="O8" s="241">
        <v>2.2430222581789572</v>
      </c>
      <c r="P8" s="241">
        <v>2.4115193347898818</v>
      </c>
      <c r="Q8" s="241">
        <v>2.4098417600747029</v>
      </c>
      <c r="R8" s="241">
        <v>2.6413513485304621</v>
      </c>
      <c r="S8" s="241">
        <v>2.8191391938518682</v>
      </c>
      <c r="T8" s="241">
        <v>2.760781248088958</v>
      </c>
      <c r="U8" s="241">
        <v>2.8006388002847058</v>
      </c>
      <c r="V8" s="241">
        <v>2.87221601901427</v>
      </c>
      <c r="W8" s="241">
        <v>2.8106083248525242</v>
      </c>
      <c r="X8" s="241">
        <v>2.7700115230511009</v>
      </c>
      <c r="Y8" s="241">
        <v>2.7958675779029889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25.382975830754674</v>
      </c>
      <c r="C9" s="243">
        <f t="shared" ref="C9:W9" si="4">SUM(C10:C15)</f>
        <v>27.106831512274038</v>
      </c>
      <c r="D9" s="243">
        <f t="shared" si="4"/>
        <v>25.718078537355574</v>
      </c>
      <c r="E9" s="243">
        <f t="shared" si="4"/>
        <v>29.805126799017714</v>
      </c>
      <c r="F9" s="243">
        <f t="shared" si="4"/>
        <v>32.093186696504688</v>
      </c>
      <c r="G9" s="243">
        <f t="shared" si="4"/>
        <v>31.654215277605719</v>
      </c>
      <c r="H9" s="243">
        <f t="shared" si="4"/>
        <v>31.881595474723397</v>
      </c>
      <c r="I9" s="243">
        <f t="shared" si="4"/>
        <v>32.138111288078242</v>
      </c>
      <c r="J9" s="243">
        <f t="shared" si="4"/>
        <v>27.16881630154354</v>
      </c>
      <c r="K9" s="243">
        <f t="shared" si="4"/>
        <v>28.696090657057542</v>
      </c>
      <c r="L9" s="243">
        <f t="shared" si="4"/>
        <v>34.563525803826394</v>
      </c>
      <c r="M9" s="243">
        <f t="shared" si="4"/>
        <v>33.579287730613892</v>
      </c>
      <c r="N9" s="243">
        <f t="shared" si="4"/>
        <v>32.768995177967561</v>
      </c>
      <c r="O9" s="243">
        <f t="shared" si="4"/>
        <v>33.477623249040569</v>
      </c>
      <c r="P9" s="243">
        <f t="shared" si="4"/>
        <v>33.476006783497816</v>
      </c>
      <c r="Q9" s="243">
        <f t="shared" si="4"/>
        <v>35.159437894284643</v>
      </c>
      <c r="R9" s="243">
        <f t="shared" si="4"/>
        <v>38.930634936025889</v>
      </c>
      <c r="S9" s="243">
        <f t="shared" si="4"/>
        <v>41.852860147830121</v>
      </c>
      <c r="T9" s="243">
        <f t="shared" si="4"/>
        <v>41.127217020950575</v>
      </c>
      <c r="U9" s="243">
        <f t="shared" si="4"/>
        <v>44.048285380973141</v>
      </c>
      <c r="V9" s="243">
        <f t="shared" si="4"/>
        <v>44.911284852175541</v>
      </c>
      <c r="W9" s="243">
        <f t="shared" si="4"/>
        <v>42.637469892995284</v>
      </c>
      <c r="X9" s="243">
        <f t="shared" ref="X9:Y9" si="5">SUM(X10:X15)</f>
        <v>42.45444829043209</v>
      </c>
      <c r="Y9" s="243">
        <f t="shared" si="5"/>
        <v>38.339461551097628</v>
      </c>
      <c r="DA9" s="269"/>
    </row>
    <row r="10" spans="1:105" x14ac:dyDescent="0.25">
      <c r="A10" s="253" t="s">
        <v>166</v>
      </c>
      <c r="B10" s="254">
        <v>17.905953519621779</v>
      </c>
      <c r="C10" s="254">
        <v>19.29498754524586</v>
      </c>
      <c r="D10" s="254">
        <v>16.89287410362542</v>
      </c>
      <c r="E10" s="254">
        <v>19.766223780296141</v>
      </c>
      <c r="F10" s="254">
        <v>19.786176177164752</v>
      </c>
      <c r="G10" s="254">
        <v>20.295215950139731</v>
      </c>
      <c r="H10" s="254">
        <v>22.053940927897639</v>
      </c>
      <c r="I10" s="254">
        <v>23.013309901463671</v>
      </c>
      <c r="J10" s="254">
        <v>20.512599642147251</v>
      </c>
      <c r="K10" s="254">
        <v>21.335733999574241</v>
      </c>
      <c r="L10" s="254">
        <v>20.378111803177831</v>
      </c>
      <c r="M10" s="254">
        <v>21.59136297831596</v>
      </c>
      <c r="N10" s="254">
        <v>18.93162037379156</v>
      </c>
      <c r="O10" s="254">
        <v>19.773934751096199</v>
      </c>
      <c r="P10" s="254">
        <v>19.273751823886531</v>
      </c>
      <c r="Q10" s="254">
        <v>20.630533646855181</v>
      </c>
      <c r="R10" s="254">
        <v>21.5158203341052</v>
      </c>
      <c r="S10" s="254">
        <v>24.79816997865219</v>
      </c>
      <c r="T10" s="254">
        <v>24.680547616117209</v>
      </c>
      <c r="U10" s="254">
        <v>29.369698343310841</v>
      </c>
      <c r="V10" s="254">
        <v>30.852112912064001</v>
      </c>
      <c r="W10" s="254">
        <v>28.47535219420983</v>
      </c>
      <c r="X10" s="254">
        <v>32.097967851982588</v>
      </c>
      <c r="Y10" s="254">
        <v>32.162203739731368</v>
      </c>
      <c r="DA10" s="270" t="s">
        <v>998</v>
      </c>
    </row>
    <row r="11" spans="1:105" x14ac:dyDescent="0.25">
      <c r="A11" s="253" t="s">
        <v>169</v>
      </c>
      <c r="B11" s="255">
        <v>4.9810106262144602</v>
      </c>
      <c r="C11" s="255">
        <v>5.8517868101753816</v>
      </c>
      <c r="D11" s="255">
        <v>6.0498921786307287</v>
      </c>
      <c r="E11" s="255">
        <v>6.8881281684921616</v>
      </c>
      <c r="F11" s="255">
        <v>8.5016756895700691</v>
      </c>
      <c r="G11" s="255">
        <v>6.7688551704001174</v>
      </c>
      <c r="H11" s="255">
        <v>6.3519931402451437</v>
      </c>
      <c r="I11" s="255">
        <v>5.9415218794798266</v>
      </c>
      <c r="J11" s="255">
        <v>4.1349147493116352</v>
      </c>
      <c r="K11" s="255">
        <v>2.178034211334797</v>
      </c>
      <c r="L11" s="255">
        <v>5.3556709199217698</v>
      </c>
      <c r="M11" s="255">
        <v>4.5708936653098942</v>
      </c>
      <c r="N11" s="255">
        <v>6.7602627675774167</v>
      </c>
      <c r="O11" s="255">
        <v>7.3343127746085406</v>
      </c>
      <c r="P11" s="255">
        <v>6.6241761702339623</v>
      </c>
      <c r="Q11" s="255">
        <v>6.0004049964519153</v>
      </c>
      <c r="R11" s="255">
        <v>6.2171916830442653</v>
      </c>
      <c r="S11" s="255">
        <v>4.6489047590917476</v>
      </c>
      <c r="T11" s="255">
        <v>4.0970687137555304</v>
      </c>
      <c r="U11" s="255">
        <v>3.9291790152890229</v>
      </c>
      <c r="V11" s="255">
        <v>3.567002407177867</v>
      </c>
      <c r="W11" s="255">
        <v>4.0541664314074612</v>
      </c>
      <c r="X11" s="255">
        <v>2.5353731544906268</v>
      </c>
      <c r="Y11" s="255">
        <v>3.0596405042378598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1.1942390369683431</v>
      </c>
      <c r="C14" s="254">
        <v>0.95546001719270102</v>
      </c>
      <c r="D14" s="254">
        <v>1.5525365434185969</v>
      </c>
      <c r="E14" s="254">
        <v>2.077987962157303</v>
      </c>
      <c r="F14" s="254">
        <v>2.8423043852021088</v>
      </c>
      <c r="G14" s="254">
        <v>3.7021496130570619</v>
      </c>
      <c r="H14" s="254">
        <v>2.4840068787546321</v>
      </c>
      <c r="I14" s="254">
        <v>2.484006878755483</v>
      </c>
      <c r="J14" s="254">
        <v>1.7196904557123001</v>
      </c>
      <c r="K14" s="254">
        <v>4.4663800515721848</v>
      </c>
      <c r="L14" s="254">
        <v>8.2640584694459189</v>
      </c>
      <c r="M14" s="254">
        <v>6.8787618228459371</v>
      </c>
      <c r="N14" s="254">
        <v>6.3533104040956552</v>
      </c>
      <c r="O14" s="254">
        <v>5.5889939810576843</v>
      </c>
      <c r="P14" s="254">
        <v>6.6159931212177296</v>
      </c>
      <c r="Q14" s="254">
        <v>7.6430782458858992</v>
      </c>
      <c r="R14" s="254">
        <v>10.222613929454029</v>
      </c>
      <c r="S14" s="254">
        <v>11.349011177946419</v>
      </c>
      <c r="T14" s="254">
        <v>11.338435081641389</v>
      </c>
      <c r="U14" s="254">
        <v>9.8271711091761347</v>
      </c>
      <c r="V14" s="254">
        <v>9.5580395528562061</v>
      </c>
      <c r="W14" s="254">
        <v>9.1611349956796406</v>
      </c>
      <c r="X14" s="254">
        <v>6.9300085984340356</v>
      </c>
      <c r="Y14" s="254">
        <v>1.9671539122896271</v>
      </c>
      <c r="DA14" s="270" t="s">
        <v>1002</v>
      </c>
    </row>
    <row r="15" spans="1:105" x14ac:dyDescent="0.25">
      <c r="A15" s="253" t="s">
        <v>24</v>
      </c>
      <c r="B15" s="255">
        <v>1.30177264795009</v>
      </c>
      <c r="C15" s="255">
        <v>1.0045971396600959</v>
      </c>
      <c r="D15" s="255">
        <v>1.222775711680828</v>
      </c>
      <c r="E15" s="255">
        <v>1.072786888072109</v>
      </c>
      <c r="F15" s="255">
        <v>0.96303044456775733</v>
      </c>
      <c r="G15" s="255">
        <v>0.8879945440088034</v>
      </c>
      <c r="H15" s="255">
        <v>0.99165452782598085</v>
      </c>
      <c r="I15" s="255">
        <v>0.69927262837926074</v>
      </c>
      <c r="J15" s="255">
        <v>0.80161145437235437</v>
      </c>
      <c r="K15" s="255">
        <v>0.71594239457632047</v>
      </c>
      <c r="L15" s="255">
        <v>0.56568461128087277</v>
      </c>
      <c r="M15" s="255">
        <v>0.5382692641420983</v>
      </c>
      <c r="N15" s="255">
        <v>0.72380163250293339</v>
      </c>
      <c r="O15" s="255">
        <v>0.78038174227814283</v>
      </c>
      <c r="P15" s="255">
        <v>0.96208566815959529</v>
      </c>
      <c r="Q15" s="255">
        <v>0.88542100509165333</v>
      </c>
      <c r="R15" s="255">
        <v>0.97500898942239311</v>
      </c>
      <c r="S15" s="255">
        <v>1.056774232139766</v>
      </c>
      <c r="T15" s="255">
        <v>1.0111656094364481</v>
      </c>
      <c r="U15" s="255">
        <v>0.92223691319714118</v>
      </c>
      <c r="V15" s="255">
        <v>0.93412998007746151</v>
      </c>
      <c r="W15" s="255">
        <v>0.94681627169835236</v>
      </c>
      <c r="X15" s="255">
        <v>0.89109868552483962</v>
      </c>
      <c r="Y15" s="255">
        <v>1.1504633948387739</v>
      </c>
      <c r="DA15" s="271" t="s">
        <v>1003</v>
      </c>
    </row>
    <row r="16" spans="1:105" x14ac:dyDescent="0.25">
      <c r="A16" s="256" t="s">
        <v>168</v>
      </c>
      <c r="B16" s="257">
        <v>32.589590699080297</v>
      </c>
      <c r="C16" s="257">
        <v>34.840173827799262</v>
      </c>
      <c r="D16" s="257">
        <v>32.405357841255217</v>
      </c>
      <c r="E16" s="257">
        <v>37.487567045915952</v>
      </c>
      <c r="F16" s="257">
        <v>39.506036727999458</v>
      </c>
      <c r="G16" s="257">
        <v>39.092931354832338</v>
      </c>
      <c r="H16" s="257">
        <v>40.364986638810393</v>
      </c>
      <c r="I16" s="257">
        <v>40.85798382115857</v>
      </c>
      <c r="J16" s="257">
        <v>35.119088745368103</v>
      </c>
      <c r="K16" s="257">
        <v>36.296206476500451</v>
      </c>
      <c r="L16" s="257">
        <v>40.68335659409609</v>
      </c>
      <c r="M16" s="257">
        <v>40.559053435148783</v>
      </c>
      <c r="N16" s="257">
        <v>38.882442864580192</v>
      </c>
      <c r="O16" s="257">
        <v>40.152936350365607</v>
      </c>
      <c r="P16" s="257">
        <v>39.750490458210109</v>
      </c>
      <c r="Q16" s="257">
        <v>41.698776411891401</v>
      </c>
      <c r="R16" s="257">
        <v>45.117536358894839</v>
      </c>
      <c r="S16" s="257">
        <v>49.208886454733857</v>
      </c>
      <c r="T16" s="257">
        <v>48.399328626225753</v>
      </c>
      <c r="U16" s="257">
        <v>53.627947399169408</v>
      </c>
      <c r="V16" s="257">
        <v>55.107715199235876</v>
      </c>
      <c r="W16" s="257">
        <v>51.959515952922629</v>
      </c>
      <c r="X16" s="257">
        <v>53.650086170664032</v>
      </c>
      <c r="Y16" s="257">
        <v>50.836205910933977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53.220241060273906</v>
      </c>
      <c r="C17" s="257">
        <f t="shared" ref="C17:W17" si="7">SUM(C18:C24)</f>
        <v>55.537998506707702</v>
      </c>
      <c r="D17" s="257">
        <f t="shared" si="7"/>
        <v>52.10789137394454</v>
      </c>
      <c r="E17" s="257">
        <f t="shared" si="7"/>
        <v>59.190388131389938</v>
      </c>
      <c r="F17" s="257">
        <f t="shared" si="7"/>
        <v>63.786580275944232</v>
      </c>
      <c r="G17" s="257">
        <f t="shared" si="7"/>
        <v>61.561403495435677</v>
      </c>
      <c r="H17" s="257">
        <f t="shared" si="7"/>
        <v>61.600985611617133</v>
      </c>
      <c r="I17" s="257">
        <f t="shared" si="7"/>
        <v>63.342173192606161</v>
      </c>
      <c r="J17" s="257">
        <f t="shared" si="7"/>
        <v>51.711798458464457</v>
      </c>
      <c r="K17" s="257">
        <f t="shared" si="7"/>
        <v>55.769319050566239</v>
      </c>
      <c r="L17" s="257">
        <f t="shared" si="7"/>
        <v>61.482927480391801</v>
      </c>
      <c r="M17" s="257">
        <f t="shared" si="7"/>
        <v>60.182608212885938</v>
      </c>
      <c r="N17" s="257">
        <f t="shared" si="7"/>
        <v>59.012386067574475</v>
      </c>
      <c r="O17" s="257">
        <f t="shared" si="7"/>
        <v>62.112432698958614</v>
      </c>
      <c r="P17" s="257">
        <f t="shared" si="7"/>
        <v>59.751972555620654</v>
      </c>
      <c r="Q17" s="257">
        <f t="shared" si="7"/>
        <v>63.306012821168139</v>
      </c>
      <c r="R17" s="257">
        <f t="shared" si="7"/>
        <v>69.243885468589468</v>
      </c>
      <c r="S17" s="257">
        <f t="shared" si="7"/>
        <v>77.657788644422297</v>
      </c>
      <c r="T17" s="257">
        <f t="shared" si="7"/>
        <v>74.326504019725363</v>
      </c>
      <c r="U17" s="257">
        <f t="shared" si="7"/>
        <v>84.885917024476285</v>
      </c>
      <c r="V17" s="257">
        <f t="shared" si="7"/>
        <v>84.55521589120994</v>
      </c>
      <c r="W17" s="257">
        <f t="shared" si="7"/>
        <v>77.105445206139564</v>
      </c>
      <c r="X17" s="257">
        <f t="shared" ref="X17:Y17" si="8">SUM(X18:X24)</f>
        <v>78.381982209762668</v>
      </c>
      <c r="Y17" s="257">
        <f t="shared" si="8"/>
        <v>80.307915001661925</v>
      </c>
      <c r="DA17" s="272"/>
    </row>
    <row r="18" spans="1:105" x14ac:dyDescent="0.25">
      <c r="A18" s="61" t="s">
        <v>29</v>
      </c>
      <c r="B18" s="55">
        <v>1.3595012897547341</v>
      </c>
      <c r="C18" s="55">
        <v>2.0392949268970999</v>
      </c>
      <c r="D18" s="55">
        <v>2.039294926903267</v>
      </c>
      <c r="E18" s="55">
        <v>1.252536543412097</v>
      </c>
      <c r="F18" s="55">
        <v>1.252536543415977</v>
      </c>
      <c r="G18" s="55">
        <v>1.252536543415333</v>
      </c>
      <c r="H18" s="55">
        <v>1.252536543416304</v>
      </c>
      <c r="I18" s="55">
        <v>1.252536543417536</v>
      </c>
      <c r="J18" s="55">
        <v>1.2525365434157529</v>
      </c>
      <c r="K18" s="55">
        <v>0.62622527944557971</v>
      </c>
      <c r="L18" s="55">
        <v>0.62622527944659123</v>
      </c>
      <c r="M18" s="55">
        <v>0.62622527944648465</v>
      </c>
      <c r="N18" s="55">
        <v>1.252536543412978</v>
      </c>
      <c r="O18" s="55">
        <v>0.57463456577417882</v>
      </c>
      <c r="P18" s="55">
        <v>0.57712811693606569</v>
      </c>
      <c r="Q18" s="55">
        <v>0</v>
      </c>
      <c r="R18" s="55">
        <v>0</v>
      </c>
      <c r="S18" s="55">
        <v>2.5881341358395041E-2</v>
      </c>
      <c r="T18" s="55">
        <v>1.7884780739352929E-2</v>
      </c>
      <c r="U18" s="55">
        <v>9.5442820291982075E-3</v>
      </c>
      <c r="V18" s="55">
        <v>1.109200343933826E-2</v>
      </c>
      <c r="W18" s="55">
        <v>0</v>
      </c>
      <c r="X18" s="55">
        <v>7.0507308684166952E-3</v>
      </c>
      <c r="Y18" s="55">
        <v>2.4935511607779249E-3</v>
      </c>
      <c r="DA18" s="101" t="s">
        <v>1005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1.0877042132360311</v>
      </c>
      <c r="K19" s="55">
        <v>1.087704213234461</v>
      </c>
      <c r="L19" s="55">
        <v>0</v>
      </c>
      <c r="M19" s="55">
        <v>1.0877042132360319</v>
      </c>
      <c r="N19" s="55">
        <v>1.087704213233621</v>
      </c>
      <c r="O19" s="55">
        <v>1.08770421323408</v>
      </c>
      <c r="P19" s="55">
        <v>1.0877042132361781</v>
      </c>
      <c r="Q19" s="55">
        <v>2.1754084264698799</v>
      </c>
      <c r="R19" s="55">
        <v>2.1754084264699491</v>
      </c>
      <c r="S19" s="55">
        <v>2.9672398968001801</v>
      </c>
      <c r="T19" s="55">
        <v>1.7131556319753261</v>
      </c>
      <c r="U19" s="55">
        <v>2.3320722269902139</v>
      </c>
      <c r="V19" s="55">
        <v>2.4179707652529552</v>
      </c>
      <c r="W19" s="55">
        <v>1.8947549441034659</v>
      </c>
      <c r="X19" s="55">
        <v>2.1895098882117399</v>
      </c>
      <c r="Y19" s="55">
        <v>2.8900257953416162</v>
      </c>
      <c r="DA19" s="101" t="s">
        <v>1006</v>
      </c>
    </row>
    <row r="20" spans="1:105" x14ac:dyDescent="0.25">
      <c r="A20" s="61" t="s">
        <v>166</v>
      </c>
      <c r="B20" s="55">
        <v>25.445447731488962</v>
      </c>
      <c r="C20" s="55">
        <v>28.477317561317921</v>
      </c>
      <c r="D20" s="55">
        <v>25.663286562175781</v>
      </c>
      <c r="E20" s="55">
        <v>30.939221373227969</v>
      </c>
      <c r="F20" s="55">
        <v>30.542512199582539</v>
      </c>
      <c r="G20" s="55">
        <v>32.555710084762097</v>
      </c>
      <c r="H20" s="55">
        <v>36.384449087338687</v>
      </c>
      <c r="I20" s="55">
        <v>35.852224736863533</v>
      </c>
      <c r="J20" s="55">
        <v>35.046111316215807</v>
      </c>
      <c r="K20" s="55">
        <v>33.834455583636483</v>
      </c>
      <c r="L20" s="55">
        <v>37.694144402170487</v>
      </c>
      <c r="M20" s="55">
        <v>39.6602946556185</v>
      </c>
      <c r="N20" s="55">
        <v>34.932408078698707</v>
      </c>
      <c r="O20" s="55">
        <v>34.478817700791502</v>
      </c>
      <c r="P20" s="55">
        <v>36.599966438802532</v>
      </c>
      <c r="Q20" s="55">
        <v>37.994895891745543</v>
      </c>
      <c r="R20" s="55">
        <v>40.137861330682782</v>
      </c>
      <c r="S20" s="55">
        <v>42.123288416648997</v>
      </c>
      <c r="T20" s="55">
        <v>44.257192682097667</v>
      </c>
      <c r="U20" s="55">
        <v>46.314408163740332</v>
      </c>
      <c r="V20" s="55">
        <v>51.258331798094993</v>
      </c>
      <c r="W20" s="55">
        <v>51.723756091642983</v>
      </c>
      <c r="X20" s="55">
        <v>56.413572045341468</v>
      </c>
      <c r="Y20" s="55">
        <v>44.824907182794433</v>
      </c>
      <c r="DA20" s="101" t="s">
        <v>1007</v>
      </c>
    </row>
    <row r="21" spans="1:105" x14ac:dyDescent="0.25">
      <c r="A21" s="61" t="s">
        <v>129</v>
      </c>
      <c r="B21" s="55">
        <v>6.86921754077642</v>
      </c>
      <c r="C21" s="55">
        <v>4.8485812553358594</v>
      </c>
      <c r="D21" s="55">
        <v>4.8485812553505214</v>
      </c>
      <c r="E21" s="55">
        <v>5.8987962166334942</v>
      </c>
      <c r="F21" s="55">
        <v>5.8987962166517649</v>
      </c>
      <c r="G21" s="55">
        <v>4.9290627686746724</v>
      </c>
      <c r="H21" s="55">
        <v>2.019948409276846</v>
      </c>
      <c r="I21" s="55">
        <v>1.050214961303068</v>
      </c>
      <c r="J21" s="55">
        <v>0</v>
      </c>
      <c r="K21" s="55">
        <v>0</v>
      </c>
      <c r="L21" s="55">
        <v>0</v>
      </c>
      <c r="M21" s="55">
        <v>2.1004299226031469</v>
      </c>
      <c r="N21" s="55">
        <v>2.1004299225984902</v>
      </c>
      <c r="O21" s="55">
        <v>2.100429922599377</v>
      </c>
      <c r="P21" s="55">
        <v>1.050214961301714</v>
      </c>
      <c r="Q21" s="55">
        <v>1.0502149613005181</v>
      </c>
      <c r="R21" s="55">
        <v>2.1004299226011032</v>
      </c>
      <c r="S21" s="55">
        <v>0.52261392948945185</v>
      </c>
      <c r="T21" s="55">
        <v>2.8291487532063919</v>
      </c>
      <c r="U21" s="55">
        <v>1.4294067067873071</v>
      </c>
      <c r="V21" s="55">
        <v>0.90300945829403423</v>
      </c>
      <c r="W21" s="55">
        <v>0.83637145313552441</v>
      </c>
      <c r="X21" s="55">
        <v>0.58693035253429704</v>
      </c>
      <c r="Y21" s="55">
        <v>0.66956147893026563</v>
      </c>
      <c r="DA21" s="101" t="s">
        <v>1008</v>
      </c>
    </row>
    <row r="22" spans="1:105" x14ac:dyDescent="0.25">
      <c r="A22" s="61" t="s">
        <v>169</v>
      </c>
      <c r="B22" s="55">
        <v>7.0783186944187042</v>
      </c>
      <c r="C22" s="55">
        <v>8.6366052791547769</v>
      </c>
      <c r="D22" s="55">
        <v>9.1908644851112449</v>
      </c>
      <c r="E22" s="55">
        <v>10.78169126389165</v>
      </c>
      <c r="F22" s="55">
        <v>13.12343179099279</v>
      </c>
      <c r="G22" s="55">
        <v>10.857972000626679</v>
      </c>
      <c r="H22" s="55">
        <v>10.479477195026909</v>
      </c>
      <c r="I22" s="55">
        <v>9.2562425228782264</v>
      </c>
      <c r="J22" s="55">
        <v>7.0645693435017369</v>
      </c>
      <c r="K22" s="55">
        <v>3.4539520311098011</v>
      </c>
      <c r="L22" s="55">
        <v>9.906581874506891</v>
      </c>
      <c r="M22" s="55">
        <v>8.396088277879981</v>
      </c>
      <c r="N22" s="55">
        <v>12.47395907236606</v>
      </c>
      <c r="O22" s="55">
        <v>12.788473123807369</v>
      </c>
      <c r="P22" s="55">
        <v>12.579005257025759</v>
      </c>
      <c r="Q22" s="55">
        <v>11.050841779037221</v>
      </c>
      <c r="R22" s="55">
        <v>11.598199546440069</v>
      </c>
      <c r="S22" s="55">
        <v>7.8968390069643846</v>
      </c>
      <c r="T22" s="55">
        <v>7.3468693773253824</v>
      </c>
      <c r="U22" s="55">
        <v>6.1961004343766346</v>
      </c>
      <c r="V22" s="55">
        <v>5.9262908000129837</v>
      </c>
      <c r="W22" s="55">
        <v>7.3641482719109552</v>
      </c>
      <c r="X22" s="55">
        <v>4.4560283932070544</v>
      </c>
      <c r="Y22" s="55">
        <v>4.2642631930645809</v>
      </c>
      <c r="DA22" s="101" t="s">
        <v>1009</v>
      </c>
    </row>
    <row r="23" spans="1:105" x14ac:dyDescent="0.25">
      <c r="A23" s="61" t="s">
        <v>164</v>
      </c>
      <c r="B23" s="55">
        <v>12.467755803835081</v>
      </c>
      <c r="C23" s="55">
        <v>11.53619948400204</v>
      </c>
      <c r="D23" s="55">
        <v>10.36586414440373</v>
      </c>
      <c r="E23" s="55">
        <v>10.318142734224731</v>
      </c>
      <c r="F23" s="55">
        <v>12.969303525301161</v>
      </c>
      <c r="G23" s="55">
        <v>11.9661220979569</v>
      </c>
      <c r="H23" s="55">
        <v>11.464574376558391</v>
      </c>
      <c r="I23" s="55">
        <v>15.930954428143799</v>
      </c>
      <c r="J23" s="55">
        <v>7.2608770420951343</v>
      </c>
      <c r="K23" s="55">
        <v>16.766981943139921</v>
      </c>
      <c r="L23" s="55">
        <v>13.25597592426783</v>
      </c>
      <c r="M23" s="55">
        <v>8.3118658641017884</v>
      </c>
      <c r="N23" s="55">
        <v>7.1653482372646176</v>
      </c>
      <c r="O23" s="55">
        <v>11.08237317275211</v>
      </c>
      <c r="P23" s="55">
        <v>7.8579535683184112</v>
      </c>
      <c r="Q23" s="55">
        <v>11.034651762614979</v>
      </c>
      <c r="R23" s="55">
        <v>13.231986242395561</v>
      </c>
      <c r="S23" s="55">
        <v>24.121926053160891</v>
      </c>
      <c r="T23" s="55">
        <v>18.162252794381249</v>
      </c>
      <c r="U23" s="55">
        <v>28.604385210552611</v>
      </c>
      <c r="V23" s="55">
        <v>24.038521066115639</v>
      </c>
      <c r="W23" s="55">
        <v>15.28641444534663</v>
      </c>
      <c r="X23" s="55">
        <v>14.728890799599689</v>
      </c>
      <c r="Y23" s="55">
        <v>27.65666380037025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1011</v>
      </c>
    </row>
    <row r="25" spans="1:105" x14ac:dyDescent="0.25">
      <c r="A25" s="256" t="s">
        <v>167</v>
      </c>
      <c r="B25" s="257">
        <v>6.2623614455218108</v>
      </c>
      <c r="C25" s="257">
        <v>6.6948297494465123</v>
      </c>
      <c r="D25" s="257">
        <v>6.2269595665447142</v>
      </c>
      <c r="E25" s="257">
        <v>7.2035484189552337</v>
      </c>
      <c r="F25" s="257">
        <v>7.5914141897392531</v>
      </c>
      <c r="G25" s="257">
        <v>7.5120325495785281</v>
      </c>
      <c r="H25" s="257">
        <v>7.7564685733540957</v>
      </c>
      <c r="I25" s="257">
        <v>7.8512020904453443</v>
      </c>
      <c r="J25" s="257">
        <v>6.7484255752576479</v>
      </c>
      <c r="K25" s="257">
        <v>6.9746185570704364</v>
      </c>
      <c r="L25" s="257">
        <v>7.8176460134699628</v>
      </c>
      <c r="M25" s="257">
        <v>7.7937601255698716</v>
      </c>
      <c r="N25" s="257">
        <v>7.4715854320233408</v>
      </c>
      <c r="O25" s="257">
        <v>7.7157213432605962</v>
      </c>
      <c r="P25" s="257">
        <v>7.6383880112094413</v>
      </c>
      <c r="Q25" s="257">
        <v>8.0127673936890691</v>
      </c>
      <c r="R25" s="257">
        <v>8.6697106085117266</v>
      </c>
      <c r="S25" s="257">
        <v>9.4558976256146252</v>
      </c>
      <c r="T25" s="257">
        <v>9.3003343422343079</v>
      </c>
      <c r="U25" s="257">
        <v>10.305057013327509</v>
      </c>
      <c r="V25" s="257">
        <v>10.589406728088489</v>
      </c>
      <c r="W25" s="257">
        <v>9.984454006681986</v>
      </c>
      <c r="X25" s="257">
        <v>10.30931116276863</v>
      </c>
      <c r="Y25" s="257">
        <v>9.7686006207566489</v>
      </c>
      <c r="DA25" s="272" t="s">
        <v>1012</v>
      </c>
    </row>
    <row r="26" spans="1:105" x14ac:dyDescent="0.25">
      <c r="A26" s="256" t="s">
        <v>170</v>
      </c>
      <c r="B26" s="257">
        <v>2.4395594860810852</v>
      </c>
      <c r="C26" s="257">
        <v>2.3614193512617998</v>
      </c>
      <c r="D26" s="257">
        <v>2.4209650641249478</v>
      </c>
      <c r="E26" s="257">
        <v>2.571341160841047</v>
      </c>
      <c r="F26" s="257">
        <v>2.5932924494775098</v>
      </c>
      <c r="G26" s="257">
        <v>2.5051182022567451</v>
      </c>
      <c r="H26" s="257">
        <v>2.6391583464898738</v>
      </c>
      <c r="I26" s="257">
        <v>2.3536966352138671</v>
      </c>
      <c r="J26" s="257">
        <v>2.230047442686649</v>
      </c>
      <c r="K26" s="257">
        <v>2.1783936364558132</v>
      </c>
      <c r="L26" s="257">
        <v>2.27723281132501</v>
      </c>
      <c r="M26" s="257">
        <v>2.2139282625268799</v>
      </c>
      <c r="N26" s="257">
        <v>2.4003815481486921</v>
      </c>
      <c r="O26" s="257">
        <v>2.4922469535321752</v>
      </c>
      <c r="P26" s="257">
        <v>2.6794659275443129</v>
      </c>
      <c r="Q26" s="257">
        <v>2.67760195563856</v>
      </c>
      <c r="R26" s="257">
        <v>2.9348348317005142</v>
      </c>
      <c r="S26" s="257">
        <v>3.132376882057633</v>
      </c>
      <c r="T26" s="257">
        <v>3.067534720098843</v>
      </c>
      <c r="U26" s="257">
        <v>3.1118208892052288</v>
      </c>
      <c r="V26" s="257">
        <v>3.1913511322380779</v>
      </c>
      <c r="W26" s="257">
        <v>3.1228981387250259</v>
      </c>
      <c r="X26" s="257">
        <v>3.0777905811678918</v>
      </c>
      <c r="Y26" s="257">
        <v>3.1065195310033209</v>
      </c>
      <c r="DA26" s="272" t="s">
        <v>1013</v>
      </c>
    </row>
    <row r="27" spans="1:105" x14ac:dyDescent="0.25">
      <c r="A27" s="128" t="s">
        <v>33</v>
      </c>
      <c r="B27" s="258">
        <v>3.537361254817573</v>
      </c>
      <c r="C27" s="258">
        <v>3.4240580593296102</v>
      </c>
      <c r="D27" s="258">
        <v>3.5103993429811728</v>
      </c>
      <c r="E27" s="258">
        <v>3.7284446832195171</v>
      </c>
      <c r="F27" s="258">
        <v>3.7602740517423912</v>
      </c>
      <c r="G27" s="258">
        <v>3.63242139327228</v>
      </c>
      <c r="H27" s="258">
        <v>3.8267796024103178</v>
      </c>
      <c r="I27" s="258">
        <v>3.4128601210601079</v>
      </c>
      <c r="J27" s="258">
        <v>3.2335687918956411</v>
      </c>
      <c r="K27" s="258">
        <v>3.1586707728609289</v>
      </c>
      <c r="L27" s="258">
        <v>3.3019875764212632</v>
      </c>
      <c r="M27" s="258">
        <v>3.2101959806639759</v>
      </c>
      <c r="N27" s="258">
        <v>3.4805532448156038</v>
      </c>
      <c r="O27" s="258">
        <v>3.6137580826216551</v>
      </c>
      <c r="P27" s="258">
        <v>3.885225594939254</v>
      </c>
      <c r="Q27" s="258">
        <v>3.8825228356759109</v>
      </c>
      <c r="R27" s="258">
        <v>4.2555105059657459</v>
      </c>
      <c r="S27" s="258">
        <v>4.5419464789835651</v>
      </c>
      <c r="T27" s="258">
        <v>4.4479253441433224</v>
      </c>
      <c r="U27" s="258">
        <v>4.5121402893475828</v>
      </c>
      <c r="V27" s="258">
        <v>4.6274591417452129</v>
      </c>
      <c r="W27" s="258">
        <v>4.5282023011512882</v>
      </c>
      <c r="X27" s="258">
        <v>4.4627963426934416</v>
      </c>
      <c r="Y27" s="258">
        <v>4.5044533199548153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0.99999999999999989</v>
      </c>
      <c r="F31" s="235">
        <f t="shared" si="9"/>
        <v>1</v>
      </c>
      <c r="G31" s="235">
        <f t="shared" si="9"/>
        <v>1</v>
      </c>
      <c r="H31" s="235">
        <f t="shared" si="9"/>
        <v>1.0000000000000002</v>
      </c>
      <c r="I31" s="235">
        <f t="shared" si="9"/>
        <v>0.99999999999999967</v>
      </c>
      <c r="J31" s="235">
        <f t="shared" si="9"/>
        <v>1.0000000000000002</v>
      </c>
      <c r="K31" s="235">
        <f t="shared" si="9"/>
        <v>1.0000000000000002</v>
      </c>
      <c r="L31" s="235">
        <f t="shared" si="9"/>
        <v>1.0000000000000002</v>
      </c>
      <c r="M31" s="235">
        <f t="shared" si="9"/>
        <v>1</v>
      </c>
      <c r="N31" s="235">
        <f t="shared" si="9"/>
        <v>1</v>
      </c>
      <c r="O31" s="235">
        <f t="shared" si="9"/>
        <v>1.0000000000000002</v>
      </c>
      <c r="P31" s="235">
        <f t="shared" si="9"/>
        <v>1.0000000000000002</v>
      </c>
      <c r="Q31" s="235">
        <f t="shared" si="9"/>
        <v>1.0000000000000002</v>
      </c>
      <c r="R31" s="235">
        <f t="shared" ref="R31:W31" si="10">SUM(R32:R40)</f>
        <v>0.99999999999999989</v>
      </c>
      <c r="S31" s="235">
        <f t="shared" si="10"/>
        <v>0.99999999999999989</v>
      </c>
      <c r="T31" s="235">
        <f t="shared" si="10"/>
        <v>1</v>
      </c>
      <c r="U31" s="235">
        <f t="shared" si="10"/>
        <v>0.99999999999999978</v>
      </c>
      <c r="V31" s="235">
        <f t="shared" si="10"/>
        <v>1.0000000000000002</v>
      </c>
      <c r="W31" s="235">
        <f t="shared" si="10"/>
        <v>1.0000000000000002</v>
      </c>
      <c r="X31" s="235">
        <f t="shared" ref="X31:Y31" si="11">SUM(X32:X40)</f>
        <v>0.99999999999999989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1.8816071491277078E-2</v>
      </c>
      <c r="C32" s="244">
        <f t="shared" si="12"/>
        <v>1.736504636982383E-2</v>
      </c>
      <c r="D32" s="244">
        <f t="shared" si="12"/>
        <v>1.8830946252128097E-2</v>
      </c>
      <c r="E32" s="244">
        <f t="shared" si="12"/>
        <v>1.7546626325886112E-2</v>
      </c>
      <c r="F32" s="244">
        <f t="shared" si="12"/>
        <v>1.6629673271720147E-2</v>
      </c>
      <c r="G32" s="244">
        <f t="shared" si="12"/>
        <v>1.6443591208106373E-2</v>
      </c>
      <c r="H32" s="244">
        <f t="shared" si="12"/>
        <v>1.7048845467464841E-2</v>
      </c>
      <c r="I32" s="244">
        <f t="shared" si="12"/>
        <v>1.5091866630464744E-2</v>
      </c>
      <c r="J32" s="244">
        <f t="shared" si="12"/>
        <v>1.6907316635861626E-2</v>
      </c>
      <c r="K32" s="244">
        <f t="shared" si="12"/>
        <v>1.5713928266518334E-2</v>
      </c>
      <c r="L32" s="244">
        <f t="shared" si="12"/>
        <v>1.4603860361084632E-2</v>
      </c>
      <c r="M32" s="244">
        <f t="shared" si="12"/>
        <v>1.4452705192933523E-2</v>
      </c>
      <c r="N32" s="244">
        <f t="shared" si="12"/>
        <v>1.5987907547501255E-2</v>
      </c>
      <c r="O32" s="244">
        <f t="shared" si="12"/>
        <v>1.5984144293006593E-2</v>
      </c>
      <c r="P32" s="244">
        <f t="shared" si="12"/>
        <v>1.7397526630325951E-2</v>
      </c>
      <c r="Q32" s="244">
        <f t="shared" si="12"/>
        <v>1.6572908020845371E-2</v>
      </c>
      <c r="R32" s="244">
        <f t="shared" si="12"/>
        <v>1.6615162272585075E-2</v>
      </c>
      <c r="S32" s="244">
        <f t="shared" si="12"/>
        <v>1.6159823742742968E-2</v>
      </c>
      <c r="T32" s="244">
        <f t="shared" si="12"/>
        <v>1.6274165782717318E-2</v>
      </c>
      <c r="U32" s="244">
        <f t="shared" si="12"/>
        <v>1.4930077063370847E-2</v>
      </c>
      <c r="V32" s="244">
        <f t="shared" si="12"/>
        <v>1.5116262851807638E-2</v>
      </c>
      <c r="W32" s="244">
        <f t="shared" si="12"/>
        <v>1.5828060634734829E-2</v>
      </c>
      <c r="X32" s="244">
        <f t="shared" si="12"/>
        <v>1.5374748119206538E-2</v>
      </c>
      <c r="Y32" s="244">
        <f t="shared" si="12"/>
        <v>1.5948471534634048E-2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1.2230446469330098E-2</v>
      </c>
      <c r="C33" s="245">
        <f t="shared" si="13"/>
        <v>1.1287280140385492E-2</v>
      </c>
      <c r="D33" s="245">
        <f t="shared" si="13"/>
        <v>1.2240115063883256E-2</v>
      </c>
      <c r="E33" s="245">
        <f t="shared" si="13"/>
        <v>1.140530711182597E-2</v>
      </c>
      <c r="F33" s="245">
        <f t="shared" si="13"/>
        <v>1.08092876266181E-2</v>
      </c>
      <c r="G33" s="245">
        <f t="shared" si="13"/>
        <v>1.0688334285269139E-2</v>
      </c>
      <c r="H33" s="245">
        <f t="shared" si="13"/>
        <v>1.1081749553852148E-2</v>
      </c>
      <c r="I33" s="245">
        <f t="shared" si="13"/>
        <v>9.8097133098020792E-3</v>
      </c>
      <c r="J33" s="245">
        <f t="shared" si="13"/>
        <v>1.0989755813310059E-2</v>
      </c>
      <c r="K33" s="245">
        <f t="shared" si="13"/>
        <v>1.0214053373236913E-2</v>
      </c>
      <c r="L33" s="245">
        <f t="shared" si="13"/>
        <v>9.4925092347050068E-3</v>
      </c>
      <c r="M33" s="245">
        <f t="shared" si="13"/>
        <v>9.3942583754067898E-3</v>
      </c>
      <c r="N33" s="245">
        <f t="shared" si="13"/>
        <v>1.039213990587581E-2</v>
      </c>
      <c r="O33" s="245">
        <f t="shared" si="13"/>
        <v>1.0389693790454287E-2</v>
      </c>
      <c r="P33" s="245">
        <f t="shared" si="13"/>
        <v>1.1308392309711864E-2</v>
      </c>
      <c r="Q33" s="245">
        <f t="shared" si="13"/>
        <v>1.0772390213549485E-2</v>
      </c>
      <c r="R33" s="245">
        <f t="shared" si="13"/>
        <v>1.0799855477180298E-2</v>
      </c>
      <c r="S33" s="245">
        <f t="shared" si="13"/>
        <v>1.0503885432782922E-2</v>
      </c>
      <c r="T33" s="245">
        <f t="shared" si="13"/>
        <v>1.0578207758766252E-2</v>
      </c>
      <c r="U33" s="245">
        <f t="shared" si="13"/>
        <v>9.7045500911910523E-3</v>
      </c>
      <c r="V33" s="245">
        <f t="shared" si="13"/>
        <v>9.8255708536749611E-3</v>
      </c>
      <c r="W33" s="245">
        <f t="shared" si="13"/>
        <v>1.0288239412577638E-2</v>
      </c>
      <c r="X33" s="245">
        <f t="shared" si="13"/>
        <v>9.9935862774842461E-3</v>
      </c>
      <c r="Y33" s="245">
        <f t="shared" si="13"/>
        <v>1.0366506497512128E-2</v>
      </c>
      <c r="DA33" s="276"/>
    </row>
    <row r="34" spans="1:105" x14ac:dyDescent="0.25">
      <c r="A34" s="240" t="s">
        <v>123</v>
      </c>
      <c r="B34" s="245">
        <f t="shared" ref="B34:Y34" si="14">IF(B$8=0,0,B$8/B$5)</f>
        <v>1.6934464342149368E-2</v>
      </c>
      <c r="C34" s="245">
        <f t="shared" si="14"/>
        <v>1.562854173284144E-2</v>
      </c>
      <c r="D34" s="245">
        <f t="shared" si="14"/>
        <v>1.694785162691529E-2</v>
      </c>
      <c r="E34" s="245">
        <f t="shared" si="14"/>
        <v>1.5791963693297498E-2</v>
      </c>
      <c r="F34" s="245">
        <f t="shared" si="14"/>
        <v>1.496670594454814E-2</v>
      </c>
      <c r="G34" s="245">
        <f t="shared" si="14"/>
        <v>1.4799232087295732E-2</v>
      </c>
      <c r="H34" s="245">
        <f t="shared" si="14"/>
        <v>1.5343960920718363E-2</v>
      </c>
      <c r="I34" s="245">
        <f t="shared" si="14"/>
        <v>1.3582679967418266E-2</v>
      </c>
      <c r="J34" s="245">
        <f t="shared" si="14"/>
        <v>1.5216584972275468E-2</v>
      </c>
      <c r="K34" s="245">
        <f t="shared" si="14"/>
        <v>1.4142535439866504E-2</v>
      </c>
      <c r="L34" s="245">
        <f t="shared" si="14"/>
        <v>1.3143474324976163E-2</v>
      </c>
      <c r="M34" s="245">
        <f t="shared" si="14"/>
        <v>1.3007434673640171E-2</v>
      </c>
      <c r="N34" s="245">
        <f t="shared" si="14"/>
        <v>1.4389116792751124E-2</v>
      </c>
      <c r="O34" s="245">
        <f t="shared" si="14"/>
        <v>1.4385729863705931E-2</v>
      </c>
      <c r="P34" s="245">
        <f t="shared" si="14"/>
        <v>1.5657773967293356E-2</v>
      </c>
      <c r="Q34" s="245">
        <f t="shared" si="14"/>
        <v>1.4915617218760828E-2</v>
      </c>
      <c r="R34" s="245">
        <f t="shared" si="14"/>
        <v>1.4953646045326563E-2</v>
      </c>
      <c r="S34" s="245">
        <f t="shared" si="14"/>
        <v>1.4543841368468665E-2</v>
      </c>
      <c r="T34" s="245">
        <f t="shared" si="14"/>
        <v>1.4646749204445583E-2</v>
      </c>
      <c r="U34" s="245">
        <f t="shared" si="14"/>
        <v>1.3437069357033761E-2</v>
      </c>
      <c r="V34" s="245">
        <f t="shared" si="14"/>
        <v>1.3604636566626874E-2</v>
      </c>
      <c r="W34" s="245">
        <f t="shared" si="14"/>
        <v>1.424525457126135E-2</v>
      </c>
      <c r="X34" s="245">
        <f t="shared" si="14"/>
        <v>1.3837273307285874E-2</v>
      </c>
      <c r="Y34" s="245">
        <f t="shared" si="14"/>
        <v>1.4353624381170644E-2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0.19577628281574258</v>
      </c>
      <c r="C35" s="246">
        <f t="shared" si="15"/>
        <v>0.19933409366621849</v>
      </c>
      <c r="D35" s="246">
        <f t="shared" si="15"/>
        <v>0.20004243837364072</v>
      </c>
      <c r="E35" s="246">
        <f t="shared" si="15"/>
        <v>0.20338780030533141</v>
      </c>
      <c r="F35" s="246">
        <f t="shared" si="15"/>
        <v>0.20579985458975791</v>
      </c>
      <c r="G35" s="246">
        <f t="shared" si="15"/>
        <v>0.20777821005389738</v>
      </c>
      <c r="H35" s="246">
        <f t="shared" si="15"/>
        <v>0.20595368793528782</v>
      </c>
      <c r="I35" s="246">
        <f t="shared" si="15"/>
        <v>0.20606907536775185</v>
      </c>
      <c r="J35" s="246">
        <f t="shared" si="15"/>
        <v>0.20598296298053267</v>
      </c>
      <c r="K35" s="246">
        <f t="shared" si="15"/>
        <v>0.20700037980654279</v>
      </c>
      <c r="L35" s="246">
        <f t="shared" si="15"/>
        <v>0.22165538012432312</v>
      </c>
      <c r="M35" s="246">
        <f t="shared" si="15"/>
        <v>0.21920834309479351</v>
      </c>
      <c r="N35" s="246">
        <f t="shared" si="15"/>
        <v>0.21826016190381339</v>
      </c>
      <c r="O35" s="246">
        <f t="shared" si="15"/>
        <v>0.21471032789956157</v>
      </c>
      <c r="P35" s="246">
        <f t="shared" si="15"/>
        <v>0.21735664316755662</v>
      </c>
      <c r="Q35" s="246">
        <f t="shared" si="15"/>
        <v>0.21761790585025273</v>
      </c>
      <c r="R35" s="246">
        <f t="shared" si="15"/>
        <v>0.22040041567247101</v>
      </c>
      <c r="S35" s="246">
        <f t="shared" si="15"/>
        <v>0.21591745456706579</v>
      </c>
      <c r="T35" s="246">
        <f t="shared" si="15"/>
        <v>0.21819187362259959</v>
      </c>
      <c r="U35" s="246">
        <f t="shared" si="15"/>
        <v>0.21133745117806102</v>
      </c>
      <c r="V35" s="246">
        <f t="shared" si="15"/>
        <v>0.21272832687695811</v>
      </c>
      <c r="W35" s="246">
        <f t="shared" si="15"/>
        <v>0.21610325691043386</v>
      </c>
      <c r="X35" s="246">
        <f t="shared" si="15"/>
        <v>0.2120763033713586</v>
      </c>
      <c r="Y35" s="246">
        <f t="shared" si="15"/>
        <v>0.19682986219738768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0.25136016234242869</v>
      </c>
      <c r="C36" s="259">
        <f t="shared" si="16"/>
        <v>0.25620236987097639</v>
      </c>
      <c r="D36" s="259">
        <f t="shared" si="16"/>
        <v>0.25205797507458816</v>
      </c>
      <c r="E36" s="259">
        <f t="shared" si="16"/>
        <v>0.25581215781033878</v>
      </c>
      <c r="F36" s="259">
        <f t="shared" si="16"/>
        <v>0.25333528548990775</v>
      </c>
      <c r="G36" s="259">
        <f t="shared" si="16"/>
        <v>0.25660592851320657</v>
      </c>
      <c r="H36" s="259">
        <f t="shared" si="16"/>
        <v>0.2607560173176604</v>
      </c>
      <c r="I36" s="259">
        <f t="shared" si="16"/>
        <v>0.2619807639579611</v>
      </c>
      <c r="J36" s="259">
        <f t="shared" si="16"/>
        <v>0.26625870912661803</v>
      </c>
      <c r="K36" s="259">
        <f t="shared" si="16"/>
        <v>0.26182411450963466</v>
      </c>
      <c r="L36" s="259">
        <f t="shared" si="16"/>
        <v>0.26090176453003655</v>
      </c>
      <c r="M36" s="259">
        <f t="shared" si="16"/>
        <v>0.26477282580673772</v>
      </c>
      <c r="N36" s="259">
        <f t="shared" si="16"/>
        <v>0.25897920362675603</v>
      </c>
      <c r="O36" s="259">
        <f t="shared" si="16"/>
        <v>0.25752276575262251</v>
      </c>
      <c r="P36" s="259">
        <f t="shared" si="16"/>
        <v>0.25809629046077537</v>
      </c>
      <c r="Q36" s="259">
        <f t="shared" si="16"/>
        <v>0.25809287470858044</v>
      </c>
      <c r="R36" s="259">
        <f t="shared" si="16"/>
        <v>0.25542670403292789</v>
      </c>
      <c r="S36" s="259">
        <f t="shared" si="16"/>
        <v>0.25386693926906589</v>
      </c>
      <c r="T36" s="259">
        <f t="shared" si="16"/>
        <v>0.25677254528680077</v>
      </c>
      <c r="U36" s="259">
        <f t="shared" si="16"/>
        <v>0.25729931635766207</v>
      </c>
      <c r="V36" s="259">
        <f t="shared" si="16"/>
        <v>0.26102508736793562</v>
      </c>
      <c r="W36" s="259">
        <f t="shared" si="16"/>
        <v>0.26335100682793855</v>
      </c>
      <c r="X36" s="259">
        <f t="shared" si="16"/>
        <v>0.26800282205512732</v>
      </c>
      <c r="Y36" s="259">
        <f t="shared" si="16"/>
        <v>0.260986539697522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0.41048224742482448</v>
      </c>
      <c r="C37" s="259">
        <f t="shared" si="17"/>
        <v>0.40840688412282983</v>
      </c>
      <c r="D37" s="259">
        <f t="shared" si="17"/>
        <v>0.40530981479864775</v>
      </c>
      <c r="E37" s="259">
        <f t="shared" si="17"/>
        <v>0.40391047226341448</v>
      </c>
      <c r="F37" s="259">
        <f t="shared" si="17"/>
        <v>0.40903600722819311</v>
      </c>
      <c r="G37" s="259">
        <f t="shared" si="17"/>
        <v>0.40408893774525656</v>
      </c>
      <c r="H37" s="259">
        <f t="shared" si="17"/>
        <v>0.39793962561314444</v>
      </c>
      <c r="I37" s="259">
        <f t="shared" si="17"/>
        <v>0.40614904045174427</v>
      </c>
      <c r="J37" s="259">
        <f t="shared" si="17"/>
        <v>0.39205791482794539</v>
      </c>
      <c r="K37" s="259">
        <f t="shared" si="17"/>
        <v>0.40229417877798157</v>
      </c>
      <c r="L37" s="259">
        <f t="shared" si="17"/>
        <v>0.39428910520215887</v>
      </c>
      <c r="M37" s="259">
        <f t="shared" si="17"/>
        <v>0.3928770001110638</v>
      </c>
      <c r="N37" s="259">
        <f t="shared" si="17"/>
        <v>0.39305608449352547</v>
      </c>
      <c r="O37" s="259">
        <f t="shared" si="17"/>
        <v>0.3983610393194521</v>
      </c>
      <c r="P37" s="259">
        <f t="shared" si="17"/>
        <v>0.38796408010443856</v>
      </c>
      <c r="Q37" s="259">
        <f t="shared" si="17"/>
        <v>0.39182998258659041</v>
      </c>
      <c r="R37" s="259">
        <f t="shared" si="17"/>
        <v>0.39201469909578629</v>
      </c>
      <c r="S37" s="259">
        <f t="shared" si="17"/>
        <v>0.40063383941229108</v>
      </c>
      <c r="T37" s="259">
        <f t="shared" si="17"/>
        <v>0.39432376772832078</v>
      </c>
      <c r="U37" s="259">
        <f t="shared" si="17"/>
        <v>0.40727063924749901</v>
      </c>
      <c r="V37" s="259">
        <f t="shared" si="17"/>
        <v>0.40050712564696872</v>
      </c>
      <c r="W37" s="259">
        <f t="shared" si="17"/>
        <v>0.39080034243104106</v>
      </c>
      <c r="X37" s="259">
        <f t="shared" si="17"/>
        <v>0.3915481582577145</v>
      </c>
      <c r="Y37" s="259">
        <f t="shared" si="17"/>
        <v>0.41229050183893617</v>
      </c>
      <c r="DA37" s="278"/>
    </row>
    <row r="38" spans="1:105" x14ac:dyDescent="0.25">
      <c r="A38" s="127" t="s">
        <v>167</v>
      </c>
      <c r="B38" s="259">
        <f t="shared" ref="B38:Y38" si="18">IF(B$25=0,0,B$25/B$5)</f>
        <v>4.8300949960618907E-2</v>
      </c>
      <c r="C38" s="259">
        <f t="shared" si="18"/>
        <v>4.9231420490856291E-2</v>
      </c>
      <c r="D38" s="259">
        <f t="shared" si="18"/>
        <v>4.8435040492482935E-2</v>
      </c>
      <c r="E38" s="259">
        <f t="shared" si="18"/>
        <v>4.915643799148469E-2</v>
      </c>
      <c r="F38" s="259">
        <f t="shared" si="18"/>
        <v>4.8680486333540586E-2</v>
      </c>
      <c r="G38" s="259">
        <f t="shared" si="18"/>
        <v>4.9308967647107668E-2</v>
      </c>
      <c r="H38" s="259">
        <f t="shared" si="18"/>
        <v>5.0106441796583141E-2</v>
      </c>
      <c r="I38" s="259">
        <f t="shared" si="18"/>
        <v>5.0341787070218878E-2</v>
      </c>
      <c r="J38" s="259">
        <f t="shared" si="18"/>
        <v>5.1163829885595813E-2</v>
      </c>
      <c r="K38" s="259">
        <f t="shared" si="18"/>
        <v>5.0311685573249498E-2</v>
      </c>
      <c r="L38" s="259">
        <f t="shared" si="18"/>
        <v>5.0134448338058434E-2</v>
      </c>
      <c r="M38" s="259">
        <f t="shared" si="18"/>
        <v>5.0878305022737526E-2</v>
      </c>
      <c r="N38" s="259">
        <f t="shared" si="18"/>
        <v>4.9765012238398833E-2</v>
      </c>
      <c r="O38" s="259">
        <f t="shared" si="18"/>
        <v>4.9485145563331043E-2</v>
      </c>
      <c r="P38" s="259">
        <f t="shared" si="18"/>
        <v>4.9595353115599941E-2</v>
      </c>
      <c r="Q38" s="259">
        <f t="shared" si="18"/>
        <v>4.9594696750349755E-2</v>
      </c>
      <c r="R38" s="259">
        <f t="shared" si="18"/>
        <v>4.9082369835889324E-2</v>
      </c>
      <c r="S38" s="259">
        <f t="shared" si="18"/>
        <v>4.8782648037862322E-2</v>
      </c>
      <c r="T38" s="259">
        <f t="shared" si="18"/>
        <v>4.9340984448692185E-2</v>
      </c>
      <c r="U38" s="259">
        <f t="shared" si="18"/>
        <v>4.9442207899923568E-2</v>
      </c>
      <c r="V38" s="259">
        <f t="shared" si="18"/>
        <v>5.0158145849099361E-2</v>
      </c>
      <c r="W38" s="259">
        <f t="shared" si="18"/>
        <v>5.0605090656912606E-2</v>
      </c>
      <c r="X38" s="259">
        <f t="shared" si="18"/>
        <v>5.1498975719766714E-2</v>
      </c>
      <c r="Y38" s="259">
        <f t="shared" si="18"/>
        <v>5.0150738592983711E-2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1.8816071491277078E-2</v>
      </c>
      <c r="C39" s="259">
        <f t="shared" si="19"/>
        <v>1.736504636982383E-2</v>
      </c>
      <c r="D39" s="259">
        <f t="shared" si="19"/>
        <v>1.8830946252128097E-2</v>
      </c>
      <c r="E39" s="259">
        <f t="shared" si="19"/>
        <v>1.7546626325886112E-2</v>
      </c>
      <c r="F39" s="259">
        <f t="shared" si="19"/>
        <v>1.6629673271720147E-2</v>
      </c>
      <c r="G39" s="259">
        <f t="shared" si="19"/>
        <v>1.6443591208106373E-2</v>
      </c>
      <c r="H39" s="259">
        <f t="shared" si="19"/>
        <v>1.7048845467464841E-2</v>
      </c>
      <c r="I39" s="259">
        <f t="shared" si="19"/>
        <v>1.5091866630464744E-2</v>
      </c>
      <c r="J39" s="259">
        <f t="shared" si="19"/>
        <v>1.6907316635861626E-2</v>
      </c>
      <c r="K39" s="259">
        <f t="shared" si="19"/>
        <v>1.5713928266518334E-2</v>
      </c>
      <c r="L39" s="259">
        <f t="shared" si="19"/>
        <v>1.4603860361084632E-2</v>
      </c>
      <c r="M39" s="259">
        <f t="shared" si="19"/>
        <v>1.4452705192933523E-2</v>
      </c>
      <c r="N39" s="259">
        <f t="shared" si="19"/>
        <v>1.5987907547501255E-2</v>
      </c>
      <c r="O39" s="259">
        <f t="shared" si="19"/>
        <v>1.5984144293006593E-2</v>
      </c>
      <c r="P39" s="259">
        <f t="shared" si="19"/>
        <v>1.7397526630325951E-2</v>
      </c>
      <c r="Q39" s="259">
        <f t="shared" si="19"/>
        <v>1.6572908020845371E-2</v>
      </c>
      <c r="R39" s="259">
        <f t="shared" si="19"/>
        <v>1.6615162272585075E-2</v>
      </c>
      <c r="S39" s="259">
        <f t="shared" si="19"/>
        <v>1.6159823742742968E-2</v>
      </c>
      <c r="T39" s="259">
        <f t="shared" si="19"/>
        <v>1.6274165782717318E-2</v>
      </c>
      <c r="U39" s="259">
        <f t="shared" si="19"/>
        <v>1.4930077063370847E-2</v>
      </c>
      <c r="V39" s="259">
        <f t="shared" si="19"/>
        <v>1.5116262851807638E-2</v>
      </c>
      <c r="W39" s="259">
        <f t="shared" si="19"/>
        <v>1.5828060634734829E-2</v>
      </c>
      <c r="X39" s="259">
        <f t="shared" si="19"/>
        <v>1.5374748119206538E-2</v>
      </c>
      <c r="Y39" s="259">
        <f t="shared" si="19"/>
        <v>1.5948471534634048E-2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2.7283303662351762E-2</v>
      </c>
      <c r="C40" s="261">
        <f t="shared" si="20"/>
        <v>2.5179317236244558E-2</v>
      </c>
      <c r="D40" s="261">
        <f t="shared" si="20"/>
        <v>2.7304872065585732E-2</v>
      </c>
      <c r="E40" s="261">
        <f t="shared" si="20"/>
        <v>2.5442608172534856E-2</v>
      </c>
      <c r="F40" s="261">
        <f t="shared" si="20"/>
        <v>2.4113026243994227E-2</v>
      </c>
      <c r="G40" s="261">
        <f t="shared" si="20"/>
        <v>2.3843207251754237E-2</v>
      </c>
      <c r="H40" s="261">
        <f t="shared" si="20"/>
        <v>2.4720825927824028E-2</v>
      </c>
      <c r="I40" s="261">
        <f t="shared" si="20"/>
        <v>2.1883206614173881E-2</v>
      </c>
      <c r="J40" s="261">
        <f t="shared" si="20"/>
        <v>2.4515609121999356E-2</v>
      </c>
      <c r="K40" s="261">
        <f t="shared" si="20"/>
        <v>2.2785195986451585E-2</v>
      </c>
      <c r="L40" s="261">
        <f t="shared" si="20"/>
        <v>2.1175597523572707E-2</v>
      </c>
      <c r="M40" s="261">
        <f t="shared" si="20"/>
        <v>2.0956422529753608E-2</v>
      </c>
      <c r="N40" s="261">
        <f t="shared" si="20"/>
        <v>2.318246594387682E-2</v>
      </c>
      <c r="O40" s="261">
        <f t="shared" si="20"/>
        <v>2.317700922485957E-2</v>
      </c>
      <c r="P40" s="261">
        <f t="shared" si="20"/>
        <v>2.5226413613972629E-2</v>
      </c>
      <c r="Q40" s="261">
        <f t="shared" si="20"/>
        <v>2.4030716630225785E-2</v>
      </c>
      <c r="R40" s="261">
        <f t="shared" si="20"/>
        <v>2.409198529524836E-2</v>
      </c>
      <c r="S40" s="261">
        <f t="shared" si="20"/>
        <v>2.3431744426977291E-2</v>
      </c>
      <c r="T40" s="261">
        <f t="shared" si="20"/>
        <v>2.3597540384940111E-2</v>
      </c>
      <c r="U40" s="261">
        <f t="shared" si="20"/>
        <v>2.1648611741887733E-2</v>
      </c>
      <c r="V40" s="261">
        <f t="shared" si="20"/>
        <v>2.1918581135121077E-2</v>
      </c>
      <c r="W40" s="261">
        <f t="shared" si="20"/>
        <v>2.2950687920365503E-2</v>
      </c>
      <c r="X40" s="261">
        <f t="shared" si="20"/>
        <v>2.2293384772849471E-2</v>
      </c>
      <c r="Y40" s="261">
        <f t="shared" si="20"/>
        <v>2.3125283725219371E-2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112.4717120162867</v>
      </c>
      <c r="C44" s="236">
        <f t="shared" si="21"/>
        <v>109.81942433546163</v>
      </c>
      <c r="D44" s="236">
        <f t="shared" si="21"/>
        <v>113.80906613357632</v>
      </c>
      <c r="E44" s="236">
        <f t="shared" si="21"/>
        <v>119.53787119840248</v>
      </c>
      <c r="F44" s="236">
        <f t="shared" si="21"/>
        <v>117.30616060932354</v>
      </c>
      <c r="G44" s="236">
        <f t="shared" si="21"/>
        <v>134.29403412451353</v>
      </c>
      <c r="H44" s="236">
        <f t="shared" si="21"/>
        <v>130.05722800154641</v>
      </c>
      <c r="I44" s="236">
        <f t="shared" si="21"/>
        <v>117.81469406104158</v>
      </c>
      <c r="J44" s="236">
        <f t="shared" si="21"/>
        <v>123.49619118298848</v>
      </c>
      <c r="K44" s="236">
        <f t="shared" si="21"/>
        <v>137.83360398812141</v>
      </c>
      <c r="L44" s="236">
        <f t="shared" si="21"/>
        <v>128.47617233393547</v>
      </c>
      <c r="M44" s="236">
        <f t="shared" si="21"/>
        <v>116.0213122138336</v>
      </c>
      <c r="N44" s="236">
        <f t="shared" si="21"/>
        <v>118.3121684496124</v>
      </c>
      <c r="O44" s="236">
        <f t="shared" si="21"/>
        <v>117.89482713876833</v>
      </c>
      <c r="P44" s="236">
        <f t="shared" si="21"/>
        <v>114.21265320772912</v>
      </c>
      <c r="Q44" s="236">
        <f t="shared" si="21"/>
        <v>116.67728719019786</v>
      </c>
      <c r="R44" s="236">
        <f t="shared" si="21"/>
        <v>118.41249825520164</v>
      </c>
      <c r="S44" s="236">
        <f t="shared" si="21"/>
        <v>109.25986032686185</v>
      </c>
      <c r="T44" s="236">
        <f t="shared" si="21"/>
        <v>115.03952384499108</v>
      </c>
      <c r="U44" s="236">
        <f t="shared" si="21"/>
        <v>114.31053707016741</v>
      </c>
      <c r="V44" s="236">
        <f t="shared" si="21"/>
        <v>121.02278233994659</v>
      </c>
      <c r="W44" s="236">
        <f t="shared" si="21"/>
        <v>115.61293230102248</v>
      </c>
      <c r="X44" s="236">
        <f t="shared" si="21"/>
        <v>98.926512660278433</v>
      </c>
      <c r="Y44" s="236">
        <f t="shared" si="21"/>
        <v>101.37891512464495</v>
      </c>
      <c r="DA44" s="280"/>
    </row>
    <row r="45" spans="1:105" x14ac:dyDescent="0.25">
      <c r="A45" s="238" t="s">
        <v>125</v>
      </c>
      <c r="B45" s="247">
        <f>IF(B$6=0,0,B$6/AGR!B$5*1000)</f>
        <v>2.116275774044778</v>
      </c>
      <c r="C45" s="247">
        <f>IF(C$6=0,0,C$6/AGR!C$5*1000)</f>
        <v>1.9070193958926507</v>
      </c>
      <c r="D45" s="247">
        <f>IF(D$6=0,0,D$6/AGR!D$5*1000)</f>
        <v>2.1431324073662683</v>
      </c>
      <c r="E45" s="247">
        <f>IF(E$6=0,0,E$6/AGR!E$5*1000)</f>
        <v>2.0974863577102729</v>
      </c>
      <c r="F45" s="247">
        <f>IF(F$6=0,0,F$6/AGR!F$5*1000)</f>
        <v>1.9507631236929783</v>
      </c>
      <c r="G45" s="247">
        <f>IF(G$6=0,0,G$6/AGR!G$5*1000)</f>
        <v>2.2082761988309882</v>
      </c>
      <c r="H45" s="247">
        <f>IF(H$6=0,0,H$6/AGR!H$5*1000)</f>
        <v>2.2173255821252056</v>
      </c>
      <c r="I45" s="247">
        <f>IF(I$6=0,0,I$6/AGR!I$5*1000)</f>
        <v>1.7780436498782464</v>
      </c>
      <c r="J45" s="247">
        <f>IF(J$6=0,0,J$6/AGR!J$5*1000)</f>
        <v>2.0879892076536892</v>
      </c>
      <c r="K45" s="247">
        <f>IF(K$6=0,0,K$6/AGR!K$5*1000)</f>
        <v>2.165907365785035</v>
      </c>
      <c r="L45" s="247">
        <f>IF(L$6=0,0,L$6/AGR!L$5*1000)</f>
        <v>1.8762480804914381</v>
      </c>
      <c r="M45" s="247">
        <f>IF(M$6=0,0,M$6/AGR!M$5*1000)</f>
        <v>1.676821821523834</v>
      </c>
      <c r="N45" s="247">
        <f>IF(N$6=0,0,N$6/AGR!N$5*1000)</f>
        <v>1.8915640109167982</v>
      </c>
      <c r="O45" s="247">
        <f>IF(O$6=0,0,O$6/AGR!O$5*1000)</f>
        <v>1.8844479283851427</v>
      </c>
      <c r="P45" s="247">
        <f>IF(P$6=0,0,P$6/AGR!P$5*1000)</f>
        <v>1.9870176757016489</v>
      </c>
      <c r="Q45" s="247">
        <f>IF(Q$6=0,0,Q$6/AGR!Q$5*1000)</f>
        <v>1.9336819487249086</v>
      </c>
      <c r="R45" s="247">
        <f>IF(R$6=0,0,R$6/AGR!R$5*1000)</f>
        <v>1.9674428736123728</v>
      </c>
      <c r="S45" s="247">
        <f>IF(S$6=0,0,S$6/AGR!S$5*1000)</f>
        <v>1.7656200850388029</v>
      </c>
      <c r="T45" s="247">
        <f>IF(T$6=0,0,T$6/AGR!T$5*1000)</f>
        <v>1.872172282618247</v>
      </c>
      <c r="U45" s="247">
        <f>IF(U$6=0,0,U$6/AGR!U$5*1000)</f>
        <v>1.7066651276129097</v>
      </c>
      <c r="V45" s="247">
        <f>IF(V$6=0,0,V$6/AGR!V$5*1000)</f>
        <v>1.8294121889077362</v>
      </c>
      <c r="W45" s="247">
        <f>IF(W$6=0,0,W$6/AGR!W$5*1000)</f>
        <v>1.8299285026200762</v>
      </c>
      <c r="X45" s="247">
        <f>IF(X$6=0,0,X$6/AGR!X$5*1000)</f>
        <v>1.5209702144632777</v>
      </c>
      <c r="Y45" s="247">
        <f>IF(Y$6=0,0,Y$6/AGR!Y$5*1000)</f>
        <v>1.6168387420774815</v>
      </c>
      <c r="DA45" s="281"/>
    </row>
    <row r="46" spans="1:105" x14ac:dyDescent="0.25">
      <c r="A46" s="240" t="s">
        <v>124</v>
      </c>
      <c r="B46" s="248">
        <f>IF(B$7=0,0,B$7/AGR!B$5*1000)</f>
        <v>1.3755792531291051</v>
      </c>
      <c r="C46" s="248">
        <f>IF(C$7=0,0,C$7/AGR!C$5*1000)</f>
        <v>1.2395626073302231</v>
      </c>
      <c r="D46" s="248">
        <f>IF(D$7=0,0,D$7/AGR!D$5*1000)</f>
        <v>1.3930360647880733</v>
      </c>
      <c r="E46" s="248">
        <f>IF(E$7=0,0,E$7/AGR!E$5*1000)</f>
        <v>1.363366132511677</v>
      </c>
      <c r="F46" s="248">
        <f>IF(F$7=0,0,F$7/AGR!F$5*1000)</f>
        <v>1.2679960304004363</v>
      </c>
      <c r="G46" s="248">
        <f>IF(G$7=0,0,G$7/AGR!G$5*1000)</f>
        <v>1.4353795292401419</v>
      </c>
      <c r="H46" s="248">
        <f>IF(H$7=0,0,H$7/AGR!H$5*1000)</f>
        <v>1.4412616283813837</v>
      </c>
      <c r="I46" s="248">
        <f>IF(I$7=0,0,I$7/AGR!I$5*1000)</f>
        <v>1.15572837242086</v>
      </c>
      <c r="J46" s="248">
        <f>IF(J$7=0,0,J$7/AGR!J$5*1000)</f>
        <v>1.357192984974898</v>
      </c>
      <c r="K46" s="248">
        <f>IF(K$7=0,0,K$7/AGR!K$5*1000)</f>
        <v>1.407839787760272</v>
      </c>
      <c r="L46" s="248">
        <f>IF(L$7=0,0,L$7/AGR!L$5*1000)</f>
        <v>1.2195612523194344</v>
      </c>
      <c r="M46" s="248">
        <f>IF(M$7=0,0,M$7/AGR!M$5*1000)</f>
        <v>1.0899341839904921</v>
      </c>
      <c r="N46" s="248">
        <f>IF(N$7=0,0,N$7/AGR!N$5*1000)</f>
        <v>1.2295166070959183</v>
      </c>
      <c r="O46" s="248">
        <f>IF(O$7=0,0,O$7/AGR!O$5*1000)</f>
        <v>1.2248911534503428</v>
      </c>
      <c r="P46" s="248">
        <f>IF(P$7=0,0,P$7/AGR!P$5*1000)</f>
        <v>1.2915614892060714</v>
      </c>
      <c r="Q46" s="248">
        <f>IF(Q$7=0,0,Q$7/AGR!Q$5*1000)</f>
        <v>1.2568932666711896</v>
      </c>
      <c r="R46" s="248">
        <f>IF(R$7=0,0,R$7/AGR!R$5*1000)</f>
        <v>1.2788378678480421</v>
      </c>
      <c r="S46" s="248">
        <f>IF(S$7=0,0,S$7/AGR!S$5*1000)</f>
        <v>1.1476530552752211</v>
      </c>
      <c r="T46" s="248">
        <f>IF(T$7=0,0,T$7/AGR!T$5*1000)</f>
        <v>1.21691198370186</v>
      </c>
      <c r="U46" s="248">
        <f>IF(U$7=0,0,U$7/AGR!U$5*1000)</f>
        <v>1.1093323329483915</v>
      </c>
      <c r="V46" s="248">
        <f>IF(V$7=0,0,V$7/AGR!V$5*1000)</f>
        <v>1.1891179227900279</v>
      </c>
      <c r="W46" s="248">
        <f>IF(W$7=0,0,W$7/AGR!W$5*1000)</f>
        <v>1.1894535267030497</v>
      </c>
      <c r="X46" s="248">
        <f>IF(X$7=0,0,X$7/AGR!X$5*1000)</f>
        <v>0.98863063940113027</v>
      </c>
      <c r="Y46" s="248">
        <f>IF(Y$7=0,0,Y$7/AGR!Y$5*1000)</f>
        <v>1.0509451823503626</v>
      </c>
      <c r="DA46" s="282"/>
    </row>
    <row r="47" spans="1:105" x14ac:dyDescent="0.25">
      <c r="A47" s="240" t="s">
        <v>123</v>
      </c>
      <c r="B47" s="248">
        <f>IF(B$8=0,0,B$8/AGR!B$5*1000)</f>
        <v>1.9046481966402997</v>
      </c>
      <c r="C47" s="248">
        <f>IF(C$8=0,0,C$8/AGR!C$5*1000)</f>
        <v>1.7163174563033847</v>
      </c>
      <c r="D47" s="248">
        <f>IF(D$8=0,0,D$8/AGR!D$5*1000)</f>
        <v>1.9288191666296413</v>
      </c>
      <c r="E47" s="248">
        <f>IF(E$8=0,0,E$8/AGR!E$5*1000)</f>
        <v>1.8877377219392453</v>
      </c>
      <c r="F47" s="248">
        <f>IF(F$8=0,0,F$8/AGR!F$5*1000)</f>
        <v>1.7556868113236812</v>
      </c>
      <c r="G47" s="248">
        <f>IF(G$8=0,0,G$8/AGR!G$5*1000)</f>
        <v>1.9874485789478888</v>
      </c>
      <c r="H47" s="248">
        <f>IF(H$8=0,0,H$8/AGR!H$5*1000)</f>
        <v>1.9955930239126856</v>
      </c>
      <c r="I47" s="248">
        <f>IF(I$8=0,0,I$8/AGR!I$5*1000)</f>
        <v>1.6002392848904217</v>
      </c>
      <c r="J47" s="248">
        <f>IF(J$8=0,0,J$8/AGR!J$5*1000)</f>
        <v>1.879190286888321</v>
      </c>
      <c r="K47" s="248">
        <f>IF(K$8=0,0,K$8/AGR!K$5*1000)</f>
        <v>1.9493166292065314</v>
      </c>
      <c r="L47" s="248">
        <f>IF(L$8=0,0,L$8/AGR!L$5*1000)</f>
        <v>1.6886232724422936</v>
      </c>
      <c r="M47" s="248">
        <f>IF(M$8=0,0,M$8/AGR!M$5*1000)</f>
        <v>1.5091396393714509</v>
      </c>
      <c r="N47" s="248">
        <f>IF(N$8=0,0,N$8/AGR!N$5*1000)</f>
        <v>1.7024076098251177</v>
      </c>
      <c r="O47" s="248">
        <f>IF(O$8=0,0,O$8/AGR!O$5*1000)</f>
        <v>1.6960031355466281</v>
      </c>
      <c r="P47" s="248">
        <f>IF(P$8=0,0,P$8/AGR!P$5*1000)</f>
        <v>1.7883159081314843</v>
      </c>
      <c r="Q47" s="248">
        <f>IF(Q$8=0,0,Q$8/AGR!Q$5*1000)</f>
        <v>1.7403137538524169</v>
      </c>
      <c r="R47" s="248">
        <f>IF(R$8=0,0,R$8/AGR!R$5*1000)</f>
        <v>1.7706985862511349</v>
      </c>
      <c r="S47" s="248">
        <f>IF(S$8=0,0,S$8/AGR!S$5*1000)</f>
        <v>1.5890580765349218</v>
      </c>
      <c r="T47" s="248">
        <f>IF(T$8=0,0,T$8/AGR!T$5*1000)</f>
        <v>1.6849550543564218</v>
      </c>
      <c r="U47" s="248">
        <f>IF(U$8=0,0,U$8/AGR!U$5*1000)</f>
        <v>1.5359986148516187</v>
      </c>
      <c r="V47" s="248">
        <f>IF(V$8=0,0,V$8/AGR!V$5*1000)</f>
        <v>1.6464709700169624</v>
      </c>
      <c r="W47" s="248">
        <f>IF(W$8=0,0,W$8/AGR!W$5*1000)</f>
        <v>1.6469356523580692</v>
      </c>
      <c r="X47" s="248">
        <f>IF(X$8=0,0,X$8/AGR!X$5*1000)</f>
        <v>1.3688731930169493</v>
      </c>
      <c r="Y47" s="248">
        <f>IF(Y$8=0,0,Y$8/AGR!Y$5*1000)</f>
        <v>1.4551548678697335</v>
      </c>
      <c r="DA47" s="282"/>
    </row>
    <row r="48" spans="1:105" x14ac:dyDescent="0.25">
      <c r="A48" s="242" t="s">
        <v>122</v>
      </c>
      <c r="B48" s="249">
        <f>IF(B$9=0,0,B$9/AGR!B$5*1000)</f>
        <v>22.019293700471298</v>
      </c>
      <c r="C48" s="249">
        <f>IF(C$9=0,0,C$9/AGR!C$5*1000)</f>
        <v>21.8907554168551</v>
      </c>
      <c r="D48" s="249">
        <f>IF(D$9=0,0,D$9/AGR!D$5*1000)</f>
        <v>22.766643098387544</v>
      </c>
      <c r="E48" s="249">
        <f>IF(E$9=0,0,E$9/AGR!E$5*1000)</f>
        <v>24.312544676225119</v>
      </c>
      <c r="F48" s="249">
        <f>IF(F$9=0,0,F$9/AGR!F$5*1000)</f>
        <v>24.141590795881566</v>
      </c>
      <c r="G48" s="249">
        <f>IF(G$9=0,0,G$9/AGR!G$5*1000)</f>
        <v>27.903374031308442</v>
      </c>
      <c r="H48" s="249">
        <f>IF(H$9=0,0,H$9/AGR!H$5*1000)</f>
        <v>26.785765749559062</v>
      </c>
      <c r="I48" s="249">
        <f>IF(I$9=0,0,I$9/AGR!I$5*1000)</f>
        <v>24.277965069893408</v>
      </c>
      <c r="J48" s="249">
        <f>IF(J$9=0,0,J$9/AGR!J$5*1000)</f>
        <v>25.438111376682308</v>
      </c>
      <c r="K48" s="249">
        <f>IF(K$9=0,0,K$9/AGR!K$5*1000)</f>
        <v>28.531608375645732</v>
      </c>
      <c r="L48" s="249">
        <f>IF(L$9=0,0,L$9/AGR!L$5*1000)</f>
        <v>28.47743481559651</v>
      </c>
      <c r="M48" s="249">
        <f>IF(M$9=0,0,M$9/AGR!M$5*1000)</f>
        <v>25.432839614078183</v>
      </c>
      <c r="N48" s="249">
        <f>IF(N$9=0,0,N$9/AGR!N$5*1000)</f>
        <v>25.822833041003648</v>
      </c>
      <c r="O48" s="249">
        <f>IF(O$9=0,0,O$9/AGR!O$5*1000)</f>
        <v>25.313236992627075</v>
      </c>
      <c r="P48" s="249">
        <f>IF(P$9=0,0,P$9/AGR!P$5*1000)</f>
        <v>24.824878908492259</v>
      </c>
      <c r="Q48" s="249">
        <f>IF(Q$9=0,0,Q$9/AGR!Q$5*1000)</f>
        <v>25.391066898619368</v>
      </c>
      <c r="R48" s="249">
        <f>IF(R$9=0,0,R$9/AGR!R$5*1000)</f>
        <v>26.098163836262195</v>
      </c>
      <c r="S48" s="249">
        <f>IF(S$9=0,0,S$9/AGR!S$5*1000)</f>
        <v>23.591110928129151</v>
      </c>
      <c r="T48" s="249">
        <f>IF(T$9=0,0,T$9/AGR!T$5*1000)</f>
        <v>25.100689248390328</v>
      </c>
      <c r="U48" s="249">
        <f>IF(U$9=0,0,U$9/AGR!U$5*1000)</f>
        <v>24.158097547204445</v>
      </c>
      <c r="V48" s="249">
        <f>IF(V$9=0,0,V$9/AGR!V$5*1000)</f>
        <v>25.744974001171112</v>
      </c>
      <c r="W48" s="249">
        <f>IF(W$9=0,0,W$9/AGR!W$5*1000)</f>
        <v>24.984331211216457</v>
      </c>
      <c r="X48" s="249">
        <f>IF(X$9=0,0,X$9/AGR!X$5*1000)</f>
        <v>20.979969110411762</v>
      </c>
      <c r="Y48" s="249">
        <f>IF(Y$9=0,0,Y$9/AGR!Y$5*1000)</f>
        <v>19.954397893704531</v>
      </c>
      <c r="DA48" s="283"/>
    </row>
    <row r="49" spans="1:105" x14ac:dyDescent="0.25">
      <c r="A49" s="127" t="s">
        <v>168</v>
      </c>
      <c r="B49" s="262">
        <f>IF(B$16=0,0,B$16/AGR!B$5*1000)</f>
        <v>28.270907791344708</v>
      </c>
      <c r="C49" s="262">
        <f>IF(C$16=0,0,C$16/AGR!C$5*1000)</f>
        <v>28.135996772611644</v>
      </c>
      <c r="D49" s="262">
        <f>IF(D$16=0,0,D$16/AGR!D$5*1000)</f>
        <v>28.686482754759137</v>
      </c>
      <c r="E49" s="262">
        <f>IF(E$16=0,0,E$16/AGR!E$5*1000)</f>
        <v>30.579240771317689</v>
      </c>
      <c r="F49" s="262">
        <f>IF(F$16=0,0,F$16/AGR!F$5*1000)</f>
        <v>29.717789687687944</v>
      </c>
      <c r="G49" s="262">
        <f>IF(G$16=0,0,G$16/AGR!G$5*1000)</f>
        <v>34.460645320305055</v>
      </c>
      <c r="H49" s="262">
        <f>IF(H$16=0,0,H$16/AGR!H$5*1000)</f>
        <v>33.913204797058135</v>
      </c>
      <c r="I49" s="262">
        <f>IF(I$16=0,0,I$16/AGR!I$5*1000)</f>
        <v>30.865183555585141</v>
      </c>
      <c r="J49" s="262">
        <f>IF(J$16=0,0,J$16/AGR!J$5*1000)</f>
        <v>32.881936446436541</v>
      </c>
      <c r="K49" s="262">
        <f>IF(K$16=0,0,K$16/AGR!K$5*1000)</f>
        <v>36.088161313861526</v>
      </c>
      <c r="L49" s="262">
        <f>IF(L$16=0,0,L$16/AGR!L$5*1000)</f>
        <v>33.519660061988823</v>
      </c>
      <c r="M49" s="262">
        <f>IF(M$16=0,0,M$16/AGR!M$5*1000)</f>
        <v>30.71929068866249</v>
      </c>
      <c r="N49" s="262">
        <f>IF(N$16=0,0,N$16/AGR!N$5*1000)</f>
        <v>30.640391164435229</v>
      </c>
      <c r="O49" s="262">
        <f>IF(O$16=0,0,O$16/AGR!O$5*1000)</f>
        <v>30.360601952702957</v>
      </c>
      <c r="P49" s="262">
        <f>IF(P$16=0,0,P$16/AGR!P$5*1000)</f>
        <v>29.477862116597851</v>
      </c>
      <c r="Q49" s="262">
        <f>IF(Q$16=0,0,Q$16/AGR!Q$5*1000)</f>
        <v>30.113576464116786</v>
      </c>
      <c r="R49" s="262">
        <f>IF(R$16=0,0,R$16/AGR!R$5*1000)</f>
        <v>30.245714145630984</v>
      </c>
      <c r="S49" s="262">
        <f>IF(S$16=0,0,S$16/AGR!S$5*1000)</f>
        <v>27.737466326146063</v>
      </c>
      <c r="T49" s="262">
        <f>IF(T$16=0,0,T$16/AGR!T$5*1000)</f>
        <v>29.538991346259976</v>
      </c>
      <c r="U49" s="262">
        <f>IF(U$16=0,0,U$16/AGR!U$5*1000)</f>
        <v>29.412023040631265</v>
      </c>
      <c r="V49" s="262">
        <f>IF(V$16=0,0,V$16/AGR!V$5*1000)</f>
        <v>31.589982333795209</v>
      </c>
      <c r="W49" s="262">
        <f>IF(W$16=0,0,W$16/AGR!W$5*1000)</f>
        <v>30.446782123804567</v>
      </c>
      <c r="X49" s="262">
        <f>IF(X$16=0,0,X$16/AGR!X$5*1000)</f>
        <v>26.512584569026906</v>
      </c>
      <c r="Y49" s="262">
        <f>IF(Y$16=0,0,Y$16/AGR!Y$5*1000)</f>
        <v>26.458532256669869</v>
      </c>
      <c r="DA49" s="284"/>
    </row>
    <row r="50" spans="1:105" x14ac:dyDescent="0.25">
      <c r="A50" s="127" t="s">
        <v>121</v>
      </c>
      <c r="B50" s="262">
        <f>IF(B$17=0,0,B$17/AGR!B$5*1000)</f>
        <v>46.167641120162997</v>
      </c>
      <c r="C50" s="262">
        <f>IF(C$17=0,0,C$17/AGR!C$5*1000)</f>
        <v>44.851008909008755</v>
      </c>
      <c r="D50" s="262">
        <f>IF(D$17=0,0,D$17/AGR!D$5*1000)</f>
        <v>46.127931517006878</v>
      </c>
      <c r="E50" s="262">
        <f>IF(E$17=0,0,E$17/AGR!E$5*1000)</f>
        <v>48.282598009109968</v>
      </c>
      <c r="F50" s="262">
        <f>IF(F$17=0,0,F$17/AGR!F$5*1000)</f>
        <v>47.982443558906837</v>
      </c>
      <c r="G50" s="262">
        <f>IF(G$17=0,0,G$17/AGR!G$5*1000)</f>
        <v>54.266733594899918</v>
      </c>
      <c r="H50" s="262">
        <f>IF(H$17=0,0,H$17/AGR!H$5*1000)</f>
        <v>51.754924619218741</v>
      </c>
      <c r="I50" s="262">
        <f>IF(I$17=0,0,I$17/AGR!I$5*1000)</f>
        <v>47.850324944007866</v>
      </c>
      <c r="J50" s="262">
        <f>IF(J$17=0,0,J$17/AGR!J$5*1000)</f>
        <v>48.417659204395761</v>
      </c>
      <c r="K50" s="262">
        <f>IF(K$17=0,0,K$17/AGR!K$5*1000)</f>
        <v>55.449656524410813</v>
      </c>
      <c r="L50" s="262">
        <f>IF(L$17=0,0,L$17/AGR!L$5*1000)</f>
        <v>50.656755029345767</v>
      </c>
      <c r="M50" s="262">
        <f>IF(M$17=0,0,M$17/AGR!M$5*1000)</f>
        <v>45.582105091520063</v>
      </c>
      <c r="N50" s="262">
        <f>IF(N$17=0,0,N$17/AGR!N$5*1000)</f>
        <v>46.50331767874308</v>
      </c>
      <c r="O50" s="262">
        <f>IF(O$17=0,0,O$17/AGR!O$5*1000)</f>
        <v>46.964705869386897</v>
      </c>
      <c r="P50" s="262">
        <f>IF(P$17=0,0,P$17/AGR!P$5*1000)</f>
        <v>44.310406938023867</v>
      </c>
      <c r="Q50" s="262">
        <f>IF(Q$17=0,0,Q$17/AGR!Q$5*1000)</f>
        <v>45.717659407985828</v>
      </c>
      <c r="R50" s="262">
        <f>IF(R$17=0,0,R$17/AGR!R$5*1000)</f>
        <v>46.419439872693196</v>
      </c>
      <c r="S50" s="262">
        <f>IF(S$17=0,0,S$17/AGR!S$5*1000)</f>
        <v>43.773197336401331</v>
      </c>
      <c r="T50" s="262">
        <f>IF(T$17=0,0,T$17/AGR!T$5*1000)</f>
        <v>45.362818480228889</v>
      </c>
      <c r="U50" s="262">
        <f>IF(U$17=0,0,U$17/AGR!U$5*1000)</f>
        <v>46.555325505292018</v>
      </c>
      <c r="V50" s="262">
        <f>IF(V$17=0,0,V$17/AGR!V$5*1000)</f>
        <v>48.470486692770727</v>
      </c>
      <c r="W50" s="262">
        <f>IF(W$17=0,0,W$17/AGR!W$5*1000)</f>
        <v>45.181573532696348</v>
      </c>
      <c r="X50" s="262">
        <f>IF(X$17=0,0,X$17/AGR!X$5*1000)</f>
        <v>38.734493834990509</v>
      </c>
      <c r="Y50" s="262">
        <f>IF(Y$17=0,0,Y$17/AGR!Y$5*1000)</f>
        <v>41.797563792626796</v>
      </c>
      <c r="DA50" s="284"/>
    </row>
    <row r="51" spans="1:105" x14ac:dyDescent="0.25">
      <c r="A51" s="127" t="s">
        <v>167</v>
      </c>
      <c r="B51" s="262">
        <f>IF(B$25=0,0,B$25/AGR!B$5*1000)</f>
        <v>5.4324905340838043</v>
      </c>
      <c r="C51" s="262">
        <f>IF(C$25=0,0,C$25/AGR!C$5*1000)</f>
        <v>5.4065662575228872</v>
      </c>
      <c r="D51" s="262">
        <f>IF(D$25=0,0,D$25/AGR!D$5*1000)</f>
        <v>5.5123467265914377</v>
      </c>
      <c r="E51" s="262">
        <f>IF(E$25=0,0,E$25/AGR!E$5*1000)</f>
        <v>5.8760559531983567</v>
      </c>
      <c r="F51" s="262">
        <f>IF(F$25=0,0,F$25/AGR!F$5*1000)</f>
        <v>5.7105209483822916</v>
      </c>
      <c r="G51" s="262">
        <f>IF(G$25=0,0,G$25/AGR!G$5*1000)</f>
        <v>6.6219001838452121</v>
      </c>
      <c r="H51" s="262">
        <f>IF(H$25=0,0,H$25/AGR!H$5*1000)</f>
        <v>6.5167049250844276</v>
      </c>
      <c r="I51" s="262">
        <f>IF(I$25=0,0,I$25/AGR!I$5*1000)</f>
        <v>5.9310022421639372</v>
      </c>
      <c r="J51" s="262">
        <f>IF(J$25=0,0,J$25/AGR!J$5*1000)</f>
        <v>6.3185381172054411</v>
      </c>
      <c r="K51" s="262">
        <f>IF(K$25=0,0,K$25/AGR!K$5*1000)</f>
        <v>6.9346409452781508</v>
      </c>
      <c r="L51" s="262">
        <f>IF(L$25=0,0,L$25/AGR!L$5*1000)</f>
        <v>6.4410820245471792</v>
      </c>
      <c r="M51" s="262">
        <f>IF(M$25=0,0,M$25/AGR!M$5*1000)</f>
        <v>5.9029677119536865</v>
      </c>
      <c r="N51" s="262">
        <f>IF(N$25=0,0,N$25/AGR!N$5*1000)</f>
        <v>5.8878065108464659</v>
      </c>
      <c r="O51" s="262">
        <f>IF(O$25=0,0,O$25/AGR!O$5*1000)</f>
        <v>5.8340426821257019</v>
      </c>
      <c r="P51" s="262">
        <f>IF(P$25=0,0,P$25/AGR!P$5*1000)</f>
        <v>5.6644168661068806</v>
      </c>
      <c r="Q51" s="262">
        <f>IF(Q$25=0,0,Q$25/AGR!Q$5*1000)</f>
        <v>5.7865746758513286</v>
      </c>
      <c r="R51" s="262">
        <f>IF(R$25=0,0,R$25/AGR!R$5*1000)</f>
        <v>5.811966032553407</v>
      </c>
      <c r="S51" s="262">
        <f>IF(S$25=0,0,S$25/AGR!S$5*1000)</f>
        <v>5.3299853109912991</v>
      </c>
      <c r="T51" s="262">
        <f>IF(T$25=0,0,T$25/AGR!T$5*1000)</f>
        <v>5.6761633570206591</v>
      </c>
      <c r="U51" s="262">
        <f>IF(U$25=0,0,U$25/AGR!U$5*1000)</f>
        <v>5.6517653389751379</v>
      </c>
      <c r="V51" s="262">
        <f>IF(V$25=0,0,V$25/AGR!V$5*1000)</f>
        <v>6.0702783676708476</v>
      </c>
      <c r="W51" s="262">
        <f>IF(W$25=0,0,W$25/AGR!W$5*1000)</f>
        <v>5.8506029202047412</v>
      </c>
      <c r="X51" s="262">
        <f>IF(X$25=0,0,X$25/AGR!X$5*1000)</f>
        <v>5.094614073532874</v>
      </c>
      <c r="Y51" s="262">
        <f>IF(Y$25=0,0,Y$25/AGR!Y$5*1000)</f>
        <v>5.0842274712563524</v>
      </c>
      <c r="DA51" s="284"/>
    </row>
    <row r="52" spans="1:105" x14ac:dyDescent="0.25">
      <c r="A52" s="127" t="s">
        <v>170</v>
      </c>
      <c r="B52" s="262">
        <f>IF(B$26=0,0,B$26/AGR!B$5*1000)</f>
        <v>2.116275774044778</v>
      </c>
      <c r="C52" s="262">
        <f>IF(C$26=0,0,C$26/AGR!C$5*1000)</f>
        <v>1.9070193958926507</v>
      </c>
      <c r="D52" s="262">
        <f>IF(D$26=0,0,D$26/AGR!D$5*1000)</f>
        <v>2.1431324073662683</v>
      </c>
      <c r="E52" s="262">
        <f>IF(E$26=0,0,E$26/AGR!E$5*1000)</f>
        <v>2.0974863577102729</v>
      </c>
      <c r="F52" s="262">
        <f>IF(F$26=0,0,F$26/AGR!F$5*1000)</f>
        <v>1.9507631236929783</v>
      </c>
      <c r="G52" s="262">
        <f>IF(G$26=0,0,G$26/AGR!G$5*1000)</f>
        <v>2.2082761988309882</v>
      </c>
      <c r="H52" s="262">
        <f>IF(H$26=0,0,H$26/AGR!H$5*1000)</f>
        <v>2.2173255821252056</v>
      </c>
      <c r="I52" s="262">
        <f>IF(I$26=0,0,I$26/AGR!I$5*1000)</f>
        <v>1.7780436498782464</v>
      </c>
      <c r="J52" s="262">
        <f>IF(J$26=0,0,J$26/AGR!J$5*1000)</f>
        <v>2.0879892076536892</v>
      </c>
      <c r="K52" s="262">
        <f>IF(K$26=0,0,K$26/AGR!K$5*1000)</f>
        <v>2.165907365785035</v>
      </c>
      <c r="L52" s="262">
        <f>IF(L$26=0,0,L$26/AGR!L$5*1000)</f>
        <v>1.8762480804914381</v>
      </c>
      <c r="M52" s="262">
        <f>IF(M$26=0,0,M$26/AGR!M$5*1000)</f>
        <v>1.676821821523834</v>
      </c>
      <c r="N52" s="262">
        <f>IF(N$26=0,0,N$26/AGR!N$5*1000)</f>
        <v>1.8915640109167982</v>
      </c>
      <c r="O52" s="262">
        <f>IF(O$26=0,0,O$26/AGR!O$5*1000)</f>
        <v>1.8844479283851427</v>
      </c>
      <c r="P52" s="262">
        <f>IF(P$26=0,0,P$26/AGR!P$5*1000)</f>
        <v>1.9870176757016489</v>
      </c>
      <c r="Q52" s="262">
        <f>IF(Q$26=0,0,Q$26/AGR!Q$5*1000)</f>
        <v>1.9336819487249086</v>
      </c>
      <c r="R52" s="262">
        <f>IF(R$26=0,0,R$26/AGR!R$5*1000)</f>
        <v>1.9674428736123728</v>
      </c>
      <c r="S52" s="262">
        <f>IF(S$26=0,0,S$26/AGR!S$5*1000)</f>
        <v>1.7656200850388029</v>
      </c>
      <c r="T52" s="262">
        <f>IF(T$26=0,0,T$26/AGR!T$5*1000)</f>
        <v>1.872172282618247</v>
      </c>
      <c r="U52" s="262">
        <f>IF(U$26=0,0,U$26/AGR!U$5*1000)</f>
        <v>1.7066651276129097</v>
      </c>
      <c r="V52" s="262">
        <f>IF(V$26=0,0,V$26/AGR!V$5*1000)</f>
        <v>1.8294121889077362</v>
      </c>
      <c r="W52" s="262">
        <f>IF(W$26=0,0,W$26/AGR!W$5*1000)</f>
        <v>1.8299285026200762</v>
      </c>
      <c r="X52" s="262">
        <f>IF(X$26=0,0,X$26/AGR!X$5*1000)</f>
        <v>1.5209702144632777</v>
      </c>
      <c r="Y52" s="262">
        <f>IF(Y$26=0,0,Y$26/AGR!Y$5*1000)</f>
        <v>1.6168387420774815</v>
      </c>
      <c r="DA52" s="284"/>
    </row>
    <row r="53" spans="1:105" x14ac:dyDescent="0.25">
      <c r="A53" s="260" t="s">
        <v>33</v>
      </c>
      <c r="B53" s="263">
        <f>IF(B$27=0,0,B$27/AGR!B$5*1000)</f>
        <v>3.0685998723649273</v>
      </c>
      <c r="C53" s="263">
        <f>IF(C$27=0,0,C$27/AGR!C$5*1000)</f>
        <v>2.7651781240443438</v>
      </c>
      <c r="D53" s="263">
        <f>IF(D$27=0,0,D$27/AGR!D$5*1000)</f>
        <v>3.1075419906810873</v>
      </c>
      <c r="E53" s="263">
        <f>IF(E$27=0,0,E$27/AGR!E$5*1000)</f>
        <v>3.0413552186798949</v>
      </c>
      <c r="F53" s="263">
        <f>IF(F$27=0,0,F$27/AGR!F$5*1000)</f>
        <v>2.8286065293548202</v>
      </c>
      <c r="G53" s="263">
        <f>IF(G$27=0,0,G$27/AGR!G$5*1000)</f>
        <v>3.202000488304932</v>
      </c>
      <c r="H53" s="263">
        <f>IF(H$27=0,0,H$27/AGR!H$5*1000)</f>
        <v>3.2151220940815488</v>
      </c>
      <c r="I53" s="263">
        <f>IF(I$27=0,0,I$27/AGR!I$5*1000)</f>
        <v>2.5781632923234579</v>
      </c>
      <c r="J53" s="263">
        <f>IF(J$27=0,0,J$27/AGR!J$5*1000)</f>
        <v>3.0275843510978491</v>
      </c>
      <c r="K53" s="263">
        <f>IF(K$27=0,0,K$27/AGR!K$5*1000)</f>
        <v>3.1405656803883</v>
      </c>
      <c r="L53" s="263">
        <f>IF(L$27=0,0,L$27/AGR!L$5*1000)</f>
        <v>2.7205597167125837</v>
      </c>
      <c r="M53" s="263">
        <f>IF(M$27=0,0,M$27/AGR!M$5*1000)</f>
        <v>2.4313916412095593</v>
      </c>
      <c r="N53" s="263">
        <f>IF(N$27=0,0,N$27/AGR!N$5*1000)</f>
        <v>2.7427678158293571</v>
      </c>
      <c r="O53" s="263">
        <f>IF(O$27=0,0,O$27/AGR!O$5*1000)</f>
        <v>2.7324494961584578</v>
      </c>
      <c r="P53" s="263">
        <f>IF(P$27=0,0,P$27/AGR!P$5*1000)</f>
        <v>2.8811756297673909</v>
      </c>
      <c r="Q53" s="263">
        <f>IF(Q$27=0,0,Q$27/AGR!Q$5*1000)</f>
        <v>2.8038388256511166</v>
      </c>
      <c r="R53" s="263">
        <f>IF(R$27=0,0,R$27/AGR!R$5*1000)</f>
        <v>2.8527921667379403</v>
      </c>
      <c r="S53" s="263">
        <f>IF(S$27=0,0,S$27/AGR!S$5*1000)</f>
        <v>2.5601491233062625</v>
      </c>
      <c r="T53" s="263">
        <f>IF(T$27=0,0,T$27/AGR!T$5*1000)</f>
        <v>2.714649809796458</v>
      </c>
      <c r="U53" s="263">
        <f>IF(U$27=0,0,U$27/AGR!U$5*1000)</f>
        <v>2.4746644350387195</v>
      </c>
      <c r="V53" s="263">
        <f>IF(V$27=0,0,V$27/AGR!V$5*1000)</f>
        <v>2.6526476739162175</v>
      </c>
      <c r="W53" s="263">
        <f>IF(W$27=0,0,W$27/AGR!W$5*1000)</f>
        <v>2.6533963287991109</v>
      </c>
      <c r="X53" s="263">
        <f>IF(X$27=0,0,X$27/AGR!X$5*1000)</f>
        <v>2.205406810971752</v>
      </c>
      <c r="Y53" s="263">
        <f>IF(Y$27=0,0,Y$27/AGR!Y$5*1000)</f>
        <v>2.3444161760123481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50.633522175824979</v>
      </c>
      <c r="C5" s="80">
        <f t="shared" ref="C5:W5" si="1">SUM(C6:C9,C16:C17,C25:C27)</f>
        <v>53.110991536870046</v>
      </c>
      <c r="D5" s="80">
        <f t="shared" si="1"/>
        <v>50.63684650258277</v>
      </c>
      <c r="E5" s="80">
        <f t="shared" si="1"/>
        <v>57.720416934810366</v>
      </c>
      <c r="F5" s="80">
        <f t="shared" si="1"/>
        <v>61.421699591826567</v>
      </c>
      <c r="G5" s="80">
        <f t="shared" si="1"/>
        <v>60.059804127223394</v>
      </c>
      <c r="H5" s="80">
        <f t="shared" si="1"/>
        <v>61.027406797080836</v>
      </c>
      <c r="I5" s="80">
        <f t="shared" si="1"/>
        <v>60.850329916381</v>
      </c>
      <c r="J5" s="80">
        <f t="shared" si="1"/>
        <v>51.976275216820746</v>
      </c>
      <c r="K5" s="80">
        <f t="shared" si="1"/>
        <v>54.084921091824448</v>
      </c>
      <c r="L5" s="80">
        <f t="shared" si="1"/>
        <v>62.152002459136483</v>
      </c>
      <c r="M5" s="80">
        <f t="shared" si="1"/>
        <v>60.886999575454986</v>
      </c>
      <c r="N5" s="80">
        <f t="shared" si="1"/>
        <v>60.146289173509246</v>
      </c>
      <c r="O5" s="80">
        <f t="shared" si="1"/>
        <v>62.08514922995154</v>
      </c>
      <c r="P5" s="80">
        <f t="shared" si="1"/>
        <v>61.968569722450013</v>
      </c>
      <c r="Q5" s="80">
        <f t="shared" si="1"/>
        <v>64.703718049225586</v>
      </c>
      <c r="R5" s="80">
        <f t="shared" si="1"/>
        <v>70.955971371634831</v>
      </c>
      <c r="S5" s="80">
        <f t="shared" si="1"/>
        <v>76.88155609318207</v>
      </c>
      <c r="T5" s="80">
        <f t="shared" si="1"/>
        <v>75.084115928660921</v>
      </c>
      <c r="U5" s="80">
        <f t="shared" si="1"/>
        <v>81.557188757790797</v>
      </c>
      <c r="V5" s="80">
        <f t="shared" si="1"/>
        <v>82.925119108343978</v>
      </c>
      <c r="W5" s="80">
        <f t="shared" si="1"/>
        <v>78.310536952322849</v>
      </c>
      <c r="X5" s="80">
        <f t="shared" ref="X5:Y5" si="2">SUM(X6:X9,X16:X17,X25:X27)</f>
        <v>78.7561211056193</v>
      </c>
      <c r="Y5" s="80">
        <f t="shared" si="2"/>
        <v>74.888013578121502</v>
      </c>
      <c r="DA5" s="103"/>
    </row>
    <row r="6" spans="1:105" x14ac:dyDescent="0.25">
      <c r="A6" s="238" t="s">
        <v>125</v>
      </c>
      <c r="B6" s="239">
        <v>1.190720554958415</v>
      </c>
      <c r="C6" s="239">
        <v>1.152581265784528</v>
      </c>
      <c r="D6" s="239">
        <v>1.1816448342977519</v>
      </c>
      <c r="E6" s="239">
        <v>1.255041654648261</v>
      </c>
      <c r="F6" s="239">
        <v>1.265755822815257</v>
      </c>
      <c r="G6" s="239">
        <v>1.2227190003139909</v>
      </c>
      <c r="H6" s="239">
        <v>1.2881424326338839</v>
      </c>
      <c r="I6" s="239">
        <v>1.1488118980807089</v>
      </c>
      <c r="J6" s="239">
        <v>1.088460168194145</v>
      </c>
      <c r="K6" s="239">
        <v>1.063248547337259</v>
      </c>
      <c r="L6" s="239">
        <v>1.1114907967365311</v>
      </c>
      <c r="M6" s="239">
        <v>1.0805925842082571</v>
      </c>
      <c r="N6" s="239">
        <v>1.171598260026421</v>
      </c>
      <c r="O6" s="239">
        <v>1.2164366938108</v>
      </c>
      <c r="P6" s="239">
        <v>1.307816093209085</v>
      </c>
      <c r="Q6" s="239">
        <v>1.3069063102442879</v>
      </c>
      <c r="R6" s="239">
        <v>1.4324586793033709</v>
      </c>
      <c r="S6" s="239">
        <v>1.5288766519623229</v>
      </c>
      <c r="T6" s="239">
        <v>1.497227948369404</v>
      </c>
      <c r="U6" s="239">
        <v>1.5188435114069949</v>
      </c>
      <c r="V6" s="239">
        <v>1.5576612961998451</v>
      </c>
      <c r="W6" s="239">
        <v>1.524250187805287</v>
      </c>
      <c r="X6" s="239">
        <v>1.5022337146372029</v>
      </c>
      <c r="Y6" s="239">
        <v>1.5162559802497411</v>
      </c>
      <c r="DA6" s="267" t="s">
        <v>1016</v>
      </c>
    </row>
    <row r="7" spans="1:105" x14ac:dyDescent="0.25">
      <c r="A7" s="240" t="s">
        <v>124</v>
      </c>
      <c r="B7" s="241">
        <v>0.76748863086616048</v>
      </c>
      <c r="C7" s="241">
        <v>0.74290564142469839</v>
      </c>
      <c r="D7" s="241">
        <v>0.7616388012021218</v>
      </c>
      <c r="E7" s="241">
        <v>0.80894731949901932</v>
      </c>
      <c r="F7" s="241">
        <v>0.81585322384669767</v>
      </c>
      <c r="G7" s="241">
        <v>0.78811348941381065</v>
      </c>
      <c r="H7" s="241">
        <v>0.83028269552070677</v>
      </c>
      <c r="I7" s="241">
        <v>0.74047606477366223</v>
      </c>
      <c r="J7" s="241">
        <v>0.70157586577385544</v>
      </c>
      <c r="K7" s="241">
        <v>0.68532551022838983</v>
      </c>
      <c r="L7" s="241">
        <v>0.71642044496111845</v>
      </c>
      <c r="M7" s="241">
        <v>0.69650475044254656</v>
      </c>
      <c r="N7" s="241">
        <v>0.75516319993674519</v>
      </c>
      <c r="O7" s="241">
        <v>0.78406417759439406</v>
      </c>
      <c r="P7" s="241">
        <v>0.84296351366574529</v>
      </c>
      <c r="Q7" s="241">
        <v>0.8423771056465591</v>
      </c>
      <c r="R7" s="241">
        <v>0.92330290761570721</v>
      </c>
      <c r="S7" s="241">
        <v>0.98544989711610553</v>
      </c>
      <c r="T7" s="241">
        <v>0.96505046746985501</v>
      </c>
      <c r="U7" s="241">
        <v>0.97898295466178231</v>
      </c>
      <c r="V7" s="241">
        <v>1.004003273980081</v>
      </c>
      <c r="W7" s="241">
        <v>0.98246787196599972</v>
      </c>
      <c r="X7" s="241">
        <v>0.9682769748844714</v>
      </c>
      <c r="Y7" s="241">
        <v>0.97731514038165179</v>
      </c>
      <c r="DA7" s="268" t="s">
        <v>1017</v>
      </c>
    </row>
    <row r="8" spans="1:105" x14ac:dyDescent="0.25">
      <c r="A8" s="240" t="s">
        <v>123</v>
      </c>
      <c r="B8" s="241">
        <v>1.5251781452845261</v>
      </c>
      <c r="C8" s="241">
        <v>1.476326036296846</v>
      </c>
      <c r="D8" s="241">
        <v>1.5135531752218949</v>
      </c>
      <c r="E8" s="241">
        <v>1.607566187650223</v>
      </c>
      <c r="F8" s="241">
        <v>1.621289823364042</v>
      </c>
      <c r="G8" s="241">
        <v>1.5661645289798249</v>
      </c>
      <c r="H8" s="241">
        <v>1.6499645345716389</v>
      </c>
      <c r="I8" s="241">
        <v>1.4714979032647371</v>
      </c>
      <c r="J8" s="241">
        <v>1.394194173964191</v>
      </c>
      <c r="K8" s="241">
        <v>1.3619009436357159</v>
      </c>
      <c r="L8" s="241">
        <v>1.4236938002020521</v>
      </c>
      <c r="M8" s="241">
        <v>1.384116690123419</v>
      </c>
      <c r="N8" s="241">
        <v>1.500684651662942</v>
      </c>
      <c r="O8" s="241">
        <v>1.558117606013101</v>
      </c>
      <c r="P8" s="241">
        <v>1.675164265123104</v>
      </c>
      <c r="Q8" s="241">
        <v>1.673998936206019</v>
      </c>
      <c r="R8" s="241">
        <v>1.834817298314749</v>
      </c>
      <c r="S8" s="241">
        <v>1.958317798998731</v>
      </c>
      <c r="T8" s="241">
        <v>1.917779394882416</v>
      </c>
      <c r="U8" s="241">
        <v>1.945466482508198</v>
      </c>
      <c r="V8" s="241">
        <v>1.995187667523334</v>
      </c>
      <c r="W8" s="241">
        <v>1.952391822502509</v>
      </c>
      <c r="X8" s="241">
        <v>1.92419121441493</v>
      </c>
      <c r="Y8" s="241">
        <v>1.942152148213008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16.635640905547358</v>
      </c>
      <c r="C9" s="243">
        <f t="shared" ref="C9:W9" si="4">SUM(C10:C15)</f>
        <v>17.681697897980857</v>
      </c>
      <c r="D9" s="243">
        <f t="shared" si="4"/>
        <v>16.930854329455791</v>
      </c>
      <c r="E9" s="243">
        <f t="shared" si="4"/>
        <v>19.555031968925409</v>
      </c>
      <c r="F9" s="243">
        <f t="shared" si="4"/>
        <v>21.137374640103911</v>
      </c>
      <c r="G9" s="243">
        <f t="shared" si="4"/>
        <v>20.801351553606111</v>
      </c>
      <c r="H9" s="243">
        <f t="shared" si="4"/>
        <v>20.833398528930648</v>
      </c>
      <c r="I9" s="243">
        <f t="shared" si="4"/>
        <v>20.895837991589811</v>
      </c>
      <c r="J9" s="243">
        <f t="shared" si="4"/>
        <v>17.621192227000115</v>
      </c>
      <c r="K9" s="243">
        <f t="shared" si="4"/>
        <v>18.662220083097473</v>
      </c>
      <c r="L9" s="243">
        <f t="shared" si="4"/>
        <v>22.846197831897967</v>
      </c>
      <c r="M9" s="243">
        <f t="shared" si="4"/>
        <v>22.049143416200167</v>
      </c>
      <c r="N9" s="243">
        <f t="shared" si="4"/>
        <v>21.690561242724154</v>
      </c>
      <c r="O9" s="243">
        <f t="shared" si="4"/>
        <v>22.119892168461792</v>
      </c>
      <c r="P9" s="243">
        <f t="shared" si="4"/>
        <v>22.203486250338923</v>
      </c>
      <c r="Q9" s="243">
        <f t="shared" si="4"/>
        <v>23.285324910965294</v>
      </c>
      <c r="R9" s="243">
        <f t="shared" si="4"/>
        <v>25.906191930840752</v>
      </c>
      <c r="S9" s="243">
        <f t="shared" si="4"/>
        <v>27.744911785374455</v>
      </c>
      <c r="T9" s="243">
        <f t="shared" si="4"/>
        <v>27.24136148944288</v>
      </c>
      <c r="U9" s="243">
        <f t="shared" si="4"/>
        <v>28.903873420750593</v>
      </c>
      <c r="V9" s="243">
        <f t="shared" si="4"/>
        <v>29.398278353957714</v>
      </c>
      <c r="W9" s="243">
        <f t="shared" si="4"/>
        <v>27.977529923812355</v>
      </c>
      <c r="X9" s="243">
        <f t="shared" ref="X9:Y9" si="5">SUM(X10:X15)</f>
        <v>27.550765038553831</v>
      </c>
      <c r="Y9" s="243">
        <f t="shared" si="5"/>
        <v>24.640736639275861</v>
      </c>
      <c r="DA9" s="269"/>
    </row>
    <row r="10" spans="1:105" x14ac:dyDescent="0.25">
      <c r="A10" s="253" t="s">
        <v>166</v>
      </c>
      <c r="B10" s="254">
        <v>11.201520182191191</v>
      </c>
      <c r="C10" s="254">
        <v>12.07046539947482</v>
      </c>
      <c r="D10" s="254">
        <v>10.567762839304629</v>
      </c>
      <c r="E10" s="254">
        <v>12.365259094304379</v>
      </c>
      <c r="F10" s="254">
        <v>12.377740818662801</v>
      </c>
      <c r="G10" s="254">
        <v>12.69618346871597</v>
      </c>
      <c r="H10" s="254">
        <v>13.79639817170238</v>
      </c>
      <c r="I10" s="254">
        <v>14.396555594639491</v>
      </c>
      <c r="J10" s="254">
        <v>12.83217331201771</v>
      </c>
      <c r="K10" s="254">
        <v>13.347105739786469</v>
      </c>
      <c r="L10" s="254">
        <v>12.74804105730006</v>
      </c>
      <c r="M10" s="254">
        <v>13.507020885404961</v>
      </c>
      <c r="N10" s="254">
        <v>11.84315191403933</v>
      </c>
      <c r="O10" s="254">
        <v>12.37008288628766</v>
      </c>
      <c r="P10" s="254">
        <v>12.05718085916094</v>
      </c>
      <c r="Q10" s="254">
        <v>12.90594989880795</v>
      </c>
      <c r="R10" s="254">
        <v>13.45976328179197</v>
      </c>
      <c r="S10" s="254">
        <v>15.513119767282159</v>
      </c>
      <c r="T10" s="254">
        <v>15.43953813610185</v>
      </c>
      <c r="U10" s="254">
        <v>18.37295446885604</v>
      </c>
      <c r="V10" s="254">
        <v>19.300316236665068</v>
      </c>
      <c r="W10" s="254">
        <v>17.81347371135033</v>
      </c>
      <c r="X10" s="254">
        <v>20.079692170947919</v>
      </c>
      <c r="Y10" s="254">
        <v>20.11987654829764</v>
      </c>
      <c r="DA10" s="270" t="s">
        <v>1019</v>
      </c>
    </row>
    <row r="11" spans="1:105" x14ac:dyDescent="0.25">
      <c r="A11" s="253" t="s">
        <v>169</v>
      </c>
      <c r="B11" s="255">
        <v>3.456942328741301</v>
      </c>
      <c r="C11" s="255">
        <v>4.0612821455150074</v>
      </c>
      <c r="D11" s="255">
        <v>4.1987720818263146</v>
      </c>
      <c r="E11" s="255">
        <v>4.7805282137196956</v>
      </c>
      <c r="F11" s="255">
        <v>5.9003693752088493</v>
      </c>
      <c r="G11" s="255">
        <v>4.6977498567312006</v>
      </c>
      <c r="H11" s="255">
        <v>4.4084374851205901</v>
      </c>
      <c r="I11" s="255">
        <v>4.1235604626537974</v>
      </c>
      <c r="J11" s="255">
        <v>2.8697312443791341</v>
      </c>
      <c r="K11" s="255">
        <v>1.5116086319880411</v>
      </c>
      <c r="L11" s="255">
        <v>3.7169656704702012</v>
      </c>
      <c r="M11" s="255">
        <v>3.1723111989813511</v>
      </c>
      <c r="N11" s="255">
        <v>4.6917865205224683</v>
      </c>
      <c r="O11" s="255">
        <v>5.0901911650892098</v>
      </c>
      <c r="P11" s="255">
        <v>4.5973391173679614</v>
      </c>
      <c r="Q11" s="255">
        <v>4.1644267756943174</v>
      </c>
      <c r="R11" s="255">
        <v>4.3148820004321582</v>
      </c>
      <c r="S11" s="255">
        <v>3.2264527924135362</v>
      </c>
      <c r="T11" s="255">
        <v>2.8434651766858829</v>
      </c>
      <c r="U11" s="255">
        <v>2.7269456490755659</v>
      </c>
      <c r="V11" s="255">
        <v>2.475586288292404</v>
      </c>
      <c r="W11" s="255">
        <v>2.8136899509378992</v>
      </c>
      <c r="X11" s="255">
        <v>1.7596105358189289</v>
      </c>
      <c r="Y11" s="255">
        <v>2.123464807355711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0.85145406712319271</v>
      </c>
      <c r="C14" s="254">
        <v>0.68121229706032993</v>
      </c>
      <c r="D14" s="254">
        <v>1.1069086785229489</v>
      </c>
      <c r="E14" s="254">
        <v>1.4815386593821189</v>
      </c>
      <c r="F14" s="254">
        <v>2.026471714512021</v>
      </c>
      <c r="G14" s="254">
        <v>2.63951373850422</v>
      </c>
      <c r="H14" s="254">
        <v>1.7710171031142441</v>
      </c>
      <c r="I14" s="254">
        <v>1.7710171031148509</v>
      </c>
      <c r="J14" s="254">
        <v>1.2260840479861059</v>
      </c>
      <c r="K14" s="254">
        <v>3.1843854894268051</v>
      </c>
      <c r="L14" s="254">
        <v>5.8920081967979749</v>
      </c>
      <c r="M14" s="254">
        <v>4.9043361919420976</v>
      </c>
      <c r="N14" s="254">
        <v>4.529706211074676</v>
      </c>
      <c r="O14" s="254">
        <v>3.9847731559496471</v>
      </c>
      <c r="P14" s="254">
        <v>4.7169905494131239</v>
      </c>
      <c r="Q14" s="254">
        <v>5.4492692470685471</v>
      </c>
      <c r="R14" s="254">
        <v>7.2883953190474804</v>
      </c>
      <c r="S14" s="254">
        <v>8.0914803704789708</v>
      </c>
      <c r="T14" s="254">
        <v>8.0839399535821439</v>
      </c>
      <c r="U14" s="254">
        <v>7.0064572922224464</v>
      </c>
      <c r="V14" s="254">
        <v>6.814575138711942</v>
      </c>
      <c r="W14" s="254">
        <v>6.5315949404380564</v>
      </c>
      <c r="X14" s="254">
        <v>4.940873496577697</v>
      </c>
      <c r="Y14" s="254">
        <v>1.4025175424915399</v>
      </c>
      <c r="DA14" s="270" t="s">
        <v>1023</v>
      </c>
    </row>
    <row r="15" spans="1:105" x14ac:dyDescent="0.25">
      <c r="A15" s="253" t="s">
        <v>24</v>
      </c>
      <c r="B15" s="255">
        <v>1.1257243274916739</v>
      </c>
      <c r="C15" s="255">
        <v>0.86873805593069997</v>
      </c>
      <c r="D15" s="255">
        <v>1.057410729801898</v>
      </c>
      <c r="E15" s="255">
        <v>0.92770600151921678</v>
      </c>
      <c r="F15" s="255">
        <v>0.83279273172024049</v>
      </c>
      <c r="G15" s="255">
        <v>0.7679044896547188</v>
      </c>
      <c r="H15" s="255">
        <v>0.8575457689934316</v>
      </c>
      <c r="I15" s="255">
        <v>0.60470483118167284</v>
      </c>
      <c r="J15" s="255">
        <v>0.69320362261716462</v>
      </c>
      <c r="K15" s="255">
        <v>0.61912022189615656</v>
      </c>
      <c r="L15" s="255">
        <v>0.48918290732973257</v>
      </c>
      <c r="M15" s="255">
        <v>0.46547513987176181</v>
      </c>
      <c r="N15" s="255">
        <v>0.62591659708768121</v>
      </c>
      <c r="O15" s="255">
        <v>0.67484496113527548</v>
      </c>
      <c r="P15" s="255">
        <v>0.83197572439689338</v>
      </c>
      <c r="Q15" s="255">
        <v>0.76567898939448187</v>
      </c>
      <c r="R15" s="255">
        <v>0.84315132956914129</v>
      </c>
      <c r="S15" s="255">
        <v>0.91385885519979004</v>
      </c>
      <c r="T15" s="255">
        <v>0.87441822307300188</v>
      </c>
      <c r="U15" s="255">
        <v>0.79751601059653932</v>
      </c>
      <c r="V15" s="255">
        <v>0.80780069028830026</v>
      </c>
      <c r="W15" s="255">
        <v>0.81877132108606621</v>
      </c>
      <c r="X15" s="255">
        <v>0.77058883520928367</v>
      </c>
      <c r="Y15" s="255">
        <v>0.99487774113097027</v>
      </c>
      <c r="DA15" s="271" t="s">
        <v>1024</v>
      </c>
    </row>
    <row r="16" spans="1:105" x14ac:dyDescent="0.25">
      <c r="A16" s="256" t="s">
        <v>168</v>
      </c>
      <c r="B16" s="257">
        <v>11.382439807260489</v>
      </c>
      <c r="C16" s="257">
        <v>12.16849223824738</v>
      </c>
      <c r="D16" s="257">
        <v>11.318093512332259</v>
      </c>
      <c r="E16" s="257">
        <v>13.09313698845633</v>
      </c>
      <c r="F16" s="257">
        <v>13.79812005716802</v>
      </c>
      <c r="G16" s="257">
        <v>13.65383634745382</v>
      </c>
      <c r="H16" s="257">
        <v>14.098122157456229</v>
      </c>
      <c r="I16" s="257">
        <v>14.270309369165689</v>
      </c>
      <c r="J16" s="257">
        <v>12.265907768558529</v>
      </c>
      <c r="K16" s="257">
        <v>12.677035108094319</v>
      </c>
      <c r="L16" s="257">
        <v>14.209317995597941</v>
      </c>
      <c r="M16" s="257">
        <v>14.165903113906589</v>
      </c>
      <c r="N16" s="257">
        <v>13.58031984973101</v>
      </c>
      <c r="O16" s="257">
        <v>14.024060176542701</v>
      </c>
      <c r="P16" s="257">
        <v>13.88349946237367</v>
      </c>
      <c r="Q16" s="257">
        <v>14.56396973276998</v>
      </c>
      <c r="R16" s="257">
        <v>15.75802674537732</v>
      </c>
      <c r="S16" s="257">
        <v>17.186996707790239</v>
      </c>
      <c r="T16" s="257">
        <v>16.904245588312381</v>
      </c>
      <c r="U16" s="257">
        <v>18.73042496588349</v>
      </c>
      <c r="V16" s="257">
        <v>19.247257719890861</v>
      </c>
      <c r="W16" s="257">
        <v>18.147698392702541</v>
      </c>
      <c r="X16" s="257">
        <v>18.738157288644789</v>
      </c>
      <c r="Y16" s="257">
        <v>17.755364255833872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14.620698821733088</v>
      </c>
      <c r="C17" s="257">
        <f t="shared" ref="C17:W17" si="7">SUM(C18:C24)</f>
        <v>15.367360666999188</v>
      </c>
      <c r="D17" s="257">
        <f t="shared" si="7"/>
        <v>14.451077734960769</v>
      </c>
      <c r="E17" s="257">
        <f t="shared" si="7"/>
        <v>16.49823879464083</v>
      </c>
      <c r="F17" s="257">
        <f t="shared" si="7"/>
        <v>17.759207297562227</v>
      </c>
      <c r="G17" s="257">
        <f t="shared" si="7"/>
        <v>17.130646488430436</v>
      </c>
      <c r="H17" s="257">
        <f t="shared" si="7"/>
        <v>17.207012002572629</v>
      </c>
      <c r="I17" s="257">
        <f t="shared" si="7"/>
        <v>17.528486200043488</v>
      </c>
      <c r="J17" s="257">
        <f t="shared" si="7"/>
        <v>14.530704594060348</v>
      </c>
      <c r="K17" s="257">
        <f t="shared" si="7"/>
        <v>15.268752398361606</v>
      </c>
      <c r="L17" s="257">
        <f t="shared" si="7"/>
        <v>17.15158731920026</v>
      </c>
      <c r="M17" s="257">
        <f t="shared" si="7"/>
        <v>16.900620679618143</v>
      </c>
      <c r="N17" s="257">
        <f t="shared" si="7"/>
        <v>16.688829806754871</v>
      </c>
      <c r="O17" s="257">
        <f t="shared" si="7"/>
        <v>17.451530765276278</v>
      </c>
      <c r="P17" s="257">
        <f t="shared" si="7"/>
        <v>16.914782914489905</v>
      </c>
      <c r="Q17" s="257">
        <f t="shared" si="7"/>
        <v>17.801030332688399</v>
      </c>
      <c r="R17" s="257">
        <f t="shared" si="7"/>
        <v>19.396200309953915</v>
      </c>
      <c r="S17" s="257">
        <f t="shared" si="7"/>
        <v>21.33849007944076</v>
      </c>
      <c r="T17" s="257">
        <f t="shared" si="7"/>
        <v>20.537185543024012</v>
      </c>
      <c r="U17" s="257">
        <f t="shared" si="7"/>
        <v>23.158588707670425</v>
      </c>
      <c r="V17" s="257">
        <f t="shared" si="7"/>
        <v>23.235044160399458</v>
      </c>
      <c r="W17" s="257">
        <f t="shared" si="7"/>
        <v>21.470040526642251</v>
      </c>
      <c r="X17" s="257">
        <f t="shared" ref="X17:Y17" si="8">SUM(X18:X24)</f>
        <v>21.792021287863129</v>
      </c>
      <c r="Y17" s="257">
        <f t="shared" si="8"/>
        <v>21.872813345464298</v>
      </c>
      <c r="DA17" s="272"/>
    </row>
    <row r="18" spans="1:105" x14ac:dyDescent="0.25">
      <c r="A18" s="61" t="s">
        <v>29</v>
      </c>
      <c r="B18" s="55">
        <v>0.34710548393411678</v>
      </c>
      <c r="C18" s="55">
        <v>0.52066920261084071</v>
      </c>
      <c r="D18" s="55">
        <v>0.52066920261241534</v>
      </c>
      <c r="E18" s="55">
        <v>0.31979543257708598</v>
      </c>
      <c r="F18" s="55">
        <v>0.31979543257807658</v>
      </c>
      <c r="G18" s="55">
        <v>0.31979543257791232</v>
      </c>
      <c r="H18" s="55">
        <v>0.31979543257816012</v>
      </c>
      <c r="I18" s="55">
        <v>0.31979543257847459</v>
      </c>
      <c r="J18" s="55">
        <v>0.31979543257801951</v>
      </c>
      <c r="K18" s="55">
        <v>0.15988673958003391</v>
      </c>
      <c r="L18" s="55">
        <v>0.15988673958029209</v>
      </c>
      <c r="M18" s="55">
        <v>0.15988673958026489</v>
      </c>
      <c r="N18" s="55">
        <v>0.31979543257731102</v>
      </c>
      <c r="O18" s="55">
        <v>0.14671468908595259</v>
      </c>
      <c r="P18" s="55">
        <v>0.14735133819344801</v>
      </c>
      <c r="Q18" s="55">
        <v>0</v>
      </c>
      <c r="R18" s="55">
        <v>0</v>
      </c>
      <c r="S18" s="55">
        <v>6.6079786645075484E-3</v>
      </c>
      <c r="T18" s="55">
        <v>4.5663108379313316E-3</v>
      </c>
      <c r="U18" s="55">
        <v>2.4368293414022478E-3</v>
      </c>
      <c r="V18" s="55">
        <v>2.8319908562241839E-3</v>
      </c>
      <c r="W18" s="55">
        <v>0</v>
      </c>
      <c r="X18" s="55">
        <v>1.800180234189049E-3</v>
      </c>
      <c r="Y18" s="55">
        <v>6.3664910721228406E-4</v>
      </c>
      <c r="DA18" s="101" t="s">
        <v>1026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0.32232535197308831</v>
      </c>
      <c r="K19" s="55">
        <v>0.32232535197262302</v>
      </c>
      <c r="L19" s="55">
        <v>0</v>
      </c>
      <c r="M19" s="55">
        <v>0.32232535197308859</v>
      </c>
      <c r="N19" s="55">
        <v>0.32232535197237411</v>
      </c>
      <c r="O19" s="55">
        <v>0.32232535197251022</v>
      </c>
      <c r="P19" s="55">
        <v>0.32232535197313172</v>
      </c>
      <c r="Q19" s="55">
        <v>0.64465070394552992</v>
      </c>
      <c r="R19" s="55">
        <v>0.64465070394555046</v>
      </c>
      <c r="S19" s="55">
        <v>0.87929846412865398</v>
      </c>
      <c r="T19" s="55">
        <v>0.5076687994232304</v>
      </c>
      <c r="U19" s="55">
        <v>0.69107574673719618</v>
      </c>
      <c r="V19" s="55">
        <v>0.7165305314503484</v>
      </c>
      <c r="W19" s="55">
        <v>0.56148311905855541</v>
      </c>
      <c r="X19" s="55">
        <v>0.64882946740343495</v>
      </c>
      <c r="Y19" s="55">
        <v>0.85641718617913409</v>
      </c>
      <c r="DA19" s="101" t="s">
        <v>1027</v>
      </c>
    </row>
    <row r="20" spans="1:105" x14ac:dyDescent="0.25">
      <c r="A20" s="61" t="s">
        <v>166</v>
      </c>
      <c r="B20" s="55">
        <v>7.2079982274235652</v>
      </c>
      <c r="C20" s="55">
        <v>8.066843887747396</v>
      </c>
      <c r="D20" s="55">
        <v>7.2697060001467566</v>
      </c>
      <c r="E20" s="55">
        <v>8.7642337902396523</v>
      </c>
      <c r="F20" s="55">
        <v>8.6518569497684883</v>
      </c>
      <c r="G20" s="55">
        <v>9.2221407561669668</v>
      </c>
      <c r="H20" s="55">
        <v>10.306717621744671</v>
      </c>
      <c r="I20" s="55">
        <v>10.15595304431225</v>
      </c>
      <c r="J20" s="55">
        <v>9.9276031968878513</v>
      </c>
      <c r="K20" s="55">
        <v>9.5843743229124296</v>
      </c>
      <c r="L20" s="55">
        <v>10.67771842343582</v>
      </c>
      <c r="M20" s="55">
        <v>11.234674924702791</v>
      </c>
      <c r="N20" s="55">
        <v>9.8953941847641875</v>
      </c>
      <c r="O20" s="55">
        <v>9.7669044574686605</v>
      </c>
      <c r="P20" s="55">
        <v>10.367767783004281</v>
      </c>
      <c r="Q20" s="55">
        <v>10.76291308090962</v>
      </c>
      <c r="R20" s="55">
        <v>11.36995648011751</v>
      </c>
      <c r="S20" s="55">
        <v>11.93237357992013</v>
      </c>
      <c r="T20" s="55">
        <v>12.53685019692268</v>
      </c>
      <c r="U20" s="55">
        <v>13.11960298247333</v>
      </c>
      <c r="V20" s="55">
        <v>14.52008110213503</v>
      </c>
      <c r="W20" s="55">
        <v>14.651923053524319</v>
      </c>
      <c r="X20" s="55">
        <v>15.98041942890422</v>
      </c>
      <c r="Y20" s="55">
        <v>12.697668161608791</v>
      </c>
      <c r="DA20" s="101" t="s">
        <v>1028</v>
      </c>
    </row>
    <row r="21" spans="1:105" x14ac:dyDescent="0.25">
      <c r="A21" s="61" t="s">
        <v>129</v>
      </c>
      <c r="B21" s="55">
        <v>1.8139105237457289</v>
      </c>
      <c r="C21" s="55">
        <v>1.280333969929262</v>
      </c>
      <c r="D21" s="55">
        <v>1.280333969933134</v>
      </c>
      <c r="E21" s="55">
        <v>1.557657545603599</v>
      </c>
      <c r="F21" s="55">
        <v>1.5576575456084241</v>
      </c>
      <c r="G21" s="55">
        <v>1.301586210544101</v>
      </c>
      <c r="H21" s="55">
        <v>0.53339491073921896</v>
      </c>
      <c r="I21" s="55">
        <v>0.27732357567577171</v>
      </c>
      <c r="J21" s="55">
        <v>0</v>
      </c>
      <c r="K21" s="55">
        <v>0</v>
      </c>
      <c r="L21" s="55">
        <v>0</v>
      </c>
      <c r="M21" s="55">
        <v>0.55464715135075449</v>
      </c>
      <c r="N21" s="55">
        <v>0.5546471513495248</v>
      </c>
      <c r="O21" s="55">
        <v>0.55464715134975895</v>
      </c>
      <c r="P21" s="55">
        <v>0.27732357567541438</v>
      </c>
      <c r="Q21" s="55">
        <v>0.27732357567509858</v>
      </c>
      <c r="R21" s="55">
        <v>0.55464715135021458</v>
      </c>
      <c r="S21" s="55">
        <v>0.1380033316647411</v>
      </c>
      <c r="T21" s="55">
        <v>0.74707529150447305</v>
      </c>
      <c r="U21" s="55">
        <v>0.37745432471209223</v>
      </c>
      <c r="V21" s="55">
        <v>0.23845195609518291</v>
      </c>
      <c r="W21" s="55">
        <v>0.2208552825117778</v>
      </c>
      <c r="X21" s="55">
        <v>0.15498695984629091</v>
      </c>
      <c r="Y21" s="55">
        <v>0.17680683508955911</v>
      </c>
      <c r="DA21" s="101" t="s">
        <v>1029</v>
      </c>
    </row>
    <row r="22" spans="1:105" x14ac:dyDescent="0.25">
      <c r="A22" s="61" t="s">
        <v>169</v>
      </c>
      <c r="B22" s="55">
        <v>2.1712212598248439</v>
      </c>
      <c r="C22" s="55">
        <v>2.649214001850805</v>
      </c>
      <c r="D22" s="55">
        <v>2.8192288632013152</v>
      </c>
      <c r="E22" s="55">
        <v>3.3072030661021001</v>
      </c>
      <c r="F22" s="55">
        <v>4.0255144387511654</v>
      </c>
      <c r="G22" s="55">
        <v>3.330601610935183</v>
      </c>
      <c r="H22" s="55">
        <v>3.2145011633388521</v>
      </c>
      <c r="I22" s="55">
        <v>2.8392830867611032</v>
      </c>
      <c r="J22" s="55">
        <v>2.167003749380839</v>
      </c>
      <c r="K22" s="55">
        <v>1.059473923698016</v>
      </c>
      <c r="L22" s="55">
        <v>3.0387698133859238</v>
      </c>
      <c r="M22" s="55">
        <v>2.575437212607206</v>
      </c>
      <c r="N22" s="55">
        <v>3.8262935453106768</v>
      </c>
      <c r="O22" s="55">
        <v>3.9227683756318181</v>
      </c>
      <c r="P22" s="55">
        <v>3.8585156759102031</v>
      </c>
      <c r="Q22" s="55">
        <v>3.389762971328981</v>
      </c>
      <c r="R22" s="55">
        <v>3.5576608680784481</v>
      </c>
      <c r="S22" s="55">
        <v>2.422296236937556</v>
      </c>
      <c r="T22" s="55">
        <v>2.2535971710037561</v>
      </c>
      <c r="U22" s="55">
        <v>1.9006074142629881</v>
      </c>
      <c r="V22" s="55">
        <v>1.817845329151188</v>
      </c>
      <c r="W22" s="55">
        <v>2.2588973425402599</v>
      </c>
      <c r="X22" s="55">
        <v>1.3668533446146061</v>
      </c>
      <c r="Y22" s="55">
        <v>1.3080308053338849</v>
      </c>
      <c r="DA22" s="101" t="s">
        <v>1030</v>
      </c>
    </row>
    <row r="23" spans="1:105" x14ac:dyDescent="0.25">
      <c r="A23" s="61" t="s">
        <v>164</v>
      </c>
      <c r="B23" s="55">
        <v>3.0804633268048338</v>
      </c>
      <c r="C23" s="55">
        <v>2.8502996048608842</v>
      </c>
      <c r="D23" s="55">
        <v>2.5611396990671471</v>
      </c>
      <c r="E23" s="55">
        <v>2.5493489601183938</v>
      </c>
      <c r="F23" s="55">
        <v>3.2043829308560721</v>
      </c>
      <c r="G23" s="55">
        <v>2.9565224782062738</v>
      </c>
      <c r="H23" s="55">
        <v>2.832602874171728</v>
      </c>
      <c r="I23" s="55">
        <v>3.9361310607158879</v>
      </c>
      <c r="J23" s="55">
        <v>1.7939768632405499</v>
      </c>
      <c r="K23" s="55">
        <v>4.1426920601985016</v>
      </c>
      <c r="L23" s="55">
        <v>3.2752123427982238</v>
      </c>
      <c r="M23" s="55">
        <v>2.0536492994040372</v>
      </c>
      <c r="N23" s="55">
        <v>1.770374140780796</v>
      </c>
      <c r="O23" s="55">
        <v>2.7381707397675759</v>
      </c>
      <c r="P23" s="55">
        <v>1.9414991897334271</v>
      </c>
      <c r="Q23" s="55">
        <v>2.7263800008291699</v>
      </c>
      <c r="R23" s="55">
        <v>3.2692851064621928</v>
      </c>
      <c r="S23" s="55">
        <v>5.9599104881251712</v>
      </c>
      <c r="T23" s="55">
        <v>4.487427773331941</v>
      </c>
      <c r="U23" s="55">
        <v>7.0674114101434178</v>
      </c>
      <c r="V23" s="55">
        <v>5.9393032507114834</v>
      </c>
      <c r="W23" s="55">
        <v>3.7768817290073402</v>
      </c>
      <c r="X23" s="55">
        <v>3.6391319068603831</v>
      </c>
      <c r="Y23" s="55">
        <v>6.8332537081457163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1032</v>
      </c>
    </row>
    <row r="25" spans="1:105" x14ac:dyDescent="0.25">
      <c r="A25" s="256" t="s">
        <v>167</v>
      </c>
      <c r="B25" s="257">
        <v>1.531061466963459</v>
      </c>
      <c r="C25" s="257">
        <v>1.6367940347148211</v>
      </c>
      <c r="D25" s="257">
        <v>1.522406193193099</v>
      </c>
      <c r="E25" s="257">
        <v>1.7611687708563599</v>
      </c>
      <c r="F25" s="257">
        <v>1.8559966311080469</v>
      </c>
      <c r="G25" s="257">
        <v>1.836588909038386</v>
      </c>
      <c r="H25" s="257">
        <v>1.896350163701858</v>
      </c>
      <c r="I25" s="257">
        <v>1.919511209085474</v>
      </c>
      <c r="J25" s="257">
        <v>1.6498974789033061</v>
      </c>
      <c r="K25" s="257">
        <v>1.7051985600631581</v>
      </c>
      <c r="L25" s="257">
        <v>1.9113072085839999</v>
      </c>
      <c r="M25" s="257">
        <v>1.905467436656721</v>
      </c>
      <c r="N25" s="257">
        <v>1.826700143645777</v>
      </c>
      <c r="O25" s="257">
        <v>1.886388024910546</v>
      </c>
      <c r="P25" s="257">
        <v>1.8674810860751829</v>
      </c>
      <c r="Q25" s="257">
        <v>1.9590117093914119</v>
      </c>
      <c r="R25" s="257">
        <v>2.1196253135322798</v>
      </c>
      <c r="S25" s="257">
        <v>2.3118372543767269</v>
      </c>
      <c r="T25" s="257">
        <v>2.2738041655922658</v>
      </c>
      <c r="U25" s="257">
        <v>2.5194450759864471</v>
      </c>
      <c r="V25" s="257">
        <v>2.5889646805637141</v>
      </c>
      <c r="W25" s="257">
        <v>2.441062038862551</v>
      </c>
      <c r="X25" s="257">
        <v>2.5204851571667932</v>
      </c>
      <c r="Y25" s="257">
        <v>2.3882888470596089</v>
      </c>
      <c r="DA25" s="272" t="s">
        <v>1033</v>
      </c>
    </row>
    <row r="26" spans="1:105" x14ac:dyDescent="0.25">
      <c r="A26" s="256" t="s">
        <v>170</v>
      </c>
      <c r="B26" s="257">
        <v>1.180751739794093</v>
      </c>
      <c r="C26" s="257">
        <v>1.142931756037997</v>
      </c>
      <c r="D26" s="257">
        <v>1.171752001849419</v>
      </c>
      <c r="E26" s="257">
        <v>1.2445343376907989</v>
      </c>
      <c r="F26" s="257">
        <v>1.255158805917997</v>
      </c>
      <c r="G26" s="257">
        <v>1.2124822914058631</v>
      </c>
      <c r="H26" s="257">
        <v>1.27735799310878</v>
      </c>
      <c r="I26" s="257">
        <v>1.1391939458056339</v>
      </c>
      <c r="J26" s="257">
        <v>1.0793474858059311</v>
      </c>
      <c r="K26" s="257">
        <v>1.0543469388129081</v>
      </c>
      <c r="L26" s="257">
        <v>1.1021852999401831</v>
      </c>
      <c r="M26" s="257">
        <v>1.07154576991161</v>
      </c>
      <c r="N26" s="257">
        <v>1.1617895383642241</v>
      </c>
      <c r="O26" s="257">
        <v>1.206252580914452</v>
      </c>
      <c r="P26" s="257">
        <v>1.2968669441011469</v>
      </c>
      <c r="Q26" s="257">
        <v>1.2959647779177841</v>
      </c>
      <c r="R26" s="257">
        <v>1.4204660117164729</v>
      </c>
      <c r="S26" s="257">
        <v>1.516076764794009</v>
      </c>
      <c r="T26" s="257">
        <v>1.4846930268767009</v>
      </c>
      <c r="U26" s="257">
        <v>1.5061276225565881</v>
      </c>
      <c r="V26" s="257">
        <v>1.5446204215078181</v>
      </c>
      <c r="W26" s="257">
        <v>1.511489033793846</v>
      </c>
      <c r="X26" s="257">
        <v>1.489656884437649</v>
      </c>
      <c r="Y26" s="257">
        <v>1.5035617544333111</v>
      </c>
      <c r="DA26" s="272" t="s">
        <v>1034</v>
      </c>
    </row>
    <row r="27" spans="1:105" x14ac:dyDescent="0.25">
      <c r="A27" s="128" t="s">
        <v>33</v>
      </c>
      <c r="B27" s="258">
        <v>1.799542103417392</v>
      </c>
      <c r="C27" s="258">
        <v>1.7419019993837319</v>
      </c>
      <c r="D27" s="258">
        <v>1.7858259200696629</v>
      </c>
      <c r="E27" s="258">
        <v>1.896750912443139</v>
      </c>
      <c r="F27" s="258">
        <v>1.912943289940374</v>
      </c>
      <c r="G27" s="258">
        <v>1.847901518581154</v>
      </c>
      <c r="H27" s="258">
        <v>1.9467762885844619</v>
      </c>
      <c r="I27" s="258">
        <v>1.736205334571792</v>
      </c>
      <c r="J27" s="258">
        <v>1.6449954545603249</v>
      </c>
      <c r="K27" s="258">
        <v>1.6068930021936181</v>
      </c>
      <c r="L27" s="258">
        <v>1.6798017620164309</v>
      </c>
      <c r="M27" s="258">
        <v>1.633105134387534</v>
      </c>
      <c r="N27" s="258">
        <v>1.7706424806630929</v>
      </c>
      <c r="O27" s="258">
        <v>1.8384070364274809</v>
      </c>
      <c r="P27" s="258">
        <v>1.976509193073253</v>
      </c>
      <c r="Q27" s="258">
        <v>1.975134233395849</v>
      </c>
      <c r="R27" s="258">
        <v>2.1648821749802698</v>
      </c>
      <c r="S27" s="258">
        <v>2.310599153328718</v>
      </c>
      <c r="T27" s="258">
        <v>2.262768304691003</v>
      </c>
      <c r="U27" s="258">
        <v>2.2954360163662879</v>
      </c>
      <c r="V27" s="258">
        <v>2.3541015343211442</v>
      </c>
      <c r="W27" s="258">
        <v>2.3036071542355101</v>
      </c>
      <c r="X27" s="258">
        <v>2.2703335450165012</v>
      </c>
      <c r="Y27" s="258">
        <v>2.291525467210155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0.99999999999999989</v>
      </c>
      <c r="C31" s="235">
        <f t="shared" si="9"/>
        <v>0.99999999999999989</v>
      </c>
      <c r="D31" s="235">
        <f t="shared" si="9"/>
        <v>0.99999999999999989</v>
      </c>
      <c r="E31" s="235">
        <f t="shared" si="9"/>
        <v>1</v>
      </c>
      <c r="F31" s="235">
        <f t="shared" si="9"/>
        <v>1</v>
      </c>
      <c r="G31" s="235">
        <f t="shared" si="9"/>
        <v>1</v>
      </c>
      <c r="H31" s="235">
        <f t="shared" si="9"/>
        <v>1</v>
      </c>
      <c r="I31" s="235">
        <f t="shared" si="9"/>
        <v>1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1</v>
      </c>
      <c r="O31" s="235">
        <f t="shared" si="9"/>
        <v>1</v>
      </c>
      <c r="P31" s="235">
        <f t="shared" si="9"/>
        <v>1.0000000000000002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1</v>
      </c>
      <c r="U31" s="235">
        <f t="shared" si="10"/>
        <v>1.0000000000000002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2.3516447282170814E-2</v>
      </c>
      <c r="C32" s="244">
        <f t="shared" si="12"/>
        <v>2.170136976230989E-2</v>
      </c>
      <c r="D32" s="244">
        <f t="shared" si="12"/>
        <v>2.3335671865693318E-2</v>
      </c>
      <c r="E32" s="244">
        <f t="shared" si="12"/>
        <v>2.1743461348619663E-2</v>
      </c>
      <c r="F32" s="244">
        <f t="shared" si="12"/>
        <v>2.0607632664461341E-2</v>
      </c>
      <c r="G32" s="244">
        <f t="shared" si="12"/>
        <v>2.0358358107927417E-2</v>
      </c>
      <c r="H32" s="244">
        <f t="shared" si="12"/>
        <v>2.1107605586405166E-2</v>
      </c>
      <c r="I32" s="244">
        <f t="shared" si="12"/>
        <v>1.8879304346572607E-2</v>
      </c>
      <c r="J32" s="244">
        <f t="shared" si="12"/>
        <v>2.0941480774711106E-2</v>
      </c>
      <c r="K32" s="244">
        <f t="shared" si="12"/>
        <v>1.9658872119496931E-2</v>
      </c>
      <c r="L32" s="244">
        <f t="shared" si="12"/>
        <v>1.7883426965483708E-2</v>
      </c>
      <c r="M32" s="244">
        <f t="shared" si="12"/>
        <v>1.774750918493067E-2</v>
      </c>
      <c r="N32" s="244">
        <f t="shared" si="12"/>
        <v>1.9479144534529959E-2</v>
      </c>
      <c r="O32" s="244">
        <f t="shared" si="12"/>
        <v>1.9593038092013772E-2</v>
      </c>
      <c r="P32" s="244">
        <f t="shared" si="12"/>
        <v>2.1104506672763961E-2</v>
      </c>
      <c r="Q32" s="244">
        <f t="shared" si="12"/>
        <v>2.0198318576530854E-2</v>
      </c>
      <c r="R32" s="244">
        <f t="shared" si="12"/>
        <v>2.0187993365643735E-2</v>
      </c>
      <c r="S32" s="244">
        <f t="shared" si="12"/>
        <v>1.9886130427814081E-2</v>
      </c>
      <c r="T32" s="244">
        <f t="shared" si="12"/>
        <v>1.9940674933057123E-2</v>
      </c>
      <c r="U32" s="244">
        <f t="shared" si="12"/>
        <v>1.8623048863511821E-2</v>
      </c>
      <c r="V32" s="244">
        <f t="shared" si="12"/>
        <v>1.8783950061798733E-2</v>
      </c>
      <c r="W32" s="244">
        <f t="shared" si="12"/>
        <v>1.9464177454603375E-2</v>
      </c>
      <c r="X32" s="244">
        <f t="shared" si="12"/>
        <v>1.9074501048909804E-2</v>
      </c>
      <c r="Y32" s="244">
        <f t="shared" si="12"/>
        <v>2.0246978225267206E-2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1.515771761247529E-2</v>
      </c>
      <c r="C33" s="245">
        <f t="shared" si="13"/>
        <v>1.3987794615149818E-2</v>
      </c>
      <c r="D33" s="245">
        <f t="shared" si="13"/>
        <v>1.5041197345558907E-2</v>
      </c>
      <c r="E33" s="245">
        <f t="shared" si="13"/>
        <v>1.4014925089897518E-2</v>
      </c>
      <c r="F33" s="245">
        <f t="shared" si="13"/>
        <v>1.3282817461392161E-2</v>
      </c>
      <c r="G33" s="245">
        <f t="shared" si="13"/>
        <v>1.3122145515898898E-2</v>
      </c>
      <c r="H33" s="245">
        <f t="shared" si="13"/>
        <v>1.3605079079985129E-2</v>
      </c>
      <c r="I33" s="245">
        <f t="shared" si="13"/>
        <v>1.2168809368678953E-2</v>
      </c>
      <c r="J33" s="245">
        <f t="shared" si="13"/>
        <v>1.3498001979695709E-2</v>
      </c>
      <c r="K33" s="245">
        <f t="shared" si="13"/>
        <v>1.2671286125477672E-2</v>
      </c>
      <c r="L33" s="245">
        <f t="shared" si="13"/>
        <v>1.1526908492323292E-2</v>
      </c>
      <c r="M33" s="245">
        <f t="shared" si="13"/>
        <v>1.1439301579960336E-2</v>
      </c>
      <c r="N33" s="245">
        <f t="shared" si="13"/>
        <v>1.2555441246894884E-2</v>
      </c>
      <c r="O33" s="245">
        <f t="shared" si="13"/>
        <v>1.2628852266914427E-2</v>
      </c>
      <c r="P33" s="245">
        <f t="shared" si="13"/>
        <v>1.36030816499603E-2</v>
      </c>
      <c r="Q33" s="245">
        <f t="shared" si="13"/>
        <v>1.3018990732583429E-2</v>
      </c>
      <c r="R33" s="245">
        <f t="shared" si="13"/>
        <v>1.3012335533818149E-2</v>
      </c>
      <c r="S33" s="245">
        <f t="shared" si="13"/>
        <v>1.2817767318883601E-2</v>
      </c>
      <c r="T33" s="245">
        <f t="shared" si="13"/>
        <v>1.2852924423945682E-2</v>
      </c>
      <c r="U33" s="245">
        <f t="shared" si="13"/>
        <v>1.2003637810140487E-2</v>
      </c>
      <c r="V33" s="245">
        <f t="shared" si="13"/>
        <v>1.2107347987867497E-2</v>
      </c>
      <c r="W33" s="245">
        <f t="shared" si="13"/>
        <v>1.2545794093637073E-2</v>
      </c>
      <c r="X33" s="245">
        <f t="shared" si="13"/>
        <v>1.229462499284242E-2</v>
      </c>
      <c r="Y33" s="245">
        <f t="shared" si="13"/>
        <v>1.305035470545815E-2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3.0121905009656308E-2</v>
      </c>
      <c r="C34" s="245">
        <f t="shared" si="14"/>
        <v>2.7796996319904316E-2</v>
      </c>
      <c r="D34" s="245">
        <f t="shared" si="14"/>
        <v>2.9890352179508157E-2</v>
      </c>
      <c r="E34" s="245">
        <f t="shared" si="14"/>
        <v>2.7850910873804216E-2</v>
      </c>
      <c r="F34" s="245">
        <f t="shared" si="14"/>
        <v>2.6396042996826945E-2</v>
      </c>
      <c r="G34" s="245">
        <f t="shared" si="14"/>
        <v>2.6076750527894699E-2</v>
      </c>
      <c r="H34" s="245">
        <f t="shared" si="14"/>
        <v>2.7036451672571522E-2</v>
      </c>
      <c r="I34" s="245">
        <f t="shared" si="14"/>
        <v>2.4182250207793986E-2</v>
      </c>
      <c r="J34" s="245">
        <f t="shared" si="14"/>
        <v>2.6823664607520722E-2</v>
      </c>
      <c r="K34" s="245">
        <f t="shared" si="14"/>
        <v>2.5180788214953738E-2</v>
      </c>
      <c r="L34" s="245">
        <f t="shared" si="14"/>
        <v>2.2906644096271848E-2</v>
      </c>
      <c r="M34" s="245">
        <f t="shared" si="14"/>
        <v>2.273254881624007E-2</v>
      </c>
      <c r="N34" s="245">
        <f t="shared" si="14"/>
        <v>2.4950577538271498E-2</v>
      </c>
      <c r="O34" s="245">
        <f t="shared" si="14"/>
        <v>2.5096462283470254E-2</v>
      </c>
      <c r="P34" s="245">
        <f t="shared" si="14"/>
        <v>2.703248231524415E-2</v>
      </c>
      <c r="Q34" s="245">
        <f t="shared" si="14"/>
        <v>2.5871758017560392E-2</v>
      </c>
      <c r="R34" s="245">
        <f t="shared" si="14"/>
        <v>2.5858532592060755E-2</v>
      </c>
      <c r="S34" s="245">
        <f t="shared" si="14"/>
        <v>2.5471880363935512E-2</v>
      </c>
      <c r="T34" s="245">
        <f t="shared" si="14"/>
        <v>2.5541745696313994E-2</v>
      </c>
      <c r="U34" s="245">
        <f t="shared" si="14"/>
        <v>2.3854015962784841E-2</v>
      </c>
      <c r="V34" s="245">
        <f t="shared" si="14"/>
        <v>2.4060112170795508E-2</v>
      </c>
      <c r="W34" s="245">
        <f t="shared" si="14"/>
        <v>2.4931406404366342E-2</v>
      </c>
      <c r="X34" s="245">
        <f t="shared" si="14"/>
        <v>2.4432275071475527E-2</v>
      </c>
      <c r="Y34" s="245">
        <f t="shared" si="14"/>
        <v>2.593408551539424E-2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0.32854994459559955</v>
      </c>
      <c r="C35" s="246">
        <f t="shared" si="15"/>
        <v>0.33291974761393961</v>
      </c>
      <c r="D35" s="246">
        <f t="shared" si="15"/>
        <v>0.3343583871991756</v>
      </c>
      <c r="E35" s="246">
        <f t="shared" si="15"/>
        <v>0.33878882044478176</v>
      </c>
      <c r="F35" s="246">
        <f t="shared" si="15"/>
        <v>0.34413529388751524</v>
      </c>
      <c r="G35" s="246">
        <f t="shared" si="15"/>
        <v>0.34634397923681293</v>
      </c>
      <c r="H35" s="246">
        <f t="shared" si="15"/>
        <v>0.34137774521868075</v>
      </c>
      <c r="I35" s="246">
        <f t="shared" si="15"/>
        <v>0.34339728347084314</v>
      </c>
      <c r="J35" s="246">
        <f t="shared" si="15"/>
        <v>0.33902375946511615</v>
      </c>
      <c r="K35" s="246">
        <f t="shared" si="15"/>
        <v>0.3450540318143957</v>
      </c>
      <c r="L35" s="246">
        <f t="shared" si="15"/>
        <v>0.3675858689656672</v>
      </c>
      <c r="M35" s="246">
        <f t="shared" si="15"/>
        <v>0.36213220506744609</v>
      </c>
      <c r="N35" s="246">
        <f t="shared" si="15"/>
        <v>0.36063008276622854</v>
      </c>
      <c r="O35" s="246">
        <f t="shared" si="15"/>
        <v>0.35628314408223349</v>
      </c>
      <c r="P35" s="246">
        <f t="shared" si="15"/>
        <v>0.35830238376947771</v>
      </c>
      <c r="Q35" s="246">
        <f t="shared" si="15"/>
        <v>0.35987614951663488</v>
      </c>
      <c r="R35" s="246">
        <f t="shared" si="15"/>
        <v>0.36510235051474388</v>
      </c>
      <c r="S35" s="246">
        <f t="shared" si="15"/>
        <v>0.36087864496065919</v>
      </c>
      <c r="T35" s="246">
        <f t="shared" si="15"/>
        <v>0.3628112437965641</v>
      </c>
      <c r="U35" s="246">
        <f t="shared" si="15"/>
        <v>0.35440007019601366</v>
      </c>
      <c r="V35" s="246">
        <f t="shared" si="15"/>
        <v>0.35451596175035993</v>
      </c>
      <c r="W35" s="246">
        <f t="shared" si="15"/>
        <v>0.35726392657536854</v>
      </c>
      <c r="X35" s="246">
        <f t="shared" si="15"/>
        <v>0.34982379339893704</v>
      </c>
      <c r="Y35" s="246">
        <f t="shared" si="15"/>
        <v>0.32903445373899781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0.22480047443144388</v>
      </c>
      <c r="C36" s="259">
        <f t="shared" si="16"/>
        <v>0.22911438642225163</v>
      </c>
      <c r="D36" s="259">
        <f t="shared" si="16"/>
        <v>0.22351497563646605</v>
      </c>
      <c r="E36" s="259">
        <f t="shared" si="16"/>
        <v>0.22683718662745911</v>
      </c>
      <c r="F36" s="259">
        <f t="shared" si="16"/>
        <v>0.22464568953419431</v>
      </c>
      <c r="G36" s="259">
        <f t="shared" si="16"/>
        <v>0.22733734393357646</v>
      </c>
      <c r="H36" s="259">
        <f t="shared" si="16"/>
        <v>0.23101296445928282</v>
      </c>
      <c r="I36" s="259">
        <f t="shared" si="16"/>
        <v>0.23451490548655352</v>
      </c>
      <c r="J36" s="259">
        <f t="shared" si="16"/>
        <v>0.23599051138987723</v>
      </c>
      <c r="K36" s="259">
        <f t="shared" si="16"/>
        <v>0.23439130264369745</v>
      </c>
      <c r="L36" s="259">
        <f t="shared" si="16"/>
        <v>0.22862204648901283</v>
      </c>
      <c r="M36" s="259">
        <f t="shared" si="16"/>
        <v>0.23265891261978369</v>
      </c>
      <c r="N36" s="259">
        <f t="shared" si="16"/>
        <v>0.22578815811154496</v>
      </c>
      <c r="O36" s="259">
        <f t="shared" si="16"/>
        <v>0.22588429520560963</v>
      </c>
      <c r="P36" s="259">
        <f t="shared" si="16"/>
        <v>0.22404098601204198</v>
      </c>
      <c r="Q36" s="259">
        <f t="shared" si="16"/>
        <v>0.22508706102004739</v>
      </c>
      <c r="R36" s="259">
        <f t="shared" si="16"/>
        <v>0.22208175634498756</v>
      </c>
      <c r="S36" s="259">
        <f t="shared" si="16"/>
        <v>0.22355162383757213</v>
      </c>
      <c r="T36" s="259">
        <f t="shared" si="16"/>
        <v>0.22513743924711691</v>
      </c>
      <c r="U36" s="259">
        <f t="shared" si="16"/>
        <v>0.22966001220946025</v>
      </c>
      <c r="V36" s="259">
        <f t="shared" si="16"/>
        <v>0.23210407083942541</v>
      </c>
      <c r="W36" s="259">
        <f t="shared" si="16"/>
        <v>0.2317401859184193</v>
      </c>
      <c r="X36" s="259">
        <f t="shared" si="16"/>
        <v>0.2379263608414027</v>
      </c>
      <c r="Y36" s="259">
        <f t="shared" si="16"/>
        <v>0.23709220484679933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0.2887553184817499</v>
      </c>
      <c r="C37" s="259">
        <f t="shared" si="17"/>
        <v>0.28934426231397037</v>
      </c>
      <c r="D37" s="259">
        <f t="shared" si="17"/>
        <v>0.28538660546769401</v>
      </c>
      <c r="E37" s="259">
        <f t="shared" si="17"/>
        <v>0.28583020828269479</v>
      </c>
      <c r="F37" s="259">
        <f t="shared" si="17"/>
        <v>0.2891357193887461</v>
      </c>
      <c r="G37" s="259">
        <f t="shared" si="17"/>
        <v>0.28522647946275276</v>
      </c>
      <c r="H37" s="259">
        <f t="shared" si="17"/>
        <v>0.28195548370237655</v>
      </c>
      <c r="I37" s="259">
        <f t="shared" si="17"/>
        <v>0.28805901667469502</v>
      </c>
      <c r="J37" s="259">
        <f t="shared" si="17"/>
        <v>0.27956417679883822</v>
      </c>
      <c r="K37" s="259">
        <f t="shared" si="17"/>
        <v>0.28231070860653712</v>
      </c>
      <c r="L37" s="259">
        <f t="shared" si="17"/>
        <v>0.27596194234412696</v>
      </c>
      <c r="M37" s="259">
        <f t="shared" si="17"/>
        <v>0.27757355096261288</v>
      </c>
      <c r="N37" s="259">
        <f t="shared" si="17"/>
        <v>0.27747064758411194</v>
      </c>
      <c r="O37" s="259">
        <f t="shared" si="17"/>
        <v>0.28109026042023577</v>
      </c>
      <c r="P37" s="259">
        <f t="shared" si="17"/>
        <v>0.27295745230605195</v>
      </c>
      <c r="Q37" s="259">
        <f t="shared" si="17"/>
        <v>0.27511603458622969</v>
      </c>
      <c r="R37" s="259">
        <f t="shared" si="17"/>
        <v>0.27335543344710928</v>
      </c>
      <c r="S37" s="259">
        <f t="shared" si="17"/>
        <v>0.27755018451471064</v>
      </c>
      <c r="T37" s="259">
        <f t="shared" si="17"/>
        <v>0.27352237272843227</v>
      </c>
      <c r="U37" s="259">
        <f t="shared" si="17"/>
        <v>0.28395521057557527</v>
      </c>
      <c r="V37" s="259">
        <f t="shared" si="17"/>
        <v>0.28019307551481748</v>
      </c>
      <c r="W37" s="259">
        <f t="shared" si="17"/>
        <v>0.27416541071240103</v>
      </c>
      <c r="X37" s="259">
        <f t="shared" si="17"/>
        <v>0.2767025722183295</v>
      </c>
      <c r="Y37" s="259">
        <f t="shared" si="17"/>
        <v>0.29207362167040346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3.0238099211167768E-2</v>
      </c>
      <c r="C38" s="259">
        <f t="shared" si="18"/>
        <v>3.0818367109161322E-2</v>
      </c>
      <c r="D38" s="259">
        <f t="shared" si="18"/>
        <v>3.006518569665367E-2</v>
      </c>
      <c r="E38" s="259">
        <f t="shared" si="18"/>
        <v>3.0512059066472613E-2</v>
      </c>
      <c r="F38" s="259">
        <f t="shared" si="18"/>
        <v>3.0217278965608853E-2</v>
      </c>
      <c r="G38" s="259">
        <f t="shared" si="18"/>
        <v>3.0579335642653433E-2</v>
      </c>
      <c r="H38" s="259">
        <f t="shared" si="18"/>
        <v>3.1073746423591564E-2</v>
      </c>
      <c r="I38" s="259">
        <f t="shared" si="18"/>
        <v>3.1544795430414566E-2</v>
      </c>
      <c r="J38" s="259">
        <f t="shared" si="18"/>
        <v>3.1743280410547012E-2</v>
      </c>
      <c r="K38" s="259">
        <f t="shared" si="18"/>
        <v>3.1528169508985716E-2</v>
      </c>
      <c r="L38" s="259">
        <f t="shared" si="18"/>
        <v>3.0752142054323039E-2</v>
      </c>
      <c r="M38" s="259">
        <f t="shared" si="18"/>
        <v>3.1295144282735533E-2</v>
      </c>
      <c r="N38" s="259">
        <f t="shared" si="18"/>
        <v>3.0370953366318839E-2</v>
      </c>
      <c r="O38" s="259">
        <f t="shared" si="18"/>
        <v>3.0383884846982085E-2</v>
      </c>
      <c r="P38" s="259">
        <f t="shared" si="18"/>
        <v>3.0135939790758647E-2</v>
      </c>
      <c r="Q38" s="259">
        <f t="shared" si="18"/>
        <v>3.02766482121016E-2</v>
      </c>
      <c r="R38" s="259">
        <f t="shared" si="18"/>
        <v>2.9872402175014343E-2</v>
      </c>
      <c r="S38" s="259">
        <f t="shared" si="18"/>
        <v>3.0070115276734661E-2</v>
      </c>
      <c r="T38" s="259">
        <f t="shared" si="18"/>
        <v>3.0283424629420387E-2</v>
      </c>
      <c r="U38" s="259">
        <f t="shared" si="18"/>
        <v>3.089175968863659E-2</v>
      </c>
      <c r="V38" s="259">
        <f t="shared" si="18"/>
        <v>3.1220512052339167E-2</v>
      </c>
      <c r="W38" s="259">
        <f t="shared" si="18"/>
        <v>3.117156558827738E-2</v>
      </c>
      <c r="X38" s="259">
        <f t="shared" si="18"/>
        <v>3.2003673134010598E-2</v>
      </c>
      <c r="Y38" s="259">
        <f t="shared" si="18"/>
        <v>3.1891470115817659E-2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2.3319565557654291E-2</v>
      </c>
      <c r="C39" s="259">
        <f t="shared" si="19"/>
        <v>2.1519684023307402E-2</v>
      </c>
      <c r="D39" s="259">
        <f t="shared" si="19"/>
        <v>2.3140303608552182E-2</v>
      </c>
      <c r="E39" s="259">
        <f t="shared" si="19"/>
        <v>2.1561423215226947E-2</v>
      </c>
      <c r="F39" s="259">
        <f t="shared" si="19"/>
        <v>2.043510378675718E-2</v>
      </c>
      <c r="G39" s="259">
        <f t="shared" si="19"/>
        <v>2.0187916178306006E-2</v>
      </c>
      <c r="H39" s="259">
        <f t="shared" si="19"/>
        <v>2.093089089228482E-2</v>
      </c>
      <c r="I39" s="259">
        <f t="shared" si="19"/>
        <v>1.8721245182582998E-2</v>
      </c>
      <c r="J39" s="259">
        <f t="shared" si="19"/>
        <v>2.0766156891839544E-2</v>
      </c>
      <c r="K39" s="259">
        <f t="shared" si="19"/>
        <v>1.949428634688874E-2</v>
      </c>
      <c r="L39" s="259">
        <f t="shared" si="19"/>
        <v>1.7733705372805077E-2</v>
      </c>
      <c r="M39" s="259">
        <f t="shared" si="19"/>
        <v>1.7598925507631286E-2</v>
      </c>
      <c r="N39" s="259">
        <f t="shared" si="19"/>
        <v>1.9316063456761373E-2</v>
      </c>
      <c r="O39" s="259">
        <f t="shared" si="19"/>
        <v>1.9429003487560652E-2</v>
      </c>
      <c r="P39" s="259">
        <f t="shared" si="19"/>
        <v>2.0927817923015853E-2</v>
      </c>
      <c r="Q39" s="259">
        <f t="shared" si="19"/>
        <v>2.0029216511666829E-2</v>
      </c>
      <c r="R39" s="259">
        <f t="shared" si="19"/>
        <v>2.0018977744335618E-2</v>
      </c>
      <c r="S39" s="259">
        <f t="shared" si="19"/>
        <v>1.9719642029051701E-2</v>
      </c>
      <c r="T39" s="259">
        <f t="shared" si="19"/>
        <v>1.977372988299337E-2</v>
      </c>
      <c r="U39" s="259">
        <f t="shared" si="19"/>
        <v>1.8467135092523825E-2</v>
      </c>
      <c r="V39" s="259">
        <f t="shared" si="19"/>
        <v>1.8626689212103857E-2</v>
      </c>
      <c r="W39" s="259">
        <f t="shared" si="19"/>
        <v>1.9301221682518577E-2</v>
      </c>
      <c r="X39" s="259">
        <f t="shared" si="19"/>
        <v>1.8914807681296039E-2</v>
      </c>
      <c r="Y39" s="259">
        <f t="shared" si="19"/>
        <v>2.0077468777627932E-2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3.5540527818082243E-2</v>
      </c>
      <c r="C40" s="261">
        <f t="shared" si="20"/>
        <v>3.279739182000567E-2</v>
      </c>
      <c r="D40" s="261">
        <f t="shared" si="20"/>
        <v>3.5267321000698092E-2</v>
      </c>
      <c r="E40" s="261">
        <f t="shared" si="20"/>
        <v>3.2861005051043481E-2</v>
      </c>
      <c r="F40" s="261">
        <f t="shared" si="20"/>
        <v>3.1144421314497961E-2</v>
      </c>
      <c r="G40" s="261">
        <f t="shared" si="20"/>
        <v>3.076769139417744E-2</v>
      </c>
      <c r="H40" s="261">
        <f t="shared" si="20"/>
        <v>3.190003296482169E-2</v>
      </c>
      <c r="I40" s="261">
        <f t="shared" si="20"/>
        <v>2.85323898318652E-2</v>
      </c>
      <c r="J40" s="261">
        <f t="shared" si="20"/>
        <v>3.1648967681854309E-2</v>
      </c>
      <c r="K40" s="261">
        <f t="shared" si="20"/>
        <v>2.9710554619566936E-2</v>
      </c>
      <c r="L40" s="261">
        <f t="shared" si="20"/>
        <v>2.7027315219986067E-2</v>
      </c>
      <c r="M40" s="261">
        <f t="shared" si="20"/>
        <v>2.6821901978659465E-2</v>
      </c>
      <c r="N40" s="261">
        <f t="shared" si="20"/>
        <v>2.9438931395337892E-2</v>
      </c>
      <c r="O40" s="261">
        <f t="shared" si="20"/>
        <v>2.9611059314980016E-2</v>
      </c>
      <c r="P40" s="261">
        <f t="shared" si="20"/>
        <v>3.1895349560685474E-2</v>
      </c>
      <c r="Q40" s="261">
        <f t="shared" si="20"/>
        <v>3.0525822826644948E-2</v>
      </c>
      <c r="R40" s="261">
        <f t="shared" si="20"/>
        <v>3.0510218282286772E-2</v>
      </c>
      <c r="S40" s="261">
        <f t="shared" si="20"/>
        <v>3.0054011270638475E-2</v>
      </c>
      <c r="T40" s="261">
        <f t="shared" si="20"/>
        <v>3.0136444662156096E-2</v>
      </c>
      <c r="U40" s="261">
        <f t="shared" si="20"/>
        <v>2.8145109601353382E-2</v>
      </c>
      <c r="V40" s="261">
        <f t="shared" si="20"/>
        <v>2.8388280410492326E-2</v>
      </c>
      <c r="W40" s="261">
        <f t="shared" si="20"/>
        <v>2.9416311570408412E-2</v>
      </c>
      <c r="X40" s="261">
        <f t="shared" si="20"/>
        <v>2.8827391612796321E-2</v>
      </c>
      <c r="Y40" s="261">
        <f t="shared" si="20"/>
        <v>3.0599362404234248E-2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0.39053115062422378</v>
      </c>
      <c r="C44" s="237">
        <f>IF(C$5=0,0,C$5/AGR_fec!C$5)</f>
        <v>0.39055952950172168</v>
      </c>
      <c r="D44" s="237">
        <f>IF(D$5=0,0,D$5/AGR_fec!D$5)</f>
        <v>0.3938676146126262</v>
      </c>
      <c r="E44" s="237">
        <f>IF(E$5=0,0,E$5/AGR_fec!E$5)</f>
        <v>0.39387950644332043</v>
      </c>
      <c r="F44" s="237">
        <f>IF(F$5=0,0,F$5/AGR_fec!F$5)</f>
        <v>0.39387104073496082</v>
      </c>
      <c r="G44" s="237">
        <f>IF(G$5=0,0,G$5/AGR_fec!G$5)</f>
        <v>0.39423244229247117</v>
      </c>
      <c r="H44" s="237">
        <f>IF(H$5=0,0,H$5/AGR_fec!H$5)</f>
        <v>0.39423433199730401</v>
      </c>
      <c r="I44" s="237">
        <f>IF(I$5=0,0,I$5/AGR_fec!I$5)</f>
        <v>0.39017137968349774</v>
      </c>
      <c r="J44" s="237">
        <f>IF(J$5=0,0,J$5/AGR_fec!J$5)</f>
        <v>0.39406307050793793</v>
      </c>
      <c r="K44" s="237">
        <f>IF(K$5=0,0,K$5/AGR_fec!K$5)</f>
        <v>0.39014370778275687</v>
      </c>
      <c r="L44" s="237">
        <f>IF(L$5=0,0,L$5/AGR_fec!L$5)</f>
        <v>0.39857987315179055</v>
      </c>
      <c r="M44" s="237">
        <f>IF(M$5=0,0,M$5/AGR_fec!M$5)</f>
        <v>0.3974753246710655</v>
      </c>
      <c r="N44" s="237">
        <f>IF(N$5=0,0,N$5/AGR_fec!N$5)</f>
        <v>0.40060852466266922</v>
      </c>
      <c r="O44" s="237">
        <f>IF(O$5=0,0,O$5/AGR_fec!O$5)</f>
        <v>0.39818605549419162</v>
      </c>
      <c r="P44" s="237">
        <f>IF(P$5=0,0,P$5/AGR_fec!P$5)</f>
        <v>0.40235624230444889</v>
      </c>
      <c r="Q44" s="237">
        <f>IF(Q$5=0,0,Q$5/AGR_fec!Q$5)</f>
        <v>0.40048102204974567</v>
      </c>
      <c r="R44" s="237">
        <f>IF(R$5=0,0,R$5/AGR_fec!R$5)</f>
        <v>0.40170743709808859</v>
      </c>
      <c r="S44" s="237">
        <f>IF(S$5=0,0,S$5/AGR_fec!S$5)</f>
        <v>0.39662928259051367</v>
      </c>
      <c r="T44" s="237">
        <f>IF(T$5=0,0,T$5/AGR_fec!T$5)</f>
        <v>0.39834311972593434</v>
      </c>
      <c r="U44" s="237">
        <f>IF(U$5=0,0,U$5/AGR_fec!U$5)</f>
        <v>0.39129987122642301</v>
      </c>
      <c r="V44" s="237">
        <f>IF(V$5=0,0,V$5/AGR_fec!V$5)</f>
        <v>0.39278595350932077</v>
      </c>
      <c r="W44" s="237">
        <f>IF(W$5=0,0,W$5/AGR_fec!W$5)</f>
        <v>0.39690821543287863</v>
      </c>
      <c r="X44" s="237">
        <f>IF(X$5=0,0,X$5/AGR_fec!X$5)</f>
        <v>0.39341712599079887</v>
      </c>
      <c r="Y44" s="237">
        <f>IF(Y$5=0,0,Y$5/AGR_fec!Y$5)</f>
        <v>0.38446542534700134</v>
      </c>
      <c r="DA44" s="286"/>
    </row>
    <row r="45" spans="1:105" x14ac:dyDescent="0.25">
      <c r="A45" s="238" t="s">
        <v>125</v>
      </c>
      <c r="B45" s="250">
        <f>IF(B$6=0,0,B$6/AGR_fec!B$6)</f>
        <v>0.48808834617564156</v>
      </c>
      <c r="C45" s="250">
        <f>IF(C$6=0,0,C$6/AGR_fec!C$6)</f>
        <v>0.48808834617564145</v>
      </c>
      <c r="D45" s="250">
        <f>IF(D$6=0,0,D$6/AGR_fec!D$6)</f>
        <v>0.48808834617564162</v>
      </c>
      <c r="E45" s="250">
        <f>IF(E$6=0,0,E$6/AGR_fec!E$6)</f>
        <v>0.48808834617564156</v>
      </c>
      <c r="F45" s="250">
        <f>IF(F$6=0,0,F$6/AGR_fec!F$6)</f>
        <v>0.48808834617564184</v>
      </c>
      <c r="G45" s="250">
        <f>IF(G$6=0,0,G$6/AGR_fec!G$6)</f>
        <v>0.48808834617564151</v>
      </c>
      <c r="H45" s="250">
        <f>IF(H$6=0,0,H$6/AGR_fec!H$6)</f>
        <v>0.48808834617564179</v>
      </c>
      <c r="I45" s="250">
        <f>IF(I$6=0,0,I$6/AGR_fec!I$6)</f>
        <v>0.48808834617564167</v>
      </c>
      <c r="J45" s="250">
        <f>IF(J$6=0,0,J$6/AGR_fec!J$6)</f>
        <v>0.48808834617564145</v>
      </c>
      <c r="K45" s="250">
        <f>IF(K$6=0,0,K$6/AGR_fec!K$6)</f>
        <v>0.48808834617564129</v>
      </c>
      <c r="L45" s="250">
        <f>IF(L$6=0,0,L$6/AGR_fec!L$6)</f>
        <v>0.48808834617564162</v>
      </c>
      <c r="M45" s="250">
        <f>IF(M$6=0,0,M$6/AGR_fec!M$6)</f>
        <v>0.4880883461756419</v>
      </c>
      <c r="N45" s="250">
        <f>IF(N$6=0,0,N$6/AGR_fec!N$6)</f>
        <v>0.48808834617564145</v>
      </c>
      <c r="O45" s="250">
        <f>IF(O$6=0,0,O$6/AGR_fec!O$6)</f>
        <v>0.4880883461756414</v>
      </c>
      <c r="P45" s="250">
        <f>IF(P$6=0,0,P$6/AGR_fec!P$6)</f>
        <v>0.48808834617564151</v>
      </c>
      <c r="Q45" s="250">
        <f>IF(Q$6=0,0,Q$6/AGR_fec!Q$6)</f>
        <v>0.48808834617564145</v>
      </c>
      <c r="R45" s="250">
        <f>IF(R$6=0,0,R$6/AGR_fec!R$6)</f>
        <v>0.4880883461756414</v>
      </c>
      <c r="S45" s="250">
        <f>IF(S$6=0,0,S$6/AGR_fec!S$6)</f>
        <v>0.48808834617564162</v>
      </c>
      <c r="T45" s="250">
        <f>IF(T$6=0,0,T$6/AGR_fec!T$6)</f>
        <v>0.48808834617564162</v>
      </c>
      <c r="U45" s="250">
        <f>IF(U$6=0,0,U$6/AGR_fec!U$6)</f>
        <v>0.48808834617564173</v>
      </c>
      <c r="V45" s="250">
        <f>IF(V$6=0,0,V$6/AGR_fec!V$6)</f>
        <v>0.48808834617564173</v>
      </c>
      <c r="W45" s="250">
        <f>IF(W$6=0,0,W$6/AGR_fec!W$6)</f>
        <v>0.48808834617564151</v>
      </c>
      <c r="X45" s="250">
        <f>IF(X$6=0,0,X$6/AGR_fec!X$6)</f>
        <v>0.48808834617564151</v>
      </c>
      <c r="Y45" s="250">
        <f>IF(Y$6=0,0,Y$6/AGR_fec!Y$6)</f>
        <v>0.48808834617564173</v>
      </c>
      <c r="DA45" s="287"/>
    </row>
    <row r="46" spans="1:105" x14ac:dyDescent="0.25">
      <c r="A46" s="240" t="s">
        <v>124</v>
      </c>
      <c r="B46" s="251">
        <f>IF(B$7=0,0,B$7/AGR_fec!B$7)</f>
        <v>0.48400202845262696</v>
      </c>
      <c r="C46" s="251">
        <f>IF(C$7=0,0,C$7/AGR_fec!C$7)</f>
        <v>0.48400202845262691</v>
      </c>
      <c r="D46" s="251">
        <f>IF(D$7=0,0,D$7/AGR_fec!D$7)</f>
        <v>0.48400202845262696</v>
      </c>
      <c r="E46" s="251">
        <f>IF(E$7=0,0,E$7/AGR_fec!E$7)</f>
        <v>0.48400202845262702</v>
      </c>
      <c r="F46" s="251">
        <f>IF(F$7=0,0,F$7/AGR_fec!F$7)</f>
        <v>0.4840020284526268</v>
      </c>
      <c r="G46" s="251">
        <f>IF(G$7=0,0,G$7/AGR_fec!G$7)</f>
        <v>0.48400202845262696</v>
      </c>
      <c r="H46" s="251">
        <f>IF(H$7=0,0,H$7/AGR_fec!H$7)</f>
        <v>0.48400202845262685</v>
      </c>
      <c r="I46" s="251">
        <f>IF(I$7=0,0,I$7/AGR_fec!I$7)</f>
        <v>0.48400202845262702</v>
      </c>
      <c r="J46" s="251">
        <f>IF(J$7=0,0,J$7/AGR_fec!J$7)</f>
        <v>0.48400202845262685</v>
      </c>
      <c r="K46" s="251">
        <f>IF(K$7=0,0,K$7/AGR_fec!K$7)</f>
        <v>0.48400202845262691</v>
      </c>
      <c r="L46" s="251">
        <f>IF(L$7=0,0,L$7/AGR_fec!L$7)</f>
        <v>0.48400202845262674</v>
      </c>
      <c r="M46" s="251">
        <f>IF(M$7=0,0,M$7/AGR_fec!M$7)</f>
        <v>0.48400202845262702</v>
      </c>
      <c r="N46" s="251">
        <f>IF(N$7=0,0,N$7/AGR_fec!N$7)</f>
        <v>0.48400202845262691</v>
      </c>
      <c r="O46" s="251">
        <f>IF(O$7=0,0,O$7/AGR_fec!O$7)</f>
        <v>0.4840020284526268</v>
      </c>
      <c r="P46" s="251">
        <f>IF(P$7=0,0,P$7/AGR_fec!P$7)</f>
        <v>0.48400202845262696</v>
      </c>
      <c r="Q46" s="251">
        <f>IF(Q$7=0,0,Q$7/AGR_fec!Q$7)</f>
        <v>0.48400202845262696</v>
      </c>
      <c r="R46" s="251">
        <f>IF(R$7=0,0,R$7/AGR_fec!R$7)</f>
        <v>0.48400202845262691</v>
      </c>
      <c r="S46" s="251">
        <f>IF(S$7=0,0,S$7/AGR_fec!S$7)</f>
        <v>0.48400202845262702</v>
      </c>
      <c r="T46" s="251">
        <f>IF(T$7=0,0,T$7/AGR_fec!T$7)</f>
        <v>0.4840020284526268</v>
      </c>
      <c r="U46" s="251">
        <f>IF(U$7=0,0,U$7/AGR_fec!U$7)</f>
        <v>0.48400202845262691</v>
      </c>
      <c r="V46" s="251">
        <f>IF(V$7=0,0,V$7/AGR_fec!V$7)</f>
        <v>0.48400202845262702</v>
      </c>
      <c r="W46" s="251">
        <f>IF(W$7=0,0,W$7/AGR_fec!W$7)</f>
        <v>0.48400202845262691</v>
      </c>
      <c r="X46" s="251">
        <f>IF(X$7=0,0,X$7/AGR_fec!X$7)</f>
        <v>0.4840020284526268</v>
      </c>
      <c r="Y46" s="251">
        <f>IF(Y$7=0,0,Y$7/AGR_fec!Y$7)</f>
        <v>0.48400202845262702</v>
      </c>
      <c r="DA46" s="288"/>
    </row>
    <row r="47" spans="1:105" x14ac:dyDescent="0.25">
      <c r="A47" s="240" t="s">
        <v>123</v>
      </c>
      <c r="B47" s="251">
        <f>IF(B$8=0,0,B$8/AGR_fec!B$8)</f>
        <v>0.69465097830910116</v>
      </c>
      <c r="C47" s="251">
        <f>IF(C$8=0,0,C$8/AGR_fec!C$8)</f>
        <v>0.69465097830910094</v>
      </c>
      <c r="D47" s="251">
        <f>IF(D$8=0,0,D$8/AGR_fec!D$8)</f>
        <v>0.69465097830910072</v>
      </c>
      <c r="E47" s="251">
        <f>IF(E$8=0,0,E$8/AGR_fec!E$8)</f>
        <v>0.69465097830910094</v>
      </c>
      <c r="F47" s="251">
        <f>IF(F$8=0,0,F$8/AGR_fec!F$8)</f>
        <v>0.69465097830910094</v>
      </c>
      <c r="G47" s="251">
        <f>IF(G$8=0,0,G$8/AGR_fec!G$8)</f>
        <v>0.69465097830910072</v>
      </c>
      <c r="H47" s="251">
        <f>IF(H$8=0,0,H$8/AGR_fec!H$8)</f>
        <v>0.69465097830910116</v>
      </c>
      <c r="I47" s="251">
        <f>IF(I$8=0,0,I$8/AGR_fec!I$8)</f>
        <v>0.69465097830910127</v>
      </c>
      <c r="J47" s="251">
        <f>IF(J$8=0,0,J$8/AGR_fec!J$8)</f>
        <v>0.69465097830910083</v>
      </c>
      <c r="K47" s="251">
        <f>IF(K$8=0,0,K$8/AGR_fec!K$8)</f>
        <v>0.69465097830910105</v>
      </c>
      <c r="L47" s="251">
        <f>IF(L$8=0,0,L$8/AGR_fec!L$8)</f>
        <v>0.69465097830910116</v>
      </c>
      <c r="M47" s="251">
        <f>IF(M$8=0,0,M$8/AGR_fec!M$8)</f>
        <v>0.69465097830910105</v>
      </c>
      <c r="N47" s="251">
        <f>IF(N$8=0,0,N$8/AGR_fec!N$8)</f>
        <v>0.69465097830910072</v>
      </c>
      <c r="O47" s="251">
        <f>IF(O$8=0,0,O$8/AGR_fec!O$8)</f>
        <v>0.69465097830910072</v>
      </c>
      <c r="P47" s="251">
        <f>IF(P$8=0,0,P$8/AGR_fec!P$8)</f>
        <v>0.69465097830910105</v>
      </c>
      <c r="Q47" s="251">
        <f>IF(Q$8=0,0,Q$8/AGR_fec!Q$8)</f>
        <v>0.69465097830910139</v>
      </c>
      <c r="R47" s="251">
        <f>IF(R$8=0,0,R$8/AGR_fec!R$8)</f>
        <v>0.69465097830910116</v>
      </c>
      <c r="S47" s="251">
        <f>IF(S$8=0,0,S$8/AGR_fec!S$8)</f>
        <v>0.69465097830910116</v>
      </c>
      <c r="T47" s="251">
        <f>IF(T$8=0,0,T$8/AGR_fec!T$8)</f>
        <v>0.69465097830910116</v>
      </c>
      <c r="U47" s="251">
        <f>IF(U$8=0,0,U$8/AGR_fec!U$8)</f>
        <v>0.69465097830910105</v>
      </c>
      <c r="V47" s="251">
        <f>IF(V$8=0,0,V$8/AGR_fec!V$8)</f>
        <v>0.69465097830910094</v>
      </c>
      <c r="W47" s="251">
        <f>IF(W$8=0,0,W$8/AGR_fec!W$8)</f>
        <v>0.69465097830910083</v>
      </c>
      <c r="X47" s="251">
        <f>IF(X$8=0,0,X$8/AGR_fec!X$8)</f>
        <v>0.69465097830910094</v>
      </c>
      <c r="Y47" s="251">
        <f>IF(Y$8=0,0,Y$8/AGR_fec!Y$8)</f>
        <v>0.69465097830910105</v>
      </c>
      <c r="DA47" s="288"/>
    </row>
    <row r="48" spans="1:105" x14ac:dyDescent="0.25">
      <c r="A48" s="242" t="s">
        <v>122</v>
      </c>
      <c r="B48" s="252">
        <f>IF(B$9=0,0,B$9/AGR_fec!B$9)</f>
        <v>0.65538575998607629</v>
      </c>
      <c r="C48" s="252">
        <f>IF(C$9=0,0,C$9/AGR_fec!C$9)</f>
        <v>0.65229674261171178</v>
      </c>
      <c r="D48" s="252">
        <f>IF(D$9=0,0,D$9/AGR_fec!D$9)</f>
        <v>0.6583250107454055</v>
      </c>
      <c r="E48" s="252">
        <f>IF(E$9=0,0,E$9/AGR_fec!E$9)</f>
        <v>0.65609625152038886</v>
      </c>
      <c r="F48" s="252">
        <f>IF(F$9=0,0,F$9/AGR_fec!F$9)</f>
        <v>0.6586249860443435</v>
      </c>
      <c r="G48" s="252">
        <f>IF(G$9=0,0,G$9/AGR_fec!G$9)</f>
        <v>0.6571431757565116</v>
      </c>
      <c r="H48" s="252">
        <f>IF(H$9=0,0,H$9/AGR_fec!H$9)</f>
        <v>0.65346160437447165</v>
      </c>
      <c r="I48" s="252">
        <f>IF(I$9=0,0,I$9/AGR_fec!I$9)</f>
        <v>0.65018873711291192</v>
      </c>
      <c r="J48" s="252">
        <f>IF(J$9=0,0,J$9/AGR_fec!J$9)</f>
        <v>0.64858152197079721</v>
      </c>
      <c r="K48" s="252">
        <f>IF(K$9=0,0,K$9/AGR_fec!K$9)</f>
        <v>0.65034015629957143</v>
      </c>
      <c r="L48" s="252">
        <f>IF(L$9=0,0,L$9/AGR_fec!L$9)</f>
        <v>0.66099153082839579</v>
      </c>
      <c r="M48" s="252">
        <f>IF(M$9=0,0,M$9/AGR_fec!M$9)</f>
        <v>0.65662927674603977</v>
      </c>
      <c r="N48" s="252">
        <f>IF(N$9=0,0,N$9/AGR_fec!N$9)</f>
        <v>0.66192329441056341</v>
      </c>
      <c r="O48" s="252">
        <f>IF(O$9=0,0,O$9/AGR_fec!O$9)</f>
        <v>0.66073663604825128</v>
      </c>
      <c r="P48" s="252">
        <f>IF(P$9=0,0,P$9/AGR_fec!P$9)</f>
        <v>0.66326567544144055</v>
      </c>
      <c r="Q48" s="252">
        <f>IF(Q$9=0,0,Q$9/AGR_fec!Q$9)</f>
        <v>0.66227807682757212</v>
      </c>
      <c r="R48" s="252">
        <f>IF(R$9=0,0,R$9/AGR_fec!R$9)</f>
        <v>0.665444886100933</v>
      </c>
      <c r="S48" s="252">
        <f>IF(S$9=0,0,S$9/AGR_fec!S$9)</f>
        <v>0.66291554955564735</v>
      </c>
      <c r="T48" s="252">
        <f>IF(T$9=0,0,T$9/AGR_fec!T$9)</f>
        <v>0.66236821897202247</v>
      </c>
      <c r="U48" s="252">
        <f>IF(U$9=0,0,U$9/AGR_fec!U$9)</f>
        <v>0.65618611872769406</v>
      </c>
      <c r="V48" s="252">
        <f>IF(V$9=0,0,V$9/AGR_fec!V$9)</f>
        <v>0.65458555573997645</v>
      </c>
      <c r="W48" s="252">
        <f>IF(W$9=0,0,W$9/AGR_fec!W$9)</f>
        <v>0.65617237594129985</v>
      </c>
      <c r="X48" s="252">
        <f>IF(X$9=0,0,X$9/AGR_fec!X$9)</f>
        <v>0.64894884159318855</v>
      </c>
      <c r="Y48" s="252">
        <f>IF(Y$9=0,0,Y$9/AGR_fec!Y$9)</f>
        <v>0.64269907928768022</v>
      </c>
      <c r="DA48" s="289"/>
    </row>
    <row r="49" spans="1:105" x14ac:dyDescent="0.25">
      <c r="A49" s="127" t="s">
        <v>168</v>
      </c>
      <c r="B49" s="264">
        <f>IF(B$16=0,0,B$16/AGR_fec!B$16)</f>
        <v>0.34926611728148249</v>
      </c>
      <c r="C49" s="264">
        <f>IF(C$16=0,0,C$16/AGR_fec!C$16)</f>
        <v>0.34926611728148266</v>
      </c>
      <c r="D49" s="264">
        <f>IF(D$16=0,0,D$16/AGR_fec!D$16)</f>
        <v>0.34926611728148271</v>
      </c>
      <c r="E49" s="264">
        <f>IF(E$16=0,0,E$16/AGR_fec!E$16)</f>
        <v>0.34926611728148277</v>
      </c>
      <c r="F49" s="264">
        <f>IF(F$16=0,0,F$16/AGR_fec!F$16)</f>
        <v>0.34926611728148266</v>
      </c>
      <c r="G49" s="264">
        <f>IF(G$16=0,0,G$16/AGR_fec!G$16)</f>
        <v>0.3492661172814826</v>
      </c>
      <c r="H49" s="264">
        <f>IF(H$16=0,0,H$16/AGR_fec!H$16)</f>
        <v>0.3492661172814826</v>
      </c>
      <c r="I49" s="264">
        <f>IF(I$16=0,0,I$16/AGR_fec!I$16)</f>
        <v>0.34926611728148266</v>
      </c>
      <c r="J49" s="264">
        <f>IF(J$16=0,0,J$16/AGR_fec!J$16)</f>
        <v>0.34926611728148255</v>
      </c>
      <c r="K49" s="264">
        <f>IF(K$16=0,0,K$16/AGR_fec!K$16)</f>
        <v>0.34926611728148271</v>
      </c>
      <c r="L49" s="264">
        <f>IF(L$16=0,0,L$16/AGR_fec!L$16)</f>
        <v>0.34926611728148255</v>
      </c>
      <c r="M49" s="264">
        <f>IF(M$16=0,0,M$16/AGR_fec!M$16)</f>
        <v>0.34926611728148249</v>
      </c>
      <c r="N49" s="264">
        <f>IF(N$16=0,0,N$16/AGR_fec!N$16)</f>
        <v>0.34926611728148255</v>
      </c>
      <c r="O49" s="264">
        <f>IF(O$16=0,0,O$16/AGR_fec!O$16)</f>
        <v>0.3492661172814826</v>
      </c>
      <c r="P49" s="264">
        <f>IF(P$16=0,0,P$16/AGR_fec!P$16)</f>
        <v>0.34926611728148271</v>
      </c>
      <c r="Q49" s="264">
        <f>IF(Q$16=0,0,Q$16/AGR_fec!Q$16)</f>
        <v>0.34926611728148255</v>
      </c>
      <c r="R49" s="264">
        <f>IF(R$16=0,0,R$16/AGR_fec!R$16)</f>
        <v>0.3492661172814826</v>
      </c>
      <c r="S49" s="264">
        <f>IF(S$16=0,0,S$16/AGR_fec!S$16)</f>
        <v>0.34926611728148266</v>
      </c>
      <c r="T49" s="264">
        <f>IF(T$16=0,0,T$16/AGR_fec!T$16)</f>
        <v>0.3492661172814826</v>
      </c>
      <c r="U49" s="264">
        <f>IF(U$16=0,0,U$16/AGR_fec!U$16)</f>
        <v>0.34926611728148277</v>
      </c>
      <c r="V49" s="264">
        <f>IF(V$16=0,0,V$16/AGR_fec!V$16)</f>
        <v>0.34926611728148266</v>
      </c>
      <c r="W49" s="264">
        <f>IF(W$16=0,0,W$16/AGR_fec!W$16)</f>
        <v>0.3492661172814826</v>
      </c>
      <c r="X49" s="264">
        <f>IF(X$16=0,0,X$16/AGR_fec!X$16)</f>
        <v>0.34926611728148255</v>
      </c>
      <c r="Y49" s="264">
        <f>IF(Y$16=0,0,Y$16/AGR_fec!Y$16)</f>
        <v>0.34926611728148271</v>
      </c>
      <c r="DA49" s="290"/>
    </row>
    <row r="50" spans="1:105" x14ac:dyDescent="0.25">
      <c r="A50" s="127" t="s">
        <v>121</v>
      </c>
      <c r="B50" s="264">
        <f>IF(B$17=0,0,B$17/AGR_fec!B$17)</f>
        <v>0.27472064256857842</v>
      </c>
      <c r="C50" s="264">
        <f>IF(C$17=0,0,C$17/AGR_fec!C$17)</f>
        <v>0.27669993662344833</v>
      </c>
      <c r="D50" s="264">
        <f>IF(D$17=0,0,D$17/AGR_fec!D$17)</f>
        <v>0.27732992746251728</v>
      </c>
      <c r="E50" s="264">
        <f>IF(E$17=0,0,E$17/AGR_fec!E$17)</f>
        <v>0.2787317217454004</v>
      </c>
      <c r="F50" s="264">
        <f>IF(F$17=0,0,F$17/AGR_fec!F$17)</f>
        <v>0.27841604332345338</v>
      </c>
      <c r="G50" s="264">
        <f>IF(G$17=0,0,G$17/AGR_fec!G$17)</f>
        <v>0.2782692647626292</v>
      </c>
      <c r="H50" s="264">
        <f>IF(H$17=0,0,H$17/AGR_fec!H$17)</f>
        <v>0.2793301410964375</v>
      </c>
      <c r="I50" s="264">
        <f>IF(I$17=0,0,I$17/AGR_fec!I$17)</f>
        <v>0.27672694693856137</v>
      </c>
      <c r="J50" s="264">
        <f>IF(J$17=0,0,J$17/AGR_fec!J$17)</f>
        <v>0.28099399029278754</v>
      </c>
      <c r="K50" s="264">
        <f>IF(K$17=0,0,K$17/AGR_fec!K$17)</f>
        <v>0.27378409237016815</v>
      </c>
      <c r="L50" s="264">
        <f>IF(L$17=0,0,L$17/AGR_fec!L$17)</f>
        <v>0.27896503992381078</v>
      </c>
      <c r="M50" s="264">
        <f>IF(M$17=0,0,M$17/AGR_fec!M$17)</f>
        <v>0.28082233690894581</v>
      </c>
      <c r="N50" s="264">
        <f>IF(N$17=0,0,N$17/AGR_fec!N$17)</f>
        <v>0.28280215254547858</v>
      </c>
      <c r="O50" s="264">
        <f>IF(O$17=0,0,O$17/AGR_fec!O$17)</f>
        <v>0.28096678888522864</v>
      </c>
      <c r="P50" s="264">
        <f>IF(P$17=0,0,P$17/AGR_fec!P$17)</f>
        <v>0.28308325551503138</v>
      </c>
      <c r="Q50" s="264">
        <f>IF(Q$17=0,0,Q$17/AGR_fec!Q$17)</f>
        <v>0.28119019883583829</v>
      </c>
      <c r="R50" s="264">
        <f>IF(R$17=0,0,R$17/AGR_fec!R$17)</f>
        <v>0.28011426826636487</v>
      </c>
      <c r="S50" s="264">
        <f>IF(S$17=0,0,S$17/AGR_fec!S$17)</f>
        <v>0.27477591690313191</v>
      </c>
      <c r="T50" s="264">
        <f>IF(T$17=0,0,T$17/AGR_fec!T$17)</f>
        <v>0.27631039309441607</v>
      </c>
      <c r="U50" s="264">
        <f>IF(U$17=0,0,U$17/AGR_fec!U$17)</f>
        <v>0.2728201510857543</v>
      </c>
      <c r="V50" s="264">
        <f>IF(V$17=0,0,V$17/AGR_fec!V$17)</f>
        <v>0.27479137644558826</v>
      </c>
      <c r="W50" s="264">
        <f>IF(W$17=0,0,W$17/AGR_fec!W$17)</f>
        <v>0.27845038011573126</v>
      </c>
      <c r="X50" s="264">
        <f>IF(X$17=0,0,X$17/AGR_fec!X$17)</f>
        <v>0.27802335018198709</v>
      </c>
      <c r="Y50" s="264">
        <f>IF(Y$17=0,0,Y$17/AGR_fec!Y$17)</f>
        <v>0.2723618630244809</v>
      </c>
      <c r="DA50" s="290"/>
    </row>
    <row r="51" spans="1:105" x14ac:dyDescent="0.25">
      <c r="A51" s="127" t="s">
        <v>167</v>
      </c>
      <c r="B51" s="264">
        <f>IF(B$25=0,0,B$25/AGR_fec!B$25)</f>
        <v>0.24448628209703782</v>
      </c>
      <c r="C51" s="264">
        <f>IF(C$25=0,0,C$25/AGR_fec!C$25)</f>
        <v>0.24448628209703782</v>
      </c>
      <c r="D51" s="264">
        <f>IF(D$25=0,0,D$25/AGR_fec!D$25)</f>
        <v>0.24448628209703777</v>
      </c>
      <c r="E51" s="264">
        <f>IF(E$25=0,0,E$25/AGR_fec!E$25)</f>
        <v>0.24448628209703779</v>
      </c>
      <c r="F51" s="264">
        <f>IF(F$25=0,0,F$25/AGR_fec!F$25)</f>
        <v>0.24448628209703782</v>
      </c>
      <c r="G51" s="264">
        <f>IF(G$25=0,0,G$25/AGR_fec!G$25)</f>
        <v>0.24448628209703779</v>
      </c>
      <c r="H51" s="264">
        <f>IF(H$25=0,0,H$25/AGR_fec!H$25)</f>
        <v>0.24448628209703785</v>
      </c>
      <c r="I51" s="264">
        <f>IF(I$25=0,0,I$25/AGR_fec!I$25)</f>
        <v>0.24448628209703788</v>
      </c>
      <c r="J51" s="264">
        <f>IF(J$25=0,0,J$25/AGR_fec!J$25)</f>
        <v>0.24448628209703782</v>
      </c>
      <c r="K51" s="264">
        <f>IF(K$25=0,0,K$25/AGR_fec!K$25)</f>
        <v>0.24448628209703788</v>
      </c>
      <c r="L51" s="264">
        <f>IF(L$25=0,0,L$25/AGR_fec!L$25)</f>
        <v>0.24448628209703777</v>
      </c>
      <c r="M51" s="264">
        <f>IF(M$25=0,0,M$25/AGR_fec!M$25)</f>
        <v>0.24448628209703788</v>
      </c>
      <c r="N51" s="264">
        <f>IF(N$25=0,0,N$25/AGR_fec!N$25)</f>
        <v>0.24448628209703788</v>
      </c>
      <c r="O51" s="264">
        <f>IF(O$25=0,0,O$25/AGR_fec!O$25)</f>
        <v>0.24448628209703785</v>
      </c>
      <c r="P51" s="264">
        <f>IF(P$25=0,0,P$25/AGR_fec!P$25)</f>
        <v>0.24448628209703779</v>
      </c>
      <c r="Q51" s="264">
        <f>IF(Q$25=0,0,Q$25/AGR_fec!Q$25)</f>
        <v>0.24448628209703777</v>
      </c>
      <c r="R51" s="264">
        <f>IF(R$25=0,0,R$25/AGR_fec!R$25)</f>
        <v>0.24448628209703788</v>
      </c>
      <c r="S51" s="264">
        <f>IF(S$25=0,0,S$25/AGR_fec!S$25)</f>
        <v>0.24448628209703777</v>
      </c>
      <c r="T51" s="264">
        <f>IF(T$25=0,0,T$25/AGR_fec!T$25)</f>
        <v>0.24448628209703785</v>
      </c>
      <c r="U51" s="264">
        <f>IF(U$25=0,0,U$25/AGR_fec!U$25)</f>
        <v>0.24448628209703777</v>
      </c>
      <c r="V51" s="264">
        <f>IF(V$25=0,0,V$25/AGR_fec!V$25)</f>
        <v>0.24448628209703796</v>
      </c>
      <c r="W51" s="264">
        <f>IF(W$25=0,0,W$25/AGR_fec!W$25)</f>
        <v>0.24448628209703777</v>
      </c>
      <c r="X51" s="264">
        <f>IF(X$25=0,0,X$25/AGR_fec!X$25)</f>
        <v>0.2444862820970379</v>
      </c>
      <c r="Y51" s="264">
        <f>IF(Y$25=0,0,Y$25/AGR_fec!Y$25)</f>
        <v>0.24448628209703782</v>
      </c>
      <c r="DA51" s="290"/>
    </row>
    <row r="52" spans="1:105" x14ac:dyDescent="0.25">
      <c r="A52" s="127" t="s">
        <v>170</v>
      </c>
      <c r="B52" s="264">
        <f>IF(B$26=0,0,B$26/AGR_fec!B$26)</f>
        <v>0.4840020284526268</v>
      </c>
      <c r="C52" s="264">
        <f>IF(C$26=0,0,C$26/AGR_fec!C$26)</f>
        <v>0.48400202845262674</v>
      </c>
      <c r="D52" s="264">
        <f>IF(D$26=0,0,D$26/AGR_fec!D$26)</f>
        <v>0.48400202845262702</v>
      </c>
      <c r="E52" s="264">
        <f>IF(E$26=0,0,E$26/AGR_fec!E$26)</f>
        <v>0.4840020284526268</v>
      </c>
      <c r="F52" s="264">
        <f>IF(F$26=0,0,F$26/AGR_fec!F$26)</f>
        <v>0.48400202845262719</v>
      </c>
      <c r="G52" s="264">
        <f>IF(G$26=0,0,G$26/AGR_fec!G$26)</f>
        <v>0.48400202845262708</v>
      </c>
      <c r="H52" s="264">
        <f>IF(H$26=0,0,H$26/AGR_fec!H$26)</f>
        <v>0.48400202845262702</v>
      </c>
      <c r="I52" s="264">
        <f>IF(I$26=0,0,I$26/AGR_fec!I$26)</f>
        <v>0.48400202845262674</v>
      </c>
      <c r="J52" s="264">
        <f>IF(J$26=0,0,J$26/AGR_fec!J$26)</f>
        <v>0.4840020284526268</v>
      </c>
      <c r="K52" s="264">
        <f>IF(K$26=0,0,K$26/AGR_fec!K$26)</f>
        <v>0.48400202845262702</v>
      </c>
      <c r="L52" s="264">
        <f>IF(L$26=0,0,L$26/AGR_fec!L$26)</f>
        <v>0.48400202845262691</v>
      </c>
      <c r="M52" s="264">
        <f>IF(M$26=0,0,M$26/AGR_fec!M$26)</f>
        <v>0.48400202845262702</v>
      </c>
      <c r="N52" s="264">
        <f>IF(N$26=0,0,N$26/AGR_fec!N$26)</f>
        <v>0.48400202845262696</v>
      </c>
      <c r="O52" s="264">
        <f>IF(O$26=0,0,O$26/AGR_fec!O$26)</f>
        <v>0.48400202845262669</v>
      </c>
      <c r="P52" s="264">
        <f>IF(P$26=0,0,P$26/AGR_fec!P$26)</f>
        <v>0.48400202845262691</v>
      </c>
      <c r="Q52" s="264">
        <f>IF(Q$26=0,0,Q$26/AGR_fec!Q$26)</f>
        <v>0.48400202845262702</v>
      </c>
      <c r="R52" s="264">
        <f>IF(R$26=0,0,R$26/AGR_fec!R$26)</f>
        <v>0.48400202845262696</v>
      </c>
      <c r="S52" s="264">
        <f>IF(S$26=0,0,S$26/AGR_fec!S$26)</f>
        <v>0.48400202845262685</v>
      </c>
      <c r="T52" s="264">
        <f>IF(T$26=0,0,T$26/AGR_fec!T$26)</f>
        <v>0.48400202845262685</v>
      </c>
      <c r="U52" s="264">
        <f>IF(U$26=0,0,U$26/AGR_fec!U$26)</f>
        <v>0.48400202845262696</v>
      </c>
      <c r="V52" s="264">
        <f>IF(V$26=0,0,V$26/AGR_fec!V$26)</f>
        <v>0.48400202845262719</v>
      </c>
      <c r="W52" s="264">
        <f>IF(W$26=0,0,W$26/AGR_fec!W$26)</f>
        <v>0.48400202845262708</v>
      </c>
      <c r="X52" s="264">
        <f>IF(X$26=0,0,X$26/AGR_fec!X$26)</f>
        <v>0.48400202845262685</v>
      </c>
      <c r="Y52" s="264">
        <f>IF(Y$26=0,0,Y$26/AGR_fec!Y$26)</f>
        <v>0.48400202845262708</v>
      </c>
      <c r="DA52" s="290"/>
    </row>
    <row r="53" spans="1:105" x14ac:dyDescent="0.25">
      <c r="A53" s="260" t="s">
        <v>33</v>
      </c>
      <c r="B53" s="265">
        <f>IF(B$27=0,0,B$27/AGR_fec!B$27)</f>
        <v>0.50872443434115611</v>
      </c>
      <c r="C53" s="265">
        <f>IF(C$27=0,0,C$27/AGR_fec!C$27)</f>
        <v>0.50872443434115588</v>
      </c>
      <c r="D53" s="265">
        <f>IF(D$27=0,0,D$27/AGR_fec!D$27)</f>
        <v>0.508724434341156</v>
      </c>
      <c r="E53" s="265">
        <f>IF(E$27=0,0,E$27/AGR_fec!E$27)</f>
        <v>0.50872443434115588</v>
      </c>
      <c r="F53" s="265">
        <f>IF(F$27=0,0,F$27/AGR_fec!F$27)</f>
        <v>0.50872443434115577</v>
      </c>
      <c r="G53" s="265">
        <f>IF(G$27=0,0,G$27/AGR_fec!G$27)</f>
        <v>0.50872443434115588</v>
      </c>
      <c r="H53" s="265">
        <f>IF(H$27=0,0,H$27/AGR_fec!H$27)</f>
        <v>0.50872443434115577</v>
      </c>
      <c r="I53" s="265">
        <f>IF(I$27=0,0,I$27/AGR_fec!I$27)</f>
        <v>0.50872443434115588</v>
      </c>
      <c r="J53" s="265">
        <f>IF(J$27=0,0,J$27/AGR_fec!J$27)</f>
        <v>0.50872443434115588</v>
      </c>
      <c r="K53" s="265">
        <f>IF(K$27=0,0,K$27/AGR_fec!K$27)</f>
        <v>0.508724434341156</v>
      </c>
      <c r="L53" s="265">
        <f>IF(L$27=0,0,L$27/AGR_fec!L$27)</f>
        <v>0.50872443434115577</v>
      </c>
      <c r="M53" s="265">
        <f>IF(M$27=0,0,M$27/AGR_fec!M$27)</f>
        <v>0.50872443434115611</v>
      </c>
      <c r="N53" s="265">
        <f>IF(N$27=0,0,N$27/AGR_fec!N$27)</f>
        <v>0.508724434341156</v>
      </c>
      <c r="O53" s="265">
        <f>IF(O$27=0,0,O$27/AGR_fec!O$27)</f>
        <v>0.50872443434115566</v>
      </c>
      <c r="P53" s="265">
        <f>IF(P$27=0,0,P$27/AGR_fec!P$27)</f>
        <v>0.50872443434115588</v>
      </c>
      <c r="Q53" s="265">
        <f>IF(Q$27=0,0,Q$27/AGR_fec!Q$27)</f>
        <v>0.50872443434115611</v>
      </c>
      <c r="R53" s="265">
        <f>IF(R$27=0,0,R$27/AGR_fec!R$27)</f>
        <v>0.50872443434115577</v>
      </c>
      <c r="S53" s="265">
        <f>IF(S$27=0,0,S$27/AGR_fec!S$27)</f>
        <v>0.50872443434115566</v>
      </c>
      <c r="T53" s="265">
        <f>IF(T$27=0,0,T$27/AGR_fec!T$27)</f>
        <v>0.50872443434115588</v>
      </c>
      <c r="U53" s="265">
        <f>IF(U$27=0,0,U$27/AGR_fec!U$27)</f>
        <v>0.50872443434115577</v>
      </c>
      <c r="V53" s="265">
        <f>IF(V$27=0,0,V$27/AGR_fec!V$27)</f>
        <v>0.50872443434115588</v>
      </c>
      <c r="W53" s="265">
        <f>IF(W$27=0,0,W$27/AGR_fec!W$27)</f>
        <v>0.508724434341156</v>
      </c>
      <c r="X53" s="265">
        <f>IF(X$27=0,0,X$27/AGR_fec!X$27)</f>
        <v>0.50872443434115611</v>
      </c>
      <c r="Y53" s="265">
        <f>IF(Y$27=0,0,Y$27/AGR_fec!Y$27)</f>
        <v>0.50872443434115588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310.47562643743265</v>
      </c>
      <c r="C5" s="80">
        <f t="shared" ref="C5:W5" si="0">SUM(C6:C9,C16:C17,C25:C27)</f>
        <v>334.63777439764857</v>
      </c>
      <c r="D5" s="80">
        <f t="shared" si="0"/>
        <v>311.21691167867635</v>
      </c>
      <c r="E5" s="80">
        <f t="shared" si="0"/>
        <v>361.15915576763211</v>
      </c>
      <c r="F5" s="80">
        <f t="shared" si="0"/>
        <v>376.7459188085536</v>
      </c>
      <c r="G5" s="80">
        <f t="shared" si="0"/>
        <v>370.50941344840032</v>
      </c>
      <c r="H5" s="80">
        <f t="shared" si="0"/>
        <v>381.2535007686194</v>
      </c>
      <c r="I5" s="80">
        <f t="shared" si="0"/>
        <v>377.42232712895839</v>
      </c>
      <c r="J5" s="80">
        <f t="shared" si="0"/>
        <v>336.37272988866459</v>
      </c>
      <c r="K5" s="80">
        <f t="shared" si="0"/>
        <v>323.9754954678167</v>
      </c>
      <c r="L5" s="80">
        <f t="shared" si="0"/>
        <v>368.90972094802697</v>
      </c>
      <c r="M5" s="80">
        <f t="shared" si="0"/>
        <v>379.80002046790815</v>
      </c>
      <c r="N5" s="80">
        <f t="shared" si="0"/>
        <v>357.02606884779738</v>
      </c>
      <c r="O5" s="80">
        <f t="shared" si="0"/>
        <v>356.45129710376386</v>
      </c>
      <c r="P5" s="80">
        <f t="shared" si="0"/>
        <v>357.94395440846978</v>
      </c>
      <c r="Q5" s="80">
        <f t="shared" si="0"/>
        <v>368.21762063790959</v>
      </c>
      <c r="R5" s="80">
        <f t="shared" si="0"/>
        <v>395.32361183777419</v>
      </c>
      <c r="S5" s="80">
        <f t="shared" si="0"/>
        <v>413.81275792747203</v>
      </c>
      <c r="T5" s="80">
        <f t="shared" si="0"/>
        <v>415.71128529641004</v>
      </c>
      <c r="U5" s="80">
        <f t="shared" si="0"/>
        <v>449.57625926485275</v>
      </c>
      <c r="V5" s="80">
        <f t="shared" si="0"/>
        <v>466.80987406540527</v>
      </c>
      <c r="W5" s="80">
        <f t="shared" si="0"/>
        <v>458.18286911852357</v>
      </c>
      <c r="X5" s="80">
        <f t="shared" ref="X5:Y5" si="1">SUM(X6:X9,X16:X17,X25:X27)</f>
        <v>477.93839565230797</v>
      </c>
      <c r="Y5" s="80">
        <f t="shared" si="1"/>
        <v>436.92581171754045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67.251138688798051</v>
      </c>
      <c r="C9" s="243">
        <f t="shared" ref="C9:W9" si="2">SUM(C10:C15)</f>
        <v>73.605778536585149</v>
      </c>
      <c r="D9" s="243">
        <f t="shared" si="2"/>
        <v>66.618725494849187</v>
      </c>
      <c r="E9" s="243">
        <f t="shared" si="2"/>
        <v>77.501903884885735</v>
      </c>
      <c r="F9" s="243">
        <f t="shared" si="2"/>
        <v>81.353696603096637</v>
      </c>
      <c r="G9" s="243">
        <f t="shared" si="2"/>
        <v>78.862911339962267</v>
      </c>
      <c r="H9" s="243">
        <f t="shared" si="2"/>
        <v>83.340089406242555</v>
      </c>
      <c r="I9" s="243">
        <f t="shared" si="2"/>
        <v>85.352340983135477</v>
      </c>
      <c r="J9" s="243">
        <f t="shared" si="2"/>
        <v>73.350741028297392</v>
      </c>
      <c r="K9" s="243">
        <f t="shared" si="2"/>
        <v>71.308137701883595</v>
      </c>
      <c r="L9" s="243">
        <f t="shared" si="2"/>
        <v>75.7929029683458</v>
      </c>
      <c r="M9" s="243">
        <f t="shared" si="2"/>
        <v>76.970045205304757</v>
      </c>
      <c r="N9" s="243">
        <f t="shared" si="2"/>
        <v>70.948435560136829</v>
      </c>
      <c r="O9" s="243">
        <f t="shared" si="2"/>
        <v>73.087586906598631</v>
      </c>
      <c r="P9" s="243">
        <f t="shared" si="2"/>
        <v>70.783708673725982</v>
      </c>
      <c r="Q9" s="243">
        <f t="shared" si="2"/>
        <v>73.100017755810867</v>
      </c>
      <c r="R9" s="243">
        <f t="shared" si="2"/>
        <v>76.489260262585589</v>
      </c>
      <c r="S9" s="243">
        <f t="shared" si="2"/>
        <v>83.118410276490764</v>
      </c>
      <c r="T9" s="243">
        <f t="shared" si="2"/>
        <v>80.845288167831342</v>
      </c>
      <c r="U9" s="243">
        <f t="shared" si="2"/>
        <v>94.5111271786012</v>
      </c>
      <c r="V9" s="243">
        <f t="shared" si="2"/>
        <v>97.45173290200961</v>
      </c>
      <c r="W9" s="243">
        <f t="shared" si="2"/>
        <v>93.071714722137344</v>
      </c>
      <c r="X9" s="243">
        <f t="shared" ref="X9:Y9" si="3">SUM(X10:X15)</f>
        <v>100.01416284311507</v>
      </c>
      <c r="Y9" s="243">
        <f t="shared" si="3"/>
        <v>101.30070430563511</v>
      </c>
      <c r="DA9" s="269"/>
    </row>
    <row r="10" spans="1:105" x14ac:dyDescent="0.25">
      <c r="A10" s="253" t="s">
        <v>166</v>
      </c>
      <c r="B10" s="254">
        <v>55.551766831200773</v>
      </c>
      <c r="C10" s="254">
        <v>59.861132106136623</v>
      </c>
      <c r="D10" s="254">
        <v>52.408770205120661</v>
      </c>
      <c r="E10" s="254">
        <v>61.323104260997823</v>
      </c>
      <c r="F10" s="254">
        <v>61.385004952148037</v>
      </c>
      <c r="G10" s="254">
        <v>62.964259513773357</v>
      </c>
      <c r="H10" s="254">
        <v>68.420560948799078</v>
      </c>
      <c r="I10" s="254">
        <v>71.396925288527029</v>
      </c>
      <c r="J10" s="254">
        <v>63.638674766670917</v>
      </c>
      <c r="K10" s="254">
        <v>66.192382272078319</v>
      </c>
      <c r="L10" s="254">
        <v>63.213530961122338</v>
      </c>
      <c r="M10" s="254">
        <v>66.985450421551434</v>
      </c>
      <c r="N10" s="254">
        <v>57.692361284302187</v>
      </c>
      <c r="O10" s="254">
        <v>59.745778568209381</v>
      </c>
      <c r="P10" s="254">
        <v>58.76623580292172</v>
      </c>
      <c r="Q10" s="254">
        <v>62.954694176868578</v>
      </c>
      <c r="R10" s="254">
        <v>65.723551396617978</v>
      </c>
      <c r="S10" s="254">
        <v>76.106954466363916</v>
      </c>
      <c r="T10" s="254">
        <v>75.428334987051912</v>
      </c>
      <c r="U10" s="254">
        <v>89.797608340638021</v>
      </c>
      <c r="V10" s="254">
        <v>93.151218470697415</v>
      </c>
      <c r="W10" s="254">
        <v>86.689096780715872</v>
      </c>
      <c r="X10" s="254">
        <v>97.673148226999686</v>
      </c>
      <c r="Y10" s="254">
        <v>98.098403428758672</v>
      </c>
      <c r="DA10" s="270" t="s">
        <v>1040</v>
      </c>
    </row>
    <row r="11" spans="1:105" x14ac:dyDescent="0.25">
      <c r="A11" s="253" t="s">
        <v>169</v>
      </c>
      <c r="B11" s="255">
        <v>11.699371857597271</v>
      </c>
      <c r="C11" s="255">
        <v>13.744646430448521</v>
      </c>
      <c r="D11" s="255">
        <v>14.20995528972853</v>
      </c>
      <c r="E11" s="255">
        <v>16.178799623887919</v>
      </c>
      <c r="F11" s="255">
        <v>19.9686916509486</v>
      </c>
      <c r="G11" s="255">
        <v>15.89865182618891</v>
      </c>
      <c r="H11" s="255">
        <v>14.919528457443469</v>
      </c>
      <c r="I11" s="255">
        <v>13.955415694608449</v>
      </c>
      <c r="J11" s="255">
        <v>9.7120662616264735</v>
      </c>
      <c r="K11" s="255">
        <v>5.1157554298052723</v>
      </c>
      <c r="L11" s="255">
        <v>12.579372007223469</v>
      </c>
      <c r="M11" s="255">
        <v>9.9845947837533213</v>
      </c>
      <c r="N11" s="255">
        <v>13.256074275834649</v>
      </c>
      <c r="O11" s="255">
        <v>13.341808338389249</v>
      </c>
      <c r="P11" s="255">
        <v>12.017472870804269</v>
      </c>
      <c r="Q11" s="255">
        <v>10.145323578942291</v>
      </c>
      <c r="R11" s="255">
        <v>10.765708865967611</v>
      </c>
      <c r="S11" s="255">
        <v>7.0114558101268489</v>
      </c>
      <c r="T11" s="255">
        <v>5.4169531807794309</v>
      </c>
      <c r="U11" s="255">
        <v>4.7135188379631794</v>
      </c>
      <c r="V11" s="255">
        <v>4.300514431312191</v>
      </c>
      <c r="W11" s="255">
        <v>6.3826179414214668</v>
      </c>
      <c r="X11" s="255">
        <v>2.341014616115388</v>
      </c>
      <c r="Y11" s="255">
        <v>3.2023008768764338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101.1065588691319</v>
      </c>
      <c r="C16" s="257">
        <v>108.08881027863239</v>
      </c>
      <c r="D16" s="257">
        <v>100.5349913874376</v>
      </c>
      <c r="E16" s="257">
        <v>116.3021327695101</v>
      </c>
      <c r="F16" s="257">
        <v>122.56427105843601</v>
      </c>
      <c r="G16" s="257">
        <v>121.2826451823413</v>
      </c>
      <c r="H16" s="257">
        <v>125.22909340999421</v>
      </c>
      <c r="I16" s="257">
        <v>126.75857713685819</v>
      </c>
      <c r="J16" s="257">
        <v>108.9541211624984</v>
      </c>
      <c r="K16" s="257">
        <v>112.6060333413768</v>
      </c>
      <c r="L16" s="257">
        <v>126.2010262041171</v>
      </c>
      <c r="M16" s="257">
        <v>125.8311698874102</v>
      </c>
      <c r="N16" s="257">
        <v>118.49064671004361</v>
      </c>
      <c r="O16" s="257">
        <v>121.3197309614546</v>
      </c>
      <c r="P16" s="257">
        <v>121.20041374891559</v>
      </c>
      <c r="Q16" s="257">
        <v>127.24507089812521</v>
      </c>
      <c r="R16" s="257">
        <v>137.81880838037429</v>
      </c>
      <c r="S16" s="257">
        <v>151.02479271554921</v>
      </c>
      <c r="T16" s="257">
        <v>147.91733269254331</v>
      </c>
      <c r="U16" s="257">
        <v>163.96700301008551</v>
      </c>
      <c r="V16" s="257">
        <v>166.38571343804841</v>
      </c>
      <c r="W16" s="257">
        <v>158.18324129588709</v>
      </c>
      <c r="X16" s="257">
        <v>163.25559434488949</v>
      </c>
      <c r="Y16" s="257">
        <v>155.0562479049795</v>
      </c>
      <c r="DA16" s="272" t="s">
        <v>1046</v>
      </c>
    </row>
    <row r="17" spans="1:105" x14ac:dyDescent="0.25">
      <c r="A17" s="256" t="s">
        <v>121</v>
      </c>
      <c r="B17" s="257">
        <f>SUM(B18:B24)</f>
        <v>122.68946099852066</v>
      </c>
      <c r="C17" s="257">
        <f t="shared" ref="C17:W17" si="4">SUM(C18:C24)</f>
        <v>132.17301990494886</v>
      </c>
      <c r="D17" s="257">
        <f t="shared" si="4"/>
        <v>124.74455837030135</v>
      </c>
      <c r="E17" s="257">
        <f t="shared" si="4"/>
        <v>145.00669507155931</v>
      </c>
      <c r="F17" s="257">
        <f t="shared" si="4"/>
        <v>149.27620504618707</v>
      </c>
      <c r="G17" s="257">
        <f t="shared" si="4"/>
        <v>147.05838591807236</v>
      </c>
      <c r="H17" s="257">
        <f t="shared" si="4"/>
        <v>148.6205040287997</v>
      </c>
      <c r="I17" s="257">
        <f t="shared" si="4"/>
        <v>140.95369204096775</v>
      </c>
      <c r="J17" s="257">
        <f t="shared" si="4"/>
        <v>133.13142532278863</v>
      </c>
      <c r="K17" s="257">
        <f t="shared" si="4"/>
        <v>118.42313669027209</v>
      </c>
      <c r="L17" s="257">
        <f t="shared" si="4"/>
        <v>142.66521286576958</v>
      </c>
      <c r="M17" s="257">
        <f t="shared" si="4"/>
        <v>152.81929743893485</v>
      </c>
      <c r="N17" s="257">
        <f t="shared" si="4"/>
        <v>144.81802134379262</v>
      </c>
      <c r="O17" s="257">
        <f t="shared" si="4"/>
        <v>138.73138188616693</v>
      </c>
      <c r="P17" s="257">
        <f t="shared" si="4"/>
        <v>142.67016243303081</v>
      </c>
      <c r="Q17" s="257">
        <f t="shared" si="4"/>
        <v>143.42133118544382</v>
      </c>
      <c r="R17" s="257">
        <f t="shared" si="4"/>
        <v>154.53251062044785</v>
      </c>
      <c r="S17" s="257">
        <f t="shared" si="4"/>
        <v>150.64888241601719</v>
      </c>
      <c r="T17" s="257">
        <f t="shared" si="4"/>
        <v>158.52511625675899</v>
      </c>
      <c r="U17" s="257">
        <f t="shared" si="4"/>
        <v>159.59050299183184</v>
      </c>
      <c r="V17" s="257">
        <f t="shared" si="4"/>
        <v>171.00002627541187</v>
      </c>
      <c r="W17" s="257">
        <f t="shared" si="4"/>
        <v>176.53168502982896</v>
      </c>
      <c r="X17" s="257">
        <f t="shared" ref="X17:Y17" si="5">SUM(X18:X24)</f>
        <v>183.29771548367091</v>
      </c>
      <c r="Y17" s="257">
        <f t="shared" si="5"/>
        <v>150.77350927582216</v>
      </c>
      <c r="DA17" s="272"/>
    </row>
    <row r="18" spans="1:105" x14ac:dyDescent="0.25">
      <c r="A18" s="61" t="s">
        <v>29</v>
      </c>
      <c r="B18" s="55">
        <v>5.217629999949696</v>
      </c>
      <c r="C18" s="55">
        <v>7.8266099999383796</v>
      </c>
      <c r="D18" s="55">
        <v>7.8266099999620504</v>
      </c>
      <c r="E18" s="55">
        <v>4.9369129702119618</v>
      </c>
      <c r="F18" s="55">
        <v>4.9369129702272554</v>
      </c>
      <c r="G18" s="55">
        <v>4.936912970224717</v>
      </c>
      <c r="H18" s="55">
        <v>4.9369129702285424</v>
      </c>
      <c r="I18" s="55">
        <v>4.9369129702333989</v>
      </c>
      <c r="J18" s="55">
        <v>4.9369129702263734</v>
      </c>
      <c r="K18" s="55">
        <v>2.4682870297320489</v>
      </c>
      <c r="L18" s="55">
        <v>2.468287029736036</v>
      </c>
      <c r="M18" s="55">
        <v>2.4682870297356159</v>
      </c>
      <c r="N18" s="55">
        <v>4.9369129702154337</v>
      </c>
      <c r="O18" s="55">
        <v>2.3243529460419858</v>
      </c>
      <c r="P18" s="55">
        <v>2.334439170112808</v>
      </c>
      <c r="Q18" s="55">
        <v>0</v>
      </c>
      <c r="R18" s="55">
        <v>0</v>
      </c>
      <c r="S18" s="55">
        <v>0.10468804979188211</v>
      </c>
      <c r="T18" s="55">
        <v>7.7278778830958877E-2</v>
      </c>
      <c r="U18" s="55">
        <v>3.8787986419923232E-2</v>
      </c>
      <c r="V18" s="55">
        <v>4.4866307053769337E-2</v>
      </c>
      <c r="W18" s="55">
        <v>0</v>
      </c>
      <c r="X18" s="55">
        <v>3.0808654006770721E-2</v>
      </c>
      <c r="Y18" s="55">
        <v>1.0575479581589661E-2</v>
      </c>
      <c r="DA18" s="101" t="s">
        <v>1047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2.8735739999852439</v>
      </c>
      <c r="K19" s="55">
        <v>2.873573999981097</v>
      </c>
      <c r="L19" s="55">
        <v>0</v>
      </c>
      <c r="M19" s="55">
        <v>2.8735739999852479</v>
      </c>
      <c r="N19" s="55">
        <v>2.873573999978877</v>
      </c>
      <c r="O19" s="55">
        <v>2.8735739999800902</v>
      </c>
      <c r="P19" s="55">
        <v>2.873573999985632</v>
      </c>
      <c r="Q19" s="55">
        <v>5.7471479999647226</v>
      </c>
      <c r="R19" s="55">
        <v>5.7471479999649064</v>
      </c>
      <c r="S19" s="55">
        <v>7.83906443995141</v>
      </c>
      <c r="T19" s="55">
        <v>4.5259358399711607</v>
      </c>
      <c r="U19" s="55">
        <v>6.1610335199764199</v>
      </c>
      <c r="V19" s="55">
        <v>6.3879663599754366</v>
      </c>
      <c r="W19" s="55">
        <v>5.0056977599825787</v>
      </c>
      <c r="X19" s="55">
        <v>5.7844022399778616</v>
      </c>
      <c r="Y19" s="55">
        <v>7.6350747599597932</v>
      </c>
      <c r="DA19" s="101" t="s">
        <v>1048</v>
      </c>
    </row>
    <row r="20" spans="1:105" x14ac:dyDescent="0.25">
      <c r="A20" s="61" t="s">
        <v>166</v>
      </c>
      <c r="B20" s="55">
        <v>78.942435416588708</v>
      </c>
      <c r="C20" s="55">
        <v>88.348565375802892</v>
      </c>
      <c r="D20" s="55">
        <v>79.61826270028152</v>
      </c>
      <c r="E20" s="55">
        <v>95.986422045664256</v>
      </c>
      <c r="F20" s="55">
        <v>94.755664047214239</v>
      </c>
      <c r="G20" s="55">
        <v>101.0014470143155</v>
      </c>
      <c r="H20" s="55">
        <v>112.8797988762024</v>
      </c>
      <c r="I20" s="55">
        <v>111.2286160454704</v>
      </c>
      <c r="J20" s="55">
        <v>108.7277146143207</v>
      </c>
      <c r="K20" s="55">
        <v>104.9686510904388</v>
      </c>
      <c r="L20" s="55">
        <v>116.9283978434175</v>
      </c>
      <c r="M20" s="55">
        <v>123.0428437531304</v>
      </c>
      <c r="N20" s="55">
        <v>106.4532812097235</v>
      </c>
      <c r="O20" s="55">
        <v>104.17571583879889</v>
      </c>
      <c r="P20" s="55">
        <v>111.5943734139031</v>
      </c>
      <c r="Q20" s="55">
        <v>115.9425680445944</v>
      </c>
      <c r="R20" s="55">
        <v>122.6075860066511</v>
      </c>
      <c r="S20" s="55">
        <v>129.27870065650961</v>
      </c>
      <c r="T20" s="55">
        <v>135.25819633887619</v>
      </c>
      <c r="U20" s="55">
        <v>141.6059176434554</v>
      </c>
      <c r="V20" s="55">
        <v>154.7633407597435</v>
      </c>
      <c r="W20" s="55">
        <v>157.4655044513315</v>
      </c>
      <c r="X20" s="55">
        <v>171.66479852583009</v>
      </c>
      <c r="Y20" s="55">
        <v>136.72109859320099</v>
      </c>
      <c r="DA20" s="101" t="s">
        <v>1049</v>
      </c>
    </row>
    <row r="21" spans="1:105" x14ac:dyDescent="0.25">
      <c r="A21" s="61" t="s">
        <v>129</v>
      </c>
      <c r="B21" s="55">
        <v>21.903877439788818</v>
      </c>
      <c r="C21" s="55">
        <v>15.712230959876299</v>
      </c>
      <c r="D21" s="55">
        <v>15.71223095992381</v>
      </c>
      <c r="E21" s="55">
        <v>18.75937967984893</v>
      </c>
      <c r="F21" s="55">
        <v>18.759379679907031</v>
      </c>
      <c r="G21" s="55">
        <v>15.61687775991458</v>
      </c>
      <c r="H21" s="55">
        <v>6.1896506399709423</v>
      </c>
      <c r="I21" s="55">
        <v>3.0471487199886931</v>
      </c>
      <c r="J21" s="55">
        <v>0</v>
      </c>
      <c r="K21" s="55">
        <v>0</v>
      </c>
      <c r="L21" s="55">
        <v>0</v>
      </c>
      <c r="M21" s="55">
        <v>6.0942974399687166</v>
      </c>
      <c r="N21" s="55">
        <v>6.0942974399552039</v>
      </c>
      <c r="O21" s="55">
        <v>6.0942974399577778</v>
      </c>
      <c r="P21" s="55">
        <v>3.047148719984766</v>
      </c>
      <c r="Q21" s="55">
        <v>3.0471487199812959</v>
      </c>
      <c r="R21" s="55">
        <v>6.0942974399627854</v>
      </c>
      <c r="S21" s="55">
        <v>1.5164546399906</v>
      </c>
      <c r="T21" s="55">
        <v>8.9500172399429694</v>
      </c>
      <c r="U21" s="55">
        <v>4.3518023999833453</v>
      </c>
      <c r="V21" s="55">
        <v>2.6588901599897761</v>
      </c>
      <c r="W21" s="55">
        <v>2.4668431199914158</v>
      </c>
      <c r="X21" s="55">
        <v>1.7032712399934811</v>
      </c>
      <c r="Y21" s="55">
        <v>1.943669519989764</v>
      </c>
      <c r="DA21" s="101" t="s">
        <v>1050</v>
      </c>
    </row>
    <row r="22" spans="1:105" x14ac:dyDescent="0.25">
      <c r="A22" s="61" t="s">
        <v>169</v>
      </c>
      <c r="B22" s="55">
        <v>16.625518142193439</v>
      </c>
      <c r="C22" s="55">
        <v>20.285613569331289</v>
      </c>
      <c r="D22" s="55">
        <v>21.587454710133969</v>
      </c>
      <c r="E22" s="55">
        <v>25.32398037583414</v>
      </c>
      <c r="F22" s="55">
        <v>30.824248348838559</v>
      </c>
      <c r="G22" s="55">
        <v>25.503148173617561</v>
      </c>
      <c r="H22" s="55">
        <v>24.61414154239781</v>
      </c>
      <c r="I22" s="55">
        <v>21.741014305275261</v>
      </c>
      <c r="J22" s="55">
        <v>16.593223738256299</v>
      </c>
      <c r="K22" s="55">
        <v>8.1126245701201398</v>
      </c>
      <c r="L22" s="55">
        <v>23.26852799261604</v>
      </c>
      <c r="M22" s="55">
        <v>18.340295216114878</v>
      </c>
      <c r="N22" s="55">
        <v>24.459955723919631</v>
      </c>
      <c r="O22" s="55">
        <v>23.263441661388189</v>
      </c>
      <c r="P22" s="55">
        <v>22.82062712904451</v>
      </c>
      <c r="Q22" s="55">
        <v>18.684466420903409</v>
      </c>
      <c r="R22" s="55">
        <v>20.083479173869051</v>
      </c>
      <c r="S22" s="55">
        <v>11.90997462977367</v>
      </c>
      <c r="T22" s="55">
        <v>9.7136880591376968</v>
      </c>
      <c r="U22" s="55">
        <v>7.4329614419967607</v>
      </c>
      <c r="V22" s="55">
        <v>7.1449626886494126</v>
      </c>
      <c r="W22" s="55">
        <v>11.59363969852347</v>
      </c>
      <c r="X22" s="55">
        <v>4.1144348238627062</v>
      </c>
      <c r="Y22" s="55">
        <v>4.4630909230900349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19.428467880982041</v>
      </c>
      <c r="C25" s="257">
        <v>20.770165677482151</v>
      </c>
      <c r="D25" s="257">
        <v>19.31863642608818</v>
      </c>
      <c r="E25" s="257">
        <v>22.348424041676989</v>
      </c>
      <c r="F25" s="257">
        <v>23.551746100833832</v>
      </c>
      <c r="G25" s="257">
        <v>23.305471008024359</v>
      </c>
      <c r="H25" s="257">
        <v>24.063813923582931</v>
      </c>
      <c r="I25" s="257">
        <v>24.357716967996939</v>
      </c>
      <c r="J25" s="257">
        <v>20.936442375080141</v>
      </c>
      <c r="K25" s="257">
        <v>21.638187734284202</v>
      </c>
      <c r="L25" s="257">
        <v>24.25057890979447</v>
      </c>
      <c r="M25" s="257">
        <v>24.179507936258329</v>
      </c>
      <c r="N25" s="257">
        <v>22.768965233824289</v>
      </c>
      <c r="O25" s="257">
        <v>23.312597349543669</v>
      </c>
      <c r="P25" s="257">
        <v>23.289669552797442</v>
      </c>
      <c r="Q25" s="257">
        <v>24.451200798529729</v>
      </c>
      <c r="R25" s="257">
        <v>26.483032574366469</v>
      </c>
      <c r="S25" s="257">
        <v>29.020672519414891</v>
      </c>
      <c r="T25" s="257">
        <v>28.423548179276381</v>
      </c>
      <c r="U25" s="257">
        <v>31.50762608433423</v>
      </c>
      <c r="V25" s="257">
        <v>31.972401449935351</v>
      </c>
      <c r="W25" s="257">
        <v>30.396228070670201</v>
      </c>
      <c r="X25" s="257">
        <v>31.370922980632471</v>
      </c>
      <c r="Y25" s="257">
        <v>29.795350231103662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1.0000000000000002</v>
      </c>
      <c r="C31" s="235">
        <f t="shared" si="6"/>
        <v>1</v>
      </c>
      <c r="D31" s="235">
        <f t="shared" si="6"/>
        <v>0.99999999999999989</v>
      </c>
      <c r="E31" s="235">
        <f t="shared" si="6"/>
        <v>1</v>
      </c>
      <c r="F31" s="235">
        <f t="shared" si="6"/>
        <v>0.99999999999999989</v>
      </c>
      <c r="G31" s="235">
        <f t="shared" si="6"/>
        <v>0.99999999999999989</v>
      </c>
      <c r="H31" s="235">
        <f t="shared" si="6"/>
        <v>1</v>
      </c>
      <c r="I31" s="235">
        <f t="shared" si="6"/>
        <v>1</v>
      </c>
      <c r="J31" s="235">
        <f t="shared" si="6"/>
        <v>0.99999999999999989</v>
      </c>
      <c r="K31" s="235">
        <f t="shared" si="6"/>
        <v>0.99999999999999989</v>
      </c>
      <c r="L31" s="235">
        <f t="shared" si="6"/>
        <v>0.99999999999999978</v>
      </c>
      <c r="M31" s="235">
        <f t="shared" si="6"/>
        <v>1</v>
      </c>
      <c r="N31" s="235">
        <f t="shared" si="6"/>
        <v>0.99999999999999989</v>
      </c>
      <c r="O31" s="235">
        <f t="shared" si="6"/>
        <v>1</v>
      </c>
      <c r="P31" s="235">
        <f t="shared" si="6"/>
        <v>1.0000000000000002</v>
      </c>
      <c r="Q31" s="235">
        <f t="shared" si="6"/>
        <v>1.0000000000000002</v>
      </c>
      <c r="R31" s="235">
        <f t="shared" ref="R31:W31" si="7">SUM(R32:R40)</f>
        <v>1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0.99999999999999989</v>
      </c>
      <c r="W31" s="235">
        <f t="shared" si="7"/>
        <v>1</v>
      </c>
      <c r="X31" s="235">
        <f t="shared" ref="X31:Y31" si="8">SUM(X32:X40)</f>
        <v>0.99999999999999989</v>
      </c>
      <c r="Y31" s="235">
        <f t="shared" si="8"/>
        <v>1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0.21660682179942575</v>
      </c>
      <c r="C35" s="246">
        <f t="shared" si="12"/>
        <v>0.21995657444553685</v>
      </c>
      <c r="D35" s="246">
        <f t="shared" si="12"/>
        <v>0.21405882198211434</v>
      </c>
      <c r="E35" s="246">
        <f t="shared" si="12"/>
        <v>0.21459210613159715</v>
      </c>
      <c r="F35" s="246">
        <f t="shared" si="12"/>
        <v>0.21593783115255763</v>
      </c>
      <c r="G35" s="246">
        <f t="shared" si="12"/>
        <v>0.21284995327371151</v>
      </c>
      <c r="H35" s="246">
        <f t="shared" si="12"/>
        <v>0.2185949486056554</v>
      </c>
      <c r="I35" s="246">
        <f t="shared" si="12"/>
        <v>0.22614544728291108</v>
      </c>
      <c r="J35" s="246">
        <f t="shared" si="12"/>
        <v>0.21806387531050933</v>
      </c>
      <c r="K35" s="246">
        <f t="shared" si="12"/>
        <v>0.22010349146596878</v>
      </c>
      <c r="L35" s="246">
        <f t="shared" si="12"/>
        <v>0.20545108644351423</v>
      </c>
      <c r="M35" s="246">
        <f t="shared" si="12"/>
        <v>0.20265940246785341</v>
      </c>
      <c r="N35" s="246">
        <f t="shared" si="12"/>
        <v>0.19872060264143521</v>
      </c>
      <c r="O35" s="246">
        <f t="shared" si="12"/>
        <v>0.20504228067186034</v>
      </c>
      <c r="P35" s="246">
        <f t="shared" si="12"/>
        <v>0.19775081490257759</v>
      </c>
      <c r="Q35" s="246">
        <f t="shared" si="12"/>
        <v>0.19852395338705012</v>
      </c>
      <c r="R35" s="246">
        <f t="shared" si="12"/>
        <v>0.19348518017176741</v>
      </c>
      <c r="S35" s="246">
        <f t="shared" si="12"/>
        <v>0.20085995099034315</v>
      </c>
      <c r="T35" s="246">
        <f t="shared" si="12"/>
        <v>0.19447460539876157</v>
      </c>
      <c r="U35" s="246">
        <f t="shared" si="12"/>
        <v>0.21022268242799524</v>
      </c>
      <c r="V35" s="246">
        <f t="shared" si="12"/>
        <v>0.20876107879490899</v>
      </c>
      <c r="W35" s="246">
        <f t="shared" si="12"/>
        <v>0.20313224477640038</v>
      </c>
      <c r="X35" s="246">
        <f t="shared" si="12"/>
        <v>0.20926161980899663</v>
      </c>
      <c r="Y35" s="246">
        <f t="shared" si="12"/>
        <v>0.23184875232576785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0.32565055115367325</v>
      </c>
      <c r="C36" s="259">
        <f t="shared" si="13"/>
        <v>0.32300241798222978</v>
      </c>
      <c r="D36" s="259">
        <f t="shared" si="13"/>
        <v>0.32303832990681897</v>
      </c>
      <c r="E36" s="259">
        <f t="shared" si="13"/>
        <v>0.32202460026885837</v>
      </c>
      <c r="F36" s="259">
        <f t="shared" si="13"/>
        <v>0.32532342074478582</v>
      </c>
      <c r="G36" s="259">
        <f t="shared" si="13"/>
        <v>0.32734025312215703</v>
      </c>
      <c r="H36" s="259">
        <f t="shared" si="13"/>
        <v>0.32846673711199581</v>
      </c>
      <c r="I36" s="259">
        <f t="shared" si="13"/>
        <v>0.33585341413452491</v>
      </c>
      <c r="J36" s="259">
        <f t="shared" si="13"/>
        <v>0.32390890069644152</v>
      </c>
      <c r="K36" s="259">
        <f t="shared" si="13"/>
        <v>0.34757577321943761</v>
      </c>
      <c r="L36" s="259">
        <f t="shared" si="13"/>
        <v>0.34209189684621144</v>
      </c>
      <c r="M36" s="259">
        <f t="shared" si="13"/>
        <v>0.3313090129178719</v>
      </c>
      <c r="N36" s="259">
        <f t="shared" si="13"/>
        <v>0.33188233871111794</v>
      </c>
      <c r="O36" s="259">
        <f t="shared" si="13"/>
        <v>0.34035429790044536</v>
      </c>
      <c r="P36" s="259">
        <f t="shared" si="13"/>
        <v>0.33860165049919255</v>
      </c>
      <c r="Q36" s="259">
        <f t="shared" si="13"/>
        <v>0.34557029258318112</v>
      </c>
      <c r="R36" s="259">
        <f t="shared" si="13"/>
        <v>0.34862275931276754</v>
      </c>
      <c r="S36" s="259">
        <f t="shared" si="13"/>
        <v>0.36495924744306446</v>
      </c>
      <c r="T36" s="259">
        <f t="shared" si="13"/>
        <v>0.35581745775093754</v>
      </c>
      <c r="U36" s="259">
        <f t="shared" si="13"/>
        <v>0.36471454982566115</v>
      </c>
      <c r="V36" s="259">
        <f t="shared" si="13"/>
        <v>0.356431435327214</v>
      </c>
      <c r="W36" s="259">
        <f t="shared" si="13"/>
        <v>0.34524040935927697</v>
      </c>
      <c r="X36" s="259">
        <f t="shared" si="13"/>
        <v>0.34158292330138534</v>
      </c>
      <c r="Y36" s="259">
        <f t="shared" si="13"/>
        <v>0.35488003625937931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0.39516615976051556</v>
      </c>
      <c r="C37" s="259">
        <f t="shared" si="14"/>
        <v>0.39497340114355484</v>
      </c>
      <c r="D37" s="259">
        <f t="shared" si="14"/>
        <v>0.40082834090679809</v>
      </c>
      <c r="E37" s="259">
        <f t="shared" si="14"/>
        <v>0.40150358299335442</v>
      </c>
      <c r="F37" s="259">
        <f t="shared" si="14"/>
        <v>0.3962251416505535</v>
      </c>
      <c r="G37" s="259">
        <f t="shared" si="14"/>
        <v>0.39690863600298976</v>
      </c>
      <c r="H37" s="259">
        <f t="shared" si="14"/>
        <v>0.38982069339475167</v>
      </c>
      <c r="I37" s="259">
        <f t="shared" si="14"/>
        <v>0.3734641061465514</v>
      </c>
      <c r="J37" s="259">
        <f t="shared" si="14"/>
        <v>0.39578542935645694</v>
      </c>
      <c r="K37" s="259">
        <f t="shared" si="14"/>
        <v>0.36553115388949559</v>
      </c>
      <c r="L37" s="259">
        <f t="shared" si="14"/>
        <v>0.38672120783141045</v>
      </c>
      <c r="M37" s="259">
        <f t="shared" si="14"/>
        <v>0.40236779674383294</v>
      </c>
      <c r="N37" s="259">
        <f t="shared" si="14"/>
        <v>0.40562310144789321</v>
      </c>
      <c r="O37" s="259">
        <f t="shared" si="14"/>
        <v>0.38920150666693148</v>
      </c>
      <c r="P37" s="259">
        <f t="shared" si="14"/>
        <v>0.39858240564169983</v>
      </c>
      <c r="Q37" s="259">
        <f t="shared" si="14"/>
        <v>0.38950154242205209</v>
      </c>
      <c r="R37" s="259">
        <f t="shared" si="14"/>
        <v>0.39090129198723939</v>
      </c>
      <c r="S37" s="259">
        <f t="shared" si="14"/>
        <v>0.36405084070032723</v>
      </c>
      <c r="T37" s="259">
        <f t="shared" si="14"/>
        <v>0.38133464705854103</v>
      </c>
      <c r="U37" s="259">
        <f t="shared" si="14"/>
        <v>0.35497982756650515</v>
      </c>
      <c r="V37" s="259">
        <f t="shared" si="14"/>
        <v>0.36631621517811525</v>
      </c>
      <c r="W37" s="259">
        <f t="shared" si="14"/>
        <v>0.38528652406723535</v>
      </c>
      <c r="X37" s="259">
        <f t="shared" si="14"/>
        <v>0.38351745151903821</v>
      </c>
      <c r="Y37" s="259">
        <f t="shared" si="14"/>
        <v>0.34507805497490901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6.2576467286385468E-2</v>
      </c>
      <c r="C38" s="259">
        <f t="shared" si="15"/>
        <v>6.2067606428678479E-2</v>
      </c>
      <c r="D38" s="259">
        <f t="shared" si="15"/>
        <v>6.2074507204268471E-2</v>
      </c>
      <c r="E38" s="259">
        <f t="shared" si="15"/>
        <v>6.1879710606190047E-2</v>
      </c>
      <c r="F38" s="259">
        <f t="shared" si="15"/>
        <v>6.2513606452102896E-2</v>
      </c>
      <c r="G38" s="259">
        <f t="shared" si="15"/>
        <v>6.2901157601141594E-2</v>
      </c>
      <c r="H38" s="259">
        <f t="shared" si="15"/>
        <v>6.3117620887597106E-2</v>
      </c>
      <c r="I38" s="259">
        <f t="shared" si="15"/>
        <v>6.4537032436012581E-2</v>
      </c>
      <c r="J38" s="259">
        <f t="shared" si="15"/>
        <v>6.2241794636592143E-2</v>
      </c>
      <c r="K38" s="259">
        <f t="shared" si="15"/>
        <v>6.6789581425097971E-2</v>
      </c>
      <c r="L38" s="259">
        <f t="shared" si="15"/>
        <v>6.573580887886378E-2</v>
      </c>
      <c r="M38" s="259">
        <f t="shared" si="15"/>
        <v>6.3663787870441718E-2</v>
      </c>
      <c r="N38" s="259">
        <f t="shared" si="15"/>
        <v>6.3773957199553546E-2</v>
      </c>
      <c r="O38" s="259">
        <f t="shared" si="15"/>
        <v>6.5401914760762708E-2</v>
      </c>
      <c r="P38" s="259">
        <f t="shared" si="15"/>
        <v>6.5065128956530174E-2</v>
      </c>
      <c r="Q38" s="259">
        <f t="shared" si="15"/>
        <v>6.6404211607716784E-2</v>
      </c>
      <c r="R38" s="259">
        <f t="shared" si="15"/>
        <v>6.6990768528225678E-2</v>
      </c>
      <c r="S38" s="259">
        <f t="shared" si="15"/>
        <v>7.0129960866265204E-2</v>
      </c>
      <c r="T38" s="259">
        <f t="shared" si="15"/>
        <v>6.83732897917598E-2</v>
      </c>
      <c r="U38" s="259">
        <f t="shared" si="15"/>
        <v>7.0082940179838474E-2</v>
      </c>
      <c r="V38" s="259">
        <f t="shared" si="15"/>
        <v>6.8491270699761728E-2</v>
      </c>
      <c r="W38" s="259">
        <f t="shared" si="15"/>
        <v>6.6340821797087418E-2</v>
      </c>
      <c r="X38" s="259">
        <f t="shared" si="15"/>
        <v>6.5638005370579774E-2</v>
      </c>
      <c r="Y38" s="259">
        <f t="shared" si="15"/>
        <v>6.8193156439943795E-2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2.3946665849621334</v>
      </c>
      <c r="C44" s="237">
        <f>IF(C$5=0,0,C$5/AGR_fec!C$5)</f>
        <v>2.4608083551126851</v>
      </c>
      <c r="D44" s="237">
        <f>IF(D$5=0,0,D$5/AGR_fec!D$5)</f>
        <v>2.4207325514185887</v>
      </c>
      <c r="E44" s="237">
        <f>IF(E$5=0,0,E$5/AGR_fec!E$5)</f>
        <v>2.4645211794277655</v>
      </c>
      <c r="F44" s="237">
        <f>IF(F$5=0,0,F$5/AGR_fec!F$5)</f>
        <v>2.4159101444584632</v>
      </c>
      <c r="G44" s="237">
        <f>IF(G$5=0,0,G$5/AGR_fec!G$5)</f>
        <v>2.432023098954895</v>
      </c>
      <c r="H44" s="237">
        <f>IF(H$5=0,0,H$5/AGR_fec!H$5)</f>
        <v>2.4628806479835523</v>
      </c>
      <c r="I44" s="237">
        <f>IF(I$5=0,0,I$5/AGR_fec!I$5)</f>
        <v>2.420026157649799</v>
      </c>
      <c r="J44" s="237">
        <f>IF(J$5=0,0,J$5/AGR_fec!J$5)</f>
        <v>2.5502418213332732</v>
      </c>
      <c r="K44" s="237">
        <f>IF(K$5=0,0,K$5/AGR_fec!K$5)</f>
        <v>2.3370099924519647</v>
      </c>
      <c r="L44" s="237">
        <f>IF(L$5=0,0,L$5/AGR_fec!L$5)</f>
        <v>2.3658125878824654</v>
      </c>
      <c r="M44" s="237">
        <f>IF(M$5=0,0,M$5/AGR_fec!M$5)</f>
        <v>2.4793656691602712</v>
      </c>
      <c r="N44" s="237">
        <f>IF(N$5=0,0,N$5/AGR_fec!N$5)</f>
        <v>2.3779968585364299</v>
      </c>
      <c r="O44" s="237">
        <f>IF(O$5=0,0,O$5/AGR_fec!O$5)</f>
        <v>2.2861173361094727</v>
      </c>
      <c r="P44" s="237">
        <f>IF(P$5=0,0,P$5/AGR_fec!P$5)</f>
        <v>2.3240972818388426</v>
      </c>
      <c r="Q44" s="237">
        <f>IF(Q$5=0,0,Q$5/AGR_fec!Q$5)</f>
        <v>2.2790679345135483</v>
      </c>
      <c r="R44" s="237">
        <f>IF(R$5=0,0,R$5/AGR_fec!R$5)</f>
        <v>2.2380700576131511</v>
      </c>
      <c r="S44" s="237">
        <f>IF(S$5=0,0,S$5/AGR_fec!S$5)</f>
        <v>2.1348456722786127</v>
      </c>
      <c r="T44" s="237">
        <f>IF(T$5=0,0,T$5/AGR_fec!T$5)</f>
        <v>2.2054695356283625</v>
      </c>
      <c r="U44" s="237">
        <f>IF(U$5=0,0,U$5/AGR_fec!U$5)</f>
        <v>2.1570033866571823</v>
      </c>
      <c r="V44" s="237">
        <f>IF(V$5=0,0,V$5/AGR_fec!V$5)</f>
        <v>2.2111076048354654</v>
      </c>
      <c r="W44" s="237">
        <f>IF(W$5=0,0,W$5/AGR_fec!W$5)</f>
        <v>2.3222487292414762</v>
      </c>
      <c r="X44" s="237">
        <f>IF(X$5=0,0,X$5/AGR_fec!X$5)</f>
        <v>2.3874861709608539</v>
      </c>
      <c r="Y44" s="237">
        <f>IF(Y$5=0,0,Y$5/AGR_fec!Y$5)</f>
        <v>2.2431208950659647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2.649458406185567</v>
      </c>
      <c r="C48" s="252">
        <f>IF(C$9=0,0,C$9/AGR_fec!C$9)</f>
        <v>2.715395877354986</v>
      </c>
      <c r="D48" s="252">
        <f>IF(D$9=0,0,D$9/AGR_fec!D$9)</f>
        <v>2.5903461410651389</v>
      </c>
      <c r="E48" s="252">
        <f>IF(E$9=0,0,E$9/AGR_fec!E$9)</f>
        <v>2.6002876755900921</v>
      </c>
      <c r="F48" s="252">
        <f>IF(F$9=0,0,F$9/AGR_fec!F$9)</f>
        <v>2.5349211149529434</v>
      </c>
      <c r="G48" s="252">
        <f>IF(G$9=0,0,G$9/AGR_fec!G$9)</f>
        <v>2.4913873444133392</v>
      </c>
      <c r="H48" s="252">
        <f>IF(H$9=0,0,H$9/AGR_fec!H$9)</f>
        <v>2.6140501491626056</v>
      </c>
      <c r="I48" s="252">
        <f>IF(I$9=0,0,I$9/AGR_fec!I$9)</f>
        <v>2.6557982893909906</v>
      </c>
      <c r="J48" s="252">
        <f>IF(J$9=0,0,J$9/AGR_fec!J$9)</f>
        <v>2.6998136471676215</v>
      </c>
      <c r="K48" s="252">
        <f>IF(K$9=0,0,K$9/AGR_fec!K$9)</f>
        <v>2.4849425851791422</v>
      </c>
      <c r="L48" s="252">
        <f>IF(L$9=0,0,L$9/AGR_fec!L$9)</f>
        <v>2.1928579682098017</v>
      </c>
      <c r="M48" s="252">
        <f>IF(M$9=0,0,M$9/AGR_fec!M$9)</f>
        <v>2.292188143560054</v>
      </c>
      <c r="N48" s="252">
        <f>IF(N$9=0,0,N$9/AGR_fec!N$9)</f>
        <v>2.1651086697903832</v>
      </c>
      <c r="O48" s="252">
        <f>IF(O$9=0,0,O$9/AGR_fec!O$9)</f>
        <v>2.1831772931697961</v>
      </c>
      <c r="P48" s="252">
        <f>IF(P$9=0,0,P$9/AGR_fec!P$9)</f>
        <v>2.1144609370977667</v>
      </c>
      <c r="Q48" s="252">
        <f>IF(Q$9=0,0,Q$9/AGR_fec!Q$9)</f>
        <v>2.0791008654803798</v>
      </c>
      <c r="R48" s="252">
        <f>IF(R$9=0,0,R$9/AGR_fec!R$9)</f>
        <v>1.964757584567506</v>
      </c>
      <c r="S48" s="252">
        <f>IF(S$9=0,0,S$9/AGR_fec!S$9)</f>
        <v>1.9859672668225059</v>
      </c>
      <c r="T48" s="252">
        <f>IF(T$9=0,0,T$9/AGR_fec!T$9)</f>
        <v>1.965736901834326</v>
      </c>
      <c r="U48" s="252">
        <f>IF(U$9=0,0,U$9/AGR_fec!U$9)</f>
        <v>2.145625564336398</v>
      </c>
      <c r="V48" s="252">
        <f>IF(V$9=0,0,V$9/AGR_fec!V$9)</f>
        <v>2.1698718534277019</v>
      </c>
      <c r="W48" s="252">
        <f>IF(W$9=0,0,W$9/AGR_fec!W$9)</f>
        <v>2.1828620449504599</v>
      </c>
      <c r="X48" s="252">
        <f>IF(X$9=0,0,X$9/AGR_fec!X$9)</f>
        <v>2.3557993772269832</v>
      </c>
      <c r="Y48" s="252">
        <f>IF(Y$9=0,0,Y$9/AGR_fec!Y$9)</f>
        <v>2.6422046686968912</v>
      </c>
      <c r="DA48" s="289"/>
    </row>
    <row r="49" spans="1:105" x14ac:dyDescent="0.25">
      <c r="A49" s="127" t="s">
        <v>168</v>
      </c>
      <c r="B49" s="264">
        <f>IF(B$16=0,0,B$16/AGR_fec!B$16)</f>
        <v>3.1024188000000015</v>
      </c>
      <c r="C49" s="264">
        <f>IF(C$16=0,0,C$16/AGR_fec!C$16)</f>
        <v>3.1024188000000001</v>
      </c>
      <c r="D49" s="264">
        <f>IF(D$16=0,0,D$16/AGR_fec!D$16)</f>
        <v>3.1024188000000001</v>
      </c>
      <c r="E49" s="264">
        <f>IF(E$16=0,0,E$16/AGR_fec!E$16)</f>
        <v>3.1024187999999997</v>
      </c>
      <c r="F49" s="264">
        <f>IF(F$16=0,0,F$16/AGR_fec!F$16)</f>
        <v>3.1024188000000001</v>
      </c>
      <c r="G49" s="264">
        <f>IF(G$16=0,0,G$16/AGR_fec!G$16)</f>
        <v>3.1024187999999997</v>
      </c>
      <c r="H49" s="264">
        <f>IF(H$16=0,0,H$16/AGR_fec!H$16)</f>
        <v>3.102418800000001</v>
      </c>
      <c r="I49" s="264">
        <f>IF(I$16=0,0,I$16/AGR_fec!I$16)</f>
        <v>3.1024188000000001</v>
      </c>
      <c r="J49" s="264">
        <f>IF(J$16=0,0,J$16/AGR_fec!J$16)</f>
        <v>3.1024187999999993</v>
      </c>
      <c r="K49" s="264">
        <f>IF(K$16=0,0,K$16/AGR_fec!K$16)</f>
        <v>3.102418800000001</v>
      </c>
      <c r="L49" s="264">
        <f>IF(L$16=0,0,L$16/AGR_fec!L$16)</f>
        <v>3.1020308246254982</v>
      </c>
      <c r="M49" s="264">
        <f>IF(M$16=0,0,M$16/AGR_fec!M$16)</f>
        <v>3.1024188000000006</v>
      </c>
      <c r="N49" s="264">
        <f>IF(N$16=0,0,N$16/AGR_fec!N$16)</f>
        <v>3.0474074667253532</v>
      </c>
      <c r="O49" s="264">
        <f>IF(O$16=0,0,O$16/AGR_fec!O$16)</f>
        <v>3.0214410697849234</v>
      </c>
      <c r="P49" s="264">
        <f>IF(P$16=0,0,P$16/AGR_fec!P$16)</f>
        <v>3.0490293918847167</v>
      </c>
      <c r="Q49" s="264">
        <f>IF(Q$16=0,0,Q$16/AGR_fec!Q$16)</f>
        <v>3.0515300890660724</v>
      </c>
      <c r="R49" s="264">
        <f>IF(R$16=0,0,R$16/AGR_fec!R$16)</f>
        <v>3.0546616571452838</v>
      </c>
      <c r="S49" s="264">
        <f>IF(S$16=0,0,S$16/AGR_fec!S$16)</f>
        <v>3.069055278348424</v>
      </c>
      <c r="T49" s="264">
        <f>IF(T$16=0,0,T$16/AGR_fec!T$16)</f>
        <v>3.0561856308972133</v>
      </c>
      <c r="U49" s="264">
        <f>IF(U$16=0,0,U$16/AGR_fec!U$16)</f>
        <v>3.0574916804036589</v>
      </c>
      <c r="V49" s="264">
        <f>IF(V$16=0,0,V$16/AGR_fec!V$16)</f>
        <v>3.0192816529681767</v>
      </c>
      <c r="W49" s="264">
        <f>IF(W$16=0,0,W$16/AGR_fec!W$16)</f>
        <v>3.0443555601866525</v>
      </c>
      <c r="X49" s="264">
        <f>IF(X$16=0,0,X$16/AGR_fec!X$16)</f>
        <v>3.0429698439917501</v>
      </c>
      <c r="Y49" s="264">
        <f>IF(Y$16=0,0,Y$16/AGR_fec!Y$16)</f>
        <v>3.0501144829069475</v>
      </c>
      <c r="DA49" s="290"/>
    </row>
    <row r="50" spans="1:105" x14ac:dyDescent="0.25">
      <c r="A50" s="127" t="s">
        <v>121</v>
      </c>
      <c r="B50" s="264">
        <f>IF(B$17=0,0,B$17/AGR_fec!B$17)</f>
        <v>2.3053157699825197</v>
      </c>
      <c r="C50" s="264">
        <f>IF(C$17=0,0,C$17/AGR_fec!C$17)</f>
        <v>2.3798664600595107</v>
      </c>
      <c r="D50" s="264">
        <f>IF(D$17=0,0,D$17/AGR_fec!D$17)</f>
        <v>2.3939667309715253</v>
      </c>
      <c r="E50" s="264">
        <f>IF(E$17=0,0,E$17/AGR_fec!E$17)</f>
        <v>2.4498351784697814</v>
      </c>
      <c r="F50" s="264">
        <f>IF(F$17=0,0,F$17/AGR_fec!F$17)</f>
        <v>2.3402446784325175</v>
      </c>
      <c r="G50" s="264">
        <f>IF(G$17=0,0,G$17/AGR_fec!G$17)</f>
        <v>2.3888082072231454</v>
      </c>
      <c r="H50" s="264">
        <f>IF(H$17=0,0,H$17/AGR_fec!H$17)</f>
        <v>2.4126319173823711</v>
      </c>
      <c r="I50" s="264">
        <f>IF(I$17=0,0,I$17/AGR_fec!I$17)</f>
        <v>2.2252740147131718</v>
      </c>
      <c r="J50" s="264">
        <f>IF(J$17=0,0,J$17/AGR_fec!J$17)</f>
        <v>2.5744884009346802</v>
      </c>
      <c r="K50" s="264">
        <f>IF(K$17=0,0,K$17/AGR_fec!K$17)</f>
        <v>2.1234459861863728</v>
      </c>
      <c r="L50" s="264">
        <f>IF(L$17=0,0,L$17/AGR_fec!L$17)</f>
        <v>2.3204037073750028</v>
      </c>
      <c r="M50" s="264">
        <f>IF(M$17=0,0,M$17/AGR_fec!M$17)</f>
        <v>2.5392601280815561</v>
      </c>
      <c r="N50" s="264">
        <f>IF(N$17=0,0,N$17/AGR_fec!N$17)</f>
        <v>2.4540275524186228</v>
      </c>
      <c r="O50" s="264">
        <f>IF(O$17=0,0,O$17/AGR_fec!O$17)</f>
        <v>2.2335525410598338</v>
      </c>
      <c r="P50" s="264">
        <f>IF(P$17=0,0,P$17/AGR_fec!P$17)</f>
        <v>2.3877063188202703</v>
      </c>
      <c r="Q50" s="264">
        <f>IF(Q$17=0,0,Q$17/AGR_fec!Q$17)</f>
        <v>2.2655246286097941</v>
      </c>
      <c r="R50" s="264">
        <f>IF(R$17=0,0,R$17/AGR_fec!R$17)</f>
        <v>2.2317134512988464</v>
      </c>
      <c r="S50" s="264">
        <f>IF(S$17=0,0,S$17/AGR_fec!S$17)</f>
        <v>1.9399069307240364</v>
      </c>
      <c r="T50" s="264">
        <f>IF(T$17=0,0,T$17/AGR_fec!T$17)</f>
        <v>2.1328208335305039</v>
      </c>
      <c r="U50" s="264">
        <f>IF(U$17=0,0,U$17/AGR_fec!U$17)</f>
        <v>1.8800586550277236</v>
      </c>
      <c r="V50" s="264">
        <f>IF(V$17=0,0,V$17/AGR_fec!V$17)</f>
        <v>2.0223474622242485</v>
      </c>
      <c r="W50" s="264">
        <f>IF(W$17=0,0,W$17/AGR_fec!W$17)</f>
        <v>2.2894840248684867</v>
      </c>
      <c r="X50" s="264">
        <f>IF(X$17=0,0,X$17/AGR_fec!X$17)</f>
        <v>2.3385185002483992</v>
      </c>
      <c r="Y50" s="264">
        <f>IF(Y$17=0,0,Y$17/AGR_fec!Y$17)</f>
        <v>1.8774427062725012</v>
      </c>
      <c r="DA50" s="290"/>
    </row>
    <row r="51" spans="1:105" x14ac:dyDescent="0.25">
      <c r="A51" s="127" t="s">
        <v>167</v>
      </c>
      <c r="B51" s="264">
        <f>IF(B$25=0,0,B$25/AGR_fec!B$25)</f>
        <v>3.1024187999999997</v>
      </c>
      <c r="C51" s="264">
        <f>IF(C$25=0,0,C$25/AGR_fec!C$25)</f>
        <v>3.1024188000000001</v>
      </c>
      <c r="D51" s="264">
        <f>IF(D$25=0,0,D$25/AGR_fec!D$25)</f>
        <v>3.102418800000001</v>
      </c>
      <c r="E51" s="264">
        <f>IF(E$25=0,0,E$25/AGR_fec!E$25)</f>
        <v>3.1024187999999993</v>
      </c>
      <c r="F51" s="264">
        <f>IF(F$25=0,0,F$25/AGR_fec!F$25)</f>
        <v>3.1024188000000006</v>
      </c>
      <c r="G51" s="264">
        <f>IF(G$25=0,0,G$25/AGR_fec!G$25)</f>
        <v>3.1024188000000001</v>
      </c>
      <c r="H51" s="264">
        <f>IF(H$25=0,0,H$25/AGR_fec!H$25)</f>
        <v>3.1024188000000006</v>
      </c>
      <c r="I51" s="264">
        <f>IF(I$25=0,0,I$25/AGR_fec!I$25)</f>
        <v>3.1024188000000001</v>
      </c>
      <c r="J51" s="264">
        <f>IF(J$25=0,0,J$25/AGR_fec!J$25)</f>
        <v>3.1024187999999997</v>
      </c>
      <c r="K51" s="264">
        <f>IF(K$25=0,0,K$25/AGR_fec!K$25)</f>
        <v>3.102418800000001</v>
      </c>
      <c r="L51" s="264">
        <f>IF(L$25=0,0,L$25/AGR_fec!L$25)</f>
        <v>3.1020308246254986</v>
      </c>
      <c r="M51" s="264">
        <f>IF(M$25=0,0,M$25/AGR_fec!M$25)</f>
        <v>3.1024187999999997</v>
      </c>
      <c r="N51" s="264">
        <f>IF(N$25=0,0,N$25/AGR_fec!N$25)</f>
        <v>3.0474074667253515</v>
      </c>
      <c r="O51" s="264">
        <f>IF(O$25=0,0,O$25/AGR_fec!O$25)</f>
        <v>3.0214410697849243</v>
      </c>
      <c r="P51" s="264">
        <f>IF(P$25=0,0,P$25/AGR_fec!P$25)</f>
        <v>3.0490293918847176</v>
      </c>
      <c r="Q51" s="264">
        <f>IF(Q$25=0,0,Q$25/AGR_fec!Q$25)</f>
        <v>3.0515300890660728</v>
      </c>
      <c r="R51" s="264">
        <f>IF(R$25=0,0,R$25/AGR_fec!R$25)</f>
        <v>3.0546616571452829</v>
      </c>
      <c r="S51" s="264">
        <f>IF(S$25=0,0,S$25/AGR_fec!S$25)</f>
        <v>3.0690552783484235</v>
      </c>
      <c r="T51" s="264">
        <f>IF(T$25=0,0,T$25/AGR_fec!T$25)</f>
        <v>3.0561856308972137</v>
      </c>
      <c r="U51" s="264">
        <f>IF(U$25=0,0,U$25/AGR_fec!U$25)</f>
        <v>3.057491680403658</v>
      </c>
      <c r="V51" s="264">
        <f>IF(V$25=0,0,V$25/AGR_fec!V$25)</f>
        <v>3.0192816529681772</v>
      </c>
      <c r="W51" s="264">
        <f>IF(W$25=0,0,W$25/AGR_fec!W$25)</f>
        <v>3.0443555601866521</v>
      </c>
      <c r="X51" s="264">
        <f>IF(X$25=0,0,X$25/AGR_fec!X$25)</f>
        <v>3.0429698439917505</v>
      </c>
      <c r="Y51" s="264">
        <f>IF(Y$25=0,0,Y$25/AGR_fec!Y$25)</f>
        <v>3.0501144829069484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2025-11-06T10:27:56Z</dcterms:created>
  <dcterms:modified xsi:type="dcterms:W3CDTF">2025-11-06T10:27:56Z</dcterms:modified>
</cp:coreProperties>
</file>