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V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X32" i="8"/>
  <c r="X28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Y41" i="12"/>
  <c r="Y45" i="3"/>
  <c r="X45" i="3"/>
  <c r="X48" i="13"/>
  <c r="X83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4" i="3"/>
  <c r="Y76" i="3"/>
  <c r="Y44" i="3"/>
  <c r="X44" i="3"/>
  <c r="Y42" i="3"/>
  <c r="Y31" i="3"/>
  <c r="Y30" i="3"/>
  <c r="Y25" i="3"/>
  <c r="Y10" i="3"/>
  <c r="Y32" i="8" l="1"/>
  <c r="Y67" i="8" s="1"/>
  <c r="X41" i="12"/>
  <c r="Y15" i="14"/>
  <c r="Y21" i="14" s="1"/>
  <c r="X90" i="8"/>
  <c r="X29" i="9"/>
  <c r="Y57" i="8"/>
  <c r="Y79" i="8" s="1"/>
  <c r="X46" i="3"/>
  <c r="X43" i="3" s="1"/>
  <c r="X55" i="3"/>
  <c r="X207" i="3" s="1"/>
  <c r="X75" i="3"/>
  <c r="X227" i="3" s="1"/>
  <c r="Y75" i="3"/>
  <c r="Y29" i="9"/>
  <c r="X91" i="8"/>
  <c r="X25" i="9"/>
  <c r="Y91" i="8"/>
  <c r="Y44" i="12"/>
  <c r="X31" i="9"/>
  <c r="Y54" i="3"/>
  <c r="Y206" i="3" s="1"/>
  <c r="Y53" i="9"/>
  <c r="X53" i="3"/>
  <c r="Y43" i="9"/>
  <c r="X27" i="9"/>
  <c r="Y69" i="11"/>
  <c r="X19" i="12"/>
  <c r="X69" i="12" s="1"/>
  <c r="Y55" i="3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Y197" i="3" s="1"/>
  <c r="X23" i="3"/>
  <c r="X235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X26" i="8"/>
  <c r="X25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11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Y10" i="19"/>
  <c r="Y3" i="19" s="1"/>
  <c r="Y28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Y25" i="14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25" i="14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2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Y27" i="14" l="1"/>
  <c r="Y52" i="3"/>
  <c r="Y204" i="3" s="1"/>
  <c r="X22" i="3"/>
  <c r="Y11" i="20"/>
  <c r="X48" i="9"/>
  <c r="X10" i="20"/>
  <c r="X60" i="3"/>
  <c r="X24" i="19"/>
  <c r="X86" i="3"/>
  <c r="X238" i="3" s="1"/>
  <c r="Y227" i="3"/>
  <c r="X116" i="11"/>
  <c r="X22" i="15"/>
  <c r="X80" i="11"/>
  <c r="X41" i="3"/>
  <c r="X193" i="3" s="1"/>
  <c r="X52" i="3"/>
  <c r="Y25" i="19"/>
  <c r="Y10" i="17"/>
  <c r="X61" i="8"/>
  <c r="Y73" i="3"/>
  <c r="Y13" i="18"/>
  <c r="Y3" i="16"/>
  <c r="Y19" i="16" s="1"/>
  <c r="Y36" i="8"/>
  <c r="Y20" i="16"/>
  <c r="Y57" i="3"/>
  <c r="Y209" i="3" s="1"/>
  <c r="X89" i="3"/>
  <c r="X181" i="3" s="1"/>
  <c r="X21" i="20"/>
  <c r="X23" i="20"/>
  <c r="X11" i="17"/>
  <c r="X3" i="16"/>
  <c r="X28" i="16" s="1"/>
  <c r="Y17" i="15"/>
  <c r="Y13" i="15"/>
  <c r="Y18" i="15"/>
  <c r="X198" i="3"/>
  <c r="Y3" i="12"/>
  <c r="Y47" i="12" s="1"/>
  <c r="X43" i="11"/>
  <c r="X122" i="11"/>
  <c r="Y20" i="14"/>
  <c r="X22" i="10"/>
  <c r="X192" i="3"/>
  <c r="X36" i="8"/>
  <c r="X4" i="8"/>
  <c r="X108" i="8" s="1"/>
  <c r="X96" i="8"/>
  <c r="X29" i="19"/>
  <c r="X9" i="20"/>
  <c r="X41" i="9"/>
  <c r="Y207" i="3"/>
  <c r="Y22" i="13"/>
  <c r="X233" i="3"/>
  <c r="Y22" i="18"/>
  <c r="X22" i="17"/>
  <c r="X13" i="20"/>
  <c r="X44" i="10"/>
  <c r="X205" i="3"/>
  <c r="Y13" i="3"/>
  <c r="X112" i="8"/>
  <c r="X100" i="8"/>
  <c r="Y198" i="3"/>
  <c r="X111" i="8"/>
  <c r="X76" i="11"/>
  <c r="X20" i="19"/>
  <c r="X113" i="8"/>
  <c r="Y21" i="18"/>
  <c r="X118" i="11"/>
  <c r="X13" i="11"/>
  <c r="X117" i="11"/>
  <c r="X224" i="3"/>
  <c r="Y111" i="11"/>
  <c r="Y42" i="13"/>
  <c r="Y12" i="14"/>
  <c r="Y24" i="14" s="1"/>
  <c r="X13" i="3"/>
  <c r="X195" i="3" s="1"/>
  <c r="X37" i="9"/>
  <c r="X3" i="12"/>
  <c r="X51" i="12" s="1"/>
  <c r="Y23" i="10"/>
  <c r="Y22" i="10"/>
  <c r="Y117" i="11"/>
  <c r="Y29" i="19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24" i="9" s="1"/>
  <c r="X49" i="10"/>
  <c r="X8" i="10"/>
  <c r="X60" i="10" s="1"/>
  <c r="Y44" i="10"/>
  <c r="Y55" i="10"/>
  <c r="Y33" i="10"/>
  <c r="Y81" i="3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X49" i="12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27" i="19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12" i="3"/>
  <c r="X59" i="3"/>
  <c r="X153" i="3" s="1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9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X46" i="9"/>
  <c r="X10" i="9"/>
  <c r="X57" i="9" s="1"/>
  <c r="Y22" i="17"/>
  <c r="Y53" i="12"/>
  <c r="Y49" i="12"/>
  <c r="X23" i="18"/>
  <c r="X28" i="19"/>
  <c r="X204" i="3" l="1"/>
  <c r="X182" i="3"/>
  <c r="X183" i="3"/>
  <c r="X39" i="3"/>
  <c r="X191" i="3" s="1"/>
  <c r="Y23" i="16"/>
  <c r="X62" i="10"/>
  <c r="X106" i="8"/>
  <c r="Y27" i="16"/>
  <c r="Y9" i="17"/>
  <c r="Y48" i="12"/>
  <c r="X35" i="9"/>
  <c r="X109" i="8"/>
  <c r="Y225" i="3"/>
  <c r="X27" i="16"/>
  <c r="X105" i="8"/>
  <c r="X23" i="16"/>
  <c r="X94" i="8"/>
  <c r="X107" i="8"/>
  <c r="X19" i="16"/>
  <c r="Y28" i="16"/>
  <c r="Y50" i="12"/>
  <c r="Y17" i="12"/>
  <c r="Y67" i="12" s="1"/>
  <c r="Y195" i="3"/>
  <c r="Y52" i="12"/>
  <c r="Y54" i="12"/>
  <c r="Y55" i="12"/>
  <c r="X95" i="11"/>
  <c r="X9" i="17"/>
  <c r="Y51" i="12"/>
  <c r="Y56" i="3"/>
  <c r="Y208" i="3" s="1"/>
  <c r="X225" i="3"/>
  <c r="X38" i="10"/>
  <c r="X209" i="3"/>
  <c r="Y37" i="12"/>
  <c r="Y18" i="14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4" i="1"/>
  <c r="B26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L20" i="19"/>
  <c r="L10" i="20"/>
  <c r="Q25" i="19"/>
  <c r="Q21" i="19"/>
  <c r="Q14" i="20"/>
  <c r="Q3" i="20"/>
  <c r="Q22" i="20" s="1"/>
  <c r="C19" i="20"/>
  <c r="E14" i="18"/>
  <c r="M14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M22" i="20" l="1"/>
  <c r="W23" i="20"/>
  <c r="N29" i="3"/>
  <c r="F24" i="19"/>
  <c r="R25" i="19"/>
  <c r="F20" i="19"/>
  <c r="I21" i="18"/>
  <c r="J11" i="20"/>
  <c r="M23" i="20"/>
  <c r="R21" i="19"/>
  <c r="W24" i="19"/>
  <c r="P10" i="20"/>
  <c r="N13" i="20"/>
  <c r="U19" i="18"/>
  <c r="G18" i="18"/>
  <c r="H20" i="19"/>
  <c r="F22" i="20"/>
  <c r="K23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Q9" i="20" l="1"/>
  <c r="F182" i="3"/>
  <c r="U122" i="3"/>
  <c r="N19" i="19"/>
  <c r="F183" i="3"/>
  <c r="N27" i="19"/>
  <c r="E23" i="19"/>
  <c r="E27" i="19"/>
  <c r="N9" i="20"/>
  <c r="N29" i="19"/>
  <c r="M28" i="19"/>
  <c r="W9" i="20"/>
  <c r="M29" i="19"/>
  <c r="M9" i="20"/>
  <c r="W29" i="19"/>
  <c r="M23" i="19"/>
  <c r="M19" i="19"/>
  <c r="H27" i="19"/>
  <c r="Q23" i="19"/>
  <c r="H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6" i="1"/>
  <c r="B8" i="1"/>
  <c r="B22" i="1"/>
  <c r="B4" i="1"/>
  <c r="B20" i="1"/>
  <c r="B13" i="1"/>
  <c r="B15" i="1"/>
  <c r="B11" i="1"/>
  <c r="B21" i="1"/>
  <c r="B9" i="1"/>
  <c r="B12" i="1"/>
  <c r="B17" i="1"/>
  <c r="B7" i="1"/>
  <c r="B18" i="1"/>
  <c r="B1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J85" i="4" l="1"/>
  <c r="K87" i="4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X58" i="4" s="1"/>
  <c r="W4" i="7"/>
  <c r="T47" i="7"/>
  <c r="T6" i="7"/>
  <c r="T58" i="4"/>
  <c r="U34" i="7"/>
  <c r="U114" i="4"/>
  <c r="T31" i="7"/>
  <c r="Y6" i="7"/>
  <c r="W36" i="7"/>
  <c r="X44" i="7"/>
  <c r="V35" i="7"/>
  <c r="X13" i="7" l="1"/>
  <c r="V42" i="7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O180" i="4"/>
  <c r="P208" i="4"/>
  <c r="P206" i="4"/>
  <c r="P102" i="5"/>
  <c r="P209" i="4"/>
  <c r="P96" i="6"/>
  <c r="P8" i="3" l="1"/>
  <c r="P150" i="4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M204" i="4" s="1"/>
  <c r="O121" i="6"/>
  <c r="O67" i="6"/>
  <c r="O209" i="7" s="1"/>
  <c r="O94" i="6"/>
  <c r="M206" i="4"/>
  <c r="L205" i="4"/>
  <c r="J180" i="4"/>
  <c r="L177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I8" i="3" l="1"/>
  <c r="I204" i="4"/>
  <c r="G208" i="4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265" i="4" s="1"/>
  <c r="I184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224" i="4" s="1"/>
  <c r="S143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S231" i="4" l="1"/>
  <c r="F20" i="4"/>
  <c r="F157" i="4" s="1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F211" i="4" l="1"/>
  <c r="M4" i="4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 s="1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7" i="4" l="1"/>
  <c r="Y268" i="4"/>
  <c r="Y265" i="4"/>
  <c r="Y184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 s="1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57" i="3"/>
  <c r="H217" i="3"/>
  <c r="X107" i="4"/>
  <c r="X100" i="4" s="1"/>
  <c r="X84" i="4" s="1"/>
  <c r="H187" i="3"/>
  <c r="H34" i="3"/>
  <c r="H127" i="3" s="1"/>
  <c r="X54" i="7"/>
  <c r="H160" i="3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 s="1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 s="1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 s="1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<sst xmlns="http://schemas.openxmlformats.org/spreadsheetml/2006/main" count="2657" uniqueCount="1169">
  <si>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</si>
  <si>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</si>
  <si>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</si>
  <si>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</si>
  <si>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</si>
  <si>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</si>
  <si>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</si>
  <si>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</si>
  <si>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</si>
  <si>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</si>
  <si>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</si>
  <si>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</si>
  <si>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</si>
  <si>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</si>
  <si>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</si>
  <si>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</si>
  <si>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</si>
  <si>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</si>
  <si>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</si>
  <si>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</si>
  <si>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</si>
  <si>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</si>
  <si>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</si>
  <si>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</si>
  <si>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</si>
  <si>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</si>
  <si>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</si>
  <si>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</si>
  <si>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</si>
  <si>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</si>
  <si>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</si>
  <si>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</si>
  <si>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</si>
  <si>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</si>
  <si>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</si>
  <si>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</si>
  <si>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</si>
  <si>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</si>
  <si>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</si>
  <si>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</si>
  <si>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</si>
  <si>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</si>
  <si>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</si>
  <si>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</si>
  <si>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</si>
  <si>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</si>
  <si>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</si>
  <si>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</si>
  <si>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</si>
  <si>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</si>
  <si>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</si>
  <si>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</si>
  <si>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</si>
  <si>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</si>
  <si>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</si>
  <si>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</si>
  <si>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</si>
  <si>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</si>
  <si>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</si>
  <si>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</si>
  <si>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</si>
  <si>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</si>
  <si>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</si>
  <si>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</si>
  <si>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</si>
  <si>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</si>
  <si>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</si>
  <si>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</si>
  <si>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</si>
  <si>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</si>
  <si>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</si>
  <si>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</si>
  <si>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</si>
  <si>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</si>
  <si>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</si>
  <si>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</si>
  <si>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</si>
  <si>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</si>
  <si>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</si>
  <si>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</si>
  <si>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</si>
  <si>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</si>
  <si>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</si>
  <si>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</si>
  <si>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</si>
  <si>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</si>
  <si>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</si>
  <si>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</si>
  <si>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</si>
  <si>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</si>
  <si>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</si>
  <si>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</si>
  <si>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</si>
  <si>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</si>
  <si>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</si>
  <si>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</si>
  <si>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</si>
  <si>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</si>
  <si>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</si>
  <si>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</si>
  <si>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</si>
  <si>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</si>
  <si>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</si>
  <si>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</si>
  <si>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</si>
  <si>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</si>
  <si>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</si>
  <si>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</si>
  <si>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</si>
  <si>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</si>
  <si>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</si>
  <si>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</si>
  <si>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</si>
  <si>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</si>
  <si>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</si>
  <si>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</si>
  <si>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</si>
  <si>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</si>
  <si>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</si>
  <si>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</si>
  <si>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</si>
  <si>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</si>
  <si>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</si>
  <si>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</si>
  <si>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</si>
  <si>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</si>
  <si>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</si>
  <si>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</si>
  <si>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</si>
  <si>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</si>
  <si>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</si>
  <si>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</si>
  <si>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</si>
  <si>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</si>
  <si>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</si>
  <si>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</si>
  <si>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</si>
  <si>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</si>
  <si>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</si>
  <si>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</si>
  <si>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</si>
  <si>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</si>
  <si>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</si>
  <si>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</si>
  <si>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</si>
  <si>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</si>
  <si>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</si>
  <si>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</si>
  <si>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</si>
  <si>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</si>
  <si>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</si>
  <si>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</si>
  <si>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</si>
  <si>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</si>
  <si>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</si>
  <si>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</si>
  <si>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</si>
  <si>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</si>
  <si>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</si>
  <si>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</si>
  <si>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</si>
  <si>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</si>
  <si>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</si>
  <si>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</si>
  <si>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</si>
  <si>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</si>
  <si>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</si>
  <si>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</si>
  <si>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</si>
  <si>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</si>
  <si>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</si>
  <si>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</si>
  <si>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</si>
  <si>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</si>
  <si>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</si>
  <si>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</si>
  <si>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</si>
  <si>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</si>
  <si>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</si>
  <si>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</si>
  <si>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</si>
  <si>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</si>
  <si>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</si>
  <si>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</si>
  <si>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</si>
  <si>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</si>
  <si>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</si>
  <si>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LV</t>
  </si>
  <si>
    <t>Latvia</t>
  </si>
  <si>
    <t>Aviation - LV - Latvia</t>
  </si>
  <si>
    <t>Activity.Mpkm.LV.Tr.Avia.Passenger</t>
  </si>
  <si>
    <t>Activity.Mpkm.LV.Tr.Avia.Passenger.Domestic</t>
  </si>
  <si>
    <t>Activity.Mpkm.LV.Tr.Avia.Passenger.IntraEEAwCHUK</t>
  </si>
  <si>
    <t>Activity.Mpkm.LV.Tr.Avia.Passenger.ExtraEEAwCHUK</t>
  </si>
  <si>
    <t>Activity.Mtkm.LV.Tr.Avia.Freight</t>
  </si>
  <si>
    <t>Activity.Mtkm.LV.Tr.Avia.Freight.Domestic</t>
  </si>
  <si>
    <t>Activity.Mtkm.LV.Tr.Avia.Freight.IntraEEAwCHUK</t>
  </si>
  <si>
    <t>Activity.Mtkm.LV.Tr.Avia.Freight.ExtraEEAwCHUK</t>
  </si>
  <si>
    <t>VehicleKm.Mkm.LV.Tr.Avia</t>
  </si>
  <si>
    <t>VehicleKm.Mkm.LV.Tr.Avia.Passenger</t>
  </si>
  <si>
    <t>VehicleKm.Mkm.LV.Tr.Avia.Passenger.Domestic</t>
  </si>
  <si>
    <t>VehicleKm.Mkm.LV.Tr.Avia.Passenger.IntraEEAwCHUK</t>
  </si>
  <si>
    <t>VehicleKm.Mkm.LV.Tr.Avia.Passenger.ExtraEEAwCHUK</t>
  </si>
  <si>
    <t>VehicleKm.Mkm.LV.Tr.Avia.Freight</t>
  </si>
  <si>
    <t>VehicleKm.Mkm.LV.Tr.Avia.Freight.Domestic</t>
  </si>
  <si>
    <t>VehicleKm.Mkm.LV.Tr.Avia.Freight.IntraEEAwCHUK</t>
  </si>
  <si>
    <t>VehicleKm.Mkm.LV.Tr.Avia.Freight.ExtraEEAwCHUK</t>
  </si>
  <si>
    <t>Flights.number.LV.Tr.Avia</t>
  </si>
  <si>
    <t>Flights.number.LV.Tr.Avia.Passenger</t>
  </si>
  <si>
    <t>Flights.number.LV.Tr.Avia.Passenger.Domestic</t>
  </si>
  <si>
    <t>Flights.number.LV.Tr.Avia.Passenger.IntraEEAwCHUK</t>
  </si>
  <si>
    <t>Flights.number.LV.Tr.Avia.Passenger.ExtraEEAwCHUK</t>
  </si>
  <si>
    <t>Flights.number.LV.Tr.Avia.Freight</t>
  </si>
  <si>
    <t>Flights.number.LV.Tr.Avia.Freight.Domestic</t>
  </si>
  <si>
    <t>Flights.number.LV.Tr.Avia.Freight.IntraEEAwCHUK</t>
  </si>
  <si>
    <t>Flights.number.LV.Tr.Avia.Freight.ExtraEEAwCHUK</t>
  </si>
  <si>
    <t>VolCarried.passenger.LV.Tr.Avia.Passenger</t>
  </si>
  <si>
    <t>VolCarried.passenger.LV.Tr.Avia.Passenger.Domestic</t>
  </si>
  <si>
    <t>VolCarried.passenger.LV.Tr.Avia.Passenger.IntraEEAwCHUK</t>
  </si>
  <si>
    <t>VolCarried.passenger.LV.Tr.Avia.Passenger.ExtraEEAwCHUK</t>
  </si>
  <si>
    <t>VolCarried.t.LV.Tr.Avia.Freight</t>
  </si>
  <si>
    <t>VolCarried.t.LV.Tr.Avia.Freight.Domestic</t>
  </si>
  <si>
    <t>VolCarried.t.LV.Tr.Avia.Freight.IntraEEAwCHUK</t>
  </si>
  <si>
    <t>VolCarried.t.LV.Tr.Avia.Freight.ExtraEEAwCHUK</t>
  </si>
  <si>
    <t>Stock.number.LV.Tr.Avia</t>
  </si>
  <si>
    <t>Stock.number.LV.Tr.Avia.Passenger</t>
  </si>
  <si>
    <t>Stock.number.LV.Tr.Avia.Passenger.Domestic</t>
  </si>
  <si>
    <t>Stock.number.LV.Tr.Avia.Passenger.IntraEEAwCHUK</t>
  </si>
  <si>
    <t>Stock.number.LV.Tr.Avia.Passenger.ExtraEEAwCHUK</t>
  </si>
  <si>
    <t>Stock.number.LV.Tr.Avia.Freight</t>
  </si>
  <si>
    <t>Stock.number.LV.Tr.Avia.Freight.Domestic</t>
  </si>
  <si>
    <t>Stock.number.LV.Tr.Avia.Freight.IntraEEAwCHUK</t>
  </si>
  <si>
    <t>Stock.number.LV.Tr.Avia.Freight.ExtraEEAwCHUK</t>
  </si>
  <si>
    <t>StockNew.number.LV.Tr.Avia</t>
  </si>
  <si>
    <t>StockNew.number.LV.Tr.Avia.Passenger</t>
  </si>
  <si>
    <t>StockNew.number.LV.Tr.Avia.Passenger.Domestic</t>
  </si>
  <si>
    <t>StockNew.number.LV.Tr.Avia.Passenger.IntraEEAwCHUK</t>
  </si>
  <si>
    <t>StockNew.number.LV.Tr.Avia.Passenger.ExtraEEAwCHUK</t>
  </si>
  <si>
    <t>StockNew.number.LV.Tr.Avia.Freight</t>
  </si>
  <si>
    <t>StockNew.number.LV.Tr.Avia.Freight.Domestic</t>
  </si>
  <si>
    <t>StockNew.number.LV.Tr.Avia.Freight.IntraEEAwCHUK</t>
  </si>
  <si>
    <t>StockNew.number.LV.Tr.Avia.Freight.ExtraEEAwCHUK</t>
  </si>
  <si>
    <t>Load.passenger_per_movement.LV.Tr.Avia.Passenger</t>
  </si>
  <si>
    <t>Load.passenger_per_movement.LV.Tr.Avia.Passenger.Domestic</t>
  </si>
  <si>
    <t>Load.passenger_per_movement.LV.Tr.Avia.Passenger.IntraEEAwCHUK</t>
  </si>
  <si>
    <t>Load.passenger_per_movement.LV.Tr.Avia.Passenger.ExtraEEAwCHUK</t>
  </si>
  <si>
    <t>Load.t_per_movement.LV.Tr.Avia.Freight</t>
  </si>
  <si>
    <t>Load.t_per_movement.LV.Tr.Avia.Freight.Domestic</t>
  </si>
  <si>
    <t>Load.t_per_movement.LV.Tr.Avia.Freight.IntraEEAwCHUK</t>
  </si>
  <si>
    <t>Load.t_per_movement.LV.Tr.Avia.Freight.ExtraEEAwCHUK</t>
  </si>
  <si>
    <t>VehicleKm_per_flight.km.LV.Tr.Avia</t>
  </si>
  <si>
    <t>VehicleKm_per_flight.km.LV.Tr.Avia.Passenger</t>
  </si>
  <si>
    <t>VehicleKm_per_flight.km.LV.Tr.Avia.Passenger.Domestic</t>
  </si>
  <si>
    <t>VehicleKm_per_flight.km.LV.Tr.Avia.Passenger.IntraEEAwCHUK</t>
  </si>
  <si>
    <t>VehicleKm_per_flight.km.LV.Tr.Avia.Passenger.ExtraEEAwCHUK</t>
  </si>
  <si>
    <t>VehicleKm_per_flight.km.LV.Tr.Avia.Freight</t>
  </si>
  <si>
    <t>VehicleKm_per_flight.km.LV.Tr.Avia.Freight.Domestic</t>
  </si>
  <si>
    <t>VehicleKm_per_flight.km.LV.Tr.Avia.Freight.IntraEEAwCHUK</t>
  </si>
  <si>
    <t>VehicleKm_per_flight.km.LV.Tr.Avia.Freight.ExtraEEAwCHUK</t>
  </si>
  <si>
    <t>Activity_per_flight.pkm.LV.Tr.Avia.Passenger</t>
  </si>
  <si>
    <t>Activity_per_flight.pkm.LV.Tr.Avia.Passenger.Domestic</t>
  </si>
  <si>
    <t>Activity_per_flight.pkm.LV.Tr.Avia.Passenger.IntraEEAwCHUK</t>
  </si>
  <si>
    <t>Activity_per_flight.pkm.LV.Tr.Avia.Passenger.ExtraEEAwCHUK</t>
  </si>
  <si>
    <t>Activity_per_flight.tkm.LV.Tr.Avia.Freight</t>
  </si>
  <si>
    <t>Activity_per_flight.tkm.LV.Tr.Avia.Freight.Domestic</t>
  </si>
  <si>
    <t>Activity_per_flight.tkm.LV.Tr.Avia.Freight.IntraEEAwCHUK</t>
  </si>
  <si>
    <t>Activity_per_flight.tkm.LV.Tr.Avia.Freight.ExtraEEAwCHUK</t>
  </si>
  <si>
    <t>Flights_per_vehicle.number.LV.Tr.Avia</t>
  </si>
  <si>
    <t>Flights_per_vehicle.number.LV.Tr.Avia.Passenger</t>
  </si>
  <si>
    <t>Flights_per_vehicle.number.LV.Tr.Avia.Passenger.Domestic</t>
  </si>
  <si>
    <t>Flights_per_vehicle.number.LV.Tr.Avia.Passenger.IntraEEAwCHUK</t>
  </si>
  <si>
    <t>Flights_per_vehicle.number.LV.Tr.Avia.Passenger.ExtraEEAwCHUK</t>
  </si>
  <si>
    <t>Flights_per_vehicle.number.LV.Tr.Avia.Freight</t>
  </si>
  <si>
    <t>Flights_per_vehicle.number.LV.Tr.Avia.Freight.Domestic</t>
  </si>
  <si>
    <t>Flights_per_vehicle.number.LV.Tr.Avia.Freight.IntraEEAwCHUK</t>
  </si>
  <si>
    <t>Flights_per_vehicle.number.LV.Tr.Avia.Freight.ExtraEEAwCHUK</t>
  </si>
  <si>
    <t>Aviation / energy consumption - LV - Latvia</t>
  </si>
  <si>
    <t>FEC.ktoe.LV.Tr.Avia</t>
  </si>
  <si>
    <t>FEC.ktoe.LV.Tr.Avia.Domestic</t>
  </si>
  <si>
    <t>FEC.ktoe.LV.Tr.Avia.International</t>
  </si>
  <si>
    <t>FEC.ktoe.LV.Tr.Avia.Passenger</t>
  </si>
  <si>
    <t>FEC.ktoe.LV.Tr.Avia.Passenger.Domestic</t>
  </si>
  <si>
    <t>FEC.ktoe.LV.Tr.Avia.Passenger.IntraEEAwCHUK</t>
  </si>
  <si>
    <t>FEC.ktoe.LV.Tr.Avia.Passenger.ExtraEEAwCHUK</t>
  </si>
  <si>
    <t>FEC.ktoe.LV.Tr.Avia.Freight</t>
  </si>
  <si>
    <t>FEC.ktoe.LV.Tr.Avia.Freight.Domestic</t>
  </si>
  <si>
    <t>FEC.ktoe.LV.Tr.Avia.Freight.IntraEEAwCHUK</t>
  </si>
  <si>
    <t>FEC.ktoe.LV.Tr.Avia.Freight.ExtraEEAwCHUK</t>
  </si>
  <si>
    <t>Eff.kgoe_per_100km.LV.Tr.Avia</t>
  </si>
  <si>
    <t>Eff.kgoe_per_100km.LV.Tr.Avia.Passenger</t>
  </si>
  <si>
    <t>Eff.kgoe_per_100km.LV.Tr.Avia.Passenger.Domestic</t>
  </si>
  <si>
    <t>Eff.kgoe_per_100km.LV.Tr.Avia.Passenger.IntraEEAwCHUK</t>
  </si>
  <si>
    <t>Eff.kgoe_per_100km.LV.Tr.Avia.Passenger.ExtraEEAwCHUK</t>
  </si>
  <si>
    <t>Eff.kgoe_per_100km.LV.Tr.Avia.Freight</t>
  </si>
  <si>
    <t>Eff.kgoe_per_100km.LV.Tr.Avia.Freight.Domestic</t>
  </si>
  <si>
    <t>Eff.kgoe_per_100km.LV.Tr.Avia.Freight.IntraEEAwCHUK</t>
  </si>
  <si>
    <t>Eff.kgoe_per_100km.LV.Tr.Avia.Freight.ExtraEEAwCHUK</t>
  </si>
  <si>
    <t>Eff.kgoe_per_kpkm.LV.Tr.Avia.Passenger</t>
  </si>
  <si>
    <t>Eff.kgoe_per_kpkm.LV.Tr.Avia.Passenger.Domestic</t>
  </si>
  <si>
    <t>Eff.kgoe_per_kpkm.LV.Tr.Avia.Passenger.IntraEEAwCHUK</t>
  </si>
  <si>
    <t>Eff.kgoe_per_kpkm.LV.Tr.Avia.Passenger.ExtraEEAwCHUK</t>
  </si>
  <si>
    <t>Eff.kgoe_per_ktkm.LV.Tr.Avia.Freight</t>
  </si>
  <si>
    <t>Eff.kgoe_per_ktkm.LV.Tr.Avia.Freight.Domestic</t>
  </si>
  <si>
    <t>Eff.kgoe_per_ktkm.LV.Tr.Avia.Freight.IntraEEAwCHUK</t>
  </si>
  <si>
    <t>Eff.kgoe_per_ktkm.LV.Tr.Avia.Freight.ExtraEEAwCHUK</t>
  </si>
  <si>
    <t>FEC_per_flight.kgoe.LV.Tr.Avia</t>
  </si>
  <si>
    <t>FEC_per_flight.kgoe.LV.Tr.Avia.Passenger</t>
  </si>
  <si>
    <t>FEC_per_flight.kgoe.LV.Tr.Avia.Passenger.Domestic</t>
  </si>
  <si>
    <t>FEC_per_flight.kgoe.LV.Tr.Avia.Passenger.IntraEEAwCHUK</t>
  </si>
  <si>
    <t>FEC_per_flight.kgoe.LV.Tr.Avia.Passenger.ExtraEEAwCHUK</t>
  </si>
  <si>
    <t>FEC_per_flight.kgoe.LV.Tr.Avia.Freight</t>
  </si>
  <si>
    <t>FEC_per_flight.kgoe.LV.Tr.Avia.Freight.Domestic</t>
  </si>
  <si>
    <t>FEC_per_flight.kgoe.LV.Tr.Avia.Freight.IntraEEAwCHUK</t>
  </si>
  <si>
    <t>FEC_per_flight.kgoe.LV.Tr.Avia.Freight.ExtraEEAwCHUK</t>
  </si>
  <si>
    <t>Eff_theor.kgoe_per_100km.LV.Tr.Avia</t>
  </si>
  <si>
    <t>Eff_theor.kgoe_per_100km.LV.Tr.Avia.Passenger</t>
  </si>
  <si>
    <t>Eff_theor.kgoe_per_100km.LV.Tr.Avia.Passenger.Domestic</t>
  </si>
  <si>
    <t>Eff_theor.kgoe_per_100km.LV.Tr.Avia.Passenger.IntraEEAwCHUK</t>
  </si>
  <si>
    <t>Eff_theor.kgoe_per_100km.LV.Tr.Avia.Passenger.ExtraEEAwCHUK</t>
  </si>
  <si>
    <t>Eff_theor.kgoe_per_100km.LV.Tr.Avia.Freight</t>
  </si>
  <si>
    <t>Eff_theor.kgoe_per_100km.LV.Tr.Avia.Freight.Domestic</t>
  </si>
  <si>
    <t>Eff_theor.kgoe_per_100km.LV.Tr.Avia.Freight.IntraEEAwCHUK</t>
  </si>
  <si>
    <t>Eff_theor.kgoe_per_100km.LV.Tr.Avia.Freight.ExtraEEAwCHUK</t>
  </si>
  <si>
    <t>Aviation / CO2 emissions - LV - Latvia</t>
  </si>
  <si>
    <t>EMI.ktCO2.LV.Tr.Avia</t>
  </si>
  <si>
    <t>EMI.ktCO2.LV.Tr.Avia.Domestic</t>
  </si>
  <si>
    <t>EMI.ktCO2.LV.Tr.Avia.International</t>
  </si>
  <si>
    <t>EMI.ktCO2.LV.Tr.Avia.Passenger</t>
  </si>
  <si>
    <t>EMI.ktCO2.LV.Tr.Avia.Passenger.Domestic</t>
  </si>
  <si>
    <t>EMI.ktCO2.LV.Tr.Avia.Passenger.IntraEEAwCHUK</t>
  </si>
  <si>
    <t>EMI.ktCO2.LV.Tr.Avia.Passenger.ExtraEEAwCHUK</t>
  </si>
  <si>
    <t>EMI.ktCO2.LV.Tr.Avia.Freight</t>
  </si>
  <si>
    <t>EMI.ktCO2.LV.Tr.Avia.Freight.Domestic</t>
  </si>
  <si>
    <t>EMI.ktCO2.LV.Tr.Avia.Freight.IntraEEAwCHUK</t>
  </si>
  <si>
    <t>EMI.ktCO2.LV.Tr.Avia.Freight.ExtraEEAwCHUK</t>
  </si>
  <si>
    <t>EMIint.gCO2_per_km.LV.Tr.Avia</t>
  </si>
  <si>
    <t>EMIint.gCO2_per_km.LV.Tr.Avia.Passenger</t>
  </si>
  <si>
    <t>EMIint.gCO2_per_km.LV.Tr.Avia.Passenger.Domestic</t>
  </si>
  <si>
    <t>EMIint.gCO2_per_km.LV.Tr.Avia.Passenger.IntraEEAwCHUK</t>
  </si>
  <si>
    <t>EMIint.gCO2_per_km.LV.Tr.Avia.Passenger.ExtraEEAwCHUK</t>
  </si>
  <si>
    <t>EMIint.gCO2_per_km.LV.Tr.Avia.Freight</t>
  </si>
  <si>
    <t>EMIint.gCO2_per_km.LV.Tr.Avia.Freight.Domestic</t>
  </si>
  <si>
    <t>EMIint.gCO2_per_km.LV.Tr.Avia.Freight.IntraEEAwCHUK</t>
  </si>
  <si>
    <t>EMIint.gCO2_per_km.LV.Tr.Avia.Freight.ExtraEEAwCHUK</t>
  </si>
  <si>
    <t>EMIint.gCO2_per_pkm.LV.Tr.Avia.Passenger</t>
  </si>
  <si>
    <t>EMIint.gCO2_per_pkm.LV.Tr.Avia.Passenger.Domestic</t>
  </si>
  <si>
    <t>EMIint.gCO2_per_pkm.LV.Tr.Avia.Passenger.IntraEEAwCHUK</t>
  </si>
  <si>
    <t>EMIint.gCO2_per_pkm.LV.Tr.Avia.Passenger.ExtraEEAwCHUK</t>
  </si>
  <si>
    <t>EMIint.gCO2_per_tkm.LV.Tr.Avia.Freight</t>
  </si>
  <si>
    <t>EMIint.gCO2_per_tkm.LV.Tr.Avia.Freight.Domestic</t>
  </si>
  <si>
    <t>EMIint.gCO2_per_tkm.LV.Tr.Avia.Freight.IntraEEAwCHUK</t>
  </si>
  <si>
    <t>EMIint.gCO2_per_tkm.LV.Tr.Avia.Freight.ExtraEEAwCHUK</t>
  </si>
  <si>
    <t>EMI_per_flight.kgCO2.LV.Tr.Avia</t>
  </si>
  <si>
    <t>EMI_per_flight.kgCO2.LV.Tr.Avia.Passenger</t>
  </si>
  <si>
    <t>EMI_per_flight.kgCO2.LV.Tr.Avia.Passenger.Domestic</t>
  </si>
  <si>
    <t>EMI_per_flight.kgCO2.LV.Tr.Avia.Passenger.IntraEEAwCHUK</t>
  </si>
  <si>
    <t>EMI_per_flight.kgCO2.LV.Tr.Avia.Passenger.ExtraEEAwCHUK</t>
  </si>
  <si>
    <t>EMI_per_flight.kgCO2.LV.Tr.Avia.Freight</t>
  </si>
  <si>
    <t>EMI_per_flight.kgCO2.LV.Tr.Avia.Freight.Domestic</t>
  </si>
  <si>
    <t>EMI_per_flight.kgCO2.LV.Tr.Avia.Freight.IntraEEAwCHUK</t>
  </si>
  <si>
    <t>EMI_per_flight.kgCO2.LV.Tr.Avia.Freight.ExtraEEAwCHUK</t>
  </si>
  <si>
    <t>Aviation / passenger transport specific data - LV - Latvia</t>
  </si>
  <si>
    <t>TrCap.seats.LV.Tr.Avia.Passenger</t>
  </si>
  <si>
    <t>TrCap.seats.LV.Tr.Avia.Passenger.Domestic</t>
  </si>
  <si>
    <t>TrCap.seats.LV.Tr.Avia.Passenger.IntraEEAwCHUK</t>
  </si>
  <si>
    <t>TrCap.seats.LV.Tr.Avia.Passenger.ExtraEEAwCHUK</t>
  </si>
  <si>
    <t>TrCap_per_flight.seats.LV.Tr.Avia.Passenger</t>
  </si>
  <si>
    <t>TrCap_per_flight.seats.LV.Tr.Avia.Passenger.Domestic</t>
  </si>
  <si>
    <t>TrCap_per_flight.seats.LV.Tr.Avia.Passenger.IntraEEAwCHUK</t>
  </si>
  <si>
    <t>TrCap_per_flight.seats.LV.Tr.Avia.Passenger.ExtraEEAwCHUK</t>
  </si>
  <si>
    <t>Transport overview - LV - Latvia</t>
  </si>
  <si>
    <t>Activity.Mpkm.LV.Tr</t>
  </si>
  <si>
    <t>Activity.Mpkm.LV.Tr.Road.Passenger</t>
  </si>
  <si>
    <t>Activity.Mpkm.LV.Tr.Road.Passenger.P2W</t>
  </si>
  <si>
    <t>Activity.Mpkm.LV.Tr.Road.Passenger.Car</t>
  </si>
  <si>
    <t>Activity.Mpkm.LV.Tr.Road.Passenger.Bus</t>
  </si>
  <si>
    <t>Activity.Mpkm.LV.Tr.Rail.Passenger</t>
  </si>
  <si>
    <t>Activity.Mpkm.LV.Tr.Rail.Passenger.MTU</t>
  </si>
  <si>
    <t>Activity.Mpkm.LV.Tr.Rail.Passenger.CPT</t>
  </si>
  <si>
    <t>Activity.Mpkm.LV.Tr.Rail.Passenger.HST</t>
  </si>
  <si>
    <t>Activity.Mtkm.LV.Tr</t>
  </si>
  <si>
    <t>Activity.Mtkm.LV.Tr.Road.Freight</t>
  </si>
  <si>
    <t>Activity.Mtkm.LV.Tr.Road.Freight.LCV</t>
  </si>
  <si>
    <t>Activity.Mtkm.LV.Tr.Road.Freight.HGV_All</t>
  </si>
  <si>
    <t>Activity.Mtkm.LV.Tr.Rail.Freight</t>
  </si>
  <si>
    <t>Activity.Mtkm.LV.Tr.DNavi.Freight</t>
  </si>
  <si>
    <t>Activity.Mtkm.LV.Tr.DNavi.Freight.DCS</t>
  </si>
  <si>
    <t>Activity.Mtkm.LV.Tr.DNavi.Freight.IWW</t>
  </si>
  <si>
    <t>Activity.Mtkm.LV.MBunk.Freight</t>
  </si>
  <si>
    <t>Activity.Mtkm.LV.MBunk.Freight.IntraEEA</t>
  </si>
  <si>
    <t>Activity.Mtkm.LV.MBunk.Freight.ExtraEEA</t>
  </si>
  <si>
    <t>FEC.ktoe.LV.Tr.Road.Passenger</t>
  </si>
  <si>
    <t>FEC.ktoe.LV.Tr.Road.Passenger.P2W</t>
  </si>
  <si>
    <t>FEC.ktoe.LV.Tr.Road.Passenger.Car</t>
  </si>
  <si>
    <t>FEC.ktoe.LV.Tr.Road.Passenger.Bus</t>
  </si>
  <si>
    <t>FEC.ktoe.LV.Tr.Rail.Passenger</t>
  </si>
  <si>
    <t>FEC.ktoe.LV.Tr.Rail.Passenger.MTU</t>
  </si>
  <si>
    <t>FEC.ktoe.LV.Tr.Rail.Passenger.CPT</t>
  </si>
  <si>
    <t>FEC.ktoe.LV.Tr.Rail.Passenger.HST</t>
  </si>
  <si>
    <t>FEC.ktoe.LV.Tr.Road.Freight</t>
  </si>
  <si>
    <t>FEC.ktoe.LV.Tr.Road.Freight.LCV</t>
  </si>
  <si>
    <t>FEC.ktoe.LV.Tr.Road.Freight.HGV_All</t>
  </si>
  <si>
    <t>FEC.ktoe.LV.Tr.Rail.Freight</t>
  </si>
  <si>
    <t>EMI.ktCO2.LV.Tr.Road.Passenger</t>
  </si>
  <si>
    <t>EMI.ktCO2.LV.Tr.Road.Passenger.P2W</t>
  </si>
  <si>
    <t>EMI.ktCO2.LV.Tr.Road.Passenger.Car</t>
  </si>
  <si>
    <t>EMI.ktCO2.LV.Tr.Road.Passenger.Bus</t>
  </si>
  <si>
    <t>EMI.ktCO2.LV.Tr.Rail.Passenger</t>
  </si>
  <si>
    <t>EMI.ktCO2.LV.Tr.Rail.Passenger.MTU</t>
  </si>
  <si>
    <t>EMI.ktCO2.LV.Tr.Rail.Passenger.CPT</t>
  </si>
  <si>
    <t>EMI.ktCO2.LV.Tr.Rail.Passenger.HST</t>
  </si>
  <si>
    <t>EMI.ktCO2.LV.Tr.Road.Freight</t>
  </si>
  <si>
    <t>EMI.ktCO2.LV.Tr.Road.Freight.LCV</t>
  </si>
  <si>
    <t>EMI.ktCO2.LV.Tr.Road.Freight.HGV_All</t>
  </si>
  <si>
    <t>EMI.ktCO2.LV.Tr.Rail.Freight</t>
  </si>
  <si>
    <t>Eff.kgoe_per_kpkm.LV.Tr</t>
  </si>
  <si>
    <t>Eff.kgoe_per_kpkm.LV.Tr.Road.Passenger</t>
  </si>
  <si>
    <t>Eff.kgoe_per_kpkm.LV.Tr.Road.Passenger.P2W</t>
  </si>
  <si>
    <t>Eff.kgoe_per_kpkm.LV.Tr.Road.Passenger.Car</t>
  </si>
  <si>
    <t>Eff.kgoe_per_kpkm.LV.Tr.Road.Passenger.Bus</t>
  </si>
  <si>
    <t>Eff.kgoe_per_kpkm.LV.Tr.Rail.Passenger</t>
  </si>
  <si>
    <t>Eff.kgoe_per_kpkm.LV.Tr.Rail.Passenger.MTU</t>
  </si>
  <si>
    <t>Eff.kgoe_per_kpkm.LV.Tr.Rail.Passenger.CPT</t>
  </si>
  <si>
    <t>Eff.kgoe_per_kpkm.LV.Tr.Rail.Passenger.HST</t>
  </si>
  <si>
    <t>Eff.kgoe_per_ktkm.LV.Tr</t>
  </si>
  <si>
    <t>Eff.kgoe_per_ktkm.LV.Tr.Road.Freight</t>
  </si>
  <si>
    <t>Eff.kgoe_per_ktkm.LV.Tr.Road.Freight.LCV</t>
  </si>
  <si>
    <t>Eff.kgoe_per_ktkm.LV.Tr.Road.Freight.HGV_All</t>
  </si>
  <si>
    <t>Eff.kgoe_per_ktkm.LV.Tr.Rail.Freight</t>
  </si>
  <si>
    <t>Eff.kgoe_per_ktkm.LV.Tr.DNavi.Freight</t>
  </si>
  <si>
    <t>Eff.kgoe_per_ktkm.LV.Tr.DNavi.Freight.DCS</t>
  </si>
  <si>
    <t>Eff.kgoe_per_ktkm.LV.Tr.DNavi.Freight.IWW</t>
  </si>
  <si>
    <t>Eff.kgoe_per_ktkm.LV.MBunk.Freight</t>
  </si>
  <si>
    <t>Eff.kgoe_per_ktkm.LV.MBunk.Freight.IntraEEA</t>
  </si>
  <si>
    <t>Eff.kgoe_per_ktkm.LV.MBunk.Freight.ExtraEEA</t>
  </si>
  <si>
    <t>EMIint.gCO2_per_pkm.LV.Tr</t>
  </si>
  <si>
    <t>EMIint.gCO2_per_pkm.LV.Tr.Road.Passenger</t>
  </si>
  <si>
    <t>EMIint.gCO2_per_pkm.LV.Tr.Road.Passenger.P2W</t>
  </si>
  <si>
    <t>EMIint.gCO2_per_pkm.LV.Tr.Road.Passenger.Car</t>
  </si>
  <si>
    <t>EMIint.gCO2_per_pkm.LV.Tr.Road.Passenger.Bus</t>
  </si>
  <si>
    <t>EMIint.gCO2_per_pkm.LV.Tr.Rail.Passenger</t>
  </si>
  <si>
    <t>EMIint.gCO2_per_pkm.LV.Tr.Rail.Passenger.MTU</t>
  </si>
  <si>
    <t>EMIint.gCO2_per_pkm.LV.Tr.Rail.Passenger.CPT</t>
  </si>
  <si>
    <t>EMIint.gCO2_per_pkm.LV.Tr.Rail.Passenger.HST</t>
  </si>
  <si>
    <t>EMIint.gCO2_per_tkm.LV.Tr</t>
  </si>
  <si>
    <t>EMIint.gCO2_per_tkm.LV.Tr.Road.Freight</t>
  </si>
  <si>
    <t>EMIint.gCO2_per_tkm.LV.Tr.Road.Freight.LCV</t>
  </si>
  <si>
    <t>EMIint.gCO2_per_tkm.LV.Tr.Road.Freight.HGV_All</t>
  </si>
  <si>
    <t>EMIint.gCO2_per_tkm.LV.Tr.Rail.Freight</t>
  </si>
  <si>
    <t>EMIint.gCO2_per_tkm.LV.Tr.DNavi.Freight</t>
  </si>
  <si>
    <t>EMIint.gCO2_per_tkm.LV.Tr.DNavi.Freight.DCS</t>
  </si>
  <si>
    <t>EMIint.gCO2_per_tkm.LV.Tr.DNavi.Freight.IWW</t>
  </si>
  <si>
    <t>EMIint.gCO2_per_tkm.LV.MBunk.Freight</t>
  </si>
  <si>
    <t>EMIint.gCO2_per_tkm.LV.MBunk.Freight.IntraEEA</t>
  </si>
  <si>
    <t>EMIint.gCO2_per_tkm.LV.MBunk.Freight.ExtraEEA</t>
  </si>
  <si>
    <t>Road transport - LV - Latvia</t>
  </si>
  <si>
    <t>Activity.Mpkm.LV.Tr.Road.Passenger.Car.ICE.Gasoline</t>
  </si>
  <si>
    <t>Activity.Mpkm.LV.Tr.Road.Passenger.Car.ICE.Diesel</t>
  </si>
  <si>
    <t>Activity.Mpkm.LV.Tr.Road.Passenger.Car.ICE.LPG</t>
  </si>
  <si>
    <t>Activity.Mpkm.LV.Tr.Road.Passenger.Car.ICE.NGas</t>
  </si>
  <si>
    <t>Activity.Mpkm.LV.Tr.Road.Passenger.Car.PHEV.Gasoline</t>
  </si>
  <si>
    <t>Activity.Mpkm.LV.Tr.Road.Passenger.Car.BEV</t>
  </si>
  <si>
    <t>Activity.Mpkm.LV.Tr.Road.Passenger.Bus.ICE.Gasoline</t>
  </si>
  <si>
    <t>Activity.Mpkm.LV.Tr.Road.Passenger.Bus.ICE.Diesel</t>
  </si>
  <si>
    <t>Activity.Mpkm.LV.Tr.Road.Passenger.Bus.ICE.LPG</t>
  </si>
  <si>
    <t>Activity.Mpkm.LV.Tr.Road.Passenger.Bus.ICE.NGas</t>
  </si>
  <si>
    <t>Activity.Mpkm.LV.Tr.Road.Passenger.Bus.BEV</t>
  </si>
  <si>
    <t>Activity.Mtkm.LV.Tr.Road.Freight.LCV.ICE.Gasoline</t>
  </si>
  <si>
    <t>Activity.Mtkm.LV.Tr.Road.Freight.LCV.ICE.Diesel</t>
  </si>
  <si>
    <t>Activity.Mtkm.LV.Tr.Road.Freight.LCV.ICE.LPG</t>
  </si>
  <si>
    <t>Activity.Mtkm.LV.Tr.Road.Freight.LCV.ICE.NGas</t>
  </si>
  <si>
    <t>Activity.Mtkm.LV.Tr.Road.Freight.LCV.BEV</t>
  </si>
  <si>
    <t>Activity.Mtkm.LV.Tr.Road.Freight.HGV_Domestic</t>
  </si>
  <si>
    <t>Activity.Mtkm.LV.Tr.Road.Freight.HGV_International</t>
  </si>
  <si>
    <t>VehicleKm.Mkm.LV.Tr.Road</t>
  </si>
  <si>
    <t>VehicleKm.Mkm.LV.Tr.Road.Passenger</t>
  </si>
  <si>
    <t>VehicleKm.Mkm.LV.Tr.Road.Passenger.P2W</t>
  </si>
  <si>
    <t>VehicleKm.Mkm.LV.Tr.Road.Passenger.Car</t>
  </si>
  <si>
    <t>VehicleKm.Mkm.LV.Tr.Road.Passenger.Car.ICE.Gasoline</t>
  </si>
  <si>
    <t>VehicleKm.Mkm.LV.Tr.Road.Passenger.Car.ICE.Diesel</t>
  </si>
  <si>
    <t>VehicleKm.Mkm.LV.Tr.Road.Passenger.Car.ICE.LPG</t>
  </si>
  <si>
    <t>VehicleKm.Mkm.LV.Tr.Road.Passenger.Car.ICE.NGas</t>
  </si>
  <si>
    <t>VehicleKm.Mkm.LV.Tr.Road.Passenger.Car.PHEV.Gasoline</t>
  </si>
  <si>
    <t>VehicleKm.Mkm.LV.Tr.Road.Passenger.Car.BEV</t>
  </si>
  <si>
    <t>VehicleKm.Mkm.LV.Tr.Road.Passenger.Bus</t>
  </si>
  <si>
    <t>VehicleKm.Mkm.LV.Tr.Road.Passenger.Bus.ICE.Gasoline</t>
  </si>
  <si>
    <t>VehicleKm.Mkm.LV.Tr.Road.Passenger.Bus.ICE.Diesel</t>
  </si>
  <si>
    <t>VehicleKm.Mkm.LV.Tr.Road.Passenger.Bus.ICE.LPG</t>
  </si>
  <si>
    <t>VehicleKm.Mkm.LV.Tr.Road.Passenger.Bus.ICE.NGas</t>
  </si>
  <si>
    <t>VehicleKm.Mkm.LV.Tr.Road.Passenger.Bus.BEV</t>
  </si>
  <si>
    <t>VehicleKm.Mkm.LV.Tr.Road.Freight</t>
  </si>
  <si>
    <t>VehicleKm.Mkm.LV.Tr.Road.Freight.LCV</t>
  </si>
  <si>
    <t>VehicleKm.Mkm.LV.Tr.Road.Freight.LCV.ICE.Gasoline</t>
  </si>
  <si>
    <t>VehicleKm.Mkm.LV.Tr.Road.Freight.LCV.ICE.Diesel</t>
  </si>
  <si>
    <t>VehicleKm.Mkm.LV.Tr.Road.Freight.LCV.ICE.LPG</t>
  </si>
  <si>
    <t>VehicleKm.Mkm.LV.Tr.Road.Freight.LCV.ICE.NGas</t>
  </si>
  <si>
    <t>VehicleKm.Mkm.LV.Tr.Road.Freight.LCV.BEV</t>
  </si>
  <si>
    <t>VehicleKm.Mkm.LV.Tr.Road.Freight.HGV_All</t>
  </si>
  <si>
    <t>VehicleKm.Mkm.LV.Tr.Road.Freight.HGV_Domestic</t>
  </si>
  <si>
    <t>VehicleKm.Mkm.LV.Tr.Road.Freight.HGV_International</t>
  </si>
  <si>
    <t>Stock.number.LV.Tr.Road</t>
  </si>
  <si>
    <t>Stock.number.LV.Tr.Road.Passenger</t>
  </si>
  <si>
    <t>Stock.number.LV.Tr.Road.Passenger.P2W</t>
  </si>
  <si>
    <t>Stock.number.LV.Tr.Road.Passenger.Car</t>
  </si>
  <si>
    <t>Stock.number.LV.Tr.Road.Passenger.Car.ICE.Gasoline</t>
  </si>
  <si>
    <t>Stock.number.LV.Tr.Road.Passenger.Car.ICE.Diesel</t>
  </si>
  <si>
    <t>Stock.number.LV.Tr.Road.Passenger.Car.ICE.LPG</t>
  </si>
  <si>
    <t>Stock.number.LV.Tr.Road.Passenger.Car.ICE.NGas</t>
  </si>
  <si>
    <t>Stock.number.LV.Tr.Road.Passenger.Car.PHEV.Gasoline</t>
  </si>
  <si>
    <t>Stock.number.LV.Tr.Road.Passenger.Car.BEV</t>
  </si>
  <si>
    <t>Stock.number.LV.Tr.Road.Passenger.Bus</t>
  </si>
  <si>
    <t>Stock.number.LV.Tr.Road.Passenger.Bus.ICE.Gasoline</t>
  </si>
  <si>
    <t>Stock.number.LV.Tr.Road.Passenger.Bus.ICE.Diesel</t>
  </si>
  <si>
    <t>Stock.number.LV.Tr.Road.Passenger.Bus.ICE.LPG</t>
  </si>
  <si>
    <t>Stock.number.LV.Tr.Road.Passenger.Bus.ICE.NGas</t>
  </si>
  <si>
    <t>Stock.number.LV.Tr.Road.Passenger.Bus.BEV</t>
  </si>
  <si>
    <t>Stock.number.LV.Tr.Road.Freight</t>
  </si>
  <si>
    <t>Stock.number.LV.Tr.Road.Freight.LCV</t>
  </si>
  <si>
    <t>Stock.number.LV.Tr.Road.Freight.LCV.ICE.Gasoline</t>
  </si>
  <si>
    <t>Stock.number.LV.Tr.Road.Freight.LCV.ICE.Diesel</t>
  </si>
  <si>
    <t>Stock.number.LV.Tr.Road.Freight.LCV.ICE.LPG</t>
  </si>
  <si>
    <t>Stock.number.LV.Tr.Road.Freight.LCV.ICE.NGas</t>
  </si>
  <si>
    <t>Stock.number.LV.Tr.Road.Freight.LCV.BEV</t>
  </si>
  <si>
    <t>Stock.number.LV.Tr.Road.Freight.HGV_All</t>
  </si>
  <si>
    <t>Stock.number.LV.Tr.Road.Freight.HGV_Domestic</t>
  </si>
  <si>
    <t>Stock.number.LV.Tr.Road.Freight.HGV_International</t>
  </si>
  <si>
    <t>StockNew.number.LV.Tr.Road</t>
  </si>
  <si>
    <t>StockNew.number.LV.Tr.Road.Passenger</t>
  </si>
  <si>
    <t>StockNew.number.LV.Tr.Road.Passenger.P2W</t>
  </si>
  <si>
    <t>StockNew.number.LV.Tr.Road.Passenger.Car</t>
  </si>
  <si>
    <t>StockNew.number.LV.Tr.Road.Passenger.Car.ICE.Gasoline</t>
  </si>
  <si>
    <t>StockNew.number.LV.Tr.Road.Passenger.Car.ICE.Diesel</t>
  </si>
  <si>
    <t>StockNew.number.LV.Tr.Road.Passenger.Car.ICE.LPG</t>
  </si>
  <si>
    <t>StockNew.number.LV.Tr.Road.Passenger.Car.ICE.NGas</t>
  </si>
  <si>
    <t>StockNew.number.LV.Tr.Road.Passenger.Car.PHEV.Gasoline</t>
  </si>
  <si>
    <t>StockNew.number.LV.Tr.Road.Passenger.Car.BEV</t>
  </si>
  <si>
    <t>StockNew.number.LV.Tr.Road.Passenger.Bus</t>
  </si>
  <si>
    <t>StockNew.number.LV.Tr.Road.Passenger.Bus.ICE.Gasoline</t>
  </si>
  <si>
    <t>StockNew.number.LV.Tr.Road.Passenger.Bus.ICE.Diesel</t>
  </si>
  <si>
    <t>StockNew.number.LV.Tr.Road.Passenger.Bus.ICE.LPG</t>
  </si>
  <si>
    <t>StockNew.number.LV.Tr.Road.Passenger.Bus.ICE.NGas</t>
  </si>
  <si>
    <t>StockNew.number.LV.Tr.Road.Passenger.Bus.BEV</t>
  </si>
  <si>
    <t>StockNew.number.LV.Tr.Road.Freight</t>
  </si>
  <si>
    <t>StockNew.number.LV.Tr.Road.Freight.LCV</t>
  </si>
  <si>
    <t>StockNew.number.LV.Tr.Road.Freight.LCV.ICE.Gasoline</t>
  </si>
  <si>
    <t>StockNew.number.LV.Tr.Road.Freight.LCV.ICE.Diesel</t>
  </si>
  <si>
    <t>StockNew.number.LV.Tr.Road.Freight.LCV.ICE.LPG</t>
  </si>
  <si>
    <t>StockNew.number.LV.Tr.Road.Freight.LCV.ICE.NGas</t>
  </si>
  <si>
    <t>StockNew.number.LV.Tr.Road.Freight.LCV.BEV</t>
  </si>
  <si>
    <t>StockNew.number.LV.Tr.Road.Freight.HGV_All</t>
  </si>
  <si>
    <t>StockNew.number.LV.Tr.Road.Freight.HGV_Domestic</t>
  </si>
  <si>
    <t>StockNew.number.LV.Tr.Road.Freight.HGV_International</t>
  </si>
  <si>
    <t>Load.passenger_per_movement.LV.Tr.Road.Passenger</t>
  </si>
  <si>
    <t>Load.passenger_per_movement.LV.Tr.Road.Passenger.P2W</t>
  </si>
  <si>
    <t>Load.passenger_per_movement.LV.Tr.Road.Passenger.Car</t>
  </si>
  <si>
    <t>Load.passenger_per_movement.LV.Tr.Road.Passenger.Car.ICE.Gasoline</t>
  </si>
  <si>
    <t>Load.passenger_per_movement.LV.Tr.Road.Passenger.Car.ICE.Diesel</t>
  </si>
  <si>
    <t>Load.passenger_per_movement.LV.Tr.Road.Passenger.Car.ICE.LPG</t>
  </si>
  <si>
    <t>Load.passenger_per_movement.LV.Tr.Road.Passenger.Car.ICE.NGas</t>
  </si>
  <si>
    <t>Load.passenger_per_movement.LV.Tr.Road.Passenger.Car.PHEV.Gasoline</t>
  </si>
  <si>
    <t>Load.passenger_per_movement.LV.Tr.Road.Passenger.Car.BEV</t>
  </si>
  <si>
    <t>Load.passenger_per_movement.LV.Tr.Road.Passenger.Bus</t>
  </si>
  <si>
    <t>Load.passenger_per_movement.LV.Tr.Road.Passenger.Bus.ICE.Gasoline</t>
  </si>
  <si>
    <t>Load.passenger_per_movement.LV.Tr.Road.Passenger.Bus.ICE.Diesel</t>
  </si>
  <si>
    <t>Load.passenger_per_movement.LV.Tr.Road.Passenger.Bus.ICE.LPG</t>
  </si>
  <si>
    <t>Load.passenger_per_movement.LV.Tr.Road.Passenger.Bus.ICE.NGas</t>
  </si>
  <si>
    <t>Load.passenger_per_movement.LV.Tr.Road.Passenger.Bus.BEV</t>
  </si>
  <si>
    <t>Load.t_per_movement.LV.Tr.Road.Freight</t>
  </si>
  <si>
    <t>Load.t_per_movement.LV.Tr.Road.Freight.LCV</t>
  </si>
  <si>
    <t>Load.t_per_movement.LV.Tr.Road.Freight.LCV.ICE.Gasoline</t>
  </si>
  <si>
    <t>Load.t_per_movement.LV.Tr.Road.Freight.LCV.ICE.Diesel</t>
  </si>
  <si>
    <t>Load.t_per_movement.LV.Tr.Road.Freight.LCV.ICE.LPG</t>
  </si>
  <si>
    <t>Load.t_per_movement.LV.Tr.Road.Freight.LCV.ICE.NGas</t>
  </si>
  <si>
    <t>Load.t_per_movement.LV.Tr.Road.Freight.LCV.BEV</t>
  </si>
  <si>
    <t>Load.t_per_movement.LV.Tr.Road.Freight.HGV_All</t>
  </si>
  <si>
    <t>Load.t_per_movement.LV.Tr.Road.Freight.HGV_Domestic</t>
  </si>
  <si>
    <t>Load.t_per_movement.LV.Tr.Road.Freight.HGV_International</t>
  </si>
  <si>
    <t>VehicleKm_per_vehicle.km.LV.Tr.Road</t>
  </si>
  <si>
    <t>VehicleKm_per_vehicle.km.LV.Tr.Road.Passenger</t>
  </si>
  <si>
    <t>VehicleKm_per_vehicle.km.LV.Tr.Road.Passenger.P2W</t>
  </si>
  <si>
    <t>VehicleKm_per_vehicle.km.LV.Tr.Road.Passenger.Car</t>
  </si>
  <si>
    <t>VehicleKm_per_vehicle.km.LV.Tr.Road.Passenger.Car.ICE.Gasoline</t>
  </si>
  <si>
    <t>VehicleKm_per_vehicle.km.LV.Tr.Road.Passenger.Car.ICE.Diesel</t>
  </si>
  <si>
    <t>VehicleKm_per_vehicle.km.LV.Tr.Road.Passenger.Car.ICE.LPG</t>
  </si>
  <si>
    <t>VehicleKm_per_vehicle.km.LV.Tr.Road.Passenger.Car.ICE.NGas</t>
  </si>
  <si>
    <t>VehicleKm_per_vehicle.km.LV.Tr.Road.Passenger.Car.PHEV.Gasoline</t>
  </si>
  <si>
    <t>VehicleKm_per_vehicle.km.LV.Tr.Road.Passenger.Car.BEV</t>
  </si>
  <si>
    <t>VehicleKm_per_vehicle.km.LV.Tr.Road.Passenger.Bus</t>
  </si>
  <si>
    <t>VehicleKm_per_vehicle.km.LV.Tr.Road.Passenger.Bus.ICE.Gasoline</t>
  </si>
  <si>
    <t>VehicleKm_per_vehicle.km.LV.Tr.Road.Passenger.Bus.ICE.Diesel</t>
  </si>
  <si>
    <t>VehicleKm_per_vehicle.km.LV.Tr.Road.Passenger.Bus.ICE.LPG</t>
  </si>
  <si>
    <t>VehicleKm_per_vehicle.km.LV.Tr.Road.Passenger.Bus.ICE.NGas</t>
  </si>
  <si>
    <t>VehicleKm_per_vehicle.km.LV.Tr.Road.Passenger.Bus.BEV</t>
  </si>
  <si>
    <t>VehicleKm_per_vehicle.km.LV.Tr.Road.Freight</t>
  </si>
  <si>
    <t>VehicleKm_per_vehicle.km.LV.Tr.Road.Freight.LCV</t>
  </si>
  <si>
    <t>VehicleKm_per_vehicle.km.LV.Tr.Road.Freight.LCV.ICE.Gasoline</t>
  </si>
  <si>
    <t>VehicleKm_per_vehicle.km.LV.Tr.Road.Freight.LCV.ICE.Diesel</t>
  </si>
  <si>
    <t>VehicleKm_per_vehicle.km.LV.Tr.Road.Freight.LCV.ICE.LPG</t>
  </si>
  <si>
    <t>VehicleKm_per_vehicle.km.LV.Tr.Road.Freight.LCV.ICE.NGas</t>
  </si>
  <si>
    <t>VehicleKm_per_vehicle.km.LV.Tr.Road.Freight.LCV.BEV</t>
  </si>
  <si>
    <t>VehicleKm_per_vehicle.km.LV.Tr.Road.Freight.HGV_All</t>
  </si>
  <si>
    <t>VehicleKm_per_vehicle.km.LV.Tr.Road.Freight.HGV_Domestic</t>
  </si>
  <si>
    <t>VehicleKm_per_vehicle.km.LV.Tr.Road.Freight.HGV_International</t>
  </si>
  <si>
    <t>Activity_per_vehicle.pkm.LV.Tr.Road.Passenger</t>
  </si>
  <si>
    <t>Activity_per_vehicle.pkm.LV.Tr.Road.Passenger.P2W</t>
  </si>
  <si>
    <t>Activity_per_vehicle.pkm.LV.Tr.Road.Passenger.Car</t>
  </si>
  <si>
    <t>Activity_per_vehicle.pkm.LV.Tr.Road.Passenger.Car.ICE.Gasoline</t>
  </si>
  <si>
    <t>Activity_per_vehicle.pkm.LV.Tr.Road.Passenger.Car.ICE.Diesel</t>
  </si>
  <si>
    <t>Activity_per_vehicle.pkm.LV.Tr.Road.Passenger.Car.ICE.LPG</t>
  </si>
  <si>
    <t>Activity_per_vehicle.pkm.LV.Tr.Road.Passenger.Car.ICE.NGas</t>
  </si>
  <si>
    <t>Activity_per_vehicle.pkm.LV.Tr.Road.Passenger.Car.PHEV.Gasoline</t>
  </si>
  <si>
    <t>Activity_per_vehicle.pkm.LV.Tr.Road.Passenger.Car.BEV</t>
  </si>
  <si>
    <t>Activity_per_vehicle.pkm.LV.Tr.Road.Passenger.Bus</t>
  </si>
  <si>
    <t>Activity_per_vehicle.pkm.LV.Tr.Road.Passenger.Bus.ICE.Gasoline</t>
  </si>
  <si>
    <t>Activity_per_vehicle.pkm.LV.Tr.Road.Passenger.Bus.ICE.Diesel</t>
  </si>
  <si>
    <t>Activity_per_vehicle.pkm.LV.Tr.Road.Passenger.Bus.ICE.LPG</t>
  </si>
  <si>
    <t>Activity_per_vehicle.pkm.LV.Tr.Road.Passenger.Bus.ICE.NGas</t>
  </si>
  <si>
    <t>Activity_per_vehicle.pkm.LV.Tr.Road.Passenger.Bus.BEV</t>
  </si>
  <si>
    <t>Activity_per_vehicle.tkm.LV.Tr.Road.Freight</t>
  </si>
  <si>
    <t>Activity_per_vehicle.tkm.LV.Tr.Road.Freight.LCV</t>
  </si>
  <si>
    <t>Activity_per_vehicle.tkm.LV.Tr.Road.Freight.LCV.ICE.Gasoline</t>
  </si>
  <si>
    <t>Activity_per_vehicle.tkm.LV.Tr.Road.Freight.LCV.ICE.Diesel</t>
  </si>
  <si>
    <t>Activity_per_vehicle.tkm.LV.Tr.Road.Freight.LCV.ICE.LPG</t>
  </si>
  <si>
    <t>Activity_per_vehicle.tkm.LV.Tr.Road.Freight.LCV.ICE.NGas</t>
  </si>
  <si>
    <t>Activity_per_vehicle.tkm.LV.Tr.Road.Freight.LCV.BEV</t>
  </si>
  <si>
    <t>Activity_per_vehicle.tkm.LV.Tr.Road.Freight.HGV_All</t>
  </si>
  <si>
    <t>Activity_per_vehicle.tkm.LV.Tr.Road.Freight.HGV_Domestic</t>
  </si>
  <si>
    <t>Activity_per_vehicle.tkm.LV.Tr.Road.Freight.HGV_International</t>
  </si>
  <si>
    <t>Road transport / energy consumption - LV - Latvia</t>
  </si>
  <si>
    <t>FEC.ktoe.LV.ES.Tr.Road</t>
  </si>
  <si>
    <t>FEC.ktoe.LV.ES.Tr.Road.LPG</t>
  </si>
  <si>
    <t>FEC.ktoe.LV.ES.Tr.Road.Gasoline</t>
  </si>
  <si>
    <t>FEC.ktoe.LV.ES.Tr.Road.Diesel</t>
  </si>
  <si>
    <t>FEC.ktoe.LV.ES.Tr.Road.NG</t>
  </si>
  <si>
    <t>FEC.ktoe.LV.ES.Tr.Road.Biogas</t>
  </si>
  <si>
    <t>FEC.ktoe.LV.ES.Tr.Road.Biogasoline</t>
  </si>
  <si>
    <t>FEC.ktoe.LV.ES.Tr.Road.Biodiesel</t>
  </si>
  <si>
    <t>FEC.ktoe.LV.ES.Tr.Road.OthLiqBio</t>
  </si>
  <si>
    <t>FEC.ktoe.LV.ES.Tr.Road.Elec</t>
  </si>
  <si>
    <t>FEC.ktoe.LV.Tr.Road</t>
  </si>
  <si>
    <t>FEC.ktoe.LV.Tr.Road.Passenger.P2W.Total.Total.Biogasoline</t>
  </si>
  <si>
    <t>FEC.ktoe.LV.Tr.Road.Passenger.Car.ICE.Gasoline</t>
  </si>
  <si>
    <t>FEC.ktoe.LV.Tr.Road.Passenger.Car.ICE.Gasoline.Biogasoline</t>
  </si>
  <si>
    <t>FEC.ktoe.LV.Tr.Road.Passenger.Car.ICE.Diesel</t>
  </si>
  <si>
    <t>FEC.ktoe.LV.Tr.Road.Passenger.Car.ICE.Diesel.BioDiesel_OthLiqBio</t>
  </si>
  <si>
    <t>FEC.ktoe.LV.Tr.Road.Passenger.Car.ICE.LPG</t>
  </si>
  <si>
    <t>FEC.ktoe.LV.Tr.Road.Passenger.Car.ICE.NGas</t>
  </si>
  <si>
    <t>FEC.ktoe.LV.Tr.Road.Passenger.Car.ICE.NGas.Biogas</t>
  </si>
  <si>
    <t>FEC.ktoe.LV.Tr.Road.Passenger.Car.PHEV.Gasoline</t>
  </si>
  <si>
    <t>FEC.ktoe.LV.Tr.Road.Passenger.Car.PHEV.Gasoline.Biogasoline</t>
  </si>
  <si>
    <t>FEC.ktoe.LV.Tr.Road.Passenger.Car.PHEV.Gasoline.Elec</t>
  </si>
  <si>
    <t>FEC.ktoe.LV.Tr.Road.Passenger.Car.BEV</t>
  </si>
  <si>
    <t>FEC.ktoe.LV.Tr.Road.Passenger.Bus.ICE.Gasoline</t>
  </si>
  <si>
    <t>FEC.ktoe.LV.Tr.Road.Passenger.Bus.ICE.Gasoline.Biogasoline</t>
  </si>
  <si>
    <t>FEC.ktoe.LV.Tr.Road.Passenger.Bus.ICE.Diesel</t>
  </si>
  <si>
    <t>FEC.ktoe.LV.Tr.Road.Passenger.Bus.ICE.Diesel.BioDiesel_OthLiqBio</t>
  </si>
  <si>
    <t>FEC.ktoe.LV.Tr.Road.Passenger.Bus.ICE.LPG</t>
  </si>
  <si>
    <t>FEC.ktoe.LV.Tr.Road.Passenger.Bus.ICE.NGas</t>
  </si>
  <si>
    <t>FEC.ktoe.LV.Tr.Road.Passenger.Bus.ICE.NGas.Biogas</t>
  </si>
  <si>
    <t>FEC.ktoe.LV.Tr.Road.Passenger.Bus.BEV</t>
  </si>
  <si>
    <t>FEC.ktoe.LV.Tr.Road.Freight.LCV.ICE.Gasoline</t>
  </si>
  <si>
    <t>FEC.ktoe.LV.Tr.Road.Freight.LCV.ICE.Gasoline.Biogasoline</t>
  </si>
  <si>
    <t>FEC.ktoe.LV.Tr.Road.Freight.LCV.ICE.Diesel</t>
  </si>
  <si>
    <t>FEC.ktoe.LV.Tr.Road.Freight.LCV.ICE.Diesel.BioDiesel_OthLiqBio</t>
  </si>
  <si>
    <t>FEC.ktoe.LV.Tr.Road.Freight.LCV.ICE.LPG</t>
  </si>
  <si>
    <t>FEC.ktoe.LV.Tr.Road.Freight.LCV.ICE.NGas</t>
  </si>
  <si>
    <t>FEC.ktoe.LV.Tr.Road.Freight.LCV.ICE.NGas.Biogas</t>
  </si>
  <si>
    <t>FEC.ktoe.LV.Tr.Road.Freight.LCV.BEV</t>
  </si>
  <si>
    <t>FEC.ktoe.LV.Tr.Road.Freight.HGV_Domestic</t>
  </si>
  <si>
    <t>FEC.ktoe.LV.Tr.Road.Freight.HGV_Domestic.Total.Total.BioDiesel_OthLiqBio</t>
  </si>
  <si>
    <t>FEC.ktoe.LV.Tr.Road.Freight.HGV_International</t>
  </si>
  <si>
    <t>FEC.ktoe.LV.Tr.Road.Freight.HGV_International.Total.Total.BioDiesel_OthLiqBio</t>
  </si>
  <si>
    <t>Eff.kgoe_per_100km.LV.Tr.Road</t>
  </si>
  <si>
    <t>Eff.kgoe_per_100km.LV.Tr.Road.Passenger</t>
  </si>
  <si>
    <t>Eff.kgoe_per_100km.LV.Tr.Road.Passenger.P2W</t>
  </si>
  <si>
    <t>Eff.kgoe_per_100km.LV.Tr.Road.Passenger.Car</t>
  </si>
  <si>
    <t>Eff.kgoe_per_100km.LV.Tr.Road.Passenger.Car.ICE.Gasoline</t>
  </si>
  <si>
    <t>Eff.kgoe_per_100km.LV.Tr.Road.Passenger.Car.ICE.Diesel</t>
  </si>
  <si>
    <t>Eff.kgoe_per_100km.LV.Tr.Road.Passenger.Car.ICE.LPG</t>
  </si>
  <si>
    <t>Eff.kgoe_per_100km.LV.Tr.Road.Passenger.Car.ICE.NGas</t>
  </si>
  <si>
    <t>Eff.kgoe_per_100km.LV.Tr.Road.Passenger.Car.PHEV.Gasoline</t>
  </si>
  <si>
    <t>Eff.kgoe_per_100km.LV.Tr.Road.Passenger.Car.BEV</t>
  </si>
  <si>
    <t>Eff.kgoe_per_100km.LV.Tr.Road.Passenger.Bus</t>
  </si>
  <si>
    <t>Eff.kgoe_per_100km.LV.Tr.Road.Passenger.Bus.ICE.Gasoline</t>
  </si>
  <si>
    <t>Eff.kgoe_per_100km.LV.Tr.Road.Passenger.Bus.ICE.Diesel</t>
  </si>
  <si>
    <t>Eff.kgoe_per_100km.LV.Tr.Road.Passenger.Bus.ICE.LPG</t>
  </si>
  <si>
    <t>Eff.kgoe_per_100km.LV.Tr.Road.Passenger.Bus.ICE.NGas</t>
  </si>
  <si>
    <t>Eff.kgoe_per_100km.LV.Tr.Road.Passenger.Bus.BEV</t>
  </si>
  <si>
    <t>Eff.kgoe_per_100km.LV.Tr.Road.Freight</t>
  </si>
  <si>
    <t>Eff.kgoe_per_100km.LV.Tr.Road.Freight.LCV</t>
  </si>
  <si>
    <t>Eff.kgoe_per_100km.LV.Tr.Road.Freight.LCV.ICE.Gasoline</t>
  </si>
  <si>
    <t>Eff.kgoe_per_100km.LV.Tr.Road.Freight.LCV.ICE.Diesel</t>
  </si>
  <si>
    <t>Eff.kgoe_per_100km.LV.Tr.Road.Freight.LCV.ICE.LPG</t>
  </si>
  <si>
    <t>Eff.kgoe_per_100km.LV.Tr.Road.Freight.LCV.ICE.NGas</t>
  </si>
  <si>
    <t>Eff.kgoe_per_100km.LV.Tr.Road.Freight.LCV.BEV</t>
  </si>
  <si>
    <t>Eff.kgoe_per_100km.LV.Tr.Road.Freight.HGV_All</t>
  </si>
  <si>
    <t>Eff.kgoe_per_100km.LV.Tr.Road.Freight.HGV_Domestic</t>
  </si>
  <si>
    <t>Eff.kgoe_per_100km.LV.Tr.Road.Freight.HGV_International</t>
  </si>
  <si>
    <t>Eff.kgoe_per_kpkm.LV.Tr.Road.Passenger.Car.ICE.Gasoline</t>
  </si>
  <si>
    <t>Eff.kgoe_per_kpkm.LV.Tr.Road.Passenger.Car.ICE.Diesel</t>
  </si>
  <si>
    <t>Eff.kgoe_per_kpkm.LV.Tr.Road.Passenger.Car.ICE.LPG</t>
  </si>
  <si>
    <t>Eff.kgoe_per_kpkm.LV.Tr.Road.Passenger.Car.ICE.NGas</t>
  </si>
  <si>
    <t>Eff.kgoe_per_kpkm.LV.Tr.Road.Passenger.Car.PHEV.Gasoline</t>
  </si>
  <si>
    <t>Eff.kgoe_per_kpkm.LV.Tr.Road.Passenger.Car.BEV</t>
  </si>
  <si>
    <t>Eff.kgoe_per_kpkm.LV.Tr.Road.Passenger.Bus.ICE.Gasoline</t>
  </si>
  <si>
    <t>Eff.kgoe_per_kpkm.LV.Tr.Road.Passenger.Bus.ICE.Diesel</t>
  </si>
  <si>
    <t>Eff.kgoe_per_kpkm.LV.Tr.Road.Passenger.Bus.ICE.LPG</t>
  </si>
  <si>
    <t>Eff.kgoe_per_kpkm.LV.Tr.Road.Passenger.Bus.ICE.NGas</t>
  </si>
  <si>
    <t>Eff.kgoe_per_kpkm.LV.Tr.Road.Passenger.Bus.BEV</t>
  </si>
  <si>
    <t>Eff.kgoe_per_ktkm.LV.Tr.Road.Freight.LCV.ICE.Gasoline</t>
  </si>
  <si>
    <t>Eff.kgoe_per_ktkm.LV.Tr.Road.Freight.LCV.ICE.Diesel</t>
  </si>
  <si>
    <t>Eff.kgoe_per_ktkm.LV.Tr.Road.Freight.LCV.ICE.LPG</t>
  </si>
  <si>
    <t>Eff.kgoe_per_ktkm.LV.Tr.Road.Freight.LCV.ICE.NGas</t>
  </si>
  <si>
    <t>Eff.kgoe_per_ktkm.LV.Tr.Road.Freight.LCV.BEV</t>
  </si>
  <si>
    <t>Eff.kgoe_per_ktkm.LV.Tr.Road.Freight.HGV_Domestic</t>
  </si>
  <si>
    <t>Eff.kgoe_per_ktkm.LV.Tr.Road.Freight.HGV_International</t>
  </si>
  <si>
    <t>FEC_per_vehicle.kgoe.LV.Tr.Road.Passenger.P2W</t>
  </si>
  <si>
    <t>FEC_per_vehicle.kgoe.LV.Tr.Road.Passenger.Car</t>
  </si>
  <si>
    <t>FEC_per_vehicle.kgoe.LV.Tr.Road.Passenger.Car.ICE.Gasoline</t>
  </si>
  <si>
    <t>FEC_per_vehicle.kgoe.LV.Tr.Road.Passenger.Car.ICE.Diesel</t>
  </si>
  <si>
    <t>FEC_per_vehicle.kgoe.LV.Tr.Road.Passenger.Car.ICE.LPG</t>
  </si>
  <si>
    <t>FEC_per_vehicle.kgoe.LV.Tr.Road.Passenger.Car.ICE.NGas</t>
  </si>
  <si>
    <t>FEC_per_vehicle.kgoe.LV.Tr.Road.Passenger.Car.PHEV.Gasoline</t>
  </si>
  <si>
    <t>FEC_per_vehicle.kgoe.LV.Tr.Road.Passenger.Car.BEV</t>
  </si>
  <si>
    <t>FEC_per_vehicle.kgoe.LV.Tr.Road.Passenger.Bus</t>
  </si>
  <si>
    <t>FEC_per_vehicle.kgoe.LV.Tr.Road.Passenger.Bus.ICE.Gasoline</t>
  </si>
  <si>
    <t>FEC_per_vehicle.kgoe.LV.Tr.Road.Passenger.Bus.ICE.Diesel</t>
  </si>
  <si>
    <t>FEC_per_vehicle.kgoe.LV.Tr.Road.Passenger.Bus.ICE.LPG</t>
  </si>
  <si>
    <t>FEC_per_vehicle.kgoe.LV.Tr.Road.Passenger.Bus.ICE.NGas</t>
  </si>
  <si>
    <t>FEC_per_vehicle.kgoe.LV.Tr.Road.Passenger.Bus.BEV</t>
  </si>
  <si>
    <t>FEC_per_vehicle.kgoe.LV.Tr.Road.Freight.LCV</t>
  </si>
  <si>
    <t>FEC_per_vehicle.kgoe.LV.Tr.Road.Freight.LCV.ICE.Gasoline</t>
  </si>
  <si>
    <t>FEC_per_vehicle.kgoe.LV.Tr.Road.Freight.LCV.ICE.Diesel</t>
  </si>
  <si>
    <t>FEC_per_vehicle.kgoe.LV.Tr.Road.Freight.LCV.ICE.LPG</t>
  </si>
  <si>
    <t>FEC_per_vehicle.kgoe.LV.Tr.Road.Freight.LCV.ICE.NGas</t>
  </si>
  <si>
    <t>FEC_per_vehicle.kgoe.LV.Tr.Road.Freight.LCV.BEV</t>
  </si>
  <si>
    <t>FEC_per_vehicle.kgoe.LV.Tr.Road.Freight.HGV_All</t>
  </si>
  <si>
    <t>FEC_per_vehicle.kgoe.LV.Tr.Road.Freight.HGV_Domestic</t>
  </si>
  <si>
    <t>FEC_per_vehicle.kgoe.LV.Tr.Road.Freight.HGV_International</t>
  </si>
  <si>
    <t>Road transport / CO2 emissions - LV - Latvia</t>
  </si>
  <si>
    <t>EMI.ktCO2.LV.ES.Tr.Road</t>
  </si>
  <si>
    <t>EMI.ktCO2.LV.ES.Tr.Road.LPG</t>
  </si>
  <si>
    <t>EMI.ktCO2.LV.ES.Tr.Road.Gasoline</t>
  </si>
  <si>
    <t>EMI.ktCO2.LV.ES.Tr.Road.Diesel</t>
  </si>
  <si>
    <t>EMI.ktCO2.LV.ES.Tr.Road.NG</t>
  </si>
  <si>
    <t>EMI.ktCO2.LV.ES.Tr.Road.Biogas</t>
  </si>
  <si>
    <t>EMI.ktCO2.LV.ES.Tr.Road.Biogasoline</t>
  </si>
  <si>
    <t>EMI.ktCO2.LV.ES.Tr.Road.Biodiesel</t>
  </si>
  <si>
    <t>EMI.ktCO2.LV.ES.Tr.Road.OthLiqBio</t>
  </si>
  <si>
    <t>EMI.ktCO2.LV.ES.Tr.Road.Elec</t>
  </si>
  <si>
    <t>EMI.ktCO2.LV.Tr.Road</t>
  </si>
  <si>
    <t>EMI.ktCO2.LV.Tr.Road.Passenger.Car.ICE.Gasoline</t>
  </si>
  <si>
    <t>EMI.ktCO2.LV.Tr.Road.Passenger.Car.ICE.Diesel</t>
  </si>
  <si>
    <t>EMI.ktCO2.LV.Tr.Road.Passenger.Car.ICE.LPG</t>
  </si>
  <si>
    <t>EMI.ktCO2.LV.Tr.Road.Passenger.Car.ICE.NGas</t>
  </si>
  <si>
    <t>EMI.ktCO2.LV.Tr.Road.Passenger.Car.PHEV.Gasoline</t>
  </si>
  <si>
    <t>EMI.ktCO2.LV.Tr.Road.Passenger.Car.BEV</t>
  </si>
  <si>
    <t>EMI.ktCO2.LV.Tr.Road.Passenger.Bus.ICE.Gasoline</t>
  </si>
  <si>
    <t>EMI.ktCO2.LV.Tr.Road.Passenger.Bus.ICE.Diesel</t>
  </si>
  <si>
    <t>EMI.ktCO2.LV.Tr.Road.Passenger.Bus.ICE.LPG</t>
  </si>
  <si>
    <t>EMI.ktCO2.LV.Tr.Road.Passenger.Bus.ICE.NGas</t>
  </si>
  <si>
    <t>EMI.ktCO2.LV.Tr.Road.Passenger.Bus.BEV</t>
  </si>
  <si>
    <t>EMI.ktCO2.LV.Tr.Road.Freight.LCV.ICE.Gasoline</t>
  </si>
  <si>
    <t>EMI.ktCO2.LV.Tr.Road.Freight.LCV.ICE.Diesel</t>
  </si>
  <si>
    <t>EMI.ktCO2.LV.Tr.Road.Freight.LCV.ICE.LPG</t>
  </si>
  <si>
    <t>EMI.ktCO2.LV.Tr.Road.Freight.LCV.ICE.NGas</t>
  </si>
  <si>
    <t>EMI.ktCO2.LV.Tr.Road.Freight.LCV.BEV</t>
  </si>
  <si>
    <t>EMI.ktCO2.LV.Tr.Road.Freight.HGV_Domestic</t>
  </si>
  <si>
    <t>EMI.ktCO2.LV.Tr.Road.Freight.HGV_International</t>
  </si>
  <si>
    <t>EMIint.gCO2_per_km.LV.Tr.Road</t>
  </si>
  <si>
    <t>EMIint.gCO2_per_km.LV.Tr.Road.Passenger</t>
  </si>
  <si>
    <t>EMIint.gCO2_per_km.LV.Tr.Road.Passenger.P2W</t>
  </si>
  <si>
    <t>EMIint.gCO2_per_km.LV.Tr.Road.Passenger.Car</t>
  </si>
  <si>
    <t>EMIint.gCO2_per_km.LV.Tr.Road.Passenger.Car.ICE.Gasoline</t>
  </si>
  <si>
    <t>EMIint.gCO2_per_km.LV.Tr.Road.Passenger.Car.ICE.Diesel</t>
  </si>
  <si>
    <t>EMIint.gCO2_per_km.LV.Tr.Road.Passenger.Car.ICE.LPG</t>
  </si>
  <si>
    <t>EMIint.gCO2_per_km.LV.Tr.Road.Passenger.Car.ICE.NGas</t>
  </si>
  <si>
    <t>EMIint.gCO2_per_km.LV.Tr.Road.Passenger.Car.PHEV.Gasoline</t>
  </si>
  <si>
    <t>EMIint.gCO2_per_km.LV.Tr.Road.Passenger.Car.BEV</t>
  </si>
  <si>
    <t>EMIint.gCO2_per_km.LV.Tr.Road.Passenger.Bus</t>
  </si>
  <si>
    <t>EMIint.gCO2_per_km.LV.Tr.Road.Passenger.Bus.ICE.Gasoline</t>
  </si>
  <si>
    <t>EMIint.gCO2_per_km.LV.Tr.Road.Passenger.Bus.ICE.Diesel</t>
  </si>
  <si>
    <t>EMIint.gCO2_per_km.LV.Tr.Road.Passenger.Bus.ICE.LPG</t>
  </si>
  <si>
    <t>EMIint.gCO2_per_km.LV.Tr.Road.Passenger.Bus.ICE.NGas</t>
  </si>
  <si>
    <t>EMIint.gCO2_per_km.LV.Tr.Road.Passenger.Bus.BEV</t>
  </si>
  <si>
    <t>EMIint.gCO2_per_km.LV.Tr.Road.Freight</t>
  </si>
  <si>
    <t>EMIint.gCO2_per_km.LV.Tr.Road.Freight.LCV</t>
  </si>
  <si>
    <t>EMIint.gCO2_per_km.LV.Tr.Road.Freight.LCV.ICE.Gasoline</t>
  </si>
  <si>
    <t>EMIint.gCO2_per_km.LV.Tr.Road.Freight.LCV.ICE.Diesel</t>
  </si>
  <si>
    <t>EMIint.gCO2_per_km.LV.Tr.Road.Freight.LCV.ICE.LPG</t>
  </si>
  <si>
    <t>EMIint.gCO2_per_km.LV.Tr.Road.Freight.LCV.ICE.NGas</t>
  </si>
  <si>
    <t>EMIint.gCO2_per_km.LV.Tr.Road.Freight.LCV.BEV</t>
  </si>
  <si>
    <t>EMIint.gCO2_per_km.LV.Tr.Road.Freight.HGV_All</t>
  </si>
  <si>
    <t>EMIint.gCO2_per_km.LV.Tr.Road.Freight.HGV_Domestic</t>
  </si>
  <si>
    <t>EMIint.gCO2_per_km.LV.Tr.Road.Freight.HGV_International</t>
  </si>
  <si>
    <t>EMIint.gCO2_per_pkm.LV.Tr.Road.Passenger.Car.ICE.Gasoline</t>
  </si>
  <si>
    <t>EMIint.gCO2_per_pkm.LV.Tr.Road.Passenger.Car.ICE.Diesel</t>
  </si>
  <si>
    <t>EMIint.gCO2_per_pkm.LV.Tr.Road.Passenger.Car.ICE.LPG</t>
  </si>
  <si>
    <t>EMIint.gCO2_per_pkm.LV.Tr.Road.Passenger.Car.ICE.NGas</t>
  </si>
  <si>
    <t>EMIint.gCO2_per_pkm.LV.Tr.Road.Passenger.Car.PHEV.Gasoline</t>
  </si>
  <si>
    <t>EMIint.gCO2_per_pkm.LV.Tr.Road.Passenger.Car.BEV</t>
  </si>
  <si>
    <t>EMIint.gCO2_per_pkm.LV.Tr.Road.Passenger.Bus.ICE.Gasoline</t>
  </si>
  <si>
    <t>EMIint.gCO2_per_pkm.LV.Tr.Road.Passenger.Bus.ICE.Diesel</t>
  </si>
  <si>
    <t>EMIint.gCO2_per_pkm.LV.Tr.Road.Passenger.Bus.ICE.LPG</t>
  </si>
  <si>
    <t>EMIint.gCO2_per_pkm.LV.Tr.Road.Passenger.Bus.ICE.NGas</t>
  </si>
  <si>
    <t>EMIint.gCO2_per_pkm.LV.Tr.Road.Passenger.Bus.BEV</t>
  </si>
  <si>
    <t>EMIint.gCO2_per_tkm.LV.Tr.Road.Freight.LCV.ICE.Gasoline</t>
  </si>
  <si>
    <t>EMIint.gCO2_per_tkm.LV.Tr.Road.Freight.LCV.ICE.Diesel</t>
  </si>
  <si>
    <t>EMIint.gCO2_per_tkm.LV.Tr.Road.Freight.LCV.ICE.LPG</t>
  </si>
  <si>
    <t>EMIint.gCO2_per_tkm.LV.Tr.Road.Freight.LCV.ICE.NGas</t>
  </si>
  <si>
    <t>EMIint.gCO2_per_tkm.LV.Tr.Road.Freight.LCV.BEV</t>
  </si>
  <si>
    <t>EMIint.gCO2_per_tkm.LV.Tr.Road.Freight.HGV_Domestic</t>
  </si>
  <si>
    <t>EMIint.gCO2_per_tkm.LV.Tr.Road.Freight.HGV_International</t>
  </si>
  <si>
    <t>EMI_per_vehicle.kgCO2.LV.Tr.Road.Passenger.P2W</t>
  </si>
  <si>
    <t>EMI_per_vehicle.kgCO2.LV.Tr.Road.Passenger.Car</t>
  </si>
  <si>
    <t>EMI_per_vehicle.kgCO2.LV.Tr.Road.Passenger.Car.ICE.Gasoline</t>
  </si>
  <si>
    <t>EMI_per_vehicle.kgCO2.LV.Tr.Road.Passenger.Car.ICE.Diesel</t>
  </si>
  <si>
    <t>EMI_per_vehicle.kgCO2.LV.Tr.Road.Passenger.Car.ICE.LPG</t>
  </si>
  <si>
    <t>EMI_per_vehicle.kgCO2.LV.Tr.Road.Passenger.Car.ICE.NGas</t>
  </si>
  <si>
    <t>EMI_per_vehicle.kgCO2.LV.Tr.Road.Passenger.Car.PHEV.Gasoline</t>
  </si>
  <si>
    <t>EMI_per_vehicle.kgCO2.LV.Tr.Road.Passenger.Car.BEV</t>
  </si>
  <si>
    <t>EMI_per_vehicle.kgCO2.LV.Tr.Road.Passenger.Bus</t>
  </si>
  <si>
    <t>EMI_per_vehicle.kgCO2.LV.Tr.Road.Passenger.Bus.ICE.Gasoline</t>
  </si>
  <si>
    <t>EMI_per_vehicle.kgCO2.LV.Tr.Road.Passenger.Bus.ICE.Diesel</t>
  </si>
  <si>
    <t>EMI_per_vehicle.kgCO2.LV.Tr.Road.Passenger.Bus.ICE.LPG</t>
  </si>
  <si>
    <t>EMI_per_vehicle.kgCO2.LV.Tr.Road.Passenger.Bus.ICE.NGas</t>
  </si>
  <si>
    <t>EMI_per_vehicle.kgCO2.LV.Tr.Road.Passenger.Bus.BEV</t>
  </si>
  <si>
    <t>EMI_per_vehicle.kgCO2.LV.Tr.Road.Freight.LCV</t>
  </si>
  <si>
    <t>EMI_per_vehicle.kgCO2.LV.Tr.Road.Freight.LCV.ICE.Gasoline</t>
  </si>
  <si>
    <t>EMI_per_vehicle.kgCO2.LV.Tr.Road.Freight.LCV.ICE.Diesel</t>
  </si>
  <si>
    <t>EMI_per_vehicle.kgCO2.LV.Tr.Road.Freight.LCV.ICE.LPG</t>
  </si>
  <si>
    <t>EMI_per_vehicle.kgCO2.LV.Tr.Road.Freight.LCV.ICE.NGas</t>
  </si>
  <si>
    <t>EMI_per_vehicle.kgCO2.LV.Tr.Road.Freight.LCV.BEV</t>
  </si>
  <si>
    <t>EMI_per_vehicle.kgCO2.LV.Tr.Road.Freight.HGV_All</t>
  </si>
  <si>
    <t>EMI_per_vehicle.kgCO2.LV.Tr.Road.Freight.HGV_Domestic</t>
  </si>
  <si>
    <t>EMI_per_vehicle.kgCO2.LV.Tr.Road.Freight.HGV_International</t>
  </si>
  <si>
    <t>Road transport / technologies - LV - Latvia</t>
  </si>
  <si>
    <t>Stock.number.LV.Tr.Road.Freight.HGV_all</t>
  </si>
  <si>
    <t>StockVin.number.LV.Tr.Road</t>
  </si>
  <si>
    <t>StockVin.number.LV.Tr.Road.Passenger</t>
  </si>
  <si>
    <t>StockVin.number.LV.Tr.Road.Passenger.P2W</t>
  </si>
  <si>
    <t>StockVin.number.LV.Tr.Road.Passenger.Car</t>
  </si>
  <si>
    <t>StockVin.number.LV.Tr.Road.Passenger.Car.ICE.Gasoline</t>
  </si>
  <si>
    <t>StockVin.number.LV.Tr.Road.Passenger.Car.ICE.Diesel</t>
  </si>
  <si>
    <t>StockVin.number.LV.Tr.Road.Passenger.Car.ICE.LPG</t>
  </si>
  <si>
    <t>StockVin.number.LV.Tr.Road.Passenger.Car.ICE.NGas</t>
  </si>
  <si>
    <t>StockVin.number.LV.Tr.Road.Passenger.Car.PHEV.Gasoline</t>
  </si>
  <si>
    <t>StockVin.number.LV.Tr.Road.Passenger.Car.BEV</t>
  </si>
  <si>
    <t>StockVin.number.LV.Tr.Road.Passenger.Bus</t>
  </si>
  <si>
    <t>StockVin.number.LV.Tr.Road.Passenger.Bus.ICE.Gasoline</t>
  </si>
  <si>
    <t>StockVin.number.LV.Tr.Road.Passenger.Bus.ICE.Diesel</t>
  </si>
  <si>
    <t>StockVin.number.LV.Tr.Road.Passenger.Bus.ICE.LPG</t>
  </si>
  <si>
    <t>StockVin.number.LV.Tr.Road.Passenger.Bus.ICE.NGas</t>
  </si>
  <si>
    <t>StockVin.number.LV.Tr.Road.Passenger.Bus.BEV</t>
  </si>
  <si>
    <t>StockVin.number.LV.Tr.Road.Freight</t>
  </si>
  <si>
    <t>StockVin.number.LV.Tr.Road.Freight.LCV</t>
  </si>
  <si>
    <t>StockVin.number.LV.Tr.Road.Freight.LCV.ICE.Gasoline</t>
  </si>
  <si>
    <t>StockVin.number.LV.Tr.Road.Freight.LCV.ICE.Diesel</t>
  </si>
  <si>
    <t>StockVin.number.LV.Tr.Road.Freight.LCV.ICE.LPG</t>
  </si>
  <si>
    <t>StockVin.number.LV.Tr.Road.Freight.LCV.ICE.NGas</t>
  </si>
  <si>
    <t>StockVin.number.LV.Tr.Road.Freight.LCV.BEV</t>
  </si>
  <si>
    <t>StockVin.number.LV.Tr.Road.Freight.HGV_All</t>
  </si>
  <si>
    <t>StockVin.number.LV.Tr.Road.Freight.HGV_Domestic</t>
  </si>
  <si>
    <t>StockVin.number.LV.Tr.Road.Freight.HGV_International</t>
  </si>
  <si>
    <t>Eff_test_stock.kgoe_per_100km.LV.Tr.Road.Passenger.P2W</t>
  </si>
  <si>
    <t>Eff_test_stock.kgoe_per_100km.LV.Tr.Road.Passenger.Car</t>
  </si>
  <si>
    <t>Eff_test_stock.kgoe_per_100km.LV.Tr.Road.Passenger.Car.ICE.Gasoline</t>
  </si>
  <si>
    <t>Eff_test_stock.kgoe_per_100km.LV.Tr.Road.Passenger.Car.ICE.Diesel</t>
  </si>
  <si>
    <t>Eff_test_stock.kgoe_per_100km.LV.Tr.Road.Passenger.Car.ICE.LPG</t>
  </si>
  <si>
    <t>Eff_test_stock.kgoe_per_100km.LV.Tr.Road.Passenger.Car.ICE.NGas</t>
  </si>
  <si>
    <t>Eff_test_stock.kgoe_per_100km.LV.Tr.Road.Passenger.Car.PHEV.Gasoline</t>
  </si>
  <si>
    <t>Eff_test_stock.kgoe_per_100km.LV.Tr.Road.Passenger.Car.BEV</t>
  </si>
  <si>
    <t>Eff_test_stock.kgoe_per_100km.LV.Tr.Road.Passenger.Bus</t>
  </si>
  <si>
    <t>Eff_test_stock.kgoe_per_100km.LV.Tr.Road.Passenger.Bus.ICE.Gasoline</t>
  </si>
  <si>
    <t>Eff_test_stock.kgoe_per_100km.LV.Tr.Road.Passenger.Bus.ICE.Diesel</t>
  </si>
  <si>
    <t>Eff_test_stock.kgoe_per_100km.LV.Tr.Road.Passenger.Bus.ICE.LPG</t>
  </si>
  <si>
    <t>Eff_test_stock.kgoe_per_100km.LV.Tr.Road.Passenger.Bus.ICE.NGas</t>
  </si>
  <si>
    <t>Eff_test_stock.kgoe_per_100km.LV.Tr.Road.Passenger.Bus.BEV</t>
  </si>
  <si>
    <t>Eff_test_stock.kgoe_per_100km.LV.Tr.Road.Freight.LCV</t>
  </si>
  <si>
    <t>Eff_test_stock.kgoe_per_100km.LV.Tr.Road.Freight.LCV.ICE.Gasoline</t>
  </si>
  <si>
    <t>Eff_test_stock.kgoe_per_100km.LV.Tr.Road.Freight.LCV.ICE.Diesel</t>
  </si>
  <si>
    <t>Eff_test_stock.kgoe_per_100km.LV.Tr.Road.Freight.LCV.ICE.LPG</t>
  </si>
  <si>
    <t>Eff_test_stock.kgoe_per_100km.LV.Tr.Road.Freight.LCV.ICE.NGas</t>
  </si>
  <si>
    <t>Eff_test_stock.kgoe_per_100km.LV.Tr.Road.Freight.LCV.BEV</t>
  </si>
  <si>
    <t>Eff_test_stock.kgoe_per_100km.LV.Tr.Road.Freight.HGV_All</t>
  </si>
  <si>
    <t>Eff_test_stock.kgoe_per_100km.LV.Tr.Road.Freight.HGV_Domestic</t>
  </si>
  <si>
    <t>Eff_test_stock.kgoe_per_100km.LV.Tr.Road.Freight.HGV_International</t>
  </si>
  <si>
    <t>Eff_test_new.kgoe_per_100km.LV.Tr.Road.Passenger.P2W</t>
  </si>
  <si>
    <t>Eff_test_new.kgoe_per_100km.LV.Tr.Road.Passenger.Car</t>
  </si>
  <si>
    <t>Eff_test_new.kgoe_per_100km.LV.Tr.Road.Passenger.Car.ICE.Gasoline</t>
  </si>
  <si>
    <t>Eff_test_new.kgoe_per_100km.LV.Tr.Road.Passenger.Car.ICE.Diesel</t>
  </si>
  <si>
    <t>Eff_test_new.kgoe_per_100km.LV.Tr.Road.Passenger.Car.ICE.LPG</t>
  </si>
  <si>
    <t>Eff_test_new.kgoe_per_100km.LV.Tr.Road.Passenger.Car.ICE.NGas</t>
  </si>
  <si>
    <t>Eff_test_new.kgoe_per_100km.LV.Tr.Road.Passenger.Car.PHEV.Gasoline</t>
  </si>
  <si>
    <t>Eff_test_new.kgoe_per_100km.LV.Tr.Road.Passenger.Car.BEV</t>
  </si>
  <si>
    <t>Eff_test_new.kgoe_per_100km.LV.Tr.Road.Passenger.Bus</t>
  </si>
  <si>
    <t>Eff_test_new.kgoe_per_100km.LV.Tr.Road.Passenger.Bus.ICE.Gasoline</t>
  </si>
  <si>
    <t>Eff_test_new.kgoe_per_100km.LV.Tr.Road.Passenger.Bus.ICE.Diesel</t>
  </si>
  <si>
    <t>Eff_test_new.kgoe_per_100km.LV.Tr.Road.Passenger.Bus.ICE.LPG</t>
  </si>
  <si>
    <t>Eff_test_new.kgoe_per_100km.LV.Tr.Road.Passenger.Bus.ICE.NGas</t>
  </si>
  <si>
    <t>Eff_test_new.kgoe_per_100km.LV.Tr.Road.Passenger.Bus.BEV</t>
  </si>
  <si>
    <t>Eff_test_new.kgoe_per_100km.LV.Tr.Road.Freight.LCV</t>
  </si>
  <si>
    <t>Eff_test_new.kgoe_per_100km.LV.Tr.Road.Freight.LCV.ICE.Gasoline</t>
  </si>
  <si>
    <t>Eff_test_new.kgoe_per_100km.LV.Tr.Road.Freight.LCV.ICE.Diesel</t>
  </si>
  <si>
    <t>Eff_test_new.kgoe_per_100km.LV.Tr.Road.Freight.LCV.ICE.LPG</t>
  </si>
  <si>
    <t>Eff_test_new.kgoe_per_100km.LV.Tr.Road.Freight.LCV.ICE.NGas</t>
  </si>
  <si>
    <t>Eff_test_new.kgoe_per_100km.LV.Tr.Road.Freight.LCV.BEV</t>
  </si>
  <si>
    <t>Eff_test_new.kgoe_per_100km.LV.Tr.Road.Freight.HGV_All</t>
  </si>
  <si>
    <t>Eff_test_new.kgoe_per_100km.LV.Tr.Road.Freight.HGV_Domestic</t>
  </si>
  <si>
    <t>Eff_test_new.kgoe_per_100km.LV.Tr.Road.Freight.HGV_International</t>
  </si>
  <si>
    <t>EMIint_test_stock.gCO2_per_km.LV.Tr.Road.Passenger.P2W</t>
  </si>
  <si>
    <t>EMIint_test_stock.gCO2_per_km.LV.Tr.Road.Passenger.Car</t>
  </si>
  <si>
    <t>EMIint_test_stock.gCO2_per_km.LV.Tr.Road.Passenger.Car.ICE.Gasoline</t>
  </si>
  <si>
    <t>EMIint_test_stock.gCO2_per_km.LV.Tr.Road.Passenger.Car.ICE.Diesel</t>
  </si>
  <si>
    <t>EMIint_test_stock.gCO2_per_km.LV.Tr.Road.Passenger.Car.ICE.LPG</t>
  </si>
  <si>
    <t>EMIint_test_stock.gCO2_per_km.LV.Tr.Road.Passenger.Car.ICE.NGas</t>
  </si>
  <si>
    <t>EMIint_test_stock.gCO2_per_km.LV.Tr.Road.Passenger.Car.PHEV.Gasoline</t>
  </si>
  <si>
    <t>EMIint_test_stock.gCO2_per_km.LV.Tr.Road.Passenger.Car.BEV</t>
  </si>
  <si>
    <t>EMIint_test_stock.gCO2_per_km.LV.Tr.Road.Passenger.Bus</t>
  </si>
  <si>
    <t>EMIint_test_stock.gCO2_per_km.LV.Tr.Road.Passenger.Bus.ICE.Gasoline</t>
  </si>
  <si>
    <t>EMIint_test_stock.gCO2_per_km.LV.Tr.Road.Passenger.Bus.ICE.Diesel</t>
  </si>
  <si>
    <t>EMIint_test_stock.gCO2_per_km.LV.Tr.Road.Passenger.Bus.ICE.LPG</t>
  </si>
  <si>
    <t>EMIint_test_stock.gCO2_per_km.LV.Tr.Road.Passenger.Bus.ICE.NGas</t>
  </si>
  <si>
    <t>EMIint_test_stock.gCO2_per_km.LV.Tr.Road.Passenger.Bus.BEV</t>
  </si>
  <si>
    <t>EMIint_test_stock.gCO2_per_km.LV.Tr.Road.Freight.LCV</t>
  </si>
  <si>
    <t>EMIint_test_stock.gCO2_per_km.LV.Tr.Road.Freight.LCV.ICE.Gasoline</t>
  </si>
  <si>
    <t>EMIint_test_stock.gCO2_per_km.LV.Tr.Road.Freight.LCV.ICE.Diesel</t>
  </si>
  <si>
    <t>EMIint_test_stock.gCO2_per_km.LV.Tr.Road.Freight.LCV.ICE.LPG</t>
  </si>
  <si>
    <t>EMIint_test_stock.gCO2_per_km.LV.Tr.Road.Freight.LCV.ICE.NGas</t>
  </si>
  <si>
    <t>EMIint_test_stock.gCO2_per_km.LV.Tr.Road.Freight.LCV.BEV</t>
  </si>
  <si>
    <t>EMIint_test_stock.gCO2_per_km.LV.Tr.Road.Freight.HGV_All</t>
  </si>
  <si>
    <t>EMIint_test_stock.gCO2_per_km.LV.Tr.Road.Freight.HGV_Domestic</t>
  </si>
  <si>
    <t>EMIint_test_stock.gCO2_per_km.LV.Tr.Road.Freight.HGV_International</t>
  </si>
  <si>
    <t>EMIint_test_new.gCO2_per_km.LV.Tr.Road.Passenger.P2W</t>
  </si>
  <si>
    <t>EMIint_test_new.gCO2_per_km.LV.Tr.Road.Passenger.Car</t>
  </si>
  <si>
    <t>EMIint_test_new.gCO2_per_km.LV.Tr.Road.Passenger.Car.ICE.Gasoline</t>
  </si>
  <si>
    <t>EMIint_test_new.gCO2_per_km.LV.Tr.Road.Passenger.Car.ICE.Diesel</t>
  </si>
  <si>
    <t>EMIint_test_new.gCO2_per_km.LV.Tr.Road.Passenger.Car.ICE.LPG</t>
  </si>
  <si>
    <t>EMIint_test_new.gCO2_per_km.LV.Tr.Road.Passenger.Car.ICE.NGas</t>
  </si>
  <si>
    <t>EMIint_test_new.gCO2_per_km.LV.Tr.Road.Passenger.Car.PHEV.Gasoline</t>
  </si>
  <si>
    <t>EMIint_test_new.gCO2_per_km.LV.Tr.Road.Passenger.Car.BEV</t>
  </si>
  <si>
    <t>EMIint_test_new.gCO2_per_km.LV.Tr.Road.Passenger.Bus</t>
  </si>
  <si>
    <t>EMIint_test_new.gCO2_per_km.LV.Tr.Road.Passenger.Bus.ICE.Gasoline</t>
  </si>
  <si>
    <t>EMIint_test_new.gCO2_per_km.LV.Tr.Road.Passenger.Bus.ICE.Diesel</t>
  </si>
  <si>
    <t>EMIint_test_new.gCO2_per_km.LV.Tr.Road.Passenger.Bus.ICE.LPG</t>
  </si>
  <si>
    <t>EMIint_test_new.gCO2_per_km.LV.Tr.Road.Passenger.Bus.ICE.NGas</t>
  </si>
  <si>
    <t>EMIint_test_new.gCO2_per_km.LV.Tr.Road.Passenger.Bus.BEV</t>
  </si>
  <si>
    <t>EMIint_test_new.gCO2_per_km.LV.Tr.Road.Freight.LCV</t>
  </si>
  <si>
    <t>EMIint_test_new.gCO2_per_km.LV.Tr.Road.Freight.LCV.ICE.Gasoline</t>
  </si>
  <si>
    <t>EMIint_test_new.gCO2_per_km.LV.Tr.Road.Freight.LCV.ICE.Diesel</t>
  </si>
  <si>
    <t>EMIint_test_new.gCO2_per_km.LV.Tr.Road.Freight.LCV.ICE.LPG</t>
  </si>
  <si>
    <t>EMIint_test_new.gCO2_per_km.LV.Tr.Road.Freight.LCV.ICE.NGas</t>
  </si>
  <si>
    <t>EMIint_test_new.gCO2_per_km.LV.Tr.Road.Freight.LCV.BEV</t>
  </si>
  <si>
    <t>EMIint_test_new.gCO2_per_km.LV.Tr.Road.Freight.HGV_All</t>
  </si>
  <si>
    <t>EMIint_test_new.gCO2_per_km.LV.Tr.Road.Freight.HGV_Domestic</t>
  </si>
  <si>
    <t>EMIint_test_new.gCO2_per_km.LV.Tr.Road.Freight.HGV_International</t>
  </si>
  <si>
    <t>FEC.ktoe.LV.MBunk</t>
  </si>
  <si>
    <t>FEC.ktoe.LV.MBunk.IntraEEA</t>
  </si>
  <si>
    <t>FEC.ktoe.LV.MBunk.ExtraEEA</t>
  </si>
  <si>
    <t>EMI.ktCO2.LV.MBunk</t>
  </si>
  <si>
    <t>EMI.ktCO2.LV.MBunk.IntraEEA</t>
  </si>
  <si>
    <t>EMI.ktCO2.LV.MBunk.ExtraEEA</t>
  </si>
  <si>
    <t>International maritime bunkers - LV - Latvia</t>
  </si>
  <si>
    <t>VehicleKm.Mkm.LV.MBunk.Freight</t>
  </si>
  <si>
    <t>VehicleKm.Mkm.LV.MBunk.Freight.IntraEEA</t>
  </si>
  <si>
    <t>VehicleKm.Mkm.LV.MBunk.Freight.ExtraEEA</t>
  </si>
  <si>
    <t>Load.t_per_movement.LV.MBunk.Freight</t>
  </si>
  <si>
    <t>Load.t_per_movement.LV.MBunk.Freight.IntraEEA</t>
  </si>
  <si>
    <t>Load.t_per_movement.LV.MBunk.Freight.ExtraEEA</t>
  </si>
  <si>
    <t>International maritime bunkers / energy consumption - LV - Latvia</t>
  </si>
  <si>
    <t>FEC.ktoe.LV.ES.MBunk</t>
  </si>
  <si>
    <t>FEC.ktoe.LV.ES.MBunk.IntraEEA</t>
  </si>
  <si>
    <t>FEC.ktoe.LV.ES.MBunk.IntraEEA.Diesel</t>
  </si>
  <si>
    <t>FEC.ktoe.LV.ES.MBunk.IntraEEA.RFO_Other</t>
  </si>
  <si>
    <t>FEC.ktoe.LV.ES.MBunk.IntraEEA.LiqBio</t>
  </si>
  <si>
    <t>FEC.ktoe.LV.ES.MBunk.IntraEEA.NG</t>
  </si>
  <si>
    <t>FEC.ktoe.LV.ES.MBunk.IntraEEA.Biogas</t>
  </si>
  <si>
    <t>FEC.ktoe.LV.ES.MBunk.ExtraEEA</t>
  </si>
  <si>
    <t>FEC.ktoe.LV.ES.MBunk.ExtraEEA.Diesel</t>
  </si>
  <si>
    <t>FEC.ktoe.LV.ES.MBunk.ExtraEEA.RFO_Other</t>
  </si>
  <si>
    <t>FEC.ktoe.LV.ES.MBunk.ExtraEEA.LiqBio</t>
  </si>
  <si>
    <t>FEC.ktoe.LV.ES.MBunk.ExtraEEA.NG</t>
  </si>
  <si>
    <t>FEC.ktoe.LV.ES.MBunk.ExtraEEA.Biogas</t>
  </si>
  <si>
    <t>Eff.kgoe_per_100km.LV.MBunk.Freight</t>
  </si>
  <si>
    <t>Eff.kgoe_per_100km.LV.MBunk.Freight.IntraEEA</t>
  </si>
  <si>
    <t>Eff.kgoe_per_100km.LV.MBunk.Freight.ExtraEEA</t>
  </si>
  <si>
    <t>International maritime bunkers / CO2 emissions - LV - Latvia</t>
  </si>
  <si>
    <t>EMI.ktCO2.LV.ES.MBunk</t>
  </si>
  <si>
    <t>EMI.ktCO2.LV.ES.MBunk.IntraEEA</t>
  </si>
  <si>
    <t>EMI.ktCO2.LV.ES.MBunk.ExtraEEA</t>
  </si>
  <si>
    <t>EMIint.gCO2_per_km.LV.MBunk.Freight</t>
  </si>
  <si>
    <t>EMIint.gCO2_per_km.LV.MBunk.Freight.IntraEEA</t>
  </si>
  <si>
    <t>EMIint.gCO2_per_km.LV.MBunk.Freight.ExtraEEA</t>
  </si>
  <si>
    <t>FEC.ktoe.LV.Tr.DNavi</t>
  </si>
  <si>
    <t>FEC.ktoe.LV.Tr.Dnavi.DCS</t>
  </si>
  <si>
    <t>FEC.ktoe.LV.Tr.Dnavi.IWW</t>
  </si>
  <si>
    <t>EMI.ktCO2.LV.Tr.DNavi</t>
  </si>
  <si>
    <t>EMI.ktCO2.LV.Tr.Dnavi.DCS</t>
  </si>
  <si>
    <t>EMI.ktCO2.LV.Tr.Dnavi.IWW</t>
  </si>
  <si>
    <t>Domestic navigation - LV - Latvia</t>
  </si>
  <si>
    <t>VehicleKm.Mkm.LV.Tr.DNavi.Freight</t>
  </si>
  <si>
    <t>VehicleKm.Mkm.LV.Tr.DNavi.Freight.DCS</t>
  </si>
  <si>
    <t>VehicleKm.Mkm.LV.Tr.DNavi.Freight.IWW</t>
  </si>
  <si>
    <t>Load.t_per_movement.LV.Tr.DNavi.Freight</t>
  </si>
  <si>
    <t>Load.t_per_movement.LV.Tr.DNavi.Freight.DCS</t>
  </si>
  <si>
    <t>Load.t_per_movement.LV.Tr.DNavi.Freight.IWW</t>
  </si>
  <si>
    <t>Domestic navigation / energy consumption - LV - Latvia</t>
  </si>
  <si>
    <t>FEC.ktoe.LV.ES.Tr.DNavi</t>
  </si>
  <si>
    <t>FEC.ktoe.LV.ES.Tr.DNavi.DCS</t>
  </si>
  <si>
    <t>FEC.ktoe.LV.ES.Tr.DNavi.DCS.Diesel</t>
  </si>
  <si>
    <t>FEC.ktoe.LV.ES.Tr.DNavi.DCS.RFO_Other</t>
  </si>
  <si>
    <t>FEC.ktoe.LV.ES.Tr.DNavi.DCS.LiqBio</t>
  </si>
  <si>
    <t>FEC.ktoe.LV.ES.Tr.DNavi.DCS.NG</t>
  </si>
  <si>
    <t>FEC.ktoe.LV.ES.Tr.DNavi.DCS.Biogas</t>
  </si>
  <si>
    <t>FEC.ktoe.LV.ES.Tr.DNavi.IWW</t>
  </si>
  <si>
    <t>FEC.ktoe.LV.ES.Tr.DNavi.IWW.Diesel</t>
  </si>
  <si>
    <t>FEC.ktoe.LV.ES.Tr.DNavi.IWW.RFO_Other</t>
  </si>
  <si>
    <t>FEC.ktoe.LV.ES.Tr.DNavi.IWW.LiqBio</t>
  </si>
  <si>
    <t>FEC.ktoe.LV.ES.Tr.DNavi.IWW.NG</t>
  </si>
  <si>
    <t>FEC.ktoe.LV.ES.Tr.DNavi.IWW.Biogas</t>
  </si>
  <si>
    <t>Eff.kgoe_per_100km.LV.Tr.DNavi.Freight</t>
  </si>
  <si>
    <t>Eff.kgoe_per_100km.LV.Tr.DNavi.Freight.DCS</t>
  </si>
  <si>
    <t>Eff.kgoe_per_100km.LV.Tr.DNavi.Freight.IWW</t>
  </si>
  <si>
    <t>Domestic navigation / CO2 emissions - LV - Latvia</t>
  </si>
  <si>
    <t>EMI.ktCO2.LV.ES.Tr.DNavi</t>
  </si>
  <si>
    <t>EMI.ktCO2.LV.ES.Tr.DNavi.DCS</t>
  </si>
  <si>
    <t>EMI.ktCO2.LV.ES.Tr.DNavi.IWW</t>
  </si>
  <si>
    <t>EMIint.gCO2_per_km.LV.Tr.DNavi.Freight</t>
  </si>
  <si>
    <t>EMIint.gCO2_per_km.LV.Tr.DNavi.Freight.DCS</t>
  </si>
  <si>
    <t>EMIint.gCO2_per_km.LV.Tr.DNavi.Freight.IWW</t>
  </si>
  <si>
    <t>Rail, metro and tram - LV - Latvia</t>
  </si>
  <si>
    <t>Activity.Mpkm.LV.Tr.Rail.Passenger.CPT.Diesel</t>
  </si>
  <si>
    <t>Activity.Mpkm.LV.Tr.Rail.Passenger.CPT.Elc</t>
  </si>
  <si>
    <t>Activity.Mtkm.LV.Tr.Rail.Freight.Diesel</t>
  </si>
  <si>
    <t>Activity.Mtkm.LV.Tr.Rail.Freight.Elc</t>
  </si>
  <si>
    <t>VehicleKm.Mkm.LV.Tr.Rail</t>
  </si>
  <si>
    <t>VehicleKm.Mkm.LV.Tr.Rail.Passenger</t>
  </si>
  <si>
    <t>VehicleKm.Mkm.LV.Tr.Rail.Passenger.MTU</t>
  </si>
  <si>
    <t>VehicleKm.Mkm.LV.Tr.Rail.Passenger.CPT</t>
  </si>
  <si>
    <t>VehicleKm.Mkm.LV.Tr.Rail.Passenger.CPT.Diesel</t>
  </si>
  <si>
    <t>VehicleKm.Mkm.LV.Tr.Rail.Passenger.CPT.Elc</t>
  </si>
  <si>
    <t>VehicleKm.Mkm.LV.Tr.Rail.Passenger.HST</t>
  </si>
  <si>
    <t>VehicleKm.Mkm.LV.Tr.Rail.Freight</t>
  </si>
  <si>
    <t>VehicleKm.Mkm.LV.Tr.Rail.Freight.Diesel</t>
  </si>
  <si>
    <t>VehicleKm.Mkm.LV.Tr.Rail.Freight.Elc</t>
  </si>
  <si>
    <t>Stock.number.LV.Tr.Rail</t>
  </si>
  <si>
    <t>Stock.number.LV.Tr.Rail.Passenger</t>
  </si>
  <si>
    <t>Stock.number.LV.Tr.Rail.Passenger.MTU</t>
  </si>
  <si>
    <t>Stock.number.LV.Tr.Rail.Passenger.CPT</t>
  </si>
  <si>
    <t>Stock.number.LV.Tr.Rail.Passenger.CPT.Diesel</t>
  </si>
  <si>
    <t>Stock.number.LV.Tr.Rail.Passenger.CPT.Elc</t>
  </si>
  <si>
    <t>Stock.number.LV.Tr.Rail.Passenger.HST</t>
  </si>
  <si>
    <t>Stock.number.LV.Tr.Rail.Freight</t>
  </si>
  <si>
    <t>Stock.number.LV.Tr.Rail.Freight.Diesel</t>
  </si>
  <si>
    <t>Stock.number.LV.Tr.Rail.Freight.Elc</t>
  </si>
  <si>
    <t>StockNew.number.LV.Tr.Rail</t>
  </si>
  <si>
    <t>StockNew.number.LV.Tr.Rail.Passenger</t>
  </si>
  <si>
    <t>StockNew.number.LV.Tr.Rail.Passenger.MTU</t>
  </si>
  <si>
    <t>StockNew.number.LV.Tr.Rail.Passenger.CPT</t>
  </si>
  <si>
    <t>StockNew.number.LV.Tr.Rail.Passenger.CPT.Diesel</t>
  </si>
  <si>
    <t>StockNew.number.LV.Tr.Rail.Passenger.CPT.Elc</t>
  </si>
  <si>
    <t>StockNew.number.LV.Tr.Rail.Passenger.HST</t>
  </si>
  <si>
    <t>StockNew.number.LV.Tr.Rail.Freight</t>
  </si>
  <si>
    <t>StockNew.number.LV.Tr.Rail.Freight.Diesel</t>
  </si>
  <si>
    <t>StockNew.number.LV.Tr.Rail.Freight.Elc</t>
  </si>
  <si>
    <t>Load.passenger_per_movement.LV.Tr.Rail.Passenger</t>
  </si>
  <si>
    <t>Load.passenger_per_movement.LV.Tr.Rail.Passenger.MTU</t>
  </si>
  <si>
    <t>Load.passenger_per_movement.LV.Tr.Rail.Passenger.CPT</t>
  </si>
  <si>
    <t>Load.passenger_per_movement.LV.Tr.Rail.Passenger.CPT.Diesel</t>
  </si>
  <si>
    <t>Load.passenger_per_movement.LV.Tr.Rail.Passenger.CPT.Elc</t>
  </si>
  <si>
    <t>Load.passenger_per_movement.LV.Tr.Rail.Passenger.HST</t>
  </si>
  <si>
    <t>Load.t_per_movement.LV.Tr.Rail.Freight</t>
  </si>
  <si>
    <t>Load.t_per_movement.LV.Tr.Rail.Freight.Diesel</t>
  </si>
  <si>
    <t>Load.t_per_movement.LV.Tr.Rail.Freight.Elc</t>
  </si>
  <si>
    <t>TrCap.seats.LV.Tr.Rail.Passenger</t>
  </si>
  <si>
    <t>TrCap.seats.LV.Tr.Rail.Passenger.MTU</t>
  </si>
  <si>
    <t>TrCap.seats.LV.Tr.Rail.Passenger.CPT</t>
  </si>
  <si>
    <t>TrCap.seats.LV.Tr.Rail.Passenger.CPT.Diesel</t>
  </si>
  <si>
    <t>TrCap.seats.LV.Tr.Rail.Passenger.CPT.Elc</t>
  </si>
  <si>
    <t>TrCap.seats.LV.Tr.Rail.Passenger.HST</t>
  </si>
  <si>
    <t>TrCap.t.LV.Tr.Rail.Freight</t>
  </si>
  <si>
    <t>TrCap.t.LV.Tr.Rail.Freight.Diesel</t>
  </si>
  <si>
    <t>TrCap.t.LV.Tr.Rail.Freight.Elc</t>
  </si>
  <si>
    <t>VehicleKm_per_vehicle.km.LV.Tr.Rail</t>
  </si>
  <si>
    <t>VehicleKm_per_vehicle.km.LV.Tr.Rail.Passenger</t>
  </si>
  <si>
    <t>VehicleKm_per_vehicle.km.LV.Tr.Rail.Passenger.MTU</t>
  </si>
  <si>
    <t>VehicleKm_per_vehicle.km.LV.Tr.Rail.Passenger.CPT</t>
  </si>
  <si>
    <t>VehicleKm_per_vehicle.km.LV.Tr.Rail.Passenger.CPT.Diesel</t>
  </si>
  <si>
    <t>VehicleKm_per_vehicle.km.LV.Tr.Rail.Passenger.CPT.Elc</t>
  </si>
  <si>
    <t>VehicleKm_per_vehicle.km.LV.Tr.Rail.Passenger.HST</t>
  </si>
  <si>
    <t>VehicleKm_per_vehicle.km.LV.Tr.Rail.Freight</t>
  </si>
  <si>
    <t>VehicleKm_per_vehicle.km.LV.Tr.Rail.Freight.Diesel</t>
  </si>
  <si>
    <t>VehicleKm_per_vehicle.km.LV.Tr.Rail.Freight.Elc</t>
  </si>
  <si>
    <t>Activity_per_vehicle.pkm.LV.Tr.Rail.Passenger</t>
  </si>
  <si>
    <t>Activity_per_vehicle.pkm.LV.Tr.Rail.Passenger.MTU</t>
  </si>
  <si>
    <t>Activity_per_vehicle.pkm.LV.Tr.Rail.Passenger.CPT</t>
  </si>
  <si>
    <t>Activity_per_vehicle.pkm.LV.Tr.Rail.Passenger.CPT.Diesel</t>
  </si>
  <si>
    <t>Activity_per_vehicle.pkm.LV.Tr.Rail.Passenger.CPT.Elc</t>
  </si>
  <si>
    <t>Activity_per_vehicle.pkm.LV.Tr.Rail.Passenger.HST</t>
  </si>
  <si>
    <t>Activity_per_vehicle.tkm.LV.Tr.Rail.Freight</t>
  </si>
  <si>
    <t>Activity_per_vehicle.tkm.LV.Tr.Rail.Freight.Diesel</t>
  </si>
  <si>
    <t>Activity_per_vehicle.tkm.LV.Tr.Rail.Freight.Elc</t>
  </si>
  <si>
    <t>Rail, metro and tram / energy consumption - LV - Latvia</t>
  </si>
  <si>
    <t>FEC.ktoe.LV.ES.Tr.Rail</t>
  </si>
  <si>
    <t>FEC.ktoe.LV.ES.Tr.Rail.Diesel</t>
  </si>
  <si>
    <t>FEC.ktoe.LV.ES.Tr.Rail.LiqBio</t>
  </si>
  <si>
    <t>FEC.ktoe.LV.ES.Tr.Rail.Elec</t>
  </si>
  <si>
    <t>FEC.ktoe.LV.Tr.Rail</t>
  </si>
  <si>
    <t>FEC.ktoe.LV.Tr.Rail.Passenger.CPT.Diesel</t>
  </si>
  <si>
    <t>FEC.ktoe.LV.Tr.Rail.Passenger.CPT.Elc</t>
  </si>
  <si>
    <t>FEC.ktoe.LV.Tr.Rail.Freight.Diesel</t>
  </si>
  <si>
    <t>FEC.ktoe.LV.Tr.Rail.Freight.Elc</t>
  </si>
  <si>
    <t>Eff.kgoe_per_100km.LV.Tr.Rail</t>
  </si>
  <si>
    <t>Eff.kgoe_per_100km.LV.Tr.Rail.Passenger</t>
  </si>
  <si>
    <t>Eff.kgoe_per_100km.LV.Tr.Rail.Passenger.MTU</t>
  </si>
  <si>
    <t>Eff.kgoe_per_100km.LV.Tr.Rail.Passenger.CPT</t>
  </si>
  <si>
    <t>Eff.kgoe_per_100km.LV.Tr.Rail.Passenger.CPT.Diesel</t>
  </si>
  <si>
    <t>Eff.kgoe_per_100km.LV.Tr.Rail.Passenger.CPT.Elc</t>
  </si>
  <si>
    <t>Eff.kgoe_per_100km.LV.Tr.Rail.Passenger.HST</t>
  </si>
  <si>
    <t>Eff.kgoe_per_100km.LV.Tr.Rail.Freight</t>
  </si>
  <si>
    <t>Eff.kgoe_per_100km.LV.Tr.Rail.Freight.Diesel</t>
  </si>
  <si>
    <t>Eff.kgoe_per_100km.LV.Tr.Rail.Freight.Elc</t>
  </si>
  <si>
    <t>Eff.kgoe_per_kpkm.LV.Tr.Rail.Passenger.CPT.Diesel</t>
  </si>
  <si>
    <t>Eff.kgoe_per_kpkm.LV.Tr.Rail.Passenger.CPT.Elc</t>
  </si>
  <si>
    <t>Eff.kgoe_per_ktkm.LV.Tr.Rail.Freight.Diesel</t>
  </si>
  <si>
    <t>Eff.kgoe_per_ktkm.LV.Tr.Rail.Freight.Elc</t>
  </si>
  <si>
    <t>FEC_per_vehicle.kgoe.LV.Tr.Rail</t>
  </si>
  <si>
    <t>FEC_per_vehicle.kgoe.LV.Tr.Rail.Passenger</t>
  </si>
  <si>
    <t>FEC_per_vehicle.kgoe.LV.Tr.Rail.Passenger.MTU</t>
  </si>
  <si>
    <t>FEC_per_vehicle.kgoe.LV.Tr.Rail.Passenger.CPT</t>
  </si>
  <si>
    <t>FEC_per_vehicle.kgoe.LV.Tr.Rail.Passenger.CPT.Diesel</t>
  </si>
  <si>
    <t>FEC_per_vehicle.kgoe.LV.Tr.Rail.Passenger.CPT.Elc</t>
  </si>
  <si>
    <t>FEC_per_vehicle.kgoe.LV.Tr.Rail.Passenger.HST</t>
  </si>
  <si>
    <t>FEC_per_vehicle.kgoe.LV.Tr.Rail.Freight</t>
  </si>
  <si>
    <t>FEC_per_vehicle.kgoe.LV.Tr.Rail.Freight.Diesel</t>
  </si>
  <si>
    <t>FEC_per_vehicle.kgoe.LV.Tr.Rail.Freight.Elc</t>
  </si>
  <si>
    <t>Rail, metro and tram / CO2 emissions - LV - Latvia</t>
  </si>
  <si>
    <t>EMI.ktCO2.LV.ES.Tr.Rail</t>
  </si>
  <si>
    <t>EMI.ktCO2.LV.ES.Tr.Rail.Diesel</t>
  </si>
  <si>
    <t>EMI.ktCO2.LV.ES.Tr.Rail.Elec</t>
  </si>
  <si>
    <t>EMI.ktCO2.LV.Tr.Rail</t>
  </si>
  <si>
    <t>EMI.ktCO2.LV.Tr.Rail.Passenger.CPT.Diesel</t>
  </si>
  <si>
    <t>EMI.ktCO2.LV.Tr.Rail.Passenger.CPT.Elc</t>
  </si>
  <si>
    <t>EMI.ktCO2.LV.Tr.Rail.Freight.Diesel</t>
  </si>
  <si>
    <t>EMI.ktCO2.LV.Tr.Rail.Freight.Elc</t>
  </si>
  <si>
    <t>EMIint.gCO2_per_km.LV.Tr.Rail</t>
  </si>
  <si>
    <t>EMIint.gCO2_per_km.LV.Tr.Rail.Passenger</t>
  </si>
  <si>
    <t>EMIint.gCO2_per_km.LV.Tr.Rail.Passenger.MTU</t>
  </si>
  <si>
    <t>EMIint.gCO2_per_km.LV.Tr.Rail.Passenger.CPT</t>
  </si>
  <si>
    <t>EMIint.gCO2_per_km.LV.Tr.Rail.Passenger.CPT.Diesel</t>
  </si>
  <si>
    <t>EMIint.gCO2_per_km.LV.Tr.Rail.Passenger.CPT.Elc</t>
  </si>
  <si>
    <t>EMIint.gCO2_per_km.LV.Tr.Rail.Passenger.HST</t>
  </si>
  <si>
    <t>EMIint.gCO2_per_km.LV.Tr.Rail.Freight</t>
  </si>
  <si>
    <t>EMIint.gCO2_per_km.LV.Tr.Rail.Freight.Diesel</t>
  </si>
  <si>
    <t>EMIint.gCO2_per_km.LV.Tr.Rail.Freight.Elc</t>
  </si>
  <si>
    <t>EMIint.gCO2_per_pkm.LV.Tr.Rail.Passenger.CPT.Diesel</t>
  </si>
  <si>
    <t>EMIint.gCO2_per_pkm.LV.Tr.Rail.Passenger.CPT.Elc</t>
  </si>
  <si>
    <t>EMIint.gCO2_per_tkm.LV.Tr.Rail.Freight.Diesel</t>
  </si>
  <si>
    <t>EMIint.gCO2_per_tkm.LV.Tr.Rail.Freight.Elc</t>
  </si>
  <si>
    <t>EMI_per_vehicle.tCO2.LV.Tr.Rail</t>
  </si>
  <si>
    <t>EMI_per_vehicle.tCO2.LV.Tr.Rail.Passenger</t>
  </si>
  <si>
    <t>EMI_per_vehicle.tCO2.LV.Tr.Rail.Passenger.MTU</t>
  </si>
  <si>
    <t>EMI_per_vehicle.tCO2.LV.Tr.Rail.Passenger.CPT</t>
  </si>
  <si>
    <t>EMI_per_vehicle.tCO2.LV.Tr.Rail.Passenger.CPT.Diesel</t>
  </si>
  <si>
    <t>EMI_per_vehicle.tCO2.LV.Tr.Rail.Passenger.CPT.Elc</t>
  </si>
  <si>
    <t>EMI_per_vehicle.tCO2.LV.Tr.Rail.Passenger.HST</t>
  </si>
  <si>
    <t>EMI_per_vehicle.tCO2.LV.Tr.Rail.Freight</t>
  </si>
  <si>
    <t>EMI_per_vehicle.tCO2.LV.Tr.Rail.Freight.Diesel</t>
  </si>
  <si>
    <t>EMI_per_vehicle.tCO2.LV.Tr.Rail.Freight.Elc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</si>
</sst>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45967.477754629632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15387.853807842732</v>
      </c>
      <c r="C4" s="28">
        <f t="shared" si="0"/>
        <v>15844.10364657207</v>
      </c>
      <c r="D4" s="28">
        <f t="shared" si="0"/>
        <v>16471.398767908078</v>
      </c>
      <c r="E4" s="28">
        <f t="shared" si="0"/>
        <v>17414.028559030219</v>
      </c>
      <c r="F4" s="28">
        <f t="shared" si="0"/>
        <v>16248.237335234506</v>
      </c>
      <c r="G4" s="28">
        <f t="shared" si="0"/>
        <v>18054.791885944305</v>
      </c>
      <c r="H4" s="28">
        <f t="shared" si="0"/>
        <v>20365.153916448613</v>
      </c>
      <c r="I4" s="28">
        <f t="shared" si="0"/>
        <v>22680.702182638837</v>
      </c>
      <c r="J4" s="28">
        <f t="shared" si="0"/>
        <v>21065.617807661471</v>
      </c>
      <c r="K4" s="28">
        <f t="shared" si="0"/>
        <v>18730.465882245288</v>
      </c>
      <c r="L4" s="28">
        <f t="shared" si="0"/>
        <v>19100.330744784405</v>
      </c>
      <c r="M4" s="28">
        <f t="shared" si="0"/>
        <v>18265.813008393918</v>
      </c>
      <c r="N4" s="28">
        <f t="shared" si="0"/>
        <v>18430.280439091868</v>
      </c>
      <c r="O4" s="28">
        <f t="shared" si="0"/>
        <v>18711.34553089333</v>
      </c>
      <c r="P4" s="28">
        <f t="shared" si="0"/>
        <v>19474.999912570274</v>
      </c>
      <c r="Q4" s="28">
        <f t="shared" si="0"/>
        <v>20391.689776047329</v>
      </c>
      <c r="R4" s="28">
        <f t="shared" ref="R4:V4" si="1">R5+R9+R13</f>
        <v>20785.09354552786</v>
      </c>
      <c r="S4" s="28">
        <f t="shared" si="1"/>
        <v>22270.29378681508</v>
      </c>
      <c r="T4" s="28">
        <f t="shared" si="1"/>
        <v>23232.715024416102</v>
      </c>
      <c r="U4" s="28">
        <f t="shared" si="1"/>
        <v>23912.713111849698</v>
      </c>
      <c r="V4" s="28">
        <f t="shared" si="1"/>
        <v>18375.299434010911</v>
      </c>
      <c r="W4" s="28">
        <f t="shared" ref="W4:Y4" si="2">W5+W9+W13</f>
        <v>16972.554974535902</v>
      </c>
      <c r="X4" s="28">
        <f t="shared" si="2"/>
        <v>18966.107287505445</v>
      </c>
      <c r="Y4" s="28">
        <f t="shared" si="2"/>
        <v>21099.313604890343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13913.181653045962</v>
      </c>
      <c r="C5" s="137">
        <f t="shared" si="3"/>
        <v>14370.620983163366</v>
      </c>
      <c r="D5" s="137">
        <f t="shared" si="3"/>
        <v>14926.543918647065</v>
      </c>
      <c r="E5" s="137">
        <f t="shared" si="3"/>
        <v>15615.499186383147</v>
      </c>
      <c r="F5" s="137">
        <f t="shared" si="3"/>
        <v>14226.539758109042</v>
      </c>
      <c r="G5" s="137">
        <f t="shared" si="3"/>
        <v>15067.145002662166</v>
      </c>
      <c r="H5" s="137">
        <f t="shared" si="3"/>
        <v>16863.183037440933</v>
      </c>
      <c r="I5" s="137">
        <f t="shared" si="3"/>
        <v>18662.520567367974</v>
      </c>
      <c r="J5" s="137">
        <f t="shared" si="3"/>
        <v>16828.529546990081</v>
      </c>
      <c r="K5" s="137">
        <f t="shared" si="3"/>
        <v>14903.919934233187</v>
      </c>
      <c r="L5" s="137">
        <f t="shared" si="3"/>
        <v>14680.857606878166</v>
      </c>
      <c r="M5" s="137">
        <f t="shared" si="3"/>
        <v>13819.443030857099</v>
      </c>
      <c r="N5" s="137">
        <f t="shared" si="3"/>
        <v>14330.244191138874</v>
      </c>
      <c r="O5" s="137">
        <f t="shared" si="3"/>
        <v>14521.759128932594</v>
      </c>
      <c r="P5" s="137">
        <f t="shared" si="3"/>
        <v>15414.510663122062</v>
      </c>
      <c r="Q5" s="137">
        <f t="shared" si="3"/>
        <v>16277.702903989071</v>
      </c>
      <c r="R5" s="137">
        <f t="shared" ref="R5:V5" si="4">R6+R7+R8</f>
        <v>16567.30772122254</v>
      </c>
      <c r="S5" s="137">
        <f t="shared" si="4"/>
        <v>17592.553532027661</v>
      </c>
      <c r="T5" s="137">
        <f t="shared" si="4"/>
        <v>17897.722914299033</v>
      </c>
      <c r="U5" s="137">
        <f t="shared" si="4"/>
        <v>18155.92638634067</v>
      </c>
      <c r="V5" s="137">
        <f t="shared" si="4"/>
        <v>16516.289292884649</v>
      </c>
      <c r="W5" s="137">
        <f t="shared" ref="W5:Y5" si="5">W6+W7+W8</f>
        <v>14895.872560831549</v>
      </c>
      <c r="X5" s="137">
        <f t="shared" si="5"/>
        <v>14533.387139603312</v>
      </c>
      <c r="Y5" s="137">
        <f t="shared" si="5"/>
        <v>15385.880499290937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65.181653045962747</v>
      </c>
      <c r="C6" s="102">
        <f>TrRoad_act!C$5</f>
        <v>65.620983163366731</v>
      </c>
      <c r="D6" s="102">
        <f>TrRoad_act!D$5</f>
        <v>65.543918647064814</v>
      </c>
      <c r="E6" s="102">
        <f>TrRoad_act!E$5</f>
        <v>65.499186383147645</v>
      </c>
      <c r="F6" s="102">
        <f>TrRoad_act!F$5</f>
        <v>65.139758109043115</v>
      </c>
      <c r="G6" s="102">
        <f>TrRoad_act!G$5</f>
        <v>64.645002662167045</v>
      </c>
      <c r="H6" s="102">
        <f>TrRoad_act!H$5</f>
        <v>63.583037440929928</v>
      </c>
      <c r="I6" s="102">
        <f>TrRoad_act!I$5</f>
        <v>61.320567367973617</v>
      </c>
      <c r="J6" s="102">
        <f>TrRoad_act!J$5</f>
        <v>59.02954699008022</v>
      </c>
      <c r="K6" s="102">
        <f>TrRoad_act!K$5</f>
        <v>57.229934233188516</v>
      </c>
      <c r="L6" s="102">
        <f>TrRoad_act!L$5</f>
        <v>57.517606878163882</v>
      </c>
      <c r="M6" s="102">
        <f>TrRoad_act!M$5</f>
        <v>57.543030857099929</v>
      </c>
      <c r="N6" s="102">
        <f>TrRoad_act!N$5</f>
        <v>53.044191138874375</v>
      </c>
      <c r="O6" s="102">
        <f>TrRoad_act!O$5</f>
        <v>55.859128932591723</v>
      </c>
      <c r="P6" s="102">
        <f>TrRoad_act!P$5</f>
        <v>68.21066312206149</v>
      </c>
      <c r="Q6" s="102">
        <f>TrRoad_act!Q$5</f>
        <v>87.702903989070165</v>
      </c>
      <c r="R6" s="102">
        <f>TrRoad_act!R$5</f>
        <v>88.507721222543736</v>
      </c>
      <c r="S6" s="102">
        <f>TrRoad_act!S$5</f>
        <v>84.453532027662547</v>
      </c>
      <c r="T6" s="102">
        <f>TrRoad_act!T$5</f>
        <v>81.322914299032959</v>
      </c>
      <c r="U6" s="102">
        <f>TrRoad_act!U$5</f>
        <v>87.126386340672369</v>
      </c>
      <c r="V6" s="102">
        <f>TrRoad_act!V$5</f>
        <v>78.989292884649601</v>
      </c>
      <c r="W6" s="102">
        <f>TrRoad_act!W$5</f>
        <v>83.272560831547082</v>
      </c>
      <c r="X6" s="102">
        <f>TrRoad_act!X$5</f>
        <v>85.187139603308424</v>
      </c>
      <c r="Y6" s="102">
        <f>TrRoad_act!Y$5</f>
        <v>92.980499290939704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11500</v>
      </c>
      <c r="C7" s="102">
        <f>TrRoad_act!C$6</f>
        <v>12000</v>
      </c>
      <c r="D7" s="102">
        <f>TrRoad_act!D$6</f>
        <v>12500</v>
      </c>
      <c r="E7" s="102">
        <f>TrRoad_act!E$6</f>
        <v>13000</v>
      </c>
      <c r="F7" s="102">
        <f>TrRoad_act!F$6</f>
        <v>11506.4</v>
      </c>
      <c r="G7" s="102">
        <f>TrRoad_act!G$6</f>
        <v>12111.499999999998</v>
      </c>
      <c r="H7" s="102">
        <f>TrRoad_act!H$6</f>
        <v>14019.6</v>
      </c>
      <c r="I7" s="102">
        <f>TrRoad_act!I$6</f>
        <v>15957.2</v>
      </c>
      <c r="J7" s="102">
        <f>TrRoad_act!J$6</f>
        <v>14252.5</v>
      </c>
      <c r="K7" s="102">
        <f>TrRoad_act!K$6</f>
        <v>12703.689999999999</v>
      </c>
      <c r="L7" s="102">
        <f>TrRoad_act!L$6</f>
        <v>12312.340000000002</v>
      </c>
      <c r="M7" s="102">
        <f>TrRoad_act!M$6</f>
        <v>11349.9</v>
      </c>
      <c r="N7" s="102">
        <f>TrRoad_act!N$6</f>
        <v>11528</v>
      </c>
      <c r="O7" s="102">
        <f>TrRoad_act!O$6</f>
        <v>11733.400000000001</v>
      </c>
      <c r="P7" s="102">
        <f>TrRoad_act!P$6</f>
        <v>12625.800000000001</v>
      </c>
      <c r="Q7" s="102">
        <f>TrRoad_act!Q$6</f>
        <v>13542.600000000002</v>
      </c>
      <c r="R7" s="102">
        <f>TrRoad_act!R$6</f>
        <v>13898.799999999997</v>
      </c>
      <c r="S7" s="102">
        <f>TrRoad_act!S$6</f>
        <v>14978</v>
      </c>
      <c r="T7" s="102">
        <f>TrRoad_act!T$6</f>
        <v>15256.000000000002</v>
      </c>
      <c r="U7" s="102">
        <f>TrRoad_act!U$6</f>
        <v>15499.999999999998</v>
      </c>
      <c r="V7" s="102">
        <f>TrRoad_act!V$6</f>
        <v>14773.999999999998</v>
      </c>
      <c r="W7" s="102">
        <f>TrRoad_act!W$6</f>
        <v>13435.500000000002</v>
      </c>
      <c r="X7" s="102">
        <f>TrRoad_act!X$6</f>
        <v>12694.100000000002</v>
      </c>
      <c r="Y7" s="102">
        <f>TrRoad_act!Y$6</f>
        <v>13402.899999999998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2348</v>
      </c>
      <c r="C8" s="102">
        <f>TrRoad_act!C$13</f>
        <v>2305.0000000000005</v>
      </c>
      <c r="D8" s="102">
        <f>TrRoad_act!D$13</f>
        <v>2361</v>
      </c>
      <c r="E8" s="102">
        <f>TrRoad_act!E$13</f>
        <v>2550</v>
      </c>
      <c r="F8" s="102">
        <f>TrRoad_act!F$13</f>
        <v>2655</v>
      </c>
      <c r="G8" s="102">
        <f>TrRoad_act!G$13</f>
        <v>2891</v>
      </c>
      <c r="H8" s="102">
        <f>TrRoad_act!H$13</f>
        <v>2780</v>
      </c>
      <c r="I8" s="102">
        <f>TrRoad_act!I$13</f>
        <v>2644</v>
      </c>
      <c r="J8" s="102">
        <f>TrRoad_act!J$13</f>
        <v>2517</v>
      </c>
      <c r="K8" s="102">
        <f>TrRoad_act!K$13</f>
        <v>2143</v>
      </c>
      <c r="L8" s="102">
        <f>TrRoad_act!L$13</f>
        <v>2311</v>
      </c>
      <c r="M8" s="102">
        <f>TrRoad_act!M$13</f>
        <v>2412</v>
      </c>
      <c r="N8" s="102">
        <f>TrRoad_act!N$13</f>
        <v>2749.1999999999994</v>
      </c>
      <c r="O8" s="102">
        <f>TrRoad_act!O$13</f>
        <v>2732.5</v>
      </c>
      <c r="P8" s="102">
        <f>TrRoad_act!P$13</f>
        <v>2720.5</v>
      </c>
      <c r="Q8" s="102">
        <f>TrRoad_act!Q$13</f>
        <v>2647.3999999999996</v>
      </c>
      <c r="R8" s="102">
        <f>TrRoad_act!R$13</f>
        <v>2580</v>
      </c>
      <c r="S8" s="102">
        <f>TrRoad_act!S$13</f>
        <v>2530.1000000000004</v>
      </c>
      <c r="T8" s="102">
        <f>TrRoad_act!T$13</f>
        <v>2560.3999999999996</v>
      </c>
      <c r="U8" s="102">
        <f>TrRoad_act!U$13</f>
        <v>2568.7999999999997</v>
      </c>
      <c r="V8" s="102">
        <f>TrRoad_act!V$13</f>
        <v>1663.3</v>
      </c>
      <c r="W8" s="102">
        <f>TrRoad_act!W$13</f>
        <v>1377.1000000000001</v>
      </c>
      <c r="X8" s="102">
        <f>TrRoad_act!X$13</f>
        <v>1754.1</v>
      </c>
      <c r="Y8" s="102">
        <f>TrRoad_act!Y$13</f>
        <v>1890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981.7</v>
      </c>
      <c r="C9" s="110">
        <f t="shared" si="6"/>
        <v>966.7</v>
      </c>
      <c r="D9" s="110">
        <f t="shared" si="6"/>
        <v>1008.6</v>
      </c>
      <c r="E9" s="110">
        <f t="shared" si="6"/>
        <v>1015.8</v>
      </c>
      <c r="F9" s="110">
        <f t="shared" si="6"/>
        <v>1069.7</v>
      </c>
      <c r="G9" s="110">
        <f t="shared" si="6"/>
        <v>1161.7</v>
      </c>
      <c r="H9" s="110">
        <f t="shared" si="6"/>
        <v>1265.3</v>
      </c>
      <c r="I9" s="110">
        <f t="shared" si="6"/>
        <v>1254.5999999999999</v>
      </c>
      <c r="J9" s="110">
        <f t="shared" si="6"/>
        <v>1199.3</v>
      </c>
      <c r="K9" s="110">
        <f t="shared" si="6"/>
        <v>919</v>
      </c>
      <c r="L9" s="110">
        <f t="shared" si="6"/>
        <v>1105.502</v>
      </c>
      <c r="M9" s="110">
        <f t="shared" si="6"/>
        <v>1108.6379999999999</v>
      </c>
      <c r="N9" s="110">
        <f t="shared" si="6"/>
        <v>1069.3720000000001</v>
      </c>
      <c r="O9" s="110">
        <f t="shared" si="6"/>
        <v>1098.008</v>
      </c>
      <c r="P9" s="110">
        <f t="shared" si="6"/>
        <v>1028.71</v>
      </c>
      <c r="Q9" s="110">
        <f t="shared" si="6"/>
        <v>945.69</v>
      </c>
      <c r="R9" s="110">
        <f t="shared" ref="R9:V9" si="7">R10+R11+R12</f>
        <v>921.63900000000001</v>
      </c>
      <c r="S9" s="110">
        <f t="shared" si="7"/>
        <v>937.63900000000001</v>
      </c>
      <c r="T9" s="110">
        <f t="shared" si="7"/>
        <v>980.19299999999998</v>
      </c>
      <c r="U9" s="110">
        <f t="shared" si="7"/>
        <v>979.23099999999999</v>
      </c>
      <c r="V9" s="110">
        <f t="shared" si="7"/>
        <v>614.65700000000004</v>
      </c>
      <c r="W9" s="110">
        <f t="shared" ref="W9:Y9" si="8">W10+W11+W12</f>
        <v>419.512</v>
      </c>
      <c r="X9" s="110">
        <f t="shared" si="8"/>
        <v>615.06999999999994</v>
      </c>
      <c r="Y9" s="110">
        <f t="shared" si="8"/>
        <v>695.17200000000003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266.70000000000005</v>
      </c>
      <c r="C10" s="102">
        <f>TrRail_act!C$5</f>
        <v>260.70000000000005</v>
      </c>
      <c r="D10" s="102">
        <f>TrRail_act!D$5</f>
        <v>264.60000000000002</v>
      </c>
      <c r="E10" s="102">
        <f>TrRail_act!E$5</f>
        <v>253.79999999999998</v>
      </c>
      <c r="F10" s="102">
        <f>TrRail_act!F$5</f>
        <v>263.70000000000005</v>
      </c>
      <c r="G10" s="102">
        <f>TrRail_act!G$5</f>
        <v>272.7</v>
      </c>
      <c r="H10" s="102">
        <f>TrRail_act!H$5</f>
        <v>279.3</v>
      </c>
      <c r="I10" s="102">
        <f>TrRail_act!I$5</f>
        <v>279.60000000000002</v>
      </c>
      <c r="J10" s="102">
        <f>TrRail_act!J$5</f>
        <v>258.29999999999995</v>
      </c>
      <c r="K10" s="102">
        <f>TrRail_act!K$5</f>
        <v>171</v>
      </c>
      <c r="L10" s="102">
        <f>TrRail_act!L$5</f>
        <v>364.50200000000001</v>
      </c>
      <c r="M10" s="102">
        <f>TrRail_act!M$5</f>
        <v>375.63800000000003</v>
      </c>
      <c r="N10" s="102">
        <f>TrRail_act!N$5</f>
        <v>352.37200000000001</v>
      </c>
      <c r="O10" s="102">
        <f>TrRail_act!O$5</f>
        <v>377.00800000000004</v>
      </c>
      <c r="P10" s="102">
        <f>TrRail_act!P$5</f>
        <v>384.71</v>
      </c>
      <c r="Q10" s="102">
        <f>TrRail_act!Q$5</f>
        <v>355.69</v>
      </c>
      <c r="R10" s="102">
        <f>TrRail_act!R$5</f>
        <v>337.63900000000001</v>
      </c>
      <c r="S10" s="102">
        <f>TrRail_act!S$5</f>
        <v>341.63900000000001</v>
      </c>
      <c r="T10" s="102">
        <f>TrRail_act!T$5</f>
        <v>356.19299999999998</v>
      </c>
      <c r="U10" s="102">
        <f>TrRail_act!U$5</f>
        <v>336.23099999999999</v>
      </c>
      <c r="V10" s="102">
        <f>TrRail_act!V$5</f>
        <v>201.65700000000001</v>
      </c>
      <c r="W10" s="102">
        <f>TrRail_act!W$5</f>
        <v>58.512</v>
      </c>
      <c r="X10" s="102">
        <f>TrRail_act!X$5</f>
        <v>74.069999999999993</v>
      </c>
      <c r="Y10" s="102">
        <f>TrRail_act!Y$5</f>
        <v>83.171999999999997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715</v>
      </c>
      <c r="C11" s="102">
        <f>TrRail_act!C$6</f>
        <v>706</v>
      </c>
      <c r="D11" s="102">
        <f>TrRail_act!D$6</f>
        <v>744</v>
      </c>
      <c r="E11" s="102">
        <f>TrRail_act!E$6</f>
        <v>762</v>
      </c>
      <c r="F11" s="102">
        <f>TrRail_act!F$6</f>
        <v>806</v>
      </c>
      <c r="G11" s="102">
        <f>TrRail_act!G$6</f>
        <v>889</v>
      </c>
      <c r="H11" s="102">
        <f>TrRail_act!H$6</f>
        <v>986</v>
      </c>
      <c r="I11" s="102">
        <f>TrRail_act!I$6</f>
        <v>975</v>
      </c>
      <c r="J11" s="102">
        <f>TrRail_act!J$6</f>
        <v>941</v>
      </c>
      <c r="K11" s="102">
        <f>TrRail_act!K$6</f>
        <v>748</v>
      </c>
      <c r="L11" s="102">
        <f>TrRail_act!L$6</f>
        <v>741</v>
      </c>
      <c r="M11" s="102">
        <f>TrRail_act!M$6</f>
        <v>733</v>
      </c>
      <c r="N11" s="102">
        <f>TrRail_act!N$6</f>
        <v>717</v>
      </c>
      <c r="O11" s="102">
        <f>TrRail_act!O$6</f>
        <v>721</v>
      </c>
      <c r="P11" s="102">
        <f>TrRail_act!P$6</f>
        <v>644</v>
      </c>
      <c r="Q11" s="102">
        <f>TrRail_act!Q$6</f>
        <v>590</v>
      </c>
      <c r="R11" s="102">
        <f>TrRail_act!R$6</f>
        <v>584</v>
      </c>
      <c r="S11" s="102">
        <f>TrRail_act!S$6</f>
        <v>596</v>
      </c>
      <c r="T11" s="102">
        <f>TrRail_act!T$6</f>
        <v>624</v>
      </c>
      <c r="U11" s="102">
        <f>TrRail_act!U$6</f>
        <v>643</v>
      </c>
      <c r="V11" s="102">
        <f>TrRail_act!V$6</f>
        <v>413</v>
      </c>
      <c r="W11" s="102">
        <f>TrRail_act!W$6</f>
        <v>361</v>
      </c>
      <c r="X11" s="102">
        <f>TrRail_act!X$6</f>
        <v>541</v>
      </c>
      <c r="Y11" s="102">
        <f>TrRail_act!Y$6</f>
        <v>612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492.97215479676959</v>
      </c>
      <c r="C13" s="110">
        <f t="shared" ref="C13:V13" si="10">C14+C15+C16</f>
        <v>506.78266340870323</v>
      </c>
      <c r="D13" s="110">
        <f t="shared" si="10"/>
        <v>536.25484926101467</v>
      </c>
      <c r="E13" s="110">
        <f t="shared" si="10"/>
        <v>782.72937264707105</v>
      </c>
      <c r="F13" s="110">
        <f t="shared" si="10"/>
        <v>951.99757712546398</v>
      </c>
      <c r="G13" s="110">
        <f t="shared" si="10"/>
        <v>1825.9468832821383</v>
      </c>
      <c r="H13" s="110">
        <f t="shared" si="10"/>
        <v>2236.6708790076809</v>
      </c>
      <c r="I13" s="110">
        <f t="shared" si="10"/>
        <v>2763.5816152708667</v>
      </c>
      <c r="J13" s="110">
        <f t="shared" si="10"/>
        <v>3037.7882606713893</v>
      </c>
      <c r="K13" s="110">
        <f t="shared" si="10"/>
        <v>2907.5459480120999</v>
      </c>
      <c r="L13" s="110">
        <f t="shared" si="10"/>
        <v>3313.9711379062392</v>
      </c>
      <c r="M13" s="110">
        <f t="shared" si="10"/>
        <v>3337.7319775368187</v>
      </c>
      <c r="N13" s="110">
        <f t="shared" si="10"/>
        <v>3030.6642479529955</v>
      </c>
      <c r="O13" s="110">
        <f t="shared" si="10"/>
        <v>3091.5784019607349</v>
      </c>
      <c r="P13" s="110">
        <f t="shared" si="10"/>
        <v>3031.7792494482132</v>
      </c>
      <c r="Q13" s="110">
        <f t="shared" si="10"/>
        <v>3168.2968720582571</v>
      </c>
      <c r="R13" s="110">
        <f t="shared" si="10"/>
        <v>3296.1468243053187</v>
      </c>
      <c r="S13" s="110">
        <f t="shared" si="10"/>
        <v>3740.1012547874193</v>
      </c>
      <c r="T13" s="110">
        <f t="shared" si="10"/>
        <v>4354.799110117071</v>
      </c>
      <c r="U13" s="110">
        <f t="shared" si="10"/>
        <v>4777.5557255090262</v>
      </c>
      <c r="V13" s="110">
        <f t="shared" si="10"/>
        <v>1244.3531411262627</v>
      </c>
      <c r="W13" s="110">
        <f t="shared" ref="W13:Y13" si="11">W14+W15+W16</f>
        <v>1657.1704137043525</v>
      </c>
      <c r="X13" s="110">
        <f t="shared" si="11"/>
        <v>3817.6501479021317</v>
      </c>
      <c r="Y13" s="110">
        <f t="shared" si="11"/>
        <v>5018.2611055994057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360.41177453873297</v>
      </c>
      <c r="C15" s="102">
        <f>TrAvia_act!C$6</f>
        <v>370.95489371302114</v>
      </c>
      <c r="D15" s="102">
        <f>TrAvia_act!D$6</f>
        <v>391.5055125520542</v>
      </c>
      <c r="E15" s="102">
        <f>TrAvia_act!E$6</f>
        <v>567.76303999885602</v>
      </c>
      <c r="F15" s="102">
        <f>TrAvia_act!F$6</f>
        <v>686.54210842309533</v>
      </c>
      <c r="G15" s="102">
        <f>TrAvia_act!G$6</f>
        <v>1311.7330467108745</v>
      </c>
      <c r="H15" s="102">
        <f>TrAvia_act!H$6</f>
        <v>1605.9734000010501</v>
      </c>
      <c r="I15" s="102">
        <f>TrAvia_act!I$6</f>
        <v>1846.1505824230246</v>
      </c>
      <c r="J15" s="102">
        <f>TrAvia_act!J$6</f>
        <v>1963.4384622723235</v>
      </c>
      <c r="K15" s="102">
        <f>TrAvia_act!K$6</f>
        <v>2032.1071438167235</v>
      </c>
      <c r="L15" s="102">
        <f>TrAvia_act!L$6</f>
        <v>2355.0397945766817</v>
      </c>
      <c r="M15" s="102">
        <f>TrAvia_act!M$6</f>
        <v>2414.7444189493249</v>
      </c>
      <c r="N15" s="102">
        <f>TrAvia_act!N$6</f>
        <v>2185.8227047865075</v>
      </c>
      <c r="O15" s="102">
        <f>TrAvia_act!O$6</f>
        <v>2196.8673802733233</v>
      </c>
      <c r="P15" s="102">
        <f>TrAvia_act!P$6</f>
        <v>2276.2062047369586</v>
      </c>
      <c r="Q15" s="102">
        <f>TrAvia_act!Q$6</f>
        <v>2485.2309411723277</v>
      </c>
      <c r="R15" s="102">
        <f>TrAvia_act!R$6</f>
        <v>2563.0234599079022</v>
      </c>
      <c r="S15" s="102">
        <f>TrAvia_act!S$6</f>
        <v>2885.5489913338661</v>
      </c>
      <c r="T15" s="102">
        <f>TrAvia_act!T$6</f>
        <v>3324.6593632384997</v>
      </c>
      <c r="U15" s="102">
        <f>TrAvia_act!U$6</f>
        <v>3549.9418088793423</v>
      </c>
      <c r="V15" s="102">
        <f>TrAvia_act!V$6</f>
        <v>1020.643013346976</v>
      </c>
      <c r="W15" s="102">
        <f>TrAvia_act!W$6</f>
        <v>1276.9952338593509</v>
      </c>
      <c r="X15" s="102">
        <f>TrAvia_act!X$6</f>
        <v>3094.816380474263</v>
      </c>
      <c r="Y15" s="102">
        <f>TrAvia_act!Y$6</f>
        <v>3874.0351969991611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132.56038025803659</v>
      </c>
      <c r="C16" s="102">
        <f>TrAvia_act!C$7</f>
        <v>135.82776969568209</v>
      </c>
      <c r="D16" s="102">
        <f>TrAvia_act!D$7</f>
        <v>144.74933670896044</v>
      </c>
      <c r="E16" s="102">
        <f>TrAvia_act!E$7</f>
        <v>214.96633264821503</v>
      </c>
      <c r="F16" s="102">
        <f>TrAvia_act!F$7</f>
        <v>265.45546870236859</v>
      </c>
      <c r="G16" s="102">
        <f>TrAvia_act!G$7</f>
        <v>514.21383657126376</v>
      </c>
      <c r="H16" s="102">
        <f>TrAvia_act!H$7</f>
        <v>630.69747900663094</v>
      </c>
      <c r="I16" s="102">
        <f>TrAvia_act!I$7</f>
        <v>917.43103284784195</v>
      </c>
      <c r="J16" s="102">
        <f>TrAvia_act!J$7</f>
        <v>1074.3497983990658</v>
      </c>
      <c r="K16" s="102">
        <f>TrAvia_act!K$7</f>
        <v>875.43880419537652</v>
      </c>
      <c r="L16" s="102">
        <f>TrAvia_act!L$7</f>
        <v>958.93134332955742</v>
      </c>
      <c r="M16" s="102">
        <f>TrAvia_act!M$7</f>
        <v>922.98755858749405</v>
      </c>
      <c r="N16" s="102">
        <f>TrAvia_act!N$7</f>
        <v>844.84154316648778</v>
      </c>
      <c r="O16" s="102">
        <f>TrAvia_act!O$7</f>
        <v>894.71102168741174</v>
      </c>
      <c r="P16" s="102">
        <f>TrAvia_act!P$7</f>
        <v>755.57304471125474</v>
      </c>
      <c r="Q16" s="102">
        <f>TrAvia_act!Q$7</f>
        <v>683.06593088592956</v>
      </c>
      <c r="R16" s="102">
        <f>TrAvia_act!R$7</f>
        <v>733.12336439741659</v>
      </c>
      <c r="S16" s="102">
        <f>TrAvia_act!S$7</f>
        <v>854.55226345355334</v>
      </c>
      <c r="T16" s="102">
        <f>TrAvia_act!T$7</f>
        <v>1030.1397468785713</v>
      </c>
      <c r="U16" s="102">
        <f>TrAvia_act!U$7</f>
        <v>1227.6139166296834</v>
      </c>
      <c r="V16" s="102">
        <f>TrAvia_act!V$7</f>
        <v>223.71012777928664</v>
      </c>
      <c r="W16" s="102">
        <f>TrAvia_act!W$7</f>
        <v>380.17517984500165</v>
      </c>
      <c r="X16" s="102">
        <f>TrAvia_act!X$7</f>
        <v>722.83376742786891</v>
      </c>
      <c r="Y16" s="102">
        <f>TrAvia_act!Y$7</f>
        <v>1144.225908600245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15584.778835121793</v>
      </c>
      <c r="C17" s="28">
        <f t="shared" si="12"/>
        <v>16678.589486711058</v>
      </c>
      <c r="D17" s="28">
        <f t="shared" si="12"/>
        <v>17908.828618016189</v>
      </c>
      <c r="E17" s="28">
        <f t="shared" si="12"/>
        <v>21247.594358134051</v>
      </c>
      <c r="F17" s="28">
        <f t="shared" si="12"/>
        <v>22087.708266755875</v>
      </c>
      <c r="G17" s="28">
        <f t="shared" si="12"/>
        <v>23631.821600095234</v>
      </c>
      <c r="H17" s="28">
        <f t="shared" si="12"/>
        <v>20909.158865306552</v>
      </c>
      <c r="I17" s="28">
        <f t="shared" si="12"/>
        <v>22870.468143707767</v>
      </c>
      <c r="J17" s="28">
        <f t="shared" si="12"/>
        <v>23623.704166032825</v>
      </c>
      <c r="K17" s="28">
        <f t="shared" si="12"/>
        <v>22095.095814254371</v>
      </c>
      <c r="L17" s="28">
        <f t="shared" si="12"/>
        <v>21064.201948884387</v>
      </c>
      <c r="M17" s="28">
        <f t="shared" si="12"/>
        <v>25566.456062174231</v>
      </c>
      <c r="N17" s="28">
        <f t="shared" si="12"/>
        <v>26252.407425064714</v>
      </c>
      <c r="O17" s="28">
        <f t="shared" si="12"/>
        <v>24436.199458776719</v>
      </c>
      <c r="P17" s="28">
        <f t="shared" si="12"/>
        <v>24218.142477099507</v>
      </c>
      <c r="Q17" s="28">
        <f t="shared" si="12"/>
        <v>23922.101189459292</v>
      </c>
      <c r="R17" s="28">
        <f t="shared" ref="R17:V17" si="13">R18+R21+R22+R26</f>
        <v>20949.881080520277</v>
      </c>
      <c r="S17" s="28">
        <f t="shared" si="13"/>
        <v>20524.279435267908</v>
      </c>
      <c r="T17" s="28">
        <f t="shared" si="13"/>
        <v>23770.453969213158</v>
      </c>
      <c r="U17" s="28">
        <f t="shared" si="13"/>
        <v>20651.362647980037</v>
      </c>
      <c r="V17" s="28">
        <f t="shared" si="13"/>
        <v>14345.686435540974</v>
      </c>
      <c r="W17" s="28">
        <f t="shared" ref="W17:Y17" si="14">W18+W21+W22+W26</f>
        <v>14008.403418204012</v>
      </c>
      <c r="X17" s="28">
        <f t="shared" si="14"/>
        <v>14164.576515098694</v>
      </c>
      <c r="Y17" s="28">
        <f t="shared" si="14"/>
        <v>12029.821824279747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2271.9251329923277</v>
      </c>
      <c r="C18" s="137">
        <f t="shared" si="15"/>
        <v>2495.4143487136403</v>
      </c>
      <c r="D18" s="137">
        <f t="shared" si="15"/>
        <v>2885.435761335174</v>
      </c>
      <c r="E18" s="137">
        <f t="shared" si="15"/>
        <v>3289.516395466715</v>
      </c>
      <c r="F18" s="137">
        <f t="shared" si="15"/>
        <v>3466.4167190555445</v>
      </c>
      <c r="G18" s="137">
        <f t="shared" si="15"/>
        <v>3847.8177994427474</v>
      </c>
      <c r="H18" s="137">
        <f t="shared" si="15"/>
        <v>4072.4365010334432</v>
      </c>
      <c r="I18" s="137">
        <f t="shared" si="15"/>
        <v>4543.979143211187</v>
      </c>
      <c r="J18" s="137">
        <f t="shared" si="15"/>
        <v>4025.6470931445001</v>
      </c>
      <c r="K18" s="137">
        <f t="shared" si="15"/>
        <v>3344.8865592298348</v>
      </c>
      <c r="L18" s="137">
        <f t="shared" si="15"/>
        <v>3857.4301076160195</v>
      </c>
      <c r="M18" s="137">
        <f t="shared" si="15"/>
        <v>4127.4411964883157</v>
      </c>
      <c r="N18" s="137">
        <f t="shared" si="15"/>
        <v>4253.4818797285025</v>
      </c>
      <c r="O18" s="137">
        <f t="shared" si="15"/>
        <v>4688.1033768269244</v>
      </c>
      <c r="P18" s="137">
        <f t="shared" si="15"/>
        <v>4664.3113953444645</v>
      </c>
      <c r="Q18" s="137">
        <f t="shared" si="15"/>
        <v>4975.0713169161381</v>
      </c>
      <c r="R18" s="137">
        <f t="shared" ref="R18:V18" si="16">R19+R20</f>
        <v>5032.8850649307496</v>
      </c>
      <c r="S18" s="137">
        <f t="shared" si="16"/>
        <v>5462.7907371832871</v>
      </c>
      <c r="T18" s="137">
        <f t="shared" si="16"/>
        <v>5877.2869287172362</v>
      </c>
      <c r="U18" s="137">
        <f t="shared" si="16"/>
        <v>5578.4844291173558</v>
      </c>
      <c r="V18" s="137">
        <f t="shared" si="16"/>
        <v>6351.9243231345672</v>
      </c>
      <c r="W18" s="137">
        <f t="shared" ref="W18:Y18" si="17">W19+W20</f>
        <v>6626.6464324292729</v>
      </c>
      <c r="X18" s="137">
        <f t="shared" si="17"/>
        <v>6738.4736048730019</v>
      </c>
      <c r="Y18" s="137">
        <f t="shared" si="17"/>
        <v>6823.885553965345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64.683922696056712</v>
      </c>
      <c r="C19" s="102">
        <f>TrRoad_act!C$20</f>
        <v>75.667119170166401</v>
      </c>
      <c r="D19" s="102">
        <f>TrRoad_act!D$20</f>
        <v>97.978914687905132</v>
      </c>
      <c r="E19" s="102">
        <f>TrRoad_act!E$20</f>
        <v>90.799061708934147</v>
      </c>
      <c r="F19" s="102">
        <f>TrRoad_act!F$20</f>
        <v>118.76644958043323</v>
      </c>
      <c r="G19" s="102">
        <f>TrRoad_act!G$20</f>
        <v>111.79876974737134</v>
      </c>
      <c r="H19" s="102">
        <f>TrRoad_act!H$20</f>
        <v>124.00746618409428</v>
      </c>
      <c r="I19" s="102">
        <f>TrRoad_act!I$20</f>
        <v>136.67038540466925</v>
      </c>
      <c r="J19" s="102">
        <f>TrRoad_act!J$20</f>
        <v>139.85830611577504</v>
      </c>
      <c r="K19" s="102">
        <f>TrRoad_act!K$20</f>
        <v>134.05961384405344</v>
      </c>
      <c r="L19" s="102">
        <f>TrRoad_act!L$20</f>
        <v>115.04013352318664</v>
      </c>
      <c r="M19" s="102">
        <f>TrRoad_act!M$20</f>
        <v>119.76595707293625</v>
      </c>
      <c r="N19" s="102">
        <f>TrRoad_act!N$20</f>
        <v>131.01317383329516</v>
      </c>
      <c r="O19" s="102">
        <f>TrRoad_act!O$20</f>
        <v>152.74117360109145</v>
      </c>
      <c r="P19" s="102">
        <f>TrRoad_act!P$20</f>
        <v>168.28588907561689</v>
      </c>
      <c r="Q19" s="102">
        <f>TrRoad_act!Q$20</f>
        <v>177.80931372232368</v>
      </c>
      <c r="R19" s="102">
        <f>TrRoad_act!R$20</f>
        <v>178.1165048428393</v>
      </c>
      <c r="S19" s="102">
        <f>TrRoad_act!S$20</f>
        <v>186.07935601220535</v>
      </c>
      <c r="T19" s="102">
        <f>TrRoad_act!T$20</f>
        <v>190.2869287172359</v>
      </c>
      <c r="U19" s="102">
        <f>TrRoad_act!U$20</f>
        <v>196.48442911735546</v>
      </c>
      <c r="V19" s="102">
        <f>TrRoad_act!V$20</f>
        <v>202.92432313456737</v>
      </c>
      <c r="W19" s="102">
        <f>TrRoad_act!W$20</f>
        <v>209.64643242927303</v>
      </c>
      <c r="X19" s="102">
        <f>TrRoad_act!X$20</f>
        <v>215.47360487300227</v>
      </c>
      <c r="Y19" s="102">
        <f>TrRoad_act!Y$20</f>
        <v>221.88555396534491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2207.2412102962708</v>
      </c>
      <c r="C20" s="102">
        <f>TrRoad_act!C$26</f>
        <v>2419.7472295434741</v>
      </c>
      <c r="D20" s="102">
        <f>TrRoad_act!D$26</f>
        <v>2787.4568466472688</v>
      </c>
      <c r="E20" s="102">
        <f>TrRoad_act!E$26</f>
        <v>3198.717333757781</v>
      </c>
      <c r="F20" s="102">
        <f>TrRoad_act!F$26</f>
        <v>3347.6502694751111</v>
      </c>
      <c r="G20" s="102">
        <f>TrRoad_act!G$26</f>
        <v>3736.019029695376</v>
      </c>
      <c r="H20" s="102">
        <f>TrRoad_act!H$26</f>
        <v>3948.4290348493487</v>
      </c>
      <c r="I20" s="102">
        <f>TrRoad_act!I$26</f>
        <v>4407.3087578065179</v>
      </c>
      <c r="J20" s="102">
        <f>TrRoad_act!J$26</f>
        <v>3885.788787028725</v>
      </c>
      <c r="K20" s="102">
        <f>TrRoad_act!K$26</f>
        <v>3210.8269453857815</v>
      </c>
      <c r="L20" s="102">
        <f>TrRoad_act!L$26</f>
        <v>3742.3899740928327</v>
      </c>
      <c r="M20" s="102">
        <f>TrRoad_act!M$26</f>
        <v>4007.6752394153791</v>
      </c>
      <c r="N20" s="102">
        <f>TrRoad_act!N$26</f>
        <v>4122.4687058952077</v>
      </c>
      <c r="O20" s="102">
        <f>TrRoad_act!O$26</f>
        <v>4535.3622032258327</v>
      </c>
      <c r="P20" s="102">
        <f>TrRoad_act!P$26</f>
        <v>4496.0255062688475</v>
      </c>
      <c r="Q20" s="102">
        <f>TrRoad_act!Q$26</f>
        <v>4797.2620031938141</v>
      </c>
      <c r="R20" s="102">
        <f>TrRoad_act!R$26</f>
        <v>4854.7685600879104</v>
      </c>
      <c r="S20" s="102">
        <f>TrRoad_act!S$26</f>
        <v>5276.7113811710815</v>
      </c>
      <c r="T20" s="102">
        <f>TrRoad_act!T$26</f>
        <v>5687</v>
      </c>
      <c r="U20" s="102">
        <f>TrRoad_act!U$26</f>
        <v>5382</v>
      </c>
      <c r="V20" s="102">
        <f>TrRoad_act!V$26</f>
        <v>6149</v>
      </c>
      <c r="W20" s="102">
        <f>TrRoad_act!W$26</f>
        <v>6417</v>
      </c>
      <c r="X20" s="102">
        <f>TrRoad_act!X$26</f>
        <v>6523</v>
      </c>
      <c r="Y20" s="102">
        <f>TrRoad_act!Y$26</f>
        <v>6602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13309.999999999998</v>
      </c>
      <c r="C21" s="110">
        <f>TrRail_act!C$10</f>
        <v>14179.999999999998</v>
      </c>
      <c r="D21" s="110">
        <f>TrRail_act!D$10</f>
        <v>15020.000000000004</v>
      </c>
      <c r="E21" s="110">
        <f>TrRail_act!E$10</f>
        <v>17955.000000000004</v>
      </c>
      <c r="F21" s="110">
        <f>TrRail_act!F$10</f>
        <v>18618</v>
      </c>
      <c r="G21" s="110">
        <f>TrRail_act!G$10</f>
        <v>19779</v>
      </c>
      <c r="H21" s="110">
        <f>TrRail_act!H$10</f>
        <v>16830.999999999996</v>
      </c>
      <c r="I21" s="110">
        <f>TrRail_act!I$10</f>
        <v>18313</v>
      </c>
      <c r="J21" s="110">
        <f>TrRail_act!J$10</f>
        <v>19581</v>
      </c>
      <c r="K21" s="110">
        <f>TrRail_act!K$10</f>
        <v>18725</v>
      </c>
      <c r="L21" s="110">
        <f>TrRail_act!L$10</f>
        <v>17179</v>
      </c>
      <c r="M21" s="110">
        <f>TrRail_act!M$10</f>
        <v>21410</v>
      </c>
      <c r="N21" s="110">
        <f>TrRail_act!N$10</f>
        <v>21867</v>
      </c>
      <c r="O21" s="110">
        <f>TrRail_act!O$10</f>
        <v>19532</v>
      </c>
      <c r="P21" s="110">
        <f>TrRail_act!P$10</f>
        <v>19440.999999999996</v>
      </c>
      <c r="Q21" s="110">
        <f>TrRail_act!Q$10</f>
        <v>18906</v>
      </c>
      <c r="R21" s="110">
        <f>TrRail_act!R$10</f>
        <v>15873</v>
      </c>
      <c r="S21" s="110">
        <f>TrRail_act!S$10</f>
        <v>15013.999999999998</v>
      </c>
      <c r="T21" s="110">
        <f>TrRail_act!T$10</f>
        <v>17859</v>
      </c>
      <c r="U21" s="110">
        <f>TrRail_act!U$10</f>
        <v>15019</v>
      </c>
      <c r="V21" s="110">
        <f>TrRail_act!V$10</f>
        <v>7979</v>
      </c>
      <c r="W21" s="110">
        <f>TrRail_act!W$10</f>
        <v>7366.9999999999991</v>
      </c>
      <c r="X21" s="110">
        <f>TrRail_act!X$10</f>
        <v>7409.9999999999991</v>
      </c>
      <c r="Y21" s="110">
        <f>TrRail_act!Y$10</f>
        <v>5191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2.8537021294664258</v>
      </c>
      <c r="C22" s="110">
        <f t="shared" ref="C22:V22" si="19">C23+C24+C25</f>
        <v>3.1751379974193021</v>
      </c>
      <c r="D22" s="110">
        <f t="shared" si="19"/>
        <v>3.3928566810112604</v>
      </c>
      <c r="E22" s="110">
        <f t="shared" si="19"/>
        <v>3.0779626673337948</v>
      </c>
      <c r="F22" s="110">
        <f t="shared" si="19"/>
        <v>3.2915477003282962</v>
      </c>
      <c r="G22" s="110">
        <f t="shared" si="19"/>
        <v>5.0038006524896872</v>
      </c>
      <c r="H22" s="110">
        <f t="shared" si="19"/>
        <v>5.7223642731100739</v>
      </c>
      <c r="I22" s="110">
        <f t="shared" si="19"/>
        <v>7.1550004965788521</v>
      </c>
      <c r="J22" s="110">
        <f t="shared" si="19"/>
        <v>9.1670728883256594</v>
      </c>
      <c r="K22" s="110">
        <f t="shared" si="19"/>
        <v>12.152255024536395</v>
      </c>
      <c r="L22" s="110">
        <f t="shared" si="19"/>
        <v>19.159841268368513</v>
      </c>
      <c r="M22" s="110">
        <f t="shared" si="19"/>
        <v>18.735865685919467</v>
      </c>
      <c r="N22" s="110">
        <f t="shared" si="19"/>
        <v>119.14654533621115</v>
      </c>
      <c r="O22" s="110">
        <f t="shared" si="19"/>
        <v>193.6500819497906</v>
      </c>
      <c r="P22" s="110">
        <f t="shared" si="19"/>
        <v>104.71908175504353</v>
      </c>
      <c r="Q22" s="110">
        <f t="shared" si="19"/>
        <v>33.695872543153776</v>
      </c>
      <c r="R22" s="110">
        <f t="shared" si="19"/>
        <v>29.106015589528909</v>
      </c>
      <c r="S22" s="110">
        <f t="shared" si="19"/>
        <v>29.375698084623554</v>
      </c>
      <c r="T22" s="110">
        <f t="shared" si="19"/>
        <v>27.055040495920231</v>
      </c>
      <c r="U22" s="110">
        <f t="shared" si="19"/>
        <v>49.811218862680839</v>
      </c>
      <c r="V22" s="110">
        <f t="shared" si="19"/>
        <v>12.7621124064061</v>
      </c>
      <c r="W22" s="110">
        <f t="shared" ref="W22:Y22" si="20">W23+W24+W25</f>
        <v>12.756985774740762</v>
      </c>
      <c r="X22" s="110">
        <f t="shared" si="20"/>
        <v>14.719910225693347</v>
      </c>
      <c r="Y22" s="110">
        <f t="shared" si="20"/>
        <v>14.149270314401942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1.0830458237890042</v>
      </c>
      <c r="C24" s="102">
        <f>TrAvia_act!C$10</f>
        <v>1.0545583749410039</v>
      </c>
      <c r="D24" s="102">
        <f>TrAvia_act!D$10</f>
        <v>1.1403746386441806</v>
      </c>
      <c r="E24" s="102">
        <f>TrAvia_act!E$10</f>
        <v>1.0312965328588988</v>
      </c>
      <c r="F24" s="102">
        <f>TrAvia_act!F$10</f>
        <v>1.0843827323369937</v>
      </c>
      <c r="G24" s="102">
        <f>TrAvia_act!G$10</f>
        <v>1.6380599985779472</v>
      </c>
      <c r="H24" s="102">
        <f>TrAvia_act!H$10</f>
        <v>1.7235030798892581</v>
      </c>
      <c r="I24" s="102">
        <f>TrAvia_act!I$10</f>
        <v>1.6829647916586563</v>
      </c>
      <c r="J24" s="102">
        <f>TrAvia_act!J$10</f>
        <v>2.0490427116657979</v>
      </c>
      <c r="K24" s="102">
        <f>TrAvia_act!K$10</f>
        <v>3.8399526637018138</v>
      </c>
      <c r="L24" s="102">
        <f>TrAvia_act!L$10</f>
        <v>5.3838840742339729</v>
      </c>
      <c r="M24" s="102">
        <f>TrAvia_act!M$10</f>
        <v>4.9229984565602321</v>
      </c>
      <c r="N24" s="102">
        <f>TrAvia_act!N$10</f>
        <v>5.0402729158707809</v>
      </c>
      <c r="O24" s="102">
        <f>TrAvia_act!O$10</f>
        <v>5.7479161689905247</v>
      </c>
      <c r="P24" s="102">
        <f>TrAvia_act!P$10</f>
        <v>6.5127203006673868</v>
      </c>
      <c r="Q24" s="102">
        <f>TrAvia_act!Q$10</f>
        <v>5.9394069344369598</v>
      </c>
      <c r="R24" s="102">
        <f>TrAvia_act!R$10</f>
        <v>5.829415486512576</v>
      </c>
      <c r="S24" s="102">
        <f>TrAvia_act!S$10</f>
        <v>5.9227820092203372</v>
      </c>
      <c r="T24" s="102">
        <f>TrAvia_act!T$10</f>
        <v>6.1454202957928459</v>
      </c>
      <c r="U24" s="102">
        <f>TrAvia_act!U$10</f>
        <v>7.9099064054750672</v>
      </c>
      <c r="V24" s="102">
        <f>TrAvia_act!V$10</f>
        <v>5.806394007958664</v>
      </c>
      <c r="W24" s="102">
        <f>TrAvia_act!W$10</f>
        <v>7.7921574570286349</v>
      </c>
      <c r="X24" s="102">
        <f>TrAvia_act!X$10</f>
        <v>9.4023425980595263</v>
      </c>
      <c r="Y24" s="102">
        <f>TrAvia_act!Y$10</f>
        <v>9.6999087296378672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1.7706563056774216</v>
      </c>
      <c r="C25" s="102">
        <f>TrAvia_act!C$11</f>
        <v>2.1205796224782985</v>
      </c>
      <c r="D25" s="102">
        <f>TrAvia_act!D$11</f>
        <v>2.2524820423670797</v>
      </c>
      <c r="E25" s="102">
        <f>TrAvia_act!E$11</f>
        <v>2.0466661344748962</v>
      </c>
      <c r="F25" s="102">
        <f>TrAvia_act!F$11</f>
        <v>2.2071649679913028</v>
      </c>
      <c r="G25" s="102">
        <f>TrAvia_act!G$11</f>
        <v>3.3657406539117396</v>
      </c>
      <c r="H25" s="102">
        <f>TrAvia_act!H$11</f>
        <v>3.9988611932208156</v>
      </c>
      <c r="I25" s="102">
        <f>TrAvia_act!I$11</f>
        <v>5.472035704920196</v>
      </c>
      <c r="J25" s="102">
        <f>TrAvia_act!J$11</f>
        <v>7.118030176659861</v>
      </c>
      <c r="K25" s="102">
        <f>TrAvia_act!K$11</f>
        <v>8.3123023608345807</v>
      </c>
      <c r="L25" s="102">
        <f>TrAvia_act!L$11</f>
        <v>13.775957194134541</v>
      </c>
      <c r="M25" s="102">
        <f>TrAvia_act!M$11</f>
        <v>13.812867229359234</v>
      </c>
      <c r="N25" s="102">
        <f>TrAvia_act!N$11</f>
        <v>114.10627242034036</v>
      </c>
      <c r="O25" s="102">
        <f>TrAvia_act!O$11</f>
        <v>187.90216578080009</v>
      </c>
      <c r="P25" s="102">
        <f>TrAvia_act!P$11</f>
        <v>98.20636145437615</v>
      </c>
      <c r="Q25" s="102">
        <f>TrAvia_act!Q$11</f>
        <v>27.756465608716816</v>
      </c>
      <c r="R25" s="102">
        <f>TrAvia_act!R$11</f>
        <v>23.276600103016332</v>
      </c>
      <c r="S25" s="102">
        <f>TrAvia_act!S$11</f>
        <v>23.452916075403216</v>
      </c>
      <c r="T25" s="102">
        <f>TrAvia_act!T$11</f>
        <v>20.909620200127385</v>
      </c>
      <c r="U25" s="102">
        <f>TrAvia_act!U$11</f>
        <v>41.901312457205769</v>
      </c>
      <c r="V25" s="102">
        <f>TrAvia_act!V$11</f>
        <v>6.9557183984474369</v>
      </c>
      <c r="W25" s="102">
        <f>TrAvia_act!W$11</f>
        <v>4.9648283177121284</v>
      </c>
      <c r="X25" s="102">
        <f>TrAvia_act!X$11</f>
        <v>5.31756762763382</v>
      </c>
      <c r="Y25" s="102">
        <f>TrAvia_act!Y$11</f>
        <v>4.4493615847640742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0</v>
      </c>
      <c r="H26" s="110">
        <f t="shared" si="21"/>
        <v>0</v>
      </c>
      <c r="I26" s="110">
        <f t="shared" si="21"/>
        <v>6.3339999999999996</v>
      </c>
      <c r="J26" s="110">
        <f t="shared" si="21"/>
        <v>7.89</v>
      </c>
      <c r="K26" s="110">
        <f t="shared" si="21"/>
        <v>13.057</v>
      </c>
      <c r="L26" s="110">
        <f t="shared" si="21"/>
        <v>8.6120000000000001</v>
      </c>
      <c r="M26" s="110">
        <f t="shared" si="21"/>
        <v>10.279</v>
      </c>
      <c r="N26" s="110">
        <f t="shared" si="21"/>
        <v>12.779</v>
      </c>
      <c r="O26" s="110">
        <f t="shared" si="21"/>
        <v>22.446000000000002</v>
      </c>
      <c r="P26" s="110">
        <f t="shared" si="21"/>
        <v>8.1120000000000001</v>
      </c>
      <c r="Q26" s="110">
        <f t="shared" si="21"/>
        <v>7.3339999999999996</v>
      </c>
      <c r="R26" s="110">
        <f t="shared" ref="R26:V26" si="22">R27+R28</f>
        <v>14.89</v>
      </c>
      <c r="S26" s="110">
        <f t="shared" si="22"/>
        <v>18.113</v>
      </c>
      <c r="T26" s="110">
        <f t="shared" si="22"/>
        <v>7.1120000000000001</v>
      </c>
      <c r="U26" s="110">
        <f t="shared" si="22"/>
        <v>4.0670000000000002</v>
      </c>
      <c r="V26" s="110">
        <f t="shared" si="22"/>
        <v>2</v>
      </c>
      <c r="W26" s="110">
        <f t="shared" ref="W26:Y26" si="23">W27+W28</f>
        <v>2</v>
      </c>
      <c r="X26" s="110">
        <f t="shared" si="23"/>
        <v>1.383</v>
      </c>
      <c r="Y26" s="110">
        <f t="shared" si="23"/>
        <v>0.78700000000000003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6.3339999999999996</v>
      </c>
      <c r="J27" s="102">
        <f>TrNavi_act!J4</f>
        <v>7.89</v>
      </c>
      <c r="K27" s="102">
        <f>TrNavi_act!K4</f>
        <v>13.057</v>
      </c>
      <c r="L27" s="102">
        <f>TrNavi_act!L4</f>
        <v>8.6120000000000001</v>
      </c>
      <c r="M27" s="102">
        <f>TrNavi_act!M4</f>
        <v>10.279</v>
      </c>
      <c r="N27" s="102">
        <f>TrNavi_act!N4</f>
        <v>12.779</v>
      </c>
      <c r="O27" s="102">
        <f>TrNavi_act!O4</f>
        <v>22.446000000000002</v>
      </c>
      <c r="P27" s="102">
        <f>TrNavi_act!P4</f>
        <v>8.1120000000000001</v>
      </c>
      <c r="Q27" s="102">
        <f>TrNavi_act!Q4</f>
        <v>7.3339999999999996</v>
      </c>
      <c r="R27" s="102">
        <f>TrNavi_act!R4</f>
        <v>14.89</v>
      </c>
      <c r="S27" s="102">
        <f>TrNavi_act!S4</f>
        <v>18.113</v>
      </c>
      <c r="T27" s="102">
        <f>TrNavi_act!T4</f>
        <v>7.1120000000000001</v>
      </c>
      <c r="U27" s="102">
        <f>TrNavi_act!U4</f>
        <v>4.0670000000000002</v>
      </c>
      <c r="V27" s="102">
        <f>TrNavi_act!V4</f>
        <v>2</v>
      </c>
      <c r="W27" s="102">
        <f>TrNavi_act!W4</f>
        <v>2</v>
      </c>
      <c r="X27" s="102">
        <f>TrNavi_act!X4</f>
        <v>1.383</v>
      </c>
      <c r="Y27" s="102">
        <f>TrNavi_act!Y4</f>
        <v>0.78700000000000003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4288.4926020000003</v>
      </c>
      <c r="C29" s="28">
        <f t="shared" si="24"/>
        <v>101985.239049</v>
      </c>
      <c r="D29" s="28">
        <f t="shared" si="24"/>
        <v>107530.16257700001</v>
      </c>
      <c r="E29" s="28">
        <f t="shared" si="24"/>
        <v>98245.808151999983</v>
      </c>
      <c r="F29" s="28">
        <f t="shared" si="24"/>
        <v>105851.444636</v>
      </c>
      <c r="G29" s="28">
        <f t="shared" si="24"/>
        <v>119932.13797499999</v>
      </c>
      <c r="H29" s="28">
        <f t="shared" si="24"/>
        <v>100030.949353</v>
      </c>
      <c r="I29" s="28">
        <f t="shared" si="24"/>
        <v>112920.476115</v>
      </c>
      <c r="J29" s="28">
        <f t="shared" si="24"/>
        <v>110948.830952</v>
      </c>
      <c r="K29" s="28">
        <f t="shared" si="24"/>
        <v>101306.87721799999</v>
      </c>
      <c r="L29" s="28">
        <f t="shared" si="24"/>
        <v>107562.18078</v>
      </c>
      <c r="M29" s="28">
        <f t="shared" si="24"/>
        <v>126113.200302</v>
      </c>
      <c r="N29" s="28">
        <f t="shared" si="24"/>
        <v>131476.025872</v>
      </c>
      <c r="O29" s="28">
        <f t="shared" si="24"/>
        <v>119177.62246799999</v>
      </c>
      <c r="P29" s="28">
        <f t="shared" si="24"/>
        <v>134360.13784000001</v>
      </c>
      <c r="Q29" s="28">
        <f t="shared" si="24"/>
        <v>119869.522547</v>
      </c>
      <c r="R29" s="28">
        <f t="shared" si="24"/>
        <v>116821.87101599999</v>
      </c>
      <c r="S29" s="28">
        <f t="shared" si="24"/>
        <v>130645.24275599999</v>
      </c>
      <c r="T29" s="28">
        <f t="shared" si="24"/>
        <v>141285.69400000002</v>
      </c>
      <c r="U29" s="28">
        <f t="shared" si="24"/>
        <v>137440.237368</v>
      </c>
      <c r="V29" s="28">
        <f t="shared" si="24"/>
        <v>83296.399892000001</v>
      </c>
      <c r="W29" s="28">
        <f t="shared" si="24"/>
        <v>81215.367035000003</v>
      </c>
      <c r="X29" s="28">
        <f t="shared" ref="X29:Y29" si="25">X30+X31</f>
        <v>108539.14563399999</v>
      </c>
      <c r="Y29" s="28">
        <f t="shared" si="25"/>
        <v>84280.076426999993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1370.3728550000001</v>
      </c>
      <c r="C30" s="102">
        <f>MBunk_act!C$4</f>
        <v>32073.064358</v>
      </c>
      <c r="D30" s="102">
        <f>MBunk_act!D$4</f>
        <v>33822.950973999999</v>
      </c>
      <c r="E30" s="102">
        <f>MBunk_act!E$4</f>
        <v>30969.809658999999</v>
      </c>
      <c r="F30" s="102">
        <f>MBunk_act!F$4</f>
        <v>33351.603072999998</v>
      </c>
      <c r="G30" s="102">
        <f>MBunk_act!G$4</f>
        <v>33958.098384000004</v>
      </c>
      <c r="H30" s="102">
        <f>MBunk_act!H$4</f>
        <v>29580.380675999997</v>
      </c>
      <c r="I30" s="102">
        <f>MBunk_act!I$4</f>
        <v>33430.414885999999</v>
      </c>
      <c r="J30" s="102">
        <f>MBunk_act!J$4</f>
        <v>32232.671020999998</v>
      </c>
      <c r="K30" s="102">
        <f>MBunk_act!K$4</f>
        <v>30869.400887</v>
      </c>
      <c r="L30" s="102">
        <f>MBunk_act!L$4</f>
        <v>35311.405552999997</v>
      </c>
      <c r="M30" s="102">
        <f>MBunk_act!M$4</f>
        <v>37898.372835000002</v>
      </c>
      <c r="N30" s="102">
        <f>MBunk_act!N$4</f>
        <v>47455.024133999999</v>
      </c>
      <c r="O30" s="102">
        <f>MBunk_act!O$4</f>
        <v>47431.141374999999</v>
      </c>
      <c r="P30" s="102">
        <f>MBunk_act!P$4</f>
        <v>47906.953981999999</v>
      </c>
      <c r="Q30" s="102">
        <f>MBunk_act!Q$4</f>
        <v>46593.653965999998</v>
      </c>
      <c r="R30" s="102">
        <f>MBunk_act!R$4</f>
        <v>43821.274219999999</v>
      </c>
      <c r="S30" s="102">
        <f>MBunk_act!S$4</f>
        <v>43190.227084999999</v>
      </c>
      <c r="T30" s="102">
        <f>MBunk_act!T$4</f>
        <v>41300.555678000004</v>
      </c>
      <c r="U30" s="102">
        <f>MBunk_act!U$4</f>
        <v>33513.597422999999</v>
      </c>
      <c r="V30" s="102">
        <f>MBunk_act!V$4</f>
        <v>20156.901355999998</v>
      </c>
      <c r="W30" s="102">
        <f>MBunk_act!W$4</f>
        <v>16620.302876000002</v>
      </c>
      <c r="X30" s="102">
        <f>MBunk_act!X$4</f>
        <v>23308.090088000001</v>
      </c>
      <c r="Y30" s="102">
        <f>MBunk_act!Y$4</f>
        <v>17142.21444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2918.1197470000002</v>
      </c>
      <c r="C31" s="86">
        <f>MBunk_act!C$5</f>
        <v>69912.174690999993</v>
      </c>
      <c r="D31" s="86">
        <f>MBunk_act!D$5</f>
        <v>73707.211603000003</v>
      </c>
      <c r="E31" s="86">
        <f>MBunk_act!E$5</f>
        <v>67275.998492999992</v>
      </c>
      <c r="F31" s="86">
        <f>MBunk_act!F$5</f>
        <v>72499.841563000009</v>
      </c>
      <c r="G31" s="86">
        <f>MBunk_act!G$5</f>
        <v>85974.039590999993</v>
      </c>
      <c r="H31" s="86">
        <f>MBunk_act!H$5</f>
        <v>70450.568677000003</v>
      </c>
      <c r="I31" s="86">
        <f>MBunk_act!I$5</f>
        <v>79490.061228999999</v>
      </c>
      <c r="J31" s="86">
        <f>MBunk_act!J$5</f>
        <v>78716.159931000002</v>
      </c>
      <c r="K31" s="86">
        <f>MBunk_act!K$5</f>
        <v>70437.476330999998</v>
      </c>
      <c r="L31" s="86">
        <f>MBunk_act!L$5</f>
        <v>72250.775227000006</v>
      </c>
      <c r="M31" s="86">
        <f>MBunk_act!M$5</f>
        <v>88214.827466999996</v>
      </c>
      <c r="N31" s="86">
        <f>MBunk_act!N$5</f>
        <v>84021.001737999992</v>
      </c>
      <c r="O31" s="86">
        <f>MBunk_act!O$5</f>
        <v>71746.481092999995</v>
      </c>
      <c r="P31" s="86">
        <f>MBunk_act!P$5</f>
        <v>86453.183858000004</v>
      </c>
      <c r="Q31" s="86">
        <f>MBunk_act!Q$5</f>
        <v>73275.868581000002</v>
      </c>
      <c r="R31" s="86">
        <f>MBunk_act!R$5</f>
        <v>73000.596795999998</v>
      </c>
      <c r="S31" s="86">
        <f>MBunk_act!S$5</f>
        <v>87455.015671000001</v>
      </c>
      <c r="T31" s="86">
        <f>MBunk_act!T$5</f>
        <v>99985.138321999999</v>
      </c>
      <c r="U31" s="86">
        <f>MBunk_act!U$5</f>
        <v>103926.639945</v>
      </c>
      <c r="V31" s="86">
        <f>MBunk_act!V$5</f>
        <v>63139.498535999999</v>
      </c>
      <c r="W31" s="86">
        <f>MBunk_act!W$5</f>
        <v>64595.064159000001</v>
      </c>
      <c r="X31" s="86">
        <f>MBunk_act!X$5</f>
        <v>85231.055545999989</v>
      </c>
      <c r="Y31" s="86">
        <f>MBunk_act!Y$5</f>
        <v>67137.861986999997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508.58925028038936</v>
      </c>
      <c r="C34" s="28">
        <f t="shared" si="26"/>
        <v>549.53063138259336</v>
      </c>
      <c r="D34" s="28">
        <f t="shared" si="26"/>
        <v>553.26067264985102</v>
      </c>
      <c r="E34" s="28">
        <f t="shared" si="26"/>
        <v>588.79211476752437</v>
      </c>
      <c r="F34" s="28">
        <f t="shared" si="26"/>
        <v>620.07173247950777</v>
      </c>
      <c r="G34" s="28">
        <f t="shared" si="26"/>
        <v>643.58441499176172</v>
      </c>
      <c r="H34" s="28">
        <f t="shared" si="26"/>
        <v>724.80924884977946</v>
      </c>
      <c r="I34" s="28">
        <f t="shared" si="26"/>
        <v>802.11787199374896</v>
      </c>
      <c r="J34" s="28">
        <f t="shared" si="26"/>
        <v>786.37338103710715</v>
      </c>
      <c r="K34" s="28">
        <f t="shared" si="26"/>
        <v>724.80643686578173</v>
      </c>
      <c r="L34" s="28">
        <f t="shared" si="26"/>
        <v>742.99688906800111</v>
      </c>
      <c r="M34" s="28">
        <f t="shared" si="26"/>
        <v>708.77802008898584</v>
      </c>
      <c r="N34" s="28">
        <f t="shared" si="26"/>
        <v>687.40264196277155</v>
      </c>
      <c r="O34" s="28">
        <f t="shared" si="26"/>
        <v>692.30265179393177</v>
      </c>
      <c r="P34" s="28">
        <f t="shared" si="26"/>
        <v>729.39350570546708</v>
      </c>
      <c r="Q34" s="28">
        <f t="shared" si="26"/>
        <v>771.45249801379441</v>
      </c>
      <c r="R34" s="28">
        <f t="shared" ref="R34:V34" si="27">R35+R39+R43</f>
        <v>805.10894701618804</v>
      </c>
      <c r="S34" s="28">
        <f t="shared" si="27"/>
        <v>843.21478489208641</v>
      </c>
      <c r="T34" s="28">
        <f t="shared" si="27"/>
        <v>872.83737446920134</v>
      </c>
      <c r="U34" s="28">
        <f t="shared" si="27"/>
        <v>890.80560235300948</v>
      </c>
      <c r="V34" s="28">
        <f t="shared" si="27"/>
        <v>760.22473670057389</v>
      </c>
      <c r="W34" s="28">
        <f t="shared" ref="W34:Y34" si="28">W35+W39+W43</f>
        <v>785.13180816478189</v>
      </c>
      <c r="X34" s="28">
        <f t="shared" si="28"/>
        <v>761.69743383557727</v>
      </c>
      <c r="Y34" s="28">
        <f t="shared" si="28"/>
        <v>799.03358242542345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466.38722740836965</v>
      </c>
      <c r="C35" s="137">
        <f t="shared" si="29"/>
        <v>508.2429523385963</v>
      </c>
      <c r="D35" s="137">
        <f t="shared" si="29"/>
        <v>510.46449823557896</v>
      </c>
      <c r="E35" s="137">
        <f t="shared" si="29"/>
        <v>533.3336414373357</v>
      </c>
      <c r="F35" s="137">
        <f t="shared" si="29"/>
        <v>556.47694269673059</v>
      </c>
      <c r="G35" s="137">
        <f t="shared" si="29"/>
        <v>569.62999034124266</v>
      </c>
      <c r="H35" s="137">
        <f t="shared" si="29"/>
        <v>644.22709041600285</v>
      </c>
      <c r="I35" s="137">
        <f t="shared" si="29"/>
        <v>707.07534773555187</v>
      </c>
      <c r="J35" s="137">
        <f t="shared" si="29"/>
        <v>675.34204334954586</v>
      </c>
      <c r="K35" s="137">
        <f t="shared" si="29"/>
        <v>611.10423581666851</v>
      </c>
      <c r="L35" s="137">
        <f t="shared" si="29"/>
        <v>615.59347750059703</v>
      </c>
      <c r="M35" s="137">
        <f t="shared" si="29"/>
        <v>581.37908504681548</v>
      </c>
      <c r="N35" s="137">
        <f t="shared" si="29"/>
        <v>561.83972889536267</v>
      </c>
      <c r="O35" s="137">
        <f t="shared" si="29"/>
        <v>564.56865427420507</v>
      </c>
      <c r="P35" s="137">
        <f t="shared" si="29"/>
        <v>613.3694316409069</v>
      </c>
      <c r="Q35" s="137">
        <f t="shared" si="29"/>
        <v>654.45856262053155</v>
      </c>
      <c r="R35" s="137">
        <f t="shared" ref="R35:V35" si="30">R36+R37+R38</f>
        <v>672.76868294189558</v>
      </c>
      <c r="S35" s="137">
        <f t="shared" si="30"/>
        <v>694.37968573208093</v>
      </c>
      <c r="T35" s="137">
        <f t="shared" si="30"/>
        <v>711.19159536605571</v>
      </c>
      <c r="U35" s="137">
        <f t="shared" si="30"/>
        <v>726.44805894785156</v>
      </c>
      <c r="V35" s="137">
        <f t="shared" si="30"/>
        <v>696.19954415033271</v>
      </c>
      <c r="W35" s="137">
        <f t="shared" ref="W35:Y35" si="31">W36+W37+W38</f>
        <v>700.26954528800024</v>
      </c>
      <c r="X35" s="137">
        <f t="shared" si="31"/>
        <v>649.04917744036266</v>
      </c>
      <c r="Y35" s="137">
        <f t="shared" si="31"/>
        <v>658.54381626794657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2.8861602953090064</v>
      </c>
      <c r="C36" s="102">
        <f>TrRoad_ene!C$19</f>
        <v>2.8949703485462788</v>
      </c>
      <c r="D36" s="102">
        <f>TrRoad_ene!D$19</f>
        <v>2.8743546965070244</v>
      </c>
      <c r="E36" s="102">
        <f>TrRoad_ene!E$19</f>
        <v>2.8530400028162637</v>
      </c>
      <c r="F36" s="102">
        <f>TrRoad_ene!F$19</f>
        <v>2.8147186164833227</v>
      </c>
      <c r="G36" s="102">
        <f>TrRoad_ene!G$19</f>
        <v>2.7728418199973923</v>
      </c>
      <c r="H36" s="102">
        <f>TrRoad_ene!H$19</f>
        <v>2.6926702619985168</v>
      </c>
      <c r="I36" s="102">
        <f>TrRoad_ene!I$19</f>
        <v>2.5411758872974541</v>
      </c>
      <c r="J36" s="102">
        <f>TrRoad_ene!J$19</f>
        <v>2.3957011614168842</v>
      </c>
      <c r="K36" s="102">
        <f>TrRoad_ene!K$19</f>
        <v>2.3010816723774234</v>
      </c>
      <c r="L36" s="102">
        <f>TrRoad_ene!L$19</f>
        <v>2.2969050718183786</v>
      </c>
      <c r="M36" s="102">
        <f>TrRoad_ene!M$19</f>
        <v>2.231458968225061</v>
      </c>
      <c r="N36" s="102">
        <f>TrRoad_ene!N$19</f>
        <v>2.000571951688987</v>
      </c>
      <c r="O36" s="102">
        <f>TrRoad_ene!O$19</f>
        <v>2.041681397877456</v>
      </c>
      <c r="P36" s="102">
        <f>TrRoad_ene!P$19</f>
        <v>2.4002944443196439</v>
      </c>
      <c r="Q36" s="102">
        <f>TrRoad_ene!Q$19</f>
        <v>2.9772164748282486</v>
      </c>
      <c r="R36" s="102">
        <f>TrRoad_ene!R$19</f>
        <v>2.9020337432448171</v>
      </c>
      <c r="S36" s="102">
        <f>TrRoad_ene!S$19</f>
        <v>2.6862481509118381</v>
      </c>
      <c r="T36" s="102">
        <f>TrRoad_ene!T$19</f>
        <v>2.5227451706434154</v>
      </c>
      <c r="U36" s="102">
        <f>TrRoad_ene!U$19</f>
        <v>2.631524302329646</v>
      </c>
      <c r="V36" s="102">
        <f>TrRoad_ene!V$19</f>
        <v>2.3478812081485372</v>
      </c>
      <c r="W36" s="102">
        <f>TrRoad_ene!W$19</f>
        <v>2.5433331493441971</v>
      </c>
      <c r="X36" s="102">
        <f>TrRoad_ene!X$19</f>
        <v>2.5681368409170657</v>
      </c>
      <c r="Y36" s="102">
        <f>TrRoad_ene!Y$19</f>
        <v>2.8164960879077876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382.73994051407118</v>
      </c>
      <c r="C37" s="102">
        <f>TrRoad_ene!C$21</f>
        <v>416.22177676141456</v>
      </c>
      <c r="D37" s="102">
        <f>TrRoad_ene!D$21</f>
        <v>420.25736903141961</v>
      </c>
      <c r="E37" s="102">
        <f>TrRoad_ene!E$21</f>
        <v>437.94826415873331</v>
      </c>
      <c r="F37" s="102">
        <f>TrRoad_ene!F$21</f>
        <v>460.25780936801311</v>
      </c>
      <c r="G37" s="102">
        <f>TrRoad_ene!G$21</f>
        <v>473.56645521783605</v>
      </c>
      <c r="H37" s="102">
        <f>TrRoad_ene!H$21</f>
        <v>549.44361786040895</v>
      </c>
      <c r="I37" s="102">
        <f>TrRoad_ene!I$21</f>
        <v>612.72610508981052</v>
      </c>
      <c r="J37" s="102">
        <f>TrRoad_ene!J$21</f>
        <v>587.05051389691334</v>
      </c>
      <c r="K37" s="102">
        <f>TrRoad_ene!K$21</f>
        <v>528.01731960113295</v>
      </c>
      <c r="L37" s="102">
        <f>TrRoad_ene!L$21</f>
        <v>526.88258010174832</v>
      </c>
      <c r="M37" s="102">
        <f>TrRoad_ene!M$21</f>
        <v>501.30775251012841</v>
      </c>
      <c r="N37" s="102">
        <f>TrRoad_ene!N$21</f>
        <v>484.29380896394315</v>
      </c>
      <c r="O37" s="102">
        <f>TrRoad_ene!O$21</f>
        <v>487.96641561753626</v>
      </c>
      <c r="P37" s="102">
        <f>TrRoad_ene!P$21</f>
        <v>539.13348810771856</v>
      </c>
      <c r="Q37" s="102">
        <f>TrRoad_ene!Q$21</f>
        <v>579.84989241223445</v>
      </c>
      <c r="R37" s="102">
        <f>TrRoad_ene!R$21</f>
        <v>598.28275218876877</v>
      </c>
      <c r="S37" s="102">
        <f>TrRoad_ene!S$21</f>
        <v>618.92252760690587</v>
      </c>
      <c r="T37" s="102">
        <f>TrRoad_ene!T$21</f>
        <v>638.00370696163679</v>
      </c>
      <c r="U37" s="102">
        <f>TrRoad_ene!U$21</f>
        <v>657.21950188024198</v>
      </c>
      <c r="V37" s="102">
        <f>TrRoad_ene!V$21</f>
        <v>640.14456354727849</v>
      </c>
      <c r="W37" s="102">
        <f>TrRoad_ene!W$21</f>
        <v>649.95789425045427</v>
      </c>
      <c r="X37" s="102">
        <f>TrRoad_ene!X$21</f>
        <v>596.57167734430072</v>
      </c>
      <c r="Y37" s="102">
        <f>TrRoad_ene!Y$21</f>
        <v>605.35495378409507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80.761126598989421</v>
      </c>
      <c r="C38" s="102">
        <f>TrRoad_ene!C$33</f>
        <v>89.12620522863547</v>
      </c>
      <c r="D38" s="102">
        <f>TrRoad_ene!D$33</f>
        <v>87.332774507652331</v>
      </c>
      <c r="E38" s="102">
        <f>TrRoad_ene!E$33</f>
        <v>92.532337275786148</v>
      </c>
      <c r="F38" s="102">
        <f>TrRoad_ene!F$33</f>
        <v>93.404414712234157</v>
      </c>
      <c r="G38" s="102">
        <f>TrRoad_ene!G$33</f>
        <v>93.290693303409242</v>
      </c>
      <c r="H38" s="102">
        <f>TrRoad_ene!H$33</f>
        <v>92.090802293595388</v>
      </c>
      <c r="I38" s="102">
        <f>TrRoad_ene!I$33</f>
        <v>91.808066758443942</v>
      </c>
      <c r="J38" s="102">
        <f>TrRoad_ene!J$33</f>
        <v>85.895828291215565</v>
      </c>
      <c r="K38" s="102">
        <f>TrRoad_ene!K$33</f>
        <v>80.78583454315816</v>
      </c>
      <c r="L38" s="102">
        <f>TrRoad_ene!L$33</f>
        <v>86.413992327030286</v>
      </c>
      <c r="M38" s="102">
        <f>TrRoad_ene!M$33</f>
        <v>77.839873568462025</v>
      </c>
      <c r="N38" s="102">
        <f>TrRoad_ene!N$33</f>
        <v>75.545347979730494</v>
      </c>
      <c r="O38" s="102">
        <f>TrRoad_ene!O$33</f>
        <v>74.56055725879132</v>
      </c>
      <c r="P38" s="102">
        <f>TrRoad_ene!P$33</f>
        <v>71.835649088868678</v>
      </c>
      <c r="Q38" s="102">
        <f>TrRoad_ene!Q$33</f>
        <v>71.631453733468859</v>
      </c>
      <c r="R38" s="102">
        <f>TrRoad_ene!R$33</f>
        <v>71.583897009882037</v>
      </c>
      <c r="S38" s="102">
        <f>TrRoad_ene!S$33</f>
        <v>72.770909974263148</v>
      </c>
      <c r="T38" s="102">
        <f>TrRoad_ene!T$33</f>
        <v>70.665143233775495</v>
      </c>
      <c r="U38" s="102">
        <f>TrRoad_ene!U$33</f>
        <v>66.597032765279849</v>
      </c>
      <c r="V38" s="102">
        <f>TrRoad_ene!V$33</f>
        <v>53.70709939490569</v>
      </c>
      <c r="W38" s="102">
        <f>TrRoad_ene!W$33</f>
        <v>47.768317888201771</v>
      </c>
      <c r="X38" s="102">
        <f>TrRoad_ene!X$33</f>
        <v>49.909363255144882</v>
      </c>
      <c r="Y38" s="102">
        <f>TrRoad_ene!Y$33</f>
        <v>50.372366395943658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15.620378866693168</v>
      </c>
      <c r="C39" s="110">
        <f t="shared" si="32"/>
        <v>14.691730717499341</v>
      </c>
      <c r="D39" s="110">
        <f t="shared" si="32"/>
        <v>15.20173637443958</v>
      </c>
      <c r="E39" s="110">
        <f t="shared" si="32"/>
        <v>15.446870077149404</v>
      </c>
      <c r="F39" s="110">
        <f t="shared" si="32"/>
        <v>15.36304385871175</v>
      </c>
      <c r="G39" s="110">
        <f t="shared" si="32"/>
        <v>15.486995613477916</v>
      </c>
      <c r="H39" s="110">
        <f t="shared" si="32"/>
        <v>14.898984850922041</v>
      </c>
      <c r="I39" s="110">
        <f t="shared" si="32"/>
        <v>14.910338400278</v>
      </c>
      <c r="J39" s="110">
        <f t="shared" si="32"/>
        <v>14.551115375903873</v>
      </c>
      <c r="K39" s="110">
        <f t="shared" si="32"/>
        <v>12.521797354525157</v>
      </c>
      <c r="L39" s="110">
        <f t="shared" si="32"/>
        <v>10.980887857589098</v>
      </c>
      <c r="M39" s="110">
        <f t="shared" si="32"/>
        <v>10.937784676325244</v>
      </c>
      <c r="N39" s="110">
        <f t="shared" si="32"/>
        <v>10.527712404804321</v>
      </c>
      <c r="O39" s="110">
        <f t="shared" si="32"/>
        <v>10.240249234516313</v>
      </c>
      <c r="P39" s="110">
        <f t="shared" si="32"/>
        <v>9.4138665169191995</v>
      </c>
      <c r="Q39" s="110">
        <f t="shared" si="32"/>
        <v>11.028742623931077</v>
      </c>
      <c r="R39" s="110">
        <f t="shared" ref="R39:V39" si="33">R40+R41+R42</f>
        <v>10.816961641406783</v>
      </c>
      <c r="S39" s="110">
        <f t="shared" si="33"/>
        <v>10.382860889532866</v>
      </c>
      <c r="T39" s="110">
        <f t="shared" si="33"/>
        <v>9.8659833755554658</v>
      </c>
      <c r="U39" s="110">
        <f t="shared" si="33"/>
        <v>9.416383423828103</v>
      </c>
      <c r="V39" s="110">
        <f t="shared" si="33"/>
        <v>7.2687468319196782</v>
      </c>
      <c r="W39" s="110">
        <f t="shared" ref="W39:Y39" si="34">W40+W41+W42</f>
        <v>8.3106244485018976</v>
      </c>
      <c r="X39" s="110">
        <f t="shared" si="34"/>
        <v>8.3574076739285132</v>
      </c>
      <c r="Y39" s="110">
        <f t="shared" si="34"/>
        <v>8.9721381515510146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1.3775999255827618</v>
      </c>
      <c r="C40" s="102">
        <f>TrRail_ene!C$12</f>
        <v>1.3051791587788704</v>
      </c>
      <c r="D40" s="102">
        <f>TrRail_ene!D$12</f>
        <v>1.2632757724056511</v>
      </c>
      <c r="E40" s="102">
        <f>TrRail_ene!E$12</f>
        <v>1.1976202107606553</v>
      </c>
      <c r="F40" s="102">
        <f>TrRail_ene!F$12</f>
        <v>1.2166732916131899</v>
      </c>
      <c r="G40" s="102">
        <f>TrRail_ene!G$12</f>
        <v>1.2227640807953128</v>
      </c>
      <c r="H40" s="102">
        <f>TrRail_ene!H$12</f>
        <v>1.2010651664284575</v>
      </c>
      <c r="I40" s="102">
        <f>TrRail_ene!I$12</f>
        <v>1.2003741068608713</v>
      </c>
      <c r="J40" s="102">
        <f>TrRail_ene!J$12</f>
        <v>1.1183524524615787</v>
      </c>
      <c r="K40" s="102">
        <f>TrRail_ene!K$12</f>
        <v>0.76279432504931344</v>
      </c>
      <c r="L40" s="102">
        <f>TrRail_ene!L$12</f>
        <v>1.5697642180426288</v>
      </c>
      <c r="M40" s="102">
        <f>TrRail_ene!M$12</f>
        <v>1.6226992575053456</v>
      </c>
      <c r="N40" s="102">
        <f>TrRail_ene!N$12</f>
        <v>1.5133648880476496</v>
      </c>
      <c r="O40" s="102">
        <f>TrRail_ene!O$12</f>
        <v>1.600507197807173</v>
      </c>
      <c r="P40" s="102">
        <f>TrRail_ene!P$12</f>
        <v>1.6589641380244542</v>
      </c>
      <c r="Q40" s="102">
        <f>TrRail_ene!Q$12</f>
        <v>1.5491987277847923</v>
      </c>
      <c r="R40" s="102">
        <f>TrRail_ene!R$12</f>
        <v>1.4590821580771449</v>
      </c>
      <c r="S40" s="102">
        <f>TrRail_ene!S$12</f>
        <v>1.462020772141438</v>
      </c>
      <c r="T40" s="102">
        <f>TrRail_ene!T$12</f>
        <v>1.502421240613298</v>
      </c>
      <c r="U40" s="102">
        <f>TrRail_ene!U$12</f>
        <v>1.4036392350172648</v>
      </c>
      <c r="V40" s="102">
        <f>TrRail_ene!V$12</f>
        <v>1.2757753766548026</v>
      </c>
      <c r="W40" s="102">
        <f>TrRail_ene!W$12</f>
        <v>0.4280799130212522</v>
      </c>
      <c r="X40" s="102">
        <f>TrRail_ene!X$12</f>
        <v>0.36828240574698667</v>
      </c>
      <c r="Y40" s="102">
        <f>TrRail_ene!Y$12</f>
        <v>0.36786895668791786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14.242778941110405</v>
      </c>
      <c r="C41" s="102">
        <f>TrRail_ene!C$13</f>
        <v>13.386551558720472</v>
      </c>
      <c r="D41" s="102">
        <f>TrRail_ene!D$13</f>
        <v>13.938460602033929</v>
      </c>
      <c r="E41" s="102">
        <f>TrRail_ene!E$13</f>
        <v>14.249249866388748</v>
      </c>
      <c r="F41" s="102">
        <f>TrRail_ene!F$13</f>
        <v>14.146370567098559</v>
      </c>
      <c r="G41" s="102">
        <f>TrRail_ene!G$13</f>
        <v>14.264231532682603</v>
      </c>
      <c r="H41" s="102">
        <f>TrRail_ene!H$13</f>
        <v>13.697919684493582</v>
      </c>
      <c r="I41" s="102">
        <f>TrRail_ene!I$13</f>
        <v>13.70996429341713</v>
      </c>
      <c r="J41" s="102">
        <f>TrRail_ene!J$13</f>
        <v>13.432762923442294</v>
      </c>
      <c r="K41" s="102">
        <f>TrRail_ene!K$13</f>
        <v>11.759003029475844</v>
      </c>
      <c r="L41" s="102">
        <f>TrRail_ene!L$13</f>
        <v>9.411123639546469</v>
      </c>
      <c r="M41" s="102">
        <f>TrRail_ene!M$13</f>
        <v>9.3150854188198977</v>
      </c>
      <c r="N41" s="102">
        <f>TrRail_ene!N$13</f>
        <v>9.014347516756672</v>
      </c>
      <c r="O41" s="102">
        <f>TrRail_ene!O$13</f>
        <v>8.6397420367091389</v>
      </c>
      <c r="P41" s="102">
        <f>TrRail_ene!P$13</f>
        <v>7.7549023788947462</v>
      </c>
      <c r="Q41" s="102">
        <f>TrRail_ene!Q$13</f>
        <v>9.4795438961462839</v>
      </c>
      <c r="R41" s="102">
        <f>TrRail_ene!R$13</f>
        <v>9.3578794833296381</v>
      </c>
      <c r="S41" s="102">
        <f>TrRail_ene!S$13</f>
        <v>8.9208401173914282</v>
      </c>
      <c r="T41" s="102">
        <f>TrRail_ene!T$13</f>
        <v>8.3635621349421676</v>
      </c>
      <c r="U41" s="102">
        <f>TrRail_ene!U$13</f>
        <v>8.0127441888108386</v>
      </c>
      <c r="V41" s="102">
        <f>TrRail_ene!V$13</f>
        <v>5.9929714552648754</v>
      </c>
      <c r="W41" s="102">
        <f>TrRail_ene!W$13</f>
        <v>7.8825445354806458</v>
      </c>
      <c r="X41" s="102">
        <f>TrRail_ene!X$13</f>
        <v>7.9891252681815272</v>
      </c>
      <c r="Y41" s="102">
        <f>TrRail_ene!Y$13</f>
        <v>8.6042691948630967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26.581644005326538</v>
      </c>
      <c r="C43" s="110">
        <f t="shared" si="35"/>
        <v>26.595948326497744</v>
      </c>
      <c r="D43" s="110">
        <f t="shared" si="35"/>
        <v>27.594438039832461</v>
      </c>
      <c r="E43" s="110">
        <f t="shared" si="35"/>
        <v>40.011603253039347</v>
      </c>
      <c r="F43" s="110">
        <f t="shared" si="35"/>
        <v>48.231745924065478</v>
      </c>
      <c r="G43" s="110">
        <f t="shared" si="35"/>
        <v>58.467429037041128</v>
      </c>
      <c r="H43" s="110">
        <f t="shared" si="35"/>
        <v>65.68317358285455</v>
      </c>
      <c r="I43" s="110">
        <f t="shared" si="35"/>
        <v>80.13218585791914</v>
      </c>
      <c r="J43" s="110">
        <f t="shared" si="35"/>
        <v>96.480222311657357</v>
      </c>
      <c r="K43" s="110">
        <f t="shared" si="35"/>
        <v>101.18040369458814</v>
      </c>
      <c r="L43" s="110">
        <f t="shared" si="35"/>
        <v>116.42252370981493</v>
      </c>
      <c r="M43" s="110">
        <f t="shared" si="35"/>
        <v>116.46115036584511</v>
      </c>
      <c r="N43" s="110">
        <f t="shared" si="35"/>
        <v>115.03520066260455</v>
      </c>
      <c r="O43" s="110">
        <f t="shared" si="35"/>
        <v>117.49374828521032</v>
      </c>
      <c r="P43" s="110">
        <f t="shared" si="35"/>
        <v>106.6102075476411</v>
      </c>
      <c r="Q43" s="110">
        <f t="shared" si="35"/>
        <v>105.96519276933174</v>
      </c>
      <c r="R43" s="110">
        <f t="shared" ref="R43:V43" si="36">R44+R45+R46</f>
        <v>121.52330243288563</v>
      </c>
      <c r="S43" s="110">
        <f t="shared" si="36"/>
        <v>138.45223827047263</v>
      </c>
      <c r="T43" s="110">
        <f t="shared" si="36"/>
        <v>151.77979572759011</v>
      </c>
      <c r="U43" s="110">
        <f t="shared" si="36"/>
        <v>154.94115998132986</v>
      </c>
      <c r="V43" s="110">
        <f t="shared" si="36"/>
        <v>56.75644571832153</v>
      </c>
      <c r="W43" s="110">
        <f t="shared" ref="W43:Y43" si="37">W44+W45+W46</f>
        <v>76.551638428279702</v>
      </c>
      <c r="X43" s="110">
        <f t="shared" si="37"/>
        <v>104.29084872128617</v>
      </c>
      <c r="Y43" s="110">
        <f t="shared" si="37"/>
        <v>131.51762800592587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23.285025185641473</v>
      </c>
      <c r="C45" s="102">
        <f>TrAvia_ene!C$8</f>
        <v>23.296103341477981</v>
      </c>
      <c r="D45" s="102">
        <f>TrAvia_ene!D$8</f>
        <v>24.170520922833578</v>
      </c>
      <c r="E45" s="102">
        <f>TrAvia_ene!E$8</f>
        <v>35.04675306494449</v>
      </c>
      <c r="F45" s="102">
        <f>TrAvia_ene!F$8</f>
        <v>42.24360932458525</v>
      </c>
      <c r="G45" s="102">
        <f>TrAvia_ene!G$8</f>
        <v>52.212498980993139</v>
      </c>
      <c r="H45" s="102">
        <f>TrAvia_ene!H$8</f>
        <v>59.667262118784592</v>
      </c>
      <c r="I45" s="102">
        <f>TrAvia_ene!I$8</f>
        <v>73.127106212733068</v>
      </c>
      <c r="J45" s="102">
        <f>TrAvia_ene!J$8</f>
        <v>87.863232144406027</v>
      </c>
      <c r="K45" s="102">
        <f>TrAvia_ene!K$8</f>
        <v>92.033046400940947</v>
      </c>
      <c r="L45" s="102">
        <f>TrAvia_ene!L$8</f>
        <v>106.76363844025467</v>
      </c>
      <c r="M45" s="102">
        <f>TrAvia_ene!M$8</f>
        <v>106.7743929672332</v>
      </c>
      <c r="N45" s="102">
        <f>TrAvia_ene!N$8</f>
        <v>104.98591330453017</v>
      </c>
      <c r="O45" s="102">
        <f>TrAvia_ene!O$8</f>
        <v>107.42971621910294</v>
      </c>
      <c r="P45" s="102">
        <f>TrAvia_ene!P$8</f>
        <v>97.499671925993553</v>
      </c>
      <c r="Q45" s="102">
        <f>TrAvia_ene!Q$8</f>
        <v>97.410947927689648</v>
      </c>
      <c r="R45" s="102">
        <f>TrAvia_ene!R$8</f>
        <v>112.11108321571366</v>
      </c>
      <c r="S45" s="102">
        <f>TrAvia_ene!S$8</f>
        <v>128.33618739610699</v>
      </c>
      <c r="T45" s="102">
        <f>TrAvia_ene!T$8</f>
        <v>140.94188697335994</v>
      </c>
      <c r="U45" s="102">
        <f>TrAvia_ene!U$8</f>
        <v>143.79978834846168</v>
      </c>
      <c r="V45" s="102">
        <f>TrAvia_ene!V$8</f>
        <v>50.48974395800871</v>
      </c>
      <c r="W45" s="102">
        <f>TrAvia_ene!W$8</f>
        <v>69.032562733607918</v>
      </c>
      <c r="X45" s="102">
        <f>TrAvia_ene!X$8</f>
        <v>96.423104299405225</v>
      </c>
      <c r="Y45" s="102">
        <f>TrAvia_ene!Y$8</f>
        <v>121.33061790315894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3.2966188196850665</v>
      </c>
      <c r="C46" s="102">
        <f>TrAvia_ene!C$9</f>
        <v>3.2998449850197646</v>
      </c>
      <c r="D46" s="102">
        <f>TrAvia_ene!D$9</f>
        <v>3.4239171169988847</v>
      </c>
      <c r="E46" s="102">
        <f>TrAvia_ene!E$9</f>
        <v>4.9648501880948581</v>
      </c>
      <c r="F46" s="102">
        <f>TrAvia_ene!F$9</f>
        <v>5.9881365994802298</v>
      </c>
      <c r="G46" s="102">
        <f>TrAvia_ene!G$9</f>
        <v>6.2549300560479875</v>
      </c>
      <c r="H46" s="102">
        <f>TrAvia_ene!H$9</f>
        <v>6.0159114640699594</v>
      </c>
      <c r="I46" s="102">
        <f>TrAvia_ene!I$9</f>
        <v>7.005079645186072</v>
      </c>
      <c r="J46" s="102">
        <f>TrAvia_ene!J$9</f>
        <v>8.6169901672513287</v>
      </c>
      <c r="K46" s="102">
        <f>TrAvia_ene!K$9</f>
        <v>9.1473572936471932</v>
      </c>
      <c r="L46" s="102">
        <f>TrAvia_ene!L$9</f>
        <v>9.6588852695602547</v>
      </c>
      <c r="M46" s="102">
        <f>TrAvia_ene!M$9</f>
        <v>9.6867573986119169</v>
      </c>
      <c r="N46" s="102">
        <f>TrAvia_ene!N$9</f>
        <v>10.049287358074382</v>
      </c>
      <c r="O46" s="102">
        <f>TrAvia_ene!O$9</f>
        <v>10.064032066107368</v>
      </c>
      <c r="P46" s="102">
        <f>TrAvia_ene!P$9</f>
        <v>9.1105356216475393</v>
      </c>
      <c r="Q46" s="102">
        <f>TrAvia_ene!Q$9</f>
        <v>8.5542448416420882</v>
      </c>
      <c r="R46" s="102">
        <f>TrAvia_ene!R$9</f>
        <v>9.4122192171719732</v>
      </c>
      <c r="S46" s="102">
        <f>TrAvia_ene!S$9</f>
        <v>10.116050874365648</v>
      </c>
      <c r="T46" s="102">
        <f>TrAvia_ene!T$9</f>
        <v>10.837908754230156</v>
      </c>
      <c r="U46" s="102">
        <f>TrAvia_ene!U$9</f>
        <v>11.141371632868172</v>
      </c>
      <c r="V46" s="102">
        <f>TrAvia_ene!V$9</f>
        <v>6.266701760312821</v>
      </c>
      <c r="W46" s="102">
        <f>TrAvia_ene!W$9</f>
        <v>7.5190756946717903</v>
      </c>
      <c r="X46" s="102">
        <f>TrAvia_ene!X$9</f>
        <v>7.8677444218809409</v>
      </c>
      <c r="Y46" s="102">
        <f>TrAvia_ene!Y$9</f>
        <v>10.187010102766925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230.71778679517692</v>
      </c>
      <c r="C47" s="28">
        <f t="shared" si="38"/>
        <v>317.12703998201499</v>
      </c>
      <c r="D47" s="28">
        <f t="shared" si="38"/>
        <v>338.58076151734457</v>
      </c>
      <c r="E47" s="28">
        <f t="shared" si="38"/>
        <v>362.26870765292432</v>
      </c>
      <c r="F47" s="28">
        <f t="shared" si="38"/>
        <v>384.11597806731294</v>
      </c>
      <c r="G47" s="28">
        <f t="shared" si="38"/>
        <v>414.62170777335973</v>
      </c>
      <c r="H47" s="28">
        <f t="shared" si="38"/>
        <v>443.86188818913263</v>
      </c>
      <c r="I47" s="28">
        <f t="shared" si="38"/>
        <v>523.28335085496553</v>
      </c>
      <c r="J47" s="28">
        <f t="shared" si="38"/>
        <v>486.52013138253648</v>
      </c>
      <c r="K47" s="28">
        <f t="shared" si="38"/>
        <v>412.57830859503781</v>
      </c>
      <c r="L47" s="28">
        <f t="shared" si="38"/>
        <v>455.04230751886172</v>
      </c>
      <c r="M47" s="28">
        <f t="shared" si="38"/>
        <v>370.63075752137314</v>
      </c>
      <c r="N47" s="28">
        <f t="shared" si="38"/>
        <v>356.30981093189081</v>
      </c>
      <c r="O47" s="28">
        <f t="shared" si="38"/>
        <v>365.77753548486373</v>
      </c>
      <c r="P47" s="28">
        <f t="shared" si="38"/>
        <v>358.70702804556896</v>
      </c>
      <c r="Q47" s="28">
        <f t="shared" si="38"/>
        <v>374.28944989622801</v>
      </c>
      <c r="R47" s="28">
        <f t="shared" ref="R47:V47" si="39">R48+R51+R52+R56</f>
        <v>352.45192293566237</v>
      </c>
      <c r="S47" s="28">
        <f t="shared" si="39"/>
        <v>376.73120957588719</v>
      </c>
      <c r="T47" s="28">
        <f t="shared" si="39"/>
        <v>389.8250764191875</v>
      </c>
      <c r="U47" s="28">
        <f t="shared" si="39"/>
        <v>366.17245087161325</v>
      </c>
      <c r="V47" s="28">
        <f t="shared" si="39"/>
        <v>344.54070358093708</v>
      </c>
      <c r="W47" s="28">
        <f t="shared" ref="W47:Y47" si="40">W48+W51+W52+W56</f>
        <v>372.15957830349612</v>
      </c>
      <c r="X47" s="28">
        <f t="shared" si="40"/>
        <v>367.07114242952656</v>
      </c>
      <c r="Y47" s="28">
        <f t="shared" si="40"/>
        <v>357.71125586725771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176.85953451672373</v>
      </c>
      <c r="C48" s="137">
        <f t="shared" si="41"/>
        <v>260.41076373796392</v>
      </c>
      <c r="D48" s="137">
        <f t="shared" si="41"/>
        <v>279.4685954329064</v>
      </c>
      <c r="E48" s="137">
        <f t="shared" si="41"/>
        <v>293.02124805104086</v>
      </c>
      <c r="F48" s="137">
        <f t="shared" si="41"/>
        <v>312.7185924416637</v>
      </c>
      <c r="G48" s="137">
        <f t="shared" si="41"/>
        <v>343.09152365345744</v>
      </c>
      <c r="H48" s="137">
        <f t="shared" si="41"/>
        <v>381.96958402617662</v>
      </c>
      <c r="I48" s="137">
        <f t="shared" si="41"/>
        <v>454.29861801943952</v>
      </c>
      <c r="J48" s="137">
        <f t="shared" si="41"/>
        <v>415.65258686889399</v>
      </c>
      <c r="K48" s="137">
        <f t="shared" si="41"/>
        <v>342.52393182815797</v>
      </c>
      <c r="L48" s="137">
        <f t="shared" si="41"/>
        <v>389.29748176898289</v>
      </c>
      <c r="M48" s="137">
        <f t="shared" si="41"/>
        <v>294.98549651883161</v>
      </c>
      <c r="N48" s="137">
        <f t="shared" si="41"/>
        <v>273.73721239138905</v>
      </c>
      <c r="O48" s="137">
        <f t="shared" si="41"/>
        <v>286.28169637518374</v>
      </c>
      <c r="P48" s="137">
        <f t="shared" si="41"/>
        <v>287.04743916945853</v>
      </c>
      <c r="Q48" s="137">
        <f t="shared" si="41"/>
        <v>307.48759853110732</v>
      </c>
      <c r="R48" s="137">
        <f t="shared" ref="R48:V48" si="42">R49+R50</f>
        <v>294.64928073308465</v>
      </c>
      <c r="S48" s="137">
        <f t="shared" si="42"/>
        <v>322.3101608425136</v>
      </c>
      <c r="T48" s="137">
        <f t="shared" si="42"/>
        <v>331.62038260745766</v>
      </c>
      <c r="U48" s="137">
        <f t="shared" si="42"/>
        <v>320.91589281503423</v>
      </c>
      <c r="V48" s="137">
        <f t="shared" si="42"/>
        <v>315.7884240761482</v>
      </c>
      <c r="W48" s="137">
        <f t="shared" ref="W48:Y48" si="43">W49+W50</f>
        <v>345.29449810203187</v>
      </c>
      <c r="X48" s="137">
        <f t="shared" si="43"/>
        <v>342.57657853239385</v>
      </c>
      <c r="Y48" s="137">
        <f t="shared" si="43"/>
        <v>336.3093625234448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36.601149906674991</v>
      </c>
      <c r="C49" s="102">
        <f>TrRoad_ene!C$43</f>
        <v>43.738715158818486</v>
      </c>
      <c r="D49" s="102">
        <f>TrRoad_ene!D$43</f>
        <v>53.299256701147407</v>
      </c>
      <c r="E49" s="102">
        <f>TrRoad_ene!E$43</f>
        <v>48.127102936786166</v>
      </c>
      <c r="F49" s="102">
        <f>TrRoad_ene!F$43</f>
        <v>62.204620940224757</v>
      </c>
      <c r="G49" s="102">
        <f>TrRoad_ene!G$43</f>
        <v>58.394240057470476</v>
      </c>
      <c r="H49" s="102">
        <f>TrRoad_ene!H$43</f>
        <v>64.627348333114284</v>
      </c>
      <c r="I49" s="102">
        <f>TrRoad_ene!I$43</f>
        <v>72.537824323377833</v>
      </c>
      <c r="J49" s="102">
        <f>TrRoad_ene!J$43</f>
        <v>72.190549229671788</v>
      </c>
      <c r="K49" s="102">
        <f>TrRoad_ene!K$43</f>
        <v>65.899676115684315</v>
      </c>
      <c r="L49" s="102">
        <f>TrRoad_ene!L$43</f>
        <v>60.77708847087009</v>
      </c>
      <c r="M49" s="102">
        <f>TrRoad_ene!M$43</f>
        <v>58.35887881489576</v>
      </c>
      <c r="N49" s="102">
        <f>TrRoad_ene!N$43</f>
        <v>62.794736099022046</v>
      </c>
      <c r="O49" s="102">
        <f>TrRoad_ene!O$43</f>
        <v>71.77853735947383</v>
      </c>
      <c r="P49" s="102">
        <f>TrRoad_ene!P$43</f>
        <v>77.107357907492812</v>
      </c>
      <c r="Q49" s="102">
        <f>TrRoad_ene!Q$43</f>
        <v>80.488218938006952</v>
      </c>
      <c r="R49" s="102">
        <f>TrRoad_ene!R$43</f>
        <v>78.685355566929715</v>
      </c>
      <c r="S49" s="102">
        <f>TrRoad_ene!S$43</f>
        <v>81.896837827974863</v>
      </c>
      <c r="T49" s="102">
        <f>TrRoad_ene!T$43</f>
        <v>82.739761058458797</v>
      </c>
      <c r="U49" s="102">
        <f>TrRoad_ene!U$43</f>
        <v>83.700773985844279</v>
      </c>
      <c r="V49" s="102">
        <f>TrRoad_ene!V$43</f>
        <v>85.324725160756117</v>
      </c>
      <c r="W49" s="102">
        <f>TrRoad_ene!W$43</f>
        <v>88.619437091501752</v>
      </c>
      <c r="X49" s="102">
        <f>TrRoad_ene!X$43</f>
        <v>90.111148322140039</v>
      </c>
      <c r="Y49" s="102">
        <f>TrRoad_ene!Y$43</f>
        <v>91.943181021686414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140.25838461004872</v>
      </c>
      <c r="C50" s="102">
        <f>TrRoad_ene!C$52</f>
        <v>216.67204857914544</v>
      </c>
      <c r="D50" s="102">
        <f>TrRoad_ene!D$52</f>
        <v>226.16933873175901</v>
      </c>
      <c r="E50" s="102">
        <f>TrRoad_ene!E$52</f>
        <v>244.89414511425468</v>
      </c>
      <c r="F50" s="102">
        <f>TrRoad_ene!F$52</f>
        <v>250.51397150143893</v>
      </c>
      <c r="G50" s="102">
        <f>TrRoad_ene!G$52</f>
        <v>284.69728359598696</v>
      </c>
      <c r="H50" s="102">
        <f>TrRoad_ene!H$52</f>
        <v>317.34223569306232</v>
      </c>
      <c r="I50" s="102">
        <f>TrRoad_ene!I$52</f>
        <v>381.76079369606168</v>
      </c>
      <c r="J50" s="102">
        <f>TrRoad_ene!J$52</f>
        <v>343.46203763922222</v>
      </c>
      <c r="K50" s="102">
        <f>TrRoad_ene!K$52</f>
        <v>276.62425571247365</v>
      </c>
      <c r="L50" s="102">
        <f>TrRoad_ene!L$52</f>
        <v>328.52039329811282</v>
      </c>
      <c r="M50" s="102">
        <f>TrRoad_ene!M$52</f>
        <v>236.62661770393586</v>
      </c>
      <c r="N50" s="102">
        <f>TrRoad_ene!N$52</f>
        <v>210.94247629236702</v>
      </c>
      <c r="O50" s="102">
        <f>TrRoad_ene!O$52</f>
        <v>214.50315901570991</v>
      </c>
      <c r="P50" s="102">
        <f>TrRoad_ene!P$52</f>
        <v>209.9400812619657</v>
      </c>
      <c r="Q50" s="102">
        <f>TrRoad_ene!Q$52</f>
        <v>226.9993795931004</v>
      </c>
      <c r="R50" s="102">
        <f>TrRoad_ene!R$52</f>
        <v>215.96392516615495</v>
      </c>
      <c r="S50" s="102">
        <f>TrRoad_ene!S$52</f>
        <v>240.41332301453872</v>
      </c>
      <c r="T50" s="102">
        <f>TrRoad_ene!T$52</f>
        <v>248.88062154899887</v>
      </c>
      <c r="U50" s="102">
        <f>TrRoad_ene!U$52</f>
        <v>237.21511882918998</v>
      </c>
      <c r="V50" s="102">
        <f>TrRoad_ene!V$52</f>
        <v>230.46369891539206</v>
      </c>
      <c r="W50" s="102">
        <f>TrRoad_ene!W$52</f>
        <v>256.6750610105301</v>
      </c>
      <c r="X50" s="102">
        <f>TrRoad_ene!X$52</f>
        <v>252.46543021025383</v>
      </c>
      <c r="Y50" s="102">
        <f>TrRoad_ene!Y$52</f>
        <v>244.36618150175838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53.612725174579396</v>
      </c>
      <c r="C51" s="110">
        <f>TrRail_ene!C$17</f>
        <v>56.485053461348457</v>
      </c>
      <c r="D51" s="110">
        <f>TrRail_ene!D$17</f>
        <v>58.847618741639508</v>
      </c>
      <c r="E51" s="110">
        <f>TrRail_ene!E$17</f>
        <v>69.009019862661418</v>
      </c>
      <c r="F51" s="110">
        <f>TrRail_ene!F$17</f>
        <v>71.122596725983001</v>
      </c>
      <c r="G51" s="110">
        <f>TrRail_ene!G$17</f>
        <v>71.170614016788633</v>
      </c>
      <c r="H51" s="110">
        <f>TrRail_ene!H$17</f>
        <v>61.524059001184575</v>
      </c>
      <c r="I51" s="110">
        <f>TrRail_ene!I$17</f>
        <v>67.601871401957595</v>
      </c>
      <c r="J51" s="110">
        <f>TrRail_ene!J$17</f>
        <v>68.305032517475311</v>
      </c>
      <c r="K51" s="110">
        <f>TrRail_ene!K$17</f>
        <v>65.002106342809327</v>
      </c>
      <c r="L51" s="110">
        <f>TrRail_ene!L$17</f>
        <v>59.438974567174441</v>
      </c>
      <c r="M51" s="110">
        <f>TrRail_ene!M$17</f>
        <v>69.378036475867361</v>
      </c>
      <c r="N51" s="110">
        <f>TrRail_ene!N$17</f>
        <v>74.862313390552501</v>
      </c>
      <c r="O51" s="110">
        <f>TrRail_ene!O$17</f>
        <v>66.056397369095023</v>
      </c>
      <c r="P51" s="110">
        <f>TrRail_ene!P$17</f>
        <v>64.81278868514444</v>
      </c>
      <c r="Q51" s="110">
        <f>TrRail_ene!Q$17</f>
        <v>62.388970187762816</v>
      </c>
      <c r="R51" s="110">
        <f>TrRail_ene!R$17</f>
        <v>52.452169914913071</v>
      </c>
      <c r="S51" s="110">
        <f>TrRail_ene!S$17</f>
        <v>48.340526900664905</v>
      </c>
      <c r="T51" s="110">
        <f>TrRail_ene!T$17</f>
        <v>51.260843795553733</v>
      </c>
      <c r="U51" s="110">
        <f>TrRail_ene!U$17</f>
        <v>41.584992328536458</v>
      </c>
      <c r="V51" s="110">
        <f>TrRail_ene!V$17</f>
        <v>25.016119892070005</v>
      </c>
      <c r="W51" s="110">
        <f>TrRail_ene!W$17</f>
        <v>22.630562137912541</v>
      </c>
      <c r="X51" s="110">
        <f>TrRail_ene!X$17</f>
        <v>21.087562231488509</v>
      </c>
      <c r="Y51" s="110">
        <f>TrRail_ene!Y$17</f>
        <v>18.689082828672539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0.24552710387380075</v>
      </c>
      <c r="C52" s="110">
        <f t="shared" si="44"/>
        <v>0.23122278270259106</v>
      </c>
      <c r="D52" s="110">
        <f t="shared" si="44"/>
        <v>0.26454734279866648</v>
      </c>
      <c r="E52" s="110">
        <f t="shared" si="44"/>
        <v>0.23843973922204215</v>
      </c>
      <c r="F52" s="110">
        <f t="shared" si="44"/>
        <v>0.27478889966624021</v>
      </c>
      <c r="G52" s="110">
        <f t="shared" si="44"/>
        <v>0.35957010311365267</v>
      </c>
      <c r="H52" s="110">
        <f t="shared" si="44"/>
        <v>0.36824516177140676</v>
      </c>
      <c r="I52" s="110">
        <f t="shared" si="44"/>
        <v>0.36798611112641877</v>
      </c>
      <c r="J52" s="110">
        <f t="shared" si="44"/>
        <v>0.53276135128329527</v>
      </c>
      <c r="K52" s="110">
        <f t="shared" si="44"/>
        <v>0.99285511882544608</v>
      </c>
      <c r="L52" s="110">
        <f t="shared" si="44"/>
        <v>1.2315605550173894</v>
      </c>
      <c r="M52" s="110">
        <f t="shared" si="44"/>
        <v>1.1929338989871829</v>
      </c>
      <c r="N52" s="110">
        <f t="shared" si="44"/>
        <v>3.6508698447041468</v>
      </c>
      <c r="O52" s="110">
        <f t="shared" si="44"/>
        <v>5.3206111300948704</v>
      </c>
      <c r="P52" s="110">
        <f t="shared" si="44"/>
        <v>2.7873848857209187</v>
      </c>
      <c r="Q52" s="110">
        <f t="shared" si="44"/>
        <v>1.368341194554783</v>
      </c>
      <c r="R52" s="110">
        <f t="shared" si="44"/>
        <v>1.2910569824195841</v>
      </c>
      <c r="S52" s="110">
        <f t="shared" si="44"/>
        <v>1.4767385137061391</v>
      </c>
      <c r="T52" s="110">
        <f t="shared" si="44"/>
        <v>1.4863263704323142</v>
      </c>
      <c r="U52" s="110">
        <f t="shared" si="44"/>
        <v>1.9412131914991124</v>
      </c>
      <c r="V52" s="110">
        <f t="shared" si="44"/>
        <v>1.3687477468547333</v>
      </c>
      <c r="W52" s="110">
        <f t="shared" ref="W52:Y52" si="45">W53+W54+W55</f>
        <v>1.6780262320814054</v>
      </c>
      <c r="X52" s="110">
        <f t="shared" si="45"/>
        <v>1.6390738926433417</v>
      </c>
      <c r="Y52" s="110">
        <f t="shared" si="45"/>
        <v>1.7071355366364624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0.21581846425303086</v>
      </c>
      <c r="C54" s="102">
        <f>TrAvia_ene!C$12</f>
        <v>0.19728148419841346</v>
      </c>
      <c r="D54" s="102">
        <f>TrAvia_ene!D$12</f>
        <v>0.22643033040430918</v>
      </c>
      <c r="E54" s="102">
        <f>TrAvia_ene!E$12</f>
        <v>0.20022312418052826</v>
      </c>
      <c r="F54" s="102">
        <f>TrAvia_ene!F$12</f>
        <v>0.23236333762017308</v>
      </c>
      <c r="G54" s="102">
        <f>TrAvia_ene!G$12</f>
        <v>0.31448163011895558</v>
      </c>
      <c r="H54" s="102">
        <f>TrAvia_ene!H$12</f>
        <v>0.31930965025891983</v>
      </c>
      <c r="I54" s="102">
        <f>TrAvia_ene!I$12</f>
        <v>0.29540775168969718</v>
      </c>
      <c r="J54" s="102">
        <f>TrAvia_ene!J$12</f>
        <v>0.40810318884340968</v>
      </c>
      <c r="K54" s="102">
        <f>TrAvia_ene!K$12</f>
        <v>0.82522044637972969</v>
      </c>
      <c r="L54" s="102">
        <f>TrAvia_ene!L$12</f>
        <v>0.96129047831992032</v>
      </c>
      <c r="M54" s="102">
        <f>TrAvia_ene!M$12</f>
        <v>0.9012230980878142</v>
      </c>
      <c r="N54" s="102">
        <f>TrAvia_ene!N$12</f>
        <v>1.0075105429161479</v>
      </c>
      <c r="O54" s="102">
        <f>TrAvia_ene!O$12</f>
        <v>1.1715235200664551</v>
      </c>
      <c r="P54" s="102">
        <f>TrAvia_ene!P$12</f>
        <v>1.0412928405914894</v>
      </c>
      <c r="Q54" s="102">
        <f>TrAvia_ene!Q$12</f>
        <v>0.88074612190241197</v>
      </c>
      <c r="R54" s="102">
        <f>TrAvia_ene!R$12</f>
        <v>0.93613731315571758</v>
      </c>
      <c r="S54" s="102">
        <f>TrAvia_ene!S$12</f>
        <v>1.1397135625942831</v>
      </c>
      <c r="T54" s="102">
        <f>TrAvia_ene!T$12</f>
        <v>1.2129396176170659</v>
      </c>
      <c r="U54" s="102">
        <f>TrAvia_ene!U$12</f>
        <v>1.3109596153226544</v>
      </c>
      <c r="V54" s="102">
        <f>TrAvia_ene!V$12</f>
        <v>1.0799375246117842</v>
      </c>
      <c r="W54" s="102">
        <f>TrAvia_ene!W$12</f>
        <v>1.5416112487780043</v>
      </c>
      <c r="X54" s="102">
        <f>TrAvia_ene!X$12</f>
        <v>1.4893147421134585</v>
      </c>
      <c r="Y54" s="102">
        <f>TrAvia_ene!Y$12</f>
        <v>1.6159621359344294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2.9708639620769885E-2</v>
      </c>
      <c r="C55" s="102">
        <f>TrAvia_ene!C$13</f>
        <v>3.3941298504177583E-2</v>
      </c>
      <c r="D55" s="102">
        <f>TrAvia_ene!D$13</f>
        <v>3.8117012394357316E-2</v>
      </c>
      <c r="E55" s="102">
        <f>TrAvia_ene!E$13</f>
        <v>3.8216615041513871E-2</v>
      </c>
      <c r="F55" s="102">
        <f>TrAvia_ene!F$13</f>
        <v>4.2425562046067095E-2</v>
      </c>
      <c r="G55" s="102">
        <f>TrAvia_ene!G$13</f>
        <v>4.5088472994697093E-2</v>
      </c>
      <c r="H55" s="102">
        <f>TrAvia_ene!H$13</f>
        <v>4.8935511512486901E-2</v>
      </c>
      <c r="I55" s="102">
        <f>TrAvia_ene!I$13</f>
        <v>7.2578359436721557E-2</v>
      </c>
      <c r="J55" s="102">
        <f>TrAvia_ene!J$13</f>
        <v>0.12465816243988556</v>
      </c>
      <c r="K55" s="102">
        <f>TrAvia_ene!K$13</f>
        <v>0.16763467244571642</v>
      </c>
      <c r="L55" s="102">
        <f>TrAvia_ene!L$13</f>
        <v>0.27027007669746916</v>
      </c>
      <c r="M55" s="102">
        <f>TrAvia_ene!M$13</f>
        <v>0.29171080089936863</v>
      </c>
      <c r="N55" s="102">
        <f>TrAvia_ene!N$13</f>
        <v>2.6433593017879988</v>
      </c>
      <c r="O55" s="102">
        <f>TrAvia_ene!O$13</f>
        <v>4.1490876100284151</v>
      </c>
      <c r="P55" s="102">
        <f>TrAvia_ene!P$13</f>
        <v>1.7460920451294293</v>
      </c>
      <c r="Q55" s="102">
        <f>TrAvia_ene!Q$13</f>
        <v>0.4875950726523709</v>
      </c>
      <c r="R55" s="102">
        <f>TrAvia_ene!R$13</f>
        <v>0.35491966926386653</v>
      </c>
      <c r="S55" s="102">
        <f>TrAvia_ene!S$13</f>
        <v>0.33702495111185604</v>
      </c>
      <c r="T55" s="102">
        <f>TrAvia_ene!T$13</f>
        <v>0.27338675281524816</v>
      </c>
      <c r="U55" s="102">
        <f>TrAvia_ene!U$13</f>
        <v>0.63025357617645794</v>
      </c>
      <c r="V55" s="102">
        <f>TrAvia_ene!V$13</f>
        <v>0.28881022224294917</v>
      </c>
      <c r="W55" s="102">
        <f>TrAvia_ene!W$13</f>
        <v>0.13641498330340124</v>
      </c>
      <c r="X55" s="102">
        <f>TrAvia_ene!X$13</f>
        <v>0.14975915052988323</v>
      </c>
      <c r="Y55" s="102">
        <f>TrAvia_ene!Y$13</f>
        <v>9.1173400702033072E-2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0</v>
      </c>
      <c r="C56" s="110">
        <f t="shared" si="46"/>
        <v>0</v>
      </c>
      <c r="D56" s="110">
        <f t="shared" si="46"/>
        <v>0</v>
      </c>
      <c r="E56" s="110">
        <f t="shared" si="46"/>
        <v>0</v>
      </c>
      <c r="F56" s="110">
        <f t="shared" si="46"/>
        <v>0</v>
      </c>
      <c r="G56" s="110">
        <f t="shared" si="46"/>
        <v>0</v>
      </c>
      <c r="H56" s="110">
        <f t="shared" si="46"/>
        <v>0</v>
      </c>
      <c r="I56" s="110">
        <f t="shared" si="46"/>
        <v>1.01487532244196</v>
      </c>
      <c r="J56" s="110">
        <f t="shared" si="46"/>
        <v>2.0297506448839209</v>
      </c>
      <c r="K56" s="110">
        <f t="shared" si="46"/>
        <v>4.0594153052450546</v>
      </c>
      <c r="L56" s="110">
        <f t="shared" si="46"/>
        <v>5.0742906276870174</v>
      </c>
      <c r="M56" s="110">
        <f t="shared" si="46"/>
        <v>5.0742906276870174</v>
      </c>
      <c r="N56" s="110">
        <f t="shared" si="46"/>
        <v>4.0594153052450546</v>
      </c>
      <c r="O56" s="110">
        <f t="shared" si="46"/>
        <v>8.1188306104901109</v>
      </c>
      <c r="P56" s="110">
        <f t="shared" si="46"/>
        <v>4.0594153052450546</v>
      </c>
      <c r="Q56" s="110">
        <f t="shared" si="46"/>
        <v>3.0445399828030948</v>
      </c>
      <c r="R56" s="110">
        <f t="shared" ref="R56:V56" si="47">R57+R58</f>
        <v>4.0594153052450546</v>
      </c>
      <c r="S56" s="110">
        <f t="shared" si="47"/>
        <v>4.6037833190025799</v>
      </c>
      <c r="T56" s="110">
        <f t="shared" si="47"/>
        <v>5.4575236457437661</v>
      </c>
      <c r="U56" s="110">
        <f t="shared" si="47"/>
        <v>1.730352536543422</v>
      </c>
      <c r="V56" s="110">
        <f t="shared" si="47"/>
        <v>2.3674118658641441</v>
      </c>
      <c r="W56" s="110">
        <f t="shared" ref="W56:Y56" si="48">W57+W58</f>
        <v>2.5564918314703355</v>
      </c>
      <c r="X56" s="110">
        <f t="shared" si="48"/>
        <v>1.7679277730008598</v>
      </c>
      <c r="Y56" s="110">
        <f t="shared" si="48"/>
        <v>1.0056749785038694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1.01487532244196</v>
      </c>
      <c r="J57" s="102">
        <f>TrNavi_ene!J4</f>
        <v>2.0297506448839209</v>
      </c>
      <c r="K57" s="102">
        <f>TrNavi_ene!K4</f>
        <v>4.0594153052450546</v>
      </c>
      <c r="L57" s="102">
        <f>TrNavi_ene!L4</f>
        <v>5.0742906276870174</v>
      </c>
      <c r="M57" s="102">
        <f>TrNavi_ene!M4</f>
        <v>5.0742906276870174</v>
      </c>
      <c r="N57" s="102">
        <f>TrNavi_ene!N4</f>
        <v>4.0594153052450546</v>
      </c>
      <c r="O57" s="102">
        <f>TrNavi_ene!O4</f>
        <v>8.1188306104901109</v>
      </c>
      <c r="P57" s="102">
        <f>TrNavi_ene!P4</f>
        <v>4.0594153052450546</v>
      </c>
      <c r="Q57" s="102">
        <f>TrNavi_ene!Q4</f>
        <v>3.0445399828030948</v>
      </c>
      <c r="R57" s="102">
        <f>TrNavi_ene!R4</f>
        <v>4.0594153052450546</v>
      </c>
      <c r="S57" s="102">
        <f>TrNavi_ene!S4</f>
        <v>4.6037833190025799</v>
      </c>
      <c r="T57" s="102">
        <f>TrNavi_ene!T4</f>
        <v>5.4575236457437661</v>
      </c>
      <c r="U57" s="102">
        <f>TrNavi_ene!U4</f>
        <v>1.730352536543422</v>
      </c>
      <c r="V57" s="102">
        <f>TrNavi_ene!V4</f>
        <v>2.3674118658641441</v>
      </c>
      <c r="W57" s="102">
        <f>TrNavi_ene!W4</f>
        <v>2.5564918314703355</v>
      </c>
      <c r="X57" s="102">
        <f>TrNavi_ene!X4</f>
        <v>1.7679277730008598</v>
      </c>
      <c r="Y57" s="102">
        <f>TrNavi_ene!Y4</f>
        <v>1.0056749785038694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8.1188306104901109</v>
      </c>
      <c r="C59" s="28">
        <f t="shared" ref="C59:W59" si="49">C60+C61</f>
        <v>195.54789337919169</v>
      </c>
      <c r="D59" s="28">
        <f t="shared" si="49"/>
        <v>205.5376612209802</v>
      </c>
      <c r="E59" s="28">
        <f t="shared" si="49"/>
        <v>187.54110060189163</v>
      </c>
      <c r="F59" s="28">
        <f t="shared" si="49"/>
        <v>202.17704213241615</v>
      </c>
      <c r="G59" s="28">
        <f t="shared" si="49"/>
        <v>260.06732588134128</v>
      </c>
      <c r="H59" s="28">
        <f t="shared" si="49"/>
        <v>196.87712811693893</v>
      </c>
      <c r="I59" s="28">
        <f t="shared" si="49"/>
        <v>178.18168529664655</v>
      </c>
      <c r="J59" s="28">
        <f t="shared" si="49"/>
        <v>205.67136715391223</v>
      </c>
      <c r="K59" s="28">
        <f t="shared" si="49"/>
        <v>273.30395528804809</v>
      </c>
      <c r="L59" s="28">
        <f t="shared" si="49"/>
        <v>251.36165090283745</v>
      </c>
      <c r="M59" s="28">
        <f t="shared" si="49"/>
        <v>214.78331900257953</v>
      </c>
      <c r="N59" s="28">
        <f t="shared" si="49"/>
        <v>240.53766122098023</v>
      </c>
      <c r="O59" s="28">
        <f t="shared" si="49"/>
        <v>240.22166809974209</v>
      </c>
      <c r="P59" s="28">
        <f t="shared" si="49"/>
        <v>231.96741186586411</v>
      </c>
      <c r="Q59" s="28">
        <f t="shared" si="49"/>
        <v>254.76904557179708</v>
      </c>
      <c r="R59" s="28">
        <f t="shared" si="49"/>
        <v>314.80275150472914</v>
      </c>
      <c r="S59" s="28">
        <f t="shared" si="49"/>
        <v>260.20447119518479</v>
      </c>
      <c r="T59" s="28">
        <f t="shared" si="49"/>
        <v>38.285210662080829</v>
      </c>
      <c r="U59" s="28">
        <f t="shared" si="49"/>
        <v>292.58323301805677</v>
      </c>
      <c r="V59" s="28">
        <f t="shared" si="49"/>
        <v>207.05760963026657</v>
      </c>
      <c r="W59" s="28">
        <f t="shared" si="49"/>
        <v>207.33585554600165</v>
      </c>
      <c r="X59" s="28">
        <f t="shared" ref="X59:Y59" si="50">X60+X61</f>
        <v>110.17179707652622</v>
      </c>
      <c r="Y59" s="28">
        <f t="shared" si="50"/>
        <v>37.138435081685287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4.1094098043922749</v>
      </c>
      <c r="C60" s="102">
        <f>MBunk_ene!C$4</f>
        <v>98.704615868787613</v>
      </c>
      <c r="D60" s="102">
        <f>MBunk_ene!D$4</f>
        <v>103.39743591647229</v>
      </c>
      <c r="E60" s="102">
        <f>MBunk_ene!E$4</f>
        <v>94.385548188832644</v>
      </c>
      <c r="F60" s="102">
        <f>MBunk_ene!F$4</f>
        <v>101.7874852594579</v>
      </c>
      <c r="G60" s="102">
        <f>MBunk_ene!G$4</f>
        <v>123.1479304271781</v>
      </c>
      <c r="H60" s="102">
        <f>MBunk_ene!H$4</f>
        <v>91.191752715902368</v>
      </c>
      <c r="I60" s="102">
        <f>MBunk_ene!I$4</f>
        <v>85.550264504264391</v>
      </c>
      <c r="J60" s="102">
        <f>MBunk_ene!J$4</f>
        <v>99.314428963652901</v>
      </c>
      <c r="K60" s="102">
        <f>MBunk_ene!K$4</f>
        <v>136.5402241987581</v>
      </c>
      <c r="L60" s="102">
        <f>MBunk_ene!L$4</f>
        <v>134.27570465960781</v>
      </c>
      <c r="M60" s="102">
        <f>MBunk_ene!M$4</f>
        <v>107.89830668497561</v>
      </c>
      <c r="N60" s="102">
        <f>MBunk_ene!N$4</f>
        <v>127.89740377564851</v>
      </c>
      <c r="O60" s="102">
        <f>MBunk_ene!O$4</f>
        <v>131.1579039779883</v>
      </c>
      <c r="P60" s="102">
        <f>MBunk_ene!P$4</f>
        <v>124.79076597161082</v>
      </c>
      <c r="Q60" s="102">
        <f>MBunk_ene!Q$4</f>
        <v>143.27125203363687</v>
      </c>
      <c r="R60" s="102">
        <f>MBunk_ene!R$4</f>
        <v>177.75243290509079</v>
      </c>
      <c r="S60" s="102">
        <f>MBunk_ene!S$4</f>
        <v>143.67631643412756</v>
      </c>
      <c r="T60" s="102">
        <f>MBunk_ene!T$4</f>
        <v>20.070980940682418</v>
      </c>
      <c r="U60" s="102">
        <f>MBunk_ene!U$4</f>
        <v>142.40437388374102</v>
      </c>
      <c r="V60" s="102">
        <f>MBunk_ene!V$4</f>
        <v>89.067126392740334</v>
      </c>
      <c r="W60" s="102">
        <f>MBunk_ene!W$4</f>
        <v>83.924270580899488</v>
      </c>
      <c r="X60" s="102">
        <f>MBunk_ene!X$4</f>
        <v>51.038299436928583</v>
      </c>
      <c r="Y60" s="102">
        <f>MBunk_ene!Y$4</f>
        <v>16.944742853994089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4.009420806097836</v>
      </c>
      <c r="C61" s="86">
        <f>MBunk_ene!C$10</f>
        <v>96.843277510404079</v>
      </c>
      <c r="D61" s="86">
        <f>MBunk_ene!D$10</f>
        <v>102.14022530450791</v>
      </c>
      <c r="E61" s="86">
        <f>MBunk_ene!E$10</f>
        <v>93.15555241305897</v>
      </c>
      <c r="F61" s="86">
        <f>MBunk_ene!F$10</f>
        <v>100.38955687295824</v>
      </c>
      <c r="G61" s="86">
        <f>MBunk_ene!G$10</f>
        <v>136.91939545416318</v>
      </c>
      <c r="H61" s="86">
        <f>MBunk_ene!H$10</f>
        <v>105.68537540103658</v>
      </c>
      <c r="I61" s="86">
        <f>MBunk_ene!I$10</f>
        <v>92.631420792382158</v>
      </c>
      <c r="J61" s="86">
        <f>MBunk_ene!J$10</f>
        <v>106.35693819025934</v>
      </c>
      <c r="K61" s="86">
        <f>MBunk_ene!K$10</f>
        <v>136.76373108928999</v>
      </c>
      <c r="L61" s="86">
        <f>MBunk_ene!L$10</f>
        <v>117.08594624322964</v>
      </c>
      <c r="M61" s="86">
        <f>MBunk_ene!M$10</f>
        <v>106.88501231760392</v>
      </c>
      <c r="N61" s="86">
        <f>MBunk_ene!N$10</f>
        <v>112.64025744533173</v>
      </c>
      <c r="O61" s="86">
        <f>MBunk_ene!O$10</f>
        <v>109.06376412175381</v>
      </c>
      <c r="P61" s="86">
        <f>MBunk_ene!P$10</f>
        <v>107.17664589425328</v>
      </c>
      <c r="Q61" s="86">
        <f>MBunk_ene!Q$10</f>
        <v>111.49779353816021</v>
      </c>
      <c r="R61" s="86">
        <f>MBunk_ene!R$10</f>
        <v>137.05031859963836</v>
      </c>
      <c r="S61" s="86">
        <f>MBunk_ene!S$10</f>
        <v>116.52815476105722</v>
      </c>
      <c r="T61" s="86">
        <f>MBunk_ene!T$10</f>
        <v>18.214229721398411</v>
      </c>
      <c r="U61" s="86">
        <f>MBunk_ene!U$10</f>
        <v>150.17885913431576</v>
      </c>
      <c r="V61" s="86">
        <f>MBunk_ene!V$10</f>
        <v>117.99048323752623</v>
      </c>
      <c r="W61" s="86">
        <f>MBunk_ene!W$10</f>
        <v>123.41158496510216</v>
      </c>
      <c r="X61" s="86">
        <f>MBunk_ene!X$10</f>
        <v>59.133497639597635</v>
      </c>
      <c r="Y61" s="86">
        <f>MBunk_ene!Y$10</f>
        <v>20.193692227691198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1487.1472349385117</v>
      </c>
      <c r="C64" s="28">
        <f t="shared" si="51"/>
        <v>1609.6762620007112</v>
      </c>
      <c r="D64" s="28">
        <f t="shared" si="51"/>
        <v>1623.5947340331561</v>
      </c>
      <c r="E64" s="28">
        <f t="shared" si="51"/>
        <v>1730.9267487344598</v>
      </c>
      <c r="F64" s="28">
        <f t="shared" si="51"/>
        <v>1825.6997813020032</v>
      </c>
      <c r="G64" s="28">
        <f t="shared" si="51"/>
        <v>1893.625768311636</v>
      </c>
      <c r="H64" s="28">
        <f t="shared" si="51"/>
        <v>2133.6630151851027</v>
      </c>
      <c r="I64" s="28">
        <f t="shared" si="51"/>
        <v>2368.3586343854263</v>
      </c>
      <c r="J64" s="28">
        <f t="shared" si="51"/>
        <v>2323.234920950119</v>
      </c>
      <c r="K64" s="28">
        <f t="shared" si="51"/>
        <v>2135.1758207424655</v>
      </c>
      <c r="L64" s="28">
        <f t="shared" si="51"/>
        <v>2150.5395157310795</v>
      </c>
      <c r="M64" s="28">
        <f t="shared" si="51"/>
        <v>2050.4568897121253</v>
      </c>
      <c r="N64" s="28">
        <f t="shared" si="51"/>
        <v>1993.8999649907166</v>
      </c>
      <c r="O64" s="28">
        <f t="shared" si="51"/>
        <v>2008.2451210891245</v>
      </c>
      <c r="P64" s="28">
        <f t="shared" si="51"/>
        <v>2116.0058340728979</v>
      </c>
      <c r="Q64" s="28">
        <f t="shared" si="51"/>
        <v>2235.8045867053947</v>
      </c>
      <c r="R64" s="28">
        <f t="shared" ref="R64:V64" si="52">R65+R69+R73</f>
        <v>2358.9596137868884</v>
      </c>
      <c r="S64" s="28">
        <f t="shared" si="52"/>
        <v>2482.6067624663533</v>
      </c>
      <c r="T64" s="28">
        <f t="shared" si="52"/>
        <v>2524.8566099399814</v>
      </c>
      <c r="U64" s="28">
        <f t="shared" si="52"/>
        <v>2588.6710974962416</v>
      </c>
      <c r="V64" s="28">
        <f t="shared" si="52"/>
        <v>2171.8635918269297</v>
      </c>
      <c r="W64" s="28">
        <f t="shared" ref="W64:Y64" si="53">W65+W69+W73</f>
        <v>2244.8241959010365</v>
      </c>
      <c r="X64" s="28">
        <f t="shared" si="53"/>
        <v>2233.2106004100378</v>
      </c>
      <c r="Y64" s="28">
        <f t="shared" si="53"/>
        <v>2351.9486311867236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1368.8041903790008</v>
      </c>
      <c r="C65" s="137">
        <f t="shared" si="54"/>
        <v>1493.9044524882229</v>
      </c>
      <c r="D65" s="137">
        <f t="shared" si="54"/>
        <v>1502.7013906123132</v>
      </c>
      <c r="E65" s="137">
        <f t="shared" si="54"/>
        <v>1572.6936712265797</v>
      </c>
      <c r="F65" s="137">
        <f t="shared" si="54"/>
        <v>1642.9815967222346</v>
      </c>
      <c r="G65" s="137">
        <f t="shared" si="54"/>
        <v>1680.2439824343126</v>
      </c>
      <c r="H65" s="137">
        <f t="shared" si="54"/>
        <v>1900.117102761023</v>
      </c>
      <c r="I65" s="137">
        <f t="shared" si="54"/>
        <v>2091.2815039138377</v>
      </c>
      <c r="J65" s="137">
        <f t="shared" si="54"/>
        <v>1999.1266462041185</v>
      </c>
      <c r="K65" s="137">
        <f t="shared" si="54"/>
        <v>1802.4140611184637</v>
      </c>
      <c r="L65" s="137">
        <f t="shared" si="54"/>
        <v>1776.6748085901295</v>
      </c>
      <c r="M65" s="137">
        <f t="shared" si="54"/>
        <v>1677.1473701998525</v>
      </c>
      <c r="N65" s="137">
        <f t="shared" si="54"/>
        <v>1626.0943280164711</v>
      </c>
      <c r="O65" s="137">
        <f t="shared" si="54"/>
        <v>1633.4469532033345</v>
      </c>
      <c r="P65" s="137">
        <f t="shared" si="54"/>
        <v>1777.0061001848719</v>
      </c>
      <c r="Q65" s="137">
        <f t="shared" si="54"/>
        <v>1900.6426806972493</v>
      </c>
      <c r="R65" s="137">
        <f t="shared" ref="R65:V65" si="55">R66+R67+R68</f>
        <v>1977.6765232665894</v>
      </c>
      <c r="S65" s="137">
        <f t="shared" si="55"/>
        <v>2051.332675119862</v>
      </c>
      <c r="T65" s="137">
        <f t="shared" si="55"/>
        <v>2055.9610245855079</v>
      </c>
      <c r="U65" s="137">
        <f t="shared" si="55"/>
        <v>2111.4082984958764</v>
      </c>
      <c r="V65" s="137">
        <f t="shared" si="55"/>
        <v>1995.4411152292428</v>
      </c>
      <c r="W65" s="137">
        <f t="shared" ref="W65:Y65" si="56">W66+W67+W68</f>
        <v>2006.3889995400173</v>
      </c>
      <c r="X65" s="137">
        <f t="shared" si="56"/>
        <v>1910.8961473299178</v>
      </c>
      <c r="Y65" s="137">
        <f t="shared" si="56"/>
        <v>1945.3516258524564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8.3740567156090258</v>
      </c>
      <c r="C66" s="102">
        <f>TrRoad_emi!C$19</f>
        <v>8.3996186657184371</v>
      </c>
      <c r="D66" s="102">
        <f>TrRoad_emi!D$19</f>
        <v>8.3398033326315772</v>
      </c>
      <c r="E66" s="102">
        <f>TrRoad_emi!E$19</f>
        <v>8.2779597634672548</v>
      </c>
      <c r="F66" s="102">
        <f>TrRoad_emi!F$19</f>
        <v>8.1667720851202166</v>
      </c>
      <c r="G66" s="102">
        <f>TrRoad_emi!G$19</f>
        <v>8.0452685534518018</v>
      </c>
      <c r="H66" s="102">
        <f>TrRoad_emi!H$19</f>
        <v>7.7870680515615627</v>
      </c>
      <c r="I66" s="102">
        <f>TrRoad_emi!I$19</f>
        <v>7.3731008770213284</v>
      </c>
      <c r="J66" s="102">
        <f>TrRoad_emi!J$19</f>
        <v>6.9510128844758059</v>
      </c>
      <c r="K66" s="102">
        <f>TrRoad_emi!K$19</f>
        <v>6.6242131721319657</v>
      </c>
      <c r="L66" s="102">
        <f>TrRoad_emi!L$19</f>
        <v>6.4809588065919437</v>
      </c>
      <c r="M66" s="102">
        <f>TrRoad_emi!M$19</f>
        <v>6.2973222313318811</v>
      </c>
      <c r="N66" s="102">
        <f>TrRoad_emi!N$19</f>
        <v>5.6487749266508285</v>
      </c>
      <c r="O66" s="102">
        <f>TrRoad_emi!O$19</f>
        <v>5.7486504677138353</v>
      </c>
      <c r="P66" s="102">
        <f>TrRoad_emi!P$19</f>
        <v>6.7543009925772539</v>
      </c>
      <c r="Q66" s="102">
        <f>TrRoad_emi!Q$19</f>
        <v>8.3259620635195279</v>
      </c>
      <c r="R66" s="102">
        <f>TrRoad_emi!R$19</f>
        <v>8.0830250125016985</v>
      </c>
      <c r="S66" s="102">
        <f>TrRoad_emi!S$19</f>
        <v>7.4852257918754237</v>
      </c>
      <c r="T66" s="102">
        <f>TrRoad_emi!T$19</f>
        <v>6.9977018107672091</v>
      </c>
      <c r="U66" s="102">
        <f>TrRoad_emi!U$19</f>
        <v>7.3284220741483352</v>
      </c>
      <c r="V66" s="102">
        <f>TrRoad_emi!V$19</f>
        <v>6.3305218354560902</v>
      </c>
      <c r="W66" s="102">
        <f>TrRoad_emi!W$19</f>
        <v>6.8921002741320123</v>
      </c>
      <c r="X66" s="102">
        <f>TrRoad_emi!X$19</f>
        <v>6.9554365066042907</v>
      </c>
      <c r="Y66" s="102">
        <f>TrRoad_emi!Y$19</f>
        <v>7.7179088284105024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1112.1041833950694</v>
      </c>
      <c r="C67" s="102">
        <f>TrRoad_emi!C$20</f>
        <v>1212.3756839016935</v>
      </c>
      <c r="D67" s="102">
        <f>TrRoad_emi!D$20</f>
        <v>1226.1980052817812</v>
      </c>
      <c r="E67" s="102">
        <f>TrRoad_emi!E$20</f>
        <v>1280.0610162526798</v>
      </c>
      <c r="F67" s="102">
        <f>TrRoad_emi!F$20</f>
        <v>1347.739272183645</v>
      </c>
      <c r="G67" s="102">
        <f>TrRoad_emi!G$20</f>
        <v>1388.1956393322173</v>
      </c>
      <c r="H67" s="102">
        <f>TrRoad_emi!H$20</f>
        <v>1611.5608057626282</v>
      </c>
      <c r="I67" s="102">
        <f>TrRoad_emi!I$20</f>
        <v>1805.1023104313999</v>
      </c>
      <c r="J67" s="102">
        <f>TrRoad_emi!J$20</f>
        <v>1733.9055081430424</v>
      </c>
      <c r="K67" s="102">
        <f>TrRoad_emi!K$20</f>
        <v>1556.2911639384804</v>
      </c>
      <c r="L67" s="102">
        <f>TrRoad_emi!L$20</f>
        <v>1522.8602368258682</v>
      </c>
      <c r="M67" s="102">
        <f>TrRoad_emi!M$20</f>
        <v>1448.7621963891111</v>
      </c>
      <c r="N67" s="102">
        <f>TrRoad_emi!N$20</f>
        <v>1403.5252844378929</v>
      </c>
      <c r="O67" s="102">
        <f>TrRoad_emi!O$20</f>
        <v>1413.4925241415897</v>
      </c>
      <c r="P67" s="102">
        <f>TrRoad_emi!P$20</f>
        <v>1564.5523652320765</v>
      </c>
      <c r="Q67" s="102">
        <f>TrRoad_emi!Q$20</f>
        <v>1687.1482101213567</v>
      </c>
      <c r="R67" s="102">
        <f>TrRoad_emi!R$20</f>
        <v>1761.8468317510944</v>
      </c>
      <c r="S67" s="102">
        <f>TrRoad_emi!S$20</f>
        <v>1830.6397122949666</v>
      </c>
      <c r="T67" s="102">
        <f>TrRoad_emi!T$20</f>
        <v>1849.3879930085095</v>
      </c>
      <c r="U67" s="102">
        <f>TrRoad_emi!U$20</f>
        <v>1916.6523451013811</v>
      </c>
      <c r="V67" s="102">
        <f>TrRoad_emi!V$20</f>
        <v>1841.3106981711078</v>
      </c>
      <c r="W67" s="102">
        <f>TrRoad_emi!W$20</f>
        <v>1872.4748596276715</v>
      </c>
      <c r="X67" s="102">
        <f>TrRoad_emi!X$20</f>
        <v>1765.187909006813</v>
      </c>
      <c r="Y67" s="102">
        <f>TrRoad_emi!Y$20</f>
        <v>1799.5394064160555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248.32595026832254</v>
      </c>
      <c r="C68" s="102">
        <f>TrRoad_emi!C$27</f>
        <v>273.1291499208109</v>
      </c>
      <c r="D68" s="102">
        <f>TrRoad_emi!D$27</f>
        <v>268.16358199790028</v>
      </c>
      <c r="E68" s="102">
        <f>TrRoad_emi!E$27</f>
        <v>284.35469521043268</v>
      </c>
      <c r="F68" s="102">
        <f>TrRoad_emi!F$27</f>
        <v>287.0755524534693</v>
      </c>
      <c r="G68" s="102">
        <f>TrRoad_emi!G$27</f>
        <v>284.00307454864355</v>
      </c>
      <c r="H68" s="102">
        <f>TrRoad_emi!H$27</f>
        <v>280.76922894683315</v>
      </c>
      <c r="I68" s="102">
        <f>TrRoad_emi!I$27</f>
        <v>278.8060926054165</v>
      </c>
      <c r="J68" s="102">
        <f>TrRoad_emi!J$27</f>
        <v>258.27012517660012</v>
      </c>
      <c r="K68" s="102">
        <f>TrRoad_emi!K$27</f>
        <v>239.49868400785127</v>
      </c>
      <c r="L68" s="102">
        <f>TrRoad_emi!L$27</f>
        <v>247.33361295766949</v>
      </c>
      <c r="M68" s="102">
        <f>TrRoad_emi!M$27</f>
        <v>222.0878515794094</v>
      </c>
      <c r="N68" s="102">
        <f>TrRoad_emi!N$27</f>
        <v>216.92026865192747</v>
      </c>
      <c r="O68" s="102">
        <f>TrRoad_emi!O$27</f>
        <v>214.20577859403102</v>
      </c>
      <c r="P68" s="102">
        <f>TrRoad_emi!P$27</f>
        <v>205.69943396021816</v>
      </c>
      <c r="Q68" s="102">
        <f>TrRoad_emi!Q$27</f>
        <v>205.16850851237314</v>
      </c>
      <c r="R68" s="102">
        <f>TrRoad_emi!R$27</f>
        <v>207.74666650299329</v>
      </c>
      <c r="S68" s="102">
        <f>TrRoad_emi!S$27</f>
        <v>213.20773703301987</v>
      </c>
      <c r="T68" s="102">
        <f>TrRoad_emi!T$27</f>
        <v>199.57532976623099</v>
      </c>
      <c r="U68" s="102">
        <f>TrRoad_emi!U$27</f>
        <v>187.42753132034676</v>
      </c>
      <c r="V68" s="102">
        <f>TrRoad_emi!V$27</f>
        <v>147.79989522267886</v>
      </c>
      <c r="W68" s="102">
        <f>TrRoad_emi!W$27</f>
        <v>127.02203963821371</v>
      </c>
      <c r="X68" s="102">
        <f>TrRoad_emi!X$27</f>
        <v>138.75280181650058</v>
      </c>
      <c r="Y68" s="102">
        <f>TrRoad_emi!Y$27</f>
        <v>138.09431060799022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38.324077059151577</v>
      </c>
      <c r="C69" s="110">
        <f t="shared" si="57"/>
        <v>35.709781582507446</v>
      </c>
      <c r="D69" s="110">
        <f t="shared" si="57"/>
        <v>37.825552720705197</v>
      </c>
      <c r="E69" s="110">
        <f t="shared" si="57"/>
        <v>37.785780128505763</v>
      </c>
      <c r="F69" s="110">
        <f t="shared" si="57"/>
        <v>37.525716092491876</v>
      </c>
      <c r="G69" s="110">
        <f t="shared" si="57"/>
        <v>37.376746346771419</v>
      </c>
      <c r="H69" s="110">
        <f t="shared" si="57"/>
        <v>35.819250702415736</v>
      </c>
      <c r="I69" s="110">
        <f t="shared" si="57"/>
        <v>35.854474167384396</v>
      </c>
      <c r="J69" s="110">
        <f t="shared" si="57"/>
        <v>33.672973903173244</v>
      </c>
      <c r="K69" s="110">
        <f t="shared" si="57"/>
        <v>28.177459522469118</v>
      </c>
      <c r="L69" s="110">
        <f t="shared" si="57"/>
        <v>23.396912930076141</v>
      </c>
      <c r="M69" s="110">
        <f t="shared" si="57"/>
        <v>22.725447123385898</v>
      </c>
      <c r="N69" s="110">
        <f t="shared" si="57"/>
        <v>21.514114095761009</v>
      </c>
      <c r="O69" s="110">
        <f t="shared" si="57"/>
        <v>21.105656480336961</v>
      </c>
      <c r="P69" s="110">
        <f t="shared" si="57"/>
        <v>18.070045293452651</v>
      </c>
      <c r="Q69" s="110">
        <f t="shared" si="57"/>
        <v>16.173911334852512</v>
      </c>
      <c r="R69" s="110">
        <f t="shared" ref="R69:V69" si="58">R70+R71+R72</f>
        <v>15.460375192201019</v>
      </c>
      <c r="S69" s="110">
        <f t="shared" si="58"/>
        <v>14.490291129419363</v>
      </c>
      <c r="T69" s="110">
        <f t="shared" si="58"/>
        <v>11.991469901588548</v>
      </c>
      <c r="U69" s="110">
        <f t="shared" si="58"/>
        <v>10.842080714264215</v>
      </c>
      <c r="V69" s="110">
        <f t="shared" si="58"/>
        <v>5.5680258925230053</v>
      </c>
      <c r="W69" s="110">
        <f t="shared" ref="W69:Y69" si="59">W70+W71+W72</f>
        <v>7.9910949252950472</v>
      </c>
      <c r="X69" s="110">
        <f t="shared" si="59"/>
        <v>8.3667516986241619</v>
      </c>
      <c r="Y69" s="110">
        <f t="shared" si="59"/>
        <v>10.688610651127453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38.324077059151577</v>
      </c>
      <c r="C71" s="102">
        <f>TrRail_emi!C$11</f>
        <v>35.709781582507446</v>
      </c>
      <c r="D71" s="102">
        <f>TrRail_emi!D$11</f>
        <v>37.825552720705197</v>
      </c>
      <c r="E71" s="102">
        <f>TrRail_emi!E$11</f>
        <v>37.785780128505763</v>
      </c>
      <c r="F71" s="102">
        <f>TrRail_emi!F$11</f>
        <v>37.525716092491876</v>
      </c>
      <c r="G71" s="102">
        <f>TrRail_emi!G$11</f>
        <v>37.376746346771419</v>
      </c>
      <c r="H71" s="102">
        <f>TrRail_emi!H$11</f>
        <v>35.819250702415736</v>
      </c>
      <c r="I71" s="102">
        <f>TrRail_emi!I$11</f>
        <v>35.854474167384396</v>
      </c>
      <c r="J71" s="102">
        <f>TrRail_emi!J$11</f>
        <v>33.672973903173244</v>
      </c>
      <c r="K71" s="102">
        <f>TrRail_emi!K$11</f>
        <v>28.177459522469118</v>
      </c>
      <c r="L71" s="102">
        <f>TrRail_emi!L$11</f>
        <v>23.396912930076141</v>
      </c>
      <c r="M71" s="102">
        <f>TrRail_emi!M$11</f>
        <v>22.725447123385898</v>
      </c>
      <c r="N71" s="102">
        <f>TrRail_emi!N$11</f>
        <v>21.514114095761009</v>
      </c>
      <c r="O71" s="102">
        <f>TrRail_emi!O$11</f>
        <v>21.105656480336961</v>
      </c>
      <c r="P71" s="102">
        <f>TrRail_emi!P$11</f>
        <v>18.070045293452651</v>
      </c>
      <c r="Q71" s="102">
        <f>TrRail_emi!Q$11</f>
        <v>16.173911334852512</v>
      </c>
      <c r="R71" s="102">
        <f>TrRail_emi!R$11</f>
        <v>15.460375192201019</v>
      </c>
      <c r="S71" s="102">
        <f>TrRail_emi!S$11</f>
        <v>14.490291129419363</v>
      </c>
      <c r="T71" s="102">
        <f>TrRail_emi!T$11</f>
        <v>11.991469901588548</v>
      </c>
      <c r="U71" s="102">
        <f>TrRail_emi!U$11</f>
        <v>10.842080714264215</v>
      </c>
      <c r="V71" s="102">
        <f>TrRail_emi!V$11</f>
        <v>5.5680258925230053</v>
      </c>
      <c r="W71" s="102">
        <f>TrRail_emi!W$11</f>
        <v>7.9910949252950472</v>
      </c>
      <c r="X71" s="102">
        <f>TrRail_emi!X$11</f>
        <v>8.3667516986241619</v>
      </c>
      <c r="Y71" s="102">
        <f>TrRail_emi!Y$11</f>
        <v>10.688610651127453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80.018967500359352</v>
      </c>
      <c r="C73" s="110">
        <f t="shared" si="60"/>
        <v>80.062027929980786</v>
      </c>
      <c r="D73" s="110">
        <f t="shared" si="60"/>
        <v>83.06779070013765</v>
      </c>
      <c r="E73" s="110">
        <f t="shared" si="60"/>
        <v>120.44729737937432</v>
      </c>
      <c r="F73" s="110">
        <f t="shared" si="60"/>
        <v>145.19246848727684</v>
      </c>
      <c r="G73" s="110">
        <f t="shared" si="60"/>
        <v>176.00503953055204</v>
      </c>
      <c r="H73" s="110">
        <f t="shared" si="60"/>
        <v>197.7266617216641</v>
      </c>
      <c r="I73" s="110">
        <f t="shared" si="60"/>
        <v>241.22265630420395</v>
      </c>
      <c r="J73" s="110">
        <f t="shared" si="60"/>
        <v>290.43530084282742</v>
      </c>
      <c r="K73" s="110">
        <f t="shared" si="60"/>
        <v>304.58430010153279</v>
      </c>
      <c r="L73" s="110">
        <f t="shared" si="60"/>
        <v>350.46779421087399</v>
      </c>
      <c r="M73" s="110">
        <f t="shared" si="60"/>
        <v>350.58407238888702</v>
      </c>
      <c r="N73" s="110">
        <f t="shared" si="60"/>
        <v>346.29152287848461</v>
      </c>
      <c r="O73" s="110">
        <f t="shared" si="60"/>
        <v>353.69251140545293</v>
      </c>
      <c r="P73" s="110">
        <f t="shared" si="60"/>
        <v>320.92968859457335</v>
      </c>
      <c r="Q73" s="110">
        <f t="shared" si="60"/>
        <v>318.98799467329275</v>
      </c>
      <c r="R73" s="110">
        <f t="shared" ref="R73:V73" si="61">R74+R75+R76</f>
        <v>365.82271532809807</v>
      </c>
      <c r="S73" s="110">
        <f t="shared" si="61"/>
        <v>416.78379621707211</v>
      </c>
      <c r="T73" s="110">
        <f t="shared" si="61"/>
        <v>456.90411545288521</v>
      </c>
      <c r="U73" s="110">
        <f t="shared" si="61"/>
        <v>466.42071828610096</v>
      </c>
      <c r="V73" s="110">
        <f t="shared" si="61"/>
        <v>170.85445070516397</v>
      </c>
      <c r="W73" s="110">
        <f t="shared" ref="W73:Y73" si="62">W74+W75+W76</f>
        <v>230.44410143572404</v>
      </c>
      <c r="X73" s="110">
        <f t="shared" si="62"/>
        <v>313.94770138149596</v>
      </c>
      <c r="Y73" s="110">
        <f t="shared" si="62"/>
        <v>395.90839468313987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70.095125538568254</v>
      </c>
      <c r="C75" s="102">
        <f>TrAvia_emi!C$8</f>
        <v>70.128474213001923</v>
      </c>
      <c r="D75" s="102">
        <f>TrAvia_emi!D$8</f>
        <v>72.760741502798425</v>
      </c>
      <c r="E75" s="102">
        <f>TrAvia_emi!E$8</f>
        <v>105.50156318153063</v>
      </c>
      <c r="F75" s="102">
        <f>TrAvia_emi!F$8</f>
        <v>127.16632579100478</v>
      </c>
      <c r="G75" s="102">
        <f>TrAvia_emi!G$8</f>
        <v>157.17576603747426</v>
      </c>
      <c r="H75" s="102">
        <f>TrAvia_emi!H$8</f>
        <v>179.61690809498882</v>
      </c>
      <c r="I75" s="102">
        <f>TrAvia_emi!I$8</f>
        <v>220.13520060156759</v>
      </c>
      <c r="J75" s="102">
        <f>TrAvia_emi!J$8</f>
        <v>264.4954960660412</v>
      </c>
      <c r="K75" s="102">
        <f>TrAvia_emi!K$8</f>
        <v>277.04792628477952</v>
      </c>
      <c r="L75" s="102">
        <f>TrAvia_emi!L$8</f>
        <v>321.39156302217225</v>
      </c>
      <c r="M75" s="102">
        <f>TrAvia_emi!M$8</f>
        <v>321.42393747367748</v>
      </c>
      <c r="N75" s="102">
        <f>TrAvia_emi!N$8</f>
        <v>316.04006069102962</v>
      </c>
      <c r="O75" s="102">
        <f>TrAvia_emi!O$8</f>
        <v>323.39666308775492</v>
      </c>
      <c r="P75" s="102">
        <f>TrAvia_emi!P$8</f>
        <v>293.50415939580006</v>
      </c>
      <c r="Q75" s="102">
        <f>TrAvia_emi!Q$8</f>
        <v>293.23707272744502</v>
      </c>
      <c r="R75" s="102">
        <f>TrAvia_emi!R$8</f>
        <v>337.48902522622848</v>
      </c>
      <c r="S75" s="102">
        <f>TrAvia_emi!S$8</f>
        <v>386.33137349851268</v>
      </c>
      <c r="T75" s="102">
        <f>TrAvia_emi!T$8</f>
        <v>424.27865902126564</v>
      </c>
      <c r="U75" s="102">
        <f>TrAvia_emi!U$8</f>
        <v>432.88175058816364</v>
      </c>
      <c r="V75" s="102">
        <f>TrAvia_emi!V$8</f>
        <v>151.98974074243807</v>
      </c>
      <c r="W75" s="102">
        <f>TrAvia_emi!W$8</f>
        <v>207.80935869655715</v>
      </c>
      <c r="X75" s="102">
        <f>TrAvia_emi!X$8</f>
        <v>290.26335796505907</v>
      </c>
      <c r="Y75" s="102">
        <f>TrAvia_emi!Y$8</f>
        <v>365.24237007824314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9.9238419617910978</v>
      </c>
      <c r="C76" s="102">
        <f>TrAvia_emi!C$9</f>
        <v>9.9335537169788619</v>
      </c>
      <c r="D76" s="102">
        <f>TrAvia_emi!D$9</f>
        <v>10.307049197339222</v>
      </c>
      <c r="E76" s="102">
        <f>TrAvia_emi!E$9</f>
        <v>14.945734197843688</v>
      </c>
      <c r="F76" s="102">
        <f>TrAvia_emi!F$9</f>
        <v>18.026142696272053</v>
      </c>
      <c r="G76" s="102">
        <f>TrAvia_emi!G$9</f>
        <v>18.829273493077771</v>
      </c>
      <c r="H76" s="102">
        <f>TrAvia_emi!H$9</f>
        <v>18.109753626675275</v>
      </c>
      <c r="I76" s="102">
        <f>TrAvia_emi!I$9</f>
        <v>21.087455702636376</v>
      </c>
      <c r="J76" s="102">
        <f>TrAvia_emi!J$9</f>
        <v>25.939804776786215</v>
      </c>
      <c r="K76" s="102">
        <f>TrAvia_emi!K$9</f>
        <v>27.536373816753255</v>
      </c>
      <c r="L76" s="102">
        <f>TrAvia_emi!L$9</f>
        <v>29.076231188701716</v>
      </c>
      <c r="M76" s="102">
        <f>TrAvia_emi!M$9</f>
        <v>29.160134915209529</v>
      </c>
      <c r="N76" s="102">
        <f>TrAvia_emi!N$9</f>
        <v>30.251462187455012</v>
      </c>
      <c r="O76" s="102">
        <f>TrAvia_emi!O$9</f>
        <v>30.295848317698024</v>
      </c>
      <c r="P76" s="102">
        <f>TrAvia_emi!P$9</f>
        <v>27.425529198773308</v>
      </c>
      <c r="Q76" s="102">
        <f>TrAvia_emi!Q$9</f>
        <v>25.750921945847718</v>
      </c>
      <c r="R76" s="102">
        <f>TrAvia_emi!R$9</f>
        <v>28.333690101869596</v>
      </c>
      <c r="S76" s="102">
        <f>TrAvia_emi!S$9</f>
        <v>30.452422718559454</v>
      </c>
      <c r="T76" s="102">
        <f>TrAvia_emi!T$9</f>
        <v>32.625456431619583</v>
      </c>
      <c r="U76" s="102">
        <f>TrAvia_emi!U$9</f>
        <v>33.538967697937331</v>
      </c>
      <c r="V76" s="102">
        <f>TrAvia_emi!V$9</f>
        <v>18.864709962725883</v>
      </c>
      <c r="W76" s="102">
        <f>TrAvia_emi!W$9</f>
        <v>22.634742739166892</v>
      </c>
      <c r="X76" s="102">
        <f>TrAvia_emi!X$9</f>
        <v>23.684343416436878</v>
      </c>
      <c r="Y76" s="102">
        <f>TrAvia_emi!Y$9</f>
        <v>30.666024604896752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712.9820514614878</v>
      </c>
      <c r="C77" s="28">
        <f t="shared" si="63"/>
        <v>981.04801355928907</v>
      </c>
      <c r="D77" s="28">
        <f t="shared" si="63"/>
        <v>1047.7752810068441</v>
      </c>
      <c r="E77" s="28">
        <f t="shared" si="63"/>
        <v>1121.3189061855401</v>
      </c>
      <c r="F77" s="28">
        <f t="shared" si="63"/>
        <v>1189.1822427379968</v>
      </c>
      <c r="G77" s="28">
        <f t="shared" si="63"/>
        <v>1278.6993001283643</v>
      </c>
      <c r="H77" s="28">
        <f t="shared" si="63"/>
        <v>1371.0607927748972</v>
      </c>
      <c r="I77" s="28">
        <f t="shared" si="63"/>
        <v>1617.6026280945741</v>
      </c>
      <c r="J77" s="28">
        <f t="shared" si="63"/>
        <v>1504.091491209881</v>
      </c>
      <c r="K77" s="28">
        <f t="shared" si="63"/>
        <v>1275.1100504975345</v>
      </c>
      <c r="L77" s="28">
        <f t="shared" si="63"/>
        <v>1377.5289674289199</v>
      </c>
      <c r="M77" s="28">
        <f t="shared" si="63"/>
        <v>1119.6098580478745</v>
      </c>
      <c r="N77" s="28">
        <f t="shared" si="63"/>
        <v>1081.4992103292832</v>
      </c>
      <c r="O77" s="28">
        <f t="shared" si="63"/>
        <v>1113.3202864708753</v>
      </c>
      <c r="P77" s="28">
        <f t="shared" si="63"/>
        <v>1086.718697807102</v>
      </c>
      <c r="Q77" s="28">
        <f t="shared" si="63"/>
        <v>1136.849538814605</v>
      </c>
      <c r="R77" s="28">
        <f t="shared" si="63"/>
        <v>1086.5413980531109</v>
      </c>
      <c r="S77" s="28">
        <f t="shared" si="63"/>
        <v>1165.1217005736462</v>
      </c>
      <c r="T77" s="28">
        <f t="shared" si="63"/>
        <v>1167.6215087400187</v>
      </c>
      <c r="U77" s="28">
        <f t="shared" si="63"/>
        <v>1099.3535148237586</v>
      </c>
      <c r="V77" s="28">
        <f t="shared" si="63"/>
        <v>1026.0411099330704</v>
      </c>
      <c r="W77" s="28">
        <f t="shared" si="63"/>
        <v>1106.8065822989636</v>
      </c>
      <c r="X77" s="28">
        <f t="shared" si="63"/>
        <v>1128.6445741499622</v>
      </c>
      <c r="Y77" s="28">
        <f t="shared" si="63"/>
        <v>1103.5728298132763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545.91381246099877</v>
      </c>
      <c r="C78" s="137">
        <f t="shared" si="64"/>
        <v>805.11166971177738</v>
      </c>
      <c r="D78" s="137">
        <f t="shared" si="64"/>
        <v>864.40895298768692</v>
      </c>
      <c r="E78" s="137">
        <f t="shared" si="64"/>
        <v>906.50624825342015</v>
      </c>
      <c r="F78" s="137">
        <f t="shared" si="64"/>
        <v>967.70296199776556</v>
      </c>
      <c r="G78" s="137">
        <f t="shared" si="64"/>
        <v>1056.8158320056875</v>
      </c>
      <c r="H78" s="137">
        <f t="shared" si="64"/>
        <v>1179.0788636789771</v>
      </c>
      <c r="I78" s="137">
        <f t="shared" si="64"/>
        <v>1403.6169910861622</v>
      </c>
      <c r="J78" s="137">
        <f t="shared" si="64"/>
        <v>1284.2797612358818</v>
      </c>
      <c r="K78" s="137">
        <f t="shared" si="64"/>
        <v>1057.863486481536</v>
      </c>
      <c r="L78" s="137">
        <f t="shared" si="64"/>
        <v>1173.6744225698701</v>
      </c>
      <c r="M78" s="137">
        <f t="shared" si="64"/>
        <v>890.01184608014751</v>
      </c>
      <c r="N78" s="137">
        <f t="shared" si="64"/>
        <v>830.69697854352864</v>
      </c>
      <c r="O78" s="137">
        <f t="shared" si="64"/>
        <v>869.67716587666553</v>
      </c>
      <c r="P78" s="137">
        <f t="shared" si="64"/>
        <v>869.70520473512795</v>
      </c>
      <c r="Q78" s="137">
        <f t="shared" si="64"/>
        <v>934.80567842275047</v>
      </c>
      <c r="R78" s="137">
        <f t="shared" ref="R78:V78" si="65">R79+R80</f>
        <v>912.35323189341011</v>
      </c>
      <c r="S78" s="137">
        <f t="shared" si="65"/>
        <v>998.42816204013786</v>
      </c>
      <c r="T78" s="137">
        <f t="shared" si="65"/>
        <v>992.5890890144924</v>
      </c>
      <c r="U78" s="137">
        <f t="shared" si="65"/>
        <v>962.92349086412378</v>
      </c>
      <c r="V78" s="137">
        <f t="shared" si="65"/>
        <v>939.91751973075725</v>
      </c>
      <c r="W78" s="137">
        <f t="shared" ref="W78:Y78" si="66">W79+W80</f>
        <v>1026.1929547799828</v>
      </c>
      <c r="X78" s="137">
        <f t="shared" si="66"/>
        <v>1055.2679770700822</v>
      </c>
      <c r="Y78" s="137">
        <f t="shared" si="66"/>
        <v>1039.4037506675438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110.77356318915298</v>
      </c>
      <c r="C79" s="102">
        <f>TrRoad_emi!C$34</f>
        <v>132.90423276532314</v>
      </c>
      <c r="D79" s="102">
        <f>TrRoad_emi!D$34</f>
        <v>162.73694452270956</v>
      </c>
      <c r="E79" s="102">
        <f>TrRoad_emi!E$34</f>
        <v>146.74204844102815</v>
      </c>
      <c r="F79" s="102">
        <f>TrRoad_emi!F$34</f>
        <v>190.50370714903713</v>
      </c>
      <c r="G79" s="102">
        <f>TrRoad_emi!G$34</f>
        <v>177.98754813720231</v>
      </c>
      <c r="H79" s="102">
        <f>TrRoad_emi!H$34</f>
        <v>197.44406698316658</v>
      </c>
      <c r="I79" s="102">
        <f>TrRoad_emi!I$34</f>
        <v>222.21591561787352</v>
      </c>
      <c r="J79" s="102">
        <f>TrRoad_emi!J$34</f>
        <v>221.51507149356638</v>
      </c>
      <c r="K79" s="102">
        <f>TrRoad_emi!K$34</f>
        <v>202.19012158479907</v>
      </c>
      <c r="L79" s="102">
        <f>TrRoad_emi!L$34</f>
        <v>182.67106090704087</v>
      </c>
      <c r="M79" s="102">
        <f>TrRoad_emi!M$34</f>
        <v>175.58799537913208</v>
      </c>
      <c r="N79" s="102">
        <f>TrRoad_emi!N$34</f>
        <v>190.0486700819331</v>
      </c>
      <c r="O79" s="102">
        <f>TrRoad_emi!O$34</f>
        <v>217.59502252434314</v>
      </c>
      <c r="P79" s="102">
        <f>TrRoad_emi!P$34</f>
        <v>233.29096584703984</v>
      </c>
      <c r="Q79" s="102">
        <f>TrRoad_emi!Q$34</f>
        <v>244.33901345259065</v>
      </c>
      <c r="R79" s="102">
        <f>TrRoad_emi!R$34</f>
        <v>243.20166893777673</v>
      </c>
      <c r="S79" s="102">
        <f>TrRoad_emi!S$34</f>
        <v>253.22044101899553</v>
      </c>
      <c r="T79" s="102">
        <f>TrRoad_emi!T$34</f>
        <v>247.29880228270667</v>
      </c>
      <c r="U79" s="102">
        <f>TrRoad_emi!U$34</f>
        <v>250.79806090313582</v>
      </c>
      <c r="V79" s="102">
        <f>TrRoad_emi!V$34</f>
        <v>253.53991676232116</v>
      </c>
      <c r="W79" s="102">
        <f>TrRoad_emi!W$34</f>
        <v>262.93697426151289</v>
      </c>
      <c r="X79" s="102">
        <f>TrRoad_emi!X$34</f>
        <v>276.9645405950007</v>
      </c>
      <c r="Y79" s="102">
        <f>TrRoad_emi!Y$34</f>
        <v>283.52026612991034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435.14024927184585</v>
      </c>
      <c r="C80" s="102">
        <f>TrRoad_emi!C$40</f>
        <v>672.20743694645421</v>
      </c>
      <c r="D80" s="102">
        <f>TrRoad_emi!D$40</f>
        <v>701.67200846497735</v>
      </c>
      <c r="E80" s="102">
        <f>TrRoad_emi!E$40</f>
        <v>759.76419981239201</v>
      </c>
      <c r="F80" s="102">
        <f>TrRoad_emi!F$40</f>
        <v>777.1992548487284</v>
      </c>
      <c r="G80" s="102">
        <f>TrRoad_emi!G$40</f>
        <v>878.82828386848519</v>
      </c>
      <c r="H80" s="102">
        <f>TrRoad_emi!H$40</f>
        <v>981.63479669581056</v>
      </c>
      <c r="I80" s="102">
        <f>TrRoad_emi!I$40</f>
        <v>1181.4010754682888</v>
      </c>
      <c r="J80" s="102">
        <f>TrRoad_emi!J$40</f>
        <v>1062.7646897423153</v>
      </c>
      <c r="K80" s="102">
        <f>TrRoad_emi!K$40</f>
        <v>855.67336489673698</v>
      </c>
      <c r="L80" s="102">
        <f>TrRoad_emi!L$40</f>
        <v>991.00336166282921</v>
      </c>
      <c r="M80" s="102">
        <f>TrRoad_emi!M$40</f>
        <v>714.42385070101545</v>
      </c>
      <c r="N80" s="102">
        <f>TrRoad_emi!N$40</f>
        <v>640.64830846159555</v>
      </c>
      <c r="O80" s="102">
        <f>TrRoad_emi!O$40</f>
        <v>652.08214335232242</v>
      </c>
      <c r="P80" s="102">
        <f>TrRoad_emi!P$40</f>
        <v>636.41423888808811</v>
      </c>
      <c r="Q80" s="102">
        <f>TrRoad_emi!Q$40</f>
        <v>690.46666497015985</v>
      </c>
      <c r="R80" s="102">
        <f>TrRoad_emi!R$40</f>
        <v>669.15156295563338</v>
      </c>
      <c r="S80" s="102">
        <f>TrRoad_emi!S$40</f>
        <v>745.20772102114233</v>
      </c>
      <c r="T80" s="102">
        <f>TrRoad_emi!T$40</f>
        <v>745.29028673178573</v>
      </c>
      <c r="U80" s="102">
        <f>TrRoad_emi!U$40</f>
        <v>712.12542996098796</v>
      </c>
      <c r="V80" s="102">
        <f>TrRoad_emi!V$40</f>
        <v>686.37760296843612</v>
      </c>
      <c r="W80" s="102">
        <f>TrRoad_emi!W$40</f>
        <v>763.25598051846987</v>
      </c>
      <c r="X80" s="102">
        <f>TrRoad_emi!X$40</f>
        <v>778.30343647508153</v>
      </c>
      <c r="Y80" s="102">
        <f>TrRoad_emi!Y$40</f>
        <v>755.88348453763342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166.32912650084842</v>
      </c>
      <c r="C81" s="110">
        <f>TrRail_emi!C$15</f>
        <v>175.24029177749253</v>
      </c>
      <c r="D81" s="110">
        <f>TrRail_emi!D$15</f>
        <v>182.56995871929476</v>
      </c>
      <c r="E81" s="110">
        <f>TrRail_emi!E$15</f>
        <v>214.09488059149422</v>
      </c>
      <c r="F81" s="110">
        <f>TrRail_emi!F$15</f>
        <v>220.65208118750812</v>
      </c>
      <c r="G81" s="110">
        <f>TrRail_emi!G$15</f>
        <v>220.80105093322859</v>
      </c>
      <c r="H81" s="110">
        <f>TrRail_emi!H$15</f>
        <v>190.87339729758426</v>
      </c>
      <c r="I81" s="110">
        <f>TrRail_emi!I$15</f>
        <v>209.7293167526156</v>
      </c>
      <c r="J81" s="110">
        <f>TrRail_emi!J$15</f>
        <v>211.91081701682674</v>
      </c>
      <c r="K81" s="110">
        <f>TrRail_emi!K$15</f>
        <v>201.6637567575309</v>
      </c>
      <c r="L81" s="110">
        <f>TrRail_emi!L$15</f>
        <v>184.40459214992384</v>
      </c>
      <c r="M81" s="110">
        <f>TrRail_emi!M$15</f>
        <v>210.26433743661408</v>
      </c>
      <c r="N81" s="110">
        <f>TrRail_emi!N$15</f>
        <v>227.21797834423896</v>
      </c>
      <c r="O81" s="110">
        <f>TrRail_emi!O$15</f>
        <v>202.43842323966302</v>
      </c>
      <c r="P81" s="110">
        <f>TrRail_emi!P$15</f>
        <v>196.02859634654737</v>
      </c>
      <c r="Q81" s="110">
        <f>TrRail_emi!Q$15</f>
        <v>188.47929222514745</v>
      </c>
      <c r="R81" s="110">
        <f>TrRail_emi!R$15</f>
        <v>157.70767908779897</v>
      </c>
      <c r="S81" s="110">
        <f>TrRail_emi!S$15</f>
        <v>147.99162431058068</v>
      </c>
      <c r="T81" s="110">
        <f>TrRail_emi!T$15</f>
        <v>153.64221493841146</v>
      </c>
      <c r="U81" s="110">
        <f>TrRail_emi!U$15</f>
        <v>125.23646344573577</v>
      </c>
      <c r="V81" s="110">
        <f>TrRail_emi!V$15</f>
        <v>74.681118147476994</v>
      </c>
      <c r="W81" s="110">
        <f>TrRail_emi!W$15</f>
        <v>67.673778514704935</v>
      </c>
      <c r="X81" s="110">
        <f>TrRail_emi!X$15</f>
        <v>62.98781366137581</v>
      </c>
      <c r="Y81" s="110">
        <f>TrRail_emi!Y$15</f>
        <v>55.933899068872535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0.73911249964065806</v>
      </c>
      <c r="C82" s="110">
        <f t="shared" si="67"/>
        <v>0.69605207001921077</v>
      </c>
      <c r="D82" s="110">
        <f t="shared" si="67"/>
        <v>0.7963692998623797</v>
      </c>
      <c r="E82" s="110">
        <f t="shared" si="67"/>
        <v>0.71777734062571452</v>
      </c>
      <c r="F82" s="110">
        <f t="shared" si="67"/>
        <v>0.82719955272315993</v>
      </c>
      <c r="G82" s="110">
        <f t="shared" si="67"/>
        <v>1.082417189447977</v>
      </c>
      <c r="H82" s="110">
        <f t="shared" si="67"/>
        <v>1.1085317983359542</v>
      </c>
      <c r="I82" s="110">
        <f t="shared" si="67"/>
        <v>1.107751975796081</v>
      </c>
      <c r="J82" s="110">
        <f t="shared" si="67"/>
        <v>1.6037763971725356</v>
      </c>
      <c r="K82" s="110">
        <f t="shared" si="67"/>
        <v>2.9888008984673338</v>
      </c>
      <c r="L82" s="110">
        <f t="shared" si="67"/>
        <v>3.7073780691259541</v>
      </c>
      <c r="M82" s="110">
        <f t="shared" si="67"/>
        <v>3.5910998911129877</v>
      </c>
      <c r="N82" s="110">
        <f t="shared" si="67"/>
        <v>10.990247081515468</v>
      </c>
      <c r="O82" s="110">
        <f t="shared" si="67"/>
        <v>16.016684634546987</v>
      </c>
      <c r="P82" s="110">
        <f t="shared" si="67"/>
        <v>8.39089036542663</v>
      </c>
      <c r="Q82" s="110">
        <f t="shared" si="67"/>
        <v>4.1191300867072522</v>
      </c>
      <c r="R82" s="110">
        <f t="shared" si="67"/>
        <v>3.8864807119019122</v>
      </c>
      <c r="S82" s="110">
        <f t="shared" si="67"/>
        <v>4.4454368629276511</v>
      </c>
      <c r="T82" s="110">
        <f t="shared" si="67"/>
        <v>4.4743019471150038</v>
      </c>
      <c r="U82" s="110">
        <f t="shared" si="67"/>
        <v>5.8436509138990065</v>
      </c>
      <c r="V82" s="110">
        <f t="shared" si="67"/>
        <v>4.1203539348360749</v>
      </c>
      <c r="W82" s="110">
        <f t="shared" ref="W82:Y82" si="68">W83+W84+W85</f>
        <v>5.0513778042759929</v>
      </c>
      <c r="X82" s="110">
        <f t="shared" si="68"/>
        <v>4.9341192185040637</v>
      </c>
      <c r="Y82" s="110">
        <f t="shared" si="68"/>
        <v>5.1390015168600014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0.64968030847076996</v>
      </c>
      <c r="C84" s="102">
        <f>TrAvia_emi!C$12</f>
        <v>0.59387826687213874</v>
      </c>
      <c r="D84" s="102">
        <f>TrAvia_emi!D$12</f>
        <v>0.68162530677513178</v>
      </c>
      <c r="E84" s="102">
        <f>TrAvia_emi!E$12</f>
        <v>0.60273351277338694</v>
      </c>
      <c r="F84" s="102">
        <f>TrAvia_emi!F$12</f>
        <v>0.69948549298071327</v>
      </c>
      <c r="G84" s="102">
        <f>TrAvia_emi!G$12</f>
        <v>0.94668694437808887</v>
      </c>
      <c r="H84" s="102">
        <f>TrAvia_emi!H$12</f>
        <v>0.96122077782320892</v>
      </c>
      <c r="I84" s="102">
        <f>TrAvia_emi!I$12</f>
        <v>0.88926867266281118</v>
      </c>
      <c r="J84" s="102">
        <f>TrAvia_emi!J$12</f>
        <v>1.2285167839246536</v>
      </c>
      <c r="K84" s="102">
        <f>TrAvia_emi!K$12</f>
        <v>2.4841687017650069</v>
      </c>
      <c r="L84" s="102">
        <f>TrAvia_emi!L$12</f>
        <v>2.8937815707588572</v>
      </c>
      <c r="M84" s="102">
        <f>TrAvia_emi!M$12</f>
        <v>2.71296018342625</v>
      </c>
      <c r="N84" s="102">
        <f>TrAvia_emi!N$12</f>
        <v>3.0329182564374766</v>
      </c>
      <c r="O84" s="102">
        <f>TrAvia_emi!O$12</f>
        <v>3.5266480304724359</v>
      </c>
      <c r="P84" s="102">
        <f>TrAvia_emi!P$12</f>
        <v>3.134613417926694</v>
      </c>
      <c r="Q84" s="102">
        <f>TrAvia_emi!Q$12</f>
        <v>2.6513181536271522</v>
      </c>
      <c r="R84" s="102">
        <f>TrAvia_emi!R$12</f>
        <v>2.8180627662559377</v>
      </c>
      <c r="S84" s="102">
        <f>TrAvia_emi!S$12</f>
        <v>3.4308881615201314</v>
      </c>
      <c r="T84" s="102">
        <f>TrAvia_emi!T$12</f>
        <v>3.6513232899571366</v>
      </c>
      <c r="U84" s="102">
        <f>TrAvia_emi!U$12</f>
        <v>3.9463931049473411</v>
      </c>
      <c r="V84" s="102">
        <f>TrAvia_emi!V$12</f>
        <v>3.2509458657640806</v>
      </c>
      <c r="W84" s="102">
        <f>TrAvia_emi!W$12</f>
        <v>4.6407265250199172</v>
      </c>
      <c r="X84" s="102">
        <f>TrAvia_emi!X$12</f>
        <v>4.4832978698797712</v>
      </c>
      <c r="Y84" s="102">
        <f>TrAvia_emi!Y$12</f>
        <v>4.8645416193007316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8.9432191169888112E-2</v>
      </c>
      <c r="C85" s="102">
        <f>TrAvia_emi!C$13</f>
        <v>0.10217380314707204</v>
      </c>
      <c r="D85" s="102">
        <f>TrAvia_emi!D$13</f>
        <v>0.11474399308724789</v>
      </c>
      <c r="E85" s="102">
        <f>TrAvia_emi!E$13</f>
        <v>0.11504382785232763</v>
      </c>
      <c r="F85" s="102">
        <f>TrAvia_emi!F$13</f>
        <v>0.12771405974244662</v>
      </c>
      <c r="G85" s="102">
        <f>TrAvia_emi!G$13</f>
        <v>0.13573024506988821</v>
      </c>
      <c r="H85" s="102">
        <f>TrAvia_emi!H$13</f>
        <v>0.14731102051274528</v>
      </c>
      <c r="I85" s="102">
        <f>TrAvia_emi!I$13</f>
        <v>0.2184833031332698</v>
      </c>
      <c r="J85" s="102">
        <f>TrAvia_emi!J$13</f>
        <v>0.37525961324788198</v>
      </c>
      <c r="K85" s="102">
        <f>TrAvia_emi!K$13</f>
        <v>0.50463219670232673</v>
      </c>
      <c r="L85" s="102">
        <f>TrAvia_emi!L$13</f>
        <v>0.81359649836709702</v>
      </c>
      <c r="M85" s="102">
        <f>TrAvia_emi!M$13</f>
        <v>0.87813970768673788</v>
      </c>
      <c r="N85" s="102">
        <f>TrAvia_emi!N$13</f>
        <v>7.9573288250779912</v>
      </c>
      <c r="O85" s="102">
        <f>TrAvia_emi!O$13</f>
        <v>12.490036604074552</v>
      </c>
      <c r="P85" s="102">
        <f>TrAvia_emi!P$13</f>
        <v>5.256276947499936</v>
      </c>
      <c r="Q85" s="102">
        <f>TrAvia_emi!Q$13</f>
        <v>1.4678119330801003</v>
      </c>
      <c r="R85" s="102">
        <f>TrAvia_emi!R$13</f>
        <v>1.0684179456459748</v>
      </c>
      <c r="S85" s="102">
        <f>TrAvia_emi!S$13</f>
        <v>1.0145487014075198</v>
      </c>
      <c r="T85" s="102">
        <f>TrAvia_emi!T$13</f>
        <v>0.82297865715786755</v>
      </c>
      <c r="U85" s="102">
        <f>TrAvia_emi!U$13</f>
        <v>1.8972578089516658</v>
      </c>
      <c r="V85" s="102">
        <f>TrAvia_emi!V$13</f>
        <v>0.86940806907199464</v>
      </c>
      <c r="W85" s="102">
        <f>TrAvia_emi!W$13</f>
        <v>0.41065127925607531</v>
      </c>
      <c r="X85" s="102">
        <f>TrAvia_emi!X$13</f>
        <v>0.45082134862429235</v>
      </c>
      <c r="Y85" s="102">
        <f>TrAvia_emi!Y$13</f>
        <v>0.27445989755926986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0</v>
      </c>
      <c r="H86" s="110">
        <f t="shared" si="69"/>
        <v>0</v>
      </c>
      <c r="I86" s="110">
        <f t="shared" si="69"/>
        <v>3.1485682799999988</v>
      </c>
      <c r="J86" s="110">
        <f t="shared" si="69"/>
        <v>6.2971365600000002</v>
      </c>
      <c r="K86" s="110">
        <f t="shared" si="69"/>
        <v>12.594006359999996</v>
      </c>
      <c r="L86" s="110">
        <f t="shared" si="69"/>
        <v>15.742574640000004</v>
      </c>
      <c r="M86" s="110">
        <f t="shared" si="69"/>
        <v>15.742574640000004</v>
      </c>
      <c r="N86" s="110">
        <f t="shared" si="69"/>
        <v>12.594006359999996</v>
      </c>
      <c r="O86" s="110">
        <f t="shared" si="69"/>
        <v>25.18801272</v>
      </c>
      <c r="P86" s="110">
        <f t="shared" si="69"/>
        <v>12.594006359999996</v>
      </c>
      <c r="Q86" s="110">
        <f t="shared" si="69"/>
        <v>9.4454380799999988</v>
      </c>
      <c r="R86" s="110">
        <f t="shared" ref="R86:V86" si="70">R87+R88</f>
        <v>12.594006359999996</v>
      </c>
      <c r="S86" s="110">
        <f t="shared" si="70"/>
        <v>14.256477360000002</v>
      </c>
      <c r="T86" s="110">
        <f t="shared" si="70"/>
        <v>16.915902840000001</v>
      </c>
      <c r="U86" s="110">
        <f t="shared" si="70"/>
        <v>5.3499096000000002</v>
      </c>
      <c r="V86" s="110">
        <f t="shared" si="70"/>
        <v>7.3221181199999998</v>
      </c>
      <c r="W86" s="110">
        <f t="shared" ref="W86:Y86" si="71">W87+W88</f>
        <v>7.8884712000000015</v>
      </c>
      <c r="X86" s="110">
        <f t="shared" si="71"/>
        <v>5.4546641999999999</v>
      </c>
      <c r="Y86" s="110">
        <f t="shared" si="71"/>
        <v>3.0961785600000002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3.1485682799999988</v>
      </c>
      <c r="J87" s="102">
        <f>TrNavi_emi!J$4</f>
        <v>6.2971365600000002</v>
      </c>
      <c r="K87" s="102">
        <f>TrNavi_emi!K$4</f>
        <v>12.594006359999996</v>
      </c>
      <c r="L87" s="102">
        <f>TrNavi_emi!L$4</f>
        <v>15.742574640000004</v>
      </c>
      <c r="M87" s="102">
        <f>TrNavi_emi!M$4</f>
        <v>15.742574640000004</v>
      </c>
      <c r="N87" s="102">
        <f>TrNavi_emi!N$4</f>
        <v>12.594006359999996</v>
      </c>
      <c r="O87" s="102">
        <f>TrNavi_emi!O$4</f>
        <v>25.18801272</v>
      </c>
      <c r="P87" s="102">
        <f>TrNavi_emi!P$4</f>
        <v>12.594006359999996</v>
      </c>
      <c r="Q87" s="102">
        <f>TrNavi_emi!Q$4</f>
        <v>9.4454380799999988</v>
      </c>
      <c r="R87" s="102">
        <f>TrNavi_emi!R$4</f>
        <v>12.594006359999996</v>
      </c>
      <c r="S87" s="102">
        <f>TrNavi_emi!S$4</f>
        <v>14.256477360000002</v>
      </c>
      <c r="T87" s="102">
        <f>TrNavi_emi!T$4</f>
        <v>16.915902840000001</v>
      </c>
      <c r="U87" s="102">
        <f>TrNavi_emi!U$4</f>
        <v>5.3499096000000002</v>
      </c>
      <c r="V87" s="102">
        <f>TrNavi_emi!V$4</f>
        <v>7.3221181199999998</v>
      </c>
      <c r="W87" s="102">
        <f>TrNavi_emi!W$4</f>
        <v>7.8884712000000015</v>
      </c>
      <c r="X87" s="102">
        <f>TrNavi_emi!X$4</f>
        <v>5.4546641999999999</v>
      </c>
      <c r="Y87" s="102">
        <f>TrNavi_emi!Y$4</f>
        <v>3.0961785600000002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25.188012719999996</v>
      </c>
      <c r="C89" s="28">
        <f t="shared" si="72"/>
        <v>619.66751543999987</v>
      </c>
      <c r="D89" s="28">
        <f t="shared" si="72"/>
        <v>654.14344824</v>
      </c>
      <c r="E89" s="28">
        <f t="shared" si="72"/>
        <v>597.50669627999991</v>
      </c>
      <c r="F89" s="28">
        <f t="shared" si="72"/>
        <v>644.65525512000011</v>
      </c>
      <c r="G89" s="28">
        <f t="shared" si="72"/>
        <v>830.15027711999971</v>
      </c>
      <c r="H89" s="28">
        <f t="shared" si="72"/>
        <v>628.88260356000001</v>
      </c>
      <c r="I89" s="28">
        <f t="shared" si="72"/>
        <v>569.1397715999999</v>
      </c>
      <c r="J89" s="28">
        <f t="shared" si="72"/>
        <v>660.18541211999991</v>
      </c>
      <c r="K89" s="28">
        <f t="shared" si="72"/>
        <v>877.11097427999971</v>
      </c>
      <c r="L89" s="28">
        <f t="shared" si="72"/>
        <v>804.8833660800002</v>
      </c>
      <c r="M89" s="28">
        <f t="shared" si="72"/>
        <v>685.5069441600001</v>
      </c>
      <c r="N89" s="28">
        <f t="shared" si="72"/>
        <v>767.28342096000017</v>
      </c>
      <c r="O89" s="28">
        <f t="shared" si="72"/>
        <v>767.24094456000023</v>
      </c>
      <c r="P89" s="28">
        <f t="shared" si="72"/>
        <v>742.0347208799999</v>
      </c>
      <c r="Q89" s="28">
        <f t="shared" si="72"/>
        <v>808.35359400000016</v>
      </c>
      <c r="R89" s="28">
        <f t="shared" si="72"/>
        <v>997.14891455999998</v>
      </c>
      <c r="S89" s="28">
        <f t="shared" si="72"/>
        <v>824.14472327999988</v>
      </c>
      <c r="T89" s="28">
        <f t="shared" si="72"/>
        <v>119.01523644000002</v>
      </c>
      <c r="U89" s="28">
        <f t="shared" si="72"/>
        <v>913.41402407999999</v>
      </c>
      <c r="V89" s="28">
        <f t="shared" si="72"/>
        <v>642.80252700000017</v>
      </c>
      <c r="W89" s="28">
        <f t="shared" si="72"/>
        <v>644.69232503999979</v>
      </c>
      <c r="X89" s="28">
        <f t="shared" ref="X89:Y89" si="73">X90+X91</f>
        <v>345.09429324000007</v>
      </c>
      <c r="Y89" s="28">
        <f t="shared" si="73"/>
        <v>115.67437523999996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12.749110234050915</v>
      </c>
      <c r="C90" s="102">
        <f>MBunk_emi!C$4</f>
        <v>308.12249295173706</v>
      </c>
      <c r="D90" s="102">
        <f>MBunk_emi!D$4</f>
        <v>325.10229400090509</v>
      </c>
      <c r="E90" s="102">
        <f>MBunk_emi!E$4</f>
        <v>297.30422447614046</v>
      </c>
      <c r="F90" s="102">
        <f>MBunk_emi!F$4</f>
        <v>321.05522866389748</v>
      </c>
      <c r="G90" s="102">
        <f>MBunk_emi!G$4</f>
        <v>388.73344214108397</v>
      </c>
      <c r="H90" s="102">
        <f>MBunk_emi!H$4</f>
        <v>288.10682099489662</v>
      </c>
      <c r="I90" s="102">
        <f>MBunk_emi!I$4</f>
        <v>270.41871089800992</v>
      </c>
      <c r="J90" s="102">
        <f>MBunk_emi!J$4</f>
        <v>316.63098768126179</v>
      </c>
      <c r="K90" s="102">
        <f>MBunk_emi!K$4</f>
        <v>435.3276209345824</v>
      </c>
      <c r="L90" s="102">
        <f>MBunk_emi!L$4</f>
        <v>426.86620256350125</v>
      </c>
      <c r="M90" s="102">
        <f>MBunk_emi!M$4</f>
        <v>340.84847086315915</v>
      </c>
      <c r="N90" s="102">
        <f>MBunk_emi!N$4</f>
        <v>404.05845437279487</v>
      </c>
      <c r="O90" s="102">
        <f>MBunk_emi!O$4</f>
        <v>415.38862834337829</v>
      </c>
      <c r="P90" s="102">
        <f>MBunk_emi!P$4</f>
        <v>396.11205652814527</v>
      </c>
      <c r="Q90" s="102">
        <f>MBunk_emi!Q$4</f>
        <v>449.30927243570829</v>
      </c>
      <c r="R90" s="102">
        <f>MBunk_emi!R$4</f>
        <v>556.05230862322514</v>
      </c>
      <c r="S90" s="102">
        <f>MBunk_emi!S$4</f>
        <v>449.13729544376434</v>
      </c>
      <c r="T90" s="102">
        <f>MBunk_emi!T$4</f>
        <v>62.268588604814823</v>
      </c>
      <c r="U90" s="102">
        <f>MBunk_emi!U$4</f>
        <v>441.79800673914718</v>
      </c>
      <c r="V90" s="102">
        <f>MBunk_emi!V$4</f>
        <v>276.32352738281384</v>
      </c>
      <c r="W90" s="102">
        <f>MBunk_emi!W$4</f>
        <v>260.36823482646946</v>
      </c>
      <c r="X90" s="102">
        <f>MBunk_emi!X$4</f>
        <v>158.34217969315665</v>
      </c>
      <c r="Y90" s="102">
        <f>MBunk_emi!Y$4</f>
        <v>52.569688791396921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12.438902485949081</v>
      </c>
      <c r="C91" s="86">
        <f>MBunk_emi!C$5</f>
        <v>311.54502248826282</v>
      </c>
      <c r="D91" s="86">
        <f>MBunk_emi!D$5</f>
        <v>329.04115423909491</v>
      </c>
      <c r="E91" s="86">
        <f>MBunk_emi!E$5</f>
        <v>300.2024718038594</v>
      </c>
      <c r="F91" s="86">
        <f>MBunk_emi!F$5</f>
        <v>323.60002645610263</v>
      </c>
      <c r="G91" s="86">
        <f>MBunk_emi!G$5</f>
        <v>441.41683497891574</v>
      </c>
      <c r="H91" s="86">
        <f>MBunk_emi!H$5</f>
        <v>340.77578256510344</v>
      </c>
      <c r="I91" s="86">
        <f>MBunk_emi!I$5</f>
        <v>298.72106070198993</v>
      </c>
      <c r="J91" s="86">
        <f>MBunk_emi!J$5</f>
        <v>343.55442443873818</v>
      </c>
      <c r="K91" s="86">
        <f>MBunk_emi!K$5</f>
        <v>441.78335334541737</v>
      </c>
      <c r="L91" s="86">
        <f>MBunk_emi!L$5</f>
        <v>378.01716351649895</v>
      </c>
      <c r="M91" s="86">
        <f>MBunk_emi!M$5</f>
        <v>344.65847329684101</v>
      </c>
      <c r="N91" s="86">
        <f>MBunk_emi!N$5</f>
        <v>363.2249665872053</v>
      </c>
      <c r="O91" s="86">
        <f>MBunk_emi!O$5</f>
        <v>351.85231621662194</v>
      </c>
      <c r="P91" s="86">
        <f>MBunk_emi!P$5</f>
        <v>345.92266435185462</v>
      </c>
      <c r="Q91" s="86">
        <f>MBunk_emi!Q$5</f>
        <v>359.04432156429186</v>
      </c>
      <c r="R91" s="86">
        <f>MBunk_emi!R$5</f>
        <v>441.09660593677484</v>
      </c>
      <c r="S91" s="86">
        <f>MBunk_emi!S$5</f>
        <v>375.00742783623554</v>
      </c>
      <c r="T91" s="86">
        <f>MBunk_emi!T$5</f>
        <v>56.746647835185193</v>
      </c>
      <c r="U91" s="86">
        <f>MBunk_emi!U$5</f>
        <v>471.61601734085286</v>
      </c>
      <c r="V91" s="86">
        <f>MBunk_emi!V$5</f>
        <v>366.47899961718633</v>
      </c>
      <c r="W91" s="86">
        <f>MBunk_emi!W$5</f>
        <v>384.32409021353038</v>
      </c>
      <c r="X91" s="86">
        <f>MBunk_emi!X$5</f>
        <v>186.75211354684342</v>
      </c>
      <c r="Y91" s="86">
        <f>MBunk_emi!Y$5</f>
        <v>63.104686448603047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0.90416648265496435</v>
      </c>
      <c r="C97" s="139">
        <f t="shared" si="75"/>
        <v>0.90700119765200493</v>
      </c>
      <c r="D97" s="139">
        <f t="shared" si="75"/>
        <v>0.90620985679304178</v>
      </c>
      <c r="E97" s="139">
        <f t="shared" si="75"/>
        <v>0.89671951171146858</v>
      </c>
      <c r="F97" s="139">
        <f t="shared" si="75"/>
        <v>0.87557434474806772</v>
      </c>
      <c r="G97" s="139">
        <f t="shared" si="75"/>
        <v>0.8345233275378805</v>
      </c>
      <c r="H97" s="139">
        <f t="shared" si="75"/>
        <v>0.82804103060673684</v>
      </c>
      <c r="I97" s="139">
        <f t="shared" si="75"/>
        <v>0.82283698348869383</v>
      </c>
      <c r="J97" s="139">
        <f t="shared" si="75"/>
        <v>0.79886237852799269</v>
      </c>
      <c r="K97" s="139">
        <f t="shared" si="75"/>
        <v>0.79570471059989467</v>
      </c>
      <c r="L97" s="139">
        <f t="shared" si="75"/>
        <v>0.76861797855971503</v>
      </c>
      <c r="M97" s="139">
        <f t="shared" si="75"/>
        <v>0.75657420912534679</v>
      </c>
      <c r="N97" s="139">
        <f t="shared" si="75"/>
        <v>0.77753804335735766</v>
      </c>
      <c r="O97" s="139">
        <f t="shared" si="75"/>
        <v>0.77609379319923688</v>
      </c>
      <c r="P97" s="139">
        <f t="shared" si="75"/>
        <v>0.79150247662762041</v>
      </c>
      <c r="Q97" s="139">
        <f t="shared" si="75"/>
        <v>0.79825179191914408</v>
      </c>
      <c r="R97" s="139">
        <f t="shared" si="75"/>
        <v>0.79707640886644826</v>
      </c>
      <c r="S97" s="139">
        <f t="shared" si="75"/>
        <v>0.7899560598721499</v>
      </c>
      <c r="T97" s="139">
        <f t="shared" si="75"/>
        <v>0.770367255634551</v>
      </c>
      <c r="U97" s="139">
        <f t="shared" si="75"/>
        <v>0.75925832010018501</v>
      </c>
      <c r="V97" s="139">
        <f t="shared" si="75"/>
        <v>0.89883102869684872</v>
      </c>
      <c r="W97" s="139">
        <f t="shared" si="75"/>
        <v>0.87764467890544351</v>
      </c>
      <c r="X97" s="139">
        <f t="shared" si="75"/>
        <v>0.7662820271599784</v>
      </c>
      <c r="Y97" s="139">
        <f t="shared" si="75"/>
        <v>0.72921237095242941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4.2359157982604177E-3</v>
      </c>
      <c r="C98" s="140">
        <f t="shared" si="76"/>
        <v>4.1416658605085603E-3</v>
      </c>
      <c r="D98" s="140">
        <f t="shared" si="76"/>
        <v>3.9792563807493266E-3</v>
      </c>
      <c r="E98" s="140">
        <f t="shared" si="76"/>
        <v>3.761288558883314E-3</v>
      </c>
      <c r="F98" s="140">
        <f t="shared" si="76"/>
        <v>4.0090353658108341E-3</v>
      </c>
      <c r="G98" s="140">
        <f t="shared" si="76"/>
        <v>3.5804900477691645E-3</v>
      </c>
      <c r="H98" s="140">
        <f t="shared" si="76"/>
        <v>3.1221486320108247E-3</v>
      </c>
      <c r="I98" s="140">
        <f t="shared" si="76"/>
        <v>2.7036450139057882E-3</v>
      </c>
      <c r="J98" s="140">
        <f t="shared" si="76"/>
        <v>2.8021749719873605E-3</v>
      </c>
      <c r="K98" s="140">
        <f t="shared" si="76"/>
        <v>3.0554463830735298E-3</v>
      </c>
      <c r="L98" s="140">
        <f t="shared" si="76"/>
        <v>3.0113408844435752E-3</v>
      </c>
      <c r="M98" s="140">
        <f t="shared" si="76"/>
        <v>3.1503131467871953E-3</v>
      </c>
      <c r="N98" s="140">
        <f t="shared" si="76"/>
        <v>2.8781000546450755E-3</v>
      </c>
      <c r="O98" s="140">
        <f t="shared" si="76"/>
        <v>2.9853079694544477E-3</v>
      </c>
      <c r="P98" s="140">
        <f t="shared" si="76"/>
        <v>3.5024730900273045E-3</v>
      </c>
      <c r="Q98" s="140">
        <f t="shared" si="76"/>
        <v>4.3009139974308818E-3</v>
      </c>
      <c r="R98" s="140">
        <f t="shared" si="76"/>
        <v>4.2582305934142474E-3</v>
      </c>
      <c r="S98" s="140">
        <f t="shared" si="76"/>
        <v>3.7922055647807607E-3</v>
      </c>
      <c r="T98" s="140">
        <f t="shared" si="76"/>
        <v>3.5003620633046015E-3</v>
      </c>
      <c r="U98" s="140">
        <f t="shared" si="76"/>
        <v>3.643517401523869E-3</v>
      </c>
      <c r="V98" s="140">
        <f t="shared" si="76"/>
        <v>4.2986669778261148E-3</v>
      </c>
      <c r="W98" s="140">
        <f t="shared" si="76"/>
        <v>4.906306737935553E-3</v>
      </c>
      <c r="X98" s="140">
        <f t="shared" si="76"/>
        <v>4.4915458038892507E-3</v>
      </c>
      <c r="Y98" s="140">
        <f t="shared" si="76"/>
        <v>4.4068020899688852E-3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0.74734268622559907</v>
      </c>
      <c r="C99" s="140">
        <f t="shared" si="77"/>
        <v>0.75737954432002497</v>
      </c>
      <c r="D99" s="140">
        <f t="shared" si="77"/>
        <v>0.75889122570174661</v>
      </c>
      <c r="E99" s="140">
        <f t="shared" si="77"/>
        <v>0.74652455954878516</v>
      </c>
      <c r="F99" s="140">
        <f t="shared" si="77"/>
        <v>0.70816296947166246</v>
      </c>
      <c r="G99" s="140">
        <f t="shared" si="77"/>
        <v>0.67081914189378322</v>
      </c>
      <c r="H99" s="140">
        <f t="shared" si="77"/>
        <v>0.68841119775071236</v>
      </c>
      <c r="I99" s="140">
        <f t="shared" si="77"/>
        <v>0.70355846443830972</v>
      </c>
      <c r="J99" s="140">
        <f t="shared" si="77"/>
        <v>0.67657640664193719</v>
      </c>
      <c r="K99" s="140">
        <f t="shared" si="77"/>
        <v>0.67823673366511916</v>
      </c>
      <c r="L99" s="140">
        <f t="shared" si="77"/>
        <v>0.6446139684446065</v>
      </c>
      <c r="M99" s="140">
        <f t="shared" si="77"/>
        <v>0.62137392925156076</v>
      </c>
      <c r="N99" s="140">
        <f t="shared" si="77"/>
        <v>0.62549238130681584</v>
      </c>
      <c r="O99" s="140">
        <f t="shared" si="77"/>
        <v>0.62707409152525106</v>
      </c>
      <c r="P99" s="140">
        <f t="shared" si="77"/>
        <v>0.64830809020186908</v>
      </c>
      <c r="Q99" s="140">
        <f t="shared" si="77"/>
        <v>0.66412348112060493</v>
      </c>
      <c r="R99" s="140">
        <f t="shared" si="77"/>
        <v>0.66869076001779537</v>
      </c>
      <c r="S99" s="140">
        <f t="shared" si="77"/>
        <v>0.67255511505050669</v>
      </c>
      <c r="T99" s="140">
        <f t="shared" si="77"/>
        <v>0.65666023036769139</v>
      </c>
      <c r="U99" s="140">
        <f t="shared" si="77"/>
        <v>0.64819077314648721</v>
      </c>
      <c r="V99" s="140">
        <f t="shared" si="77"/>
        <v>0.80401410888873714</v>
      </c>
      <c r="W99" s="140">
        <f t="shared" si="77"/>
        <v>0.79160150137427276</v>
      </c>
      <c r="X99" s="140">
        <f t="shared" si="77"/>
        <v>0.66930444964648406</v>
      </c>
      <c r="Y99" s="140">
        <f t="shared" si="77"/>
        <v>0.6352291951759752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0.15258788063110493</v>
      </c>
      <c r="C100" s="140">
        <f t="shared" si="78"/>
        <v>0.14547998747147148</v>
      </c>
      <c r="D100" s="140">
        <f t="shared" si="78"/>
        <v>0.14333937471054589</v>
      </c>
      <c r="E100" s="140">
        <f t="shared" si="78"/>
        <v>0.14643366360380017</v>
      </c>
      <c r="F100" s="140">
        <f t="shared" si="78"/>
        <v>0.16340233991059444</v>
      </c>
      <c r="G100" s="140">
        <f t="shared" si="78"/>
        <v>0.16012369559632808</v>
      </c>
      <c r="H100" s="140">
        <f t="shared" si="78"/>
        <v>0.13650768422401355</v>
      </c>
      <c r="I100" s="140">
        <f t="shared" si="78"/>
        <v>0.11657487403647826</v>
      </c>
      <c r="J100" s="140">
        <f t="shared" si="78"/>
        <v>0.11948379691406812</v>
      </c>
      <c r="K100" s="140">
        <f t="shared" si="78"/>
        <v>0.11441253055170195</v>
      </c>
      <c r="L100" s="140">
        <f t="shared" si="78"/>
        <v>0.12099266923066496</v>
      </c>
      <c r="M100" s="140">
        <f t="shared" si="78"/>
        <v>0.13204996672699887</v>
      </c>
      <c r="N100" s="140">
        <f t="shared" si="78"/>
        <v>0.14916756199589676</v>
      </c>
      <c r="O100" s="140">
        <f t="shared" si="78"/>
        <v>0.14603439370453136</v>
      </c>
      <c r="P100" s="140">
        <f t="shared" si="78"/>
        <v>0.13969191333572403</v>
      </c>
      <c r="Q100" s="140">
        <f t="shared" si="78"/>
        <v>0.12982739680110827</v>
      </c>
      <c r="R100" s="140">
        <f t="shared" si="78"/>
        <v>0.12412741825523875</v>
      </c>
      <c r="S100" s="140">
        <f t="shared" si="78"/>
        <v>0.11360873925686255</v>
      </c>
      <c r="T100" s="140">
        <f t="shared" si="78"/>
        <v>0.1102066632035551</v>
      </c>
      <c r="U100" s="140">
        <f t="shared" si="78"/>
        <v>0.10742402955217396</v>
      </c>
      <c r="V100" s="140">
        <f t="shared" si="78"/>
        <v>9.0518252830285403E-2</v>
      </c>
      <c r="W100" s="140">
        <f t="shared" si="78"/>
        <v>8.1136870793235158E-2</v>
      </c>
      <c r="X100" s="140">
        <f t="shared" si="78"/>
        <v>9.2486031709605038E-2</v>
      </c>
      <c r="Y100" s="140">
        <f t="shared" si="78"/>
        <v>8.9576373686485272E-2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6.3797070875449613E-2</v>
      </c>
      <c r="C101" s="124">
        <f t="shared" si="79"/>
        <v>6.1013233791180677E-2</v>
      </c>
      <c r="D101" s="124">
        <f t="shared" si="79"/>
        <v>6.1233415219422528E-2</v>
      </c>
      <c r="E101" s="124">
        <f t="shared" si="79"/>
        <v>5.8332280583819687E-2</v>
      </c>
      <c r="F101" s="124">
        <f t="shared" si="79"/>
        <v>6.5834833522547223E-2</v>
      </c>
      <c r="G101" s="124">
        <f t="shared" si="79"/>
        <v>6.4343029115964831E-2</v>
      </c>
      <c r="H101" s="124">
        <f t="shared" si="79"/>
        <v>6.2130637715339686E-2</v>
      </c>
      <c r="I101" s="124">
        <f t="shared" si="79"/>
        <v>5.5315747717914379E-2</v>
      </c>
      <c r="J101" s="124">
        <f t="shared" si="79"/>
        <v>5.6931631958300311E-2</v>
      </c>
      <c r="K101" s="124">
        <f t="shared" si="79"/>
        <v>4.9064449639297292E-2</v>
      </c>
      <c r="L101" s="124">
        <f t="shared" si="79"/>
        <v>5.7878683608757489E-2</v>
      </c>
      <c r="M101" s="124">
        <f t="shared" si="79"/>
        <v>6.0694697766287962E-2</v>
      </c>
      <c r="N101" s="124">
        <f t="shared" si="79"/>
        <v>5.8022557146324802E-2</v>
      </c>
      <c r="O101" s="124">
        <f t="shared" si="79"/>
        <v>5.8681402584711835E-2</v>
      </c>
      <c r="P101" s="124">
        <f t="shared" si="79"/>
        <v>5.2822079826352758E-2</v>
      </c>
      <c r="Q101" s="124">
        <f t="shared" si="79"/>
        <v>4.6376244950079366E-2</v>
      </c>
      <c r="R101" s="124">
        <f t="shared" si="79"/>
        <v>4.434134481912403E-2</v>
      </c>
      <c r="S101" s="124">
        <f t="shared" si="79"/>
        <v>4.2102677628578049E-2</v>
      </c>
      <c r="T101" s="124">
        <f t="shared" si="79"/>
        <v>4.2190204587362244E-2</v>
      </c>
      <c r="U101" s="124">
        <f t="shared" si="79"/>
        <v>4.0950225740581152E-2</v>
      </c>
      <c r="V101" s="124">
        <f t="shared" si="79"/>
        <v>3.3450175993449613E-2</v>
      </c>
      <c r="W101" s="124">
        <f t="shared" si="79"/>
        <v>2.4717080052437487E-2</v>
      </c>
      <c r="X101" s="124">
        <f t="shared" si="79"/>
        <v>3.2429954691081904E-2</v>
      </c>
      <c r="Y101" s="124">
        <f t="shared" si="79"/>
        <v>3.2947612089090653E-2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1.7331851688379765E-2</v>
      </c>
      <c r="C102" s="140">
        <f t="shared" si="80"/>
        <v>1.6454070600352547E-2</v>
      </c>
      <c r="D102" s="140">
        <f t="shared" si="80"/>
        <v>1.6064209465654573E-2</v>
      </c>
      <c r="E102" s="140">
        <f t="shared" si="80"/>
        <v>1.457445640103705E-2</v>
      </c>
      <c r="F102" s="140">
        <f t="shared" si="80"/>
        <v>1.6229452743662436E-2</v>
      </c>
      <c r="G102" s="140">
        <f t="shared" si="80"/>
        <v>1.5104023448328835E-2</v>
      </c>
      <c r="H102" s="140">
        <f t="shared" si="80"/>
        <v>1.3714602950995318E-2</v>
      </c>
      <c r="I102" s="140">
        <f t="shared" si="80"/>
        <v>1.232766065832047E-2</v>
      </c>
      <c r="J102" s="140">
        <f t="shared" si="80"/>
        <v>1.2261686429441315E-2</v>
      </c>
      <c r="K102" s="140">
        <f t="shared" si="80"/>
        <v>9.1295113039388861E-3</v>
      </c>
      <c r="L102" s="140">
        <f t="shared" si="80"/>
        <v>1.9083543885727323E-2</v>
      </c>
      <c r="M102" s="140">
        <f t="shared" si="80"/>
        <v>2.0565085158124545E-2</v>
      </c>
      <c r="N102" s="140">
        <f t="shared" si="80"/>
        <v>1.9119188184060141E-2</v>
      </c>
      <c r="O102" s="140">
        <f t="shared" si="80"/>
        <v>2.0148631180881234E-2</v>
      </c>
      <c r="P102" s="140">
        <f t="shared" si="80"/>
        <v>1.9754043734382058E-2</v>
      </c>
      <c r="Q102" s="140">
        <f t="shared" si="80"/>
        <v>1.7442889917725395E-2</v>
      </c>
      <c r="R102" s="140">
        <f t="shared" si="80"/>
        <v>1.624428580320952E-2</v>
      </c>
      <c r="S102" s="140">
        <f t="shared" si="80"/>
        <v>1.534056996599947E-2</v>
      </c>
      <c r="T102" s="140">
        <f t="shared" si="80"/>
        <v>1.5331527099853109E-2</v>
      </c>
      <c r="U102" s="140">
        <f t="shared" si="80"/>
        <v>1.4060763344891392E-2</v>
      </c>
      <c r="V102" s="140">
        <f t="shared" si="80"/>
        <v>1.097435177718804E-2</v>
      </c>
      <c r="W102" s="140">
        <f t="shared" si="80"/>
        <v>3.44744795864772E-3</v>
      </c>
      <c r="X102" s="140">
        <f t="shared" si="80"/>
        <v>3.9053875883532556E-3</v>
      </c>
      <c r="Y102" s="140">
        <f t="shared" si="80"/>
        <v>3.9419291810859009E-3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4.6465219187069855E-2</v>
      </c>
      <c r="C103" s="140">
        <f t="shared" si="81"/>
        <v>4.4559163190828137E-2</v>
      </c>
      <c r="D103" s="140">
        <f t="shared" si="81"/>
        <v>4.5169205753767955E-2</v>
      </c>
      <c r="E103" s="140">
        <f t="shared" si="81"/>
        <v>4.3757824182782637E-2</v>
      </c>
      <c r="F103" s="140">
        <f t="shared" si="81"/>
        <v>4.9605380778884794E-2</v>
      </c>
      <c r="G103" s="140">
        <f t="shared" si="81"/>
        <v>4.9239005667635991E-2</v>
      </c>
      <c r="H103" s="140">
        <f t="shared" si="81"/>
        <v>4.8416034764344369E-2</v>
      </c>
      <c r="I103" s="140">
        <f t="shared" si="81"/>
        <v>4.2988087059593914E-2</v>
      </c>
      <c r="J103" s="140">
        <f t="shared" si="81"/>
        <v>4.4669945528859001E-2</v>
      </c>
      <c r="K103" s="140">
        <f t="shared" si="81"/>
        <v>3.9934938335358404E-2</v>
      </c>
      <c r="L103" s="140">
        <f t="shared" si="81"/>
        <v>3.8795139723030177E-2</v>
      </c>
      <c r="M103" s="140">
        <f t="shared" si="81"/>
        <v>4.0129612608163424E-2</v>
      </c>
      <c r="N103" s="140">
        <f t="shared" si="81"/>
        <v>3.8903368962264658E-2</v>
      </c>
      <c r="O103" s="140">
        <f t="shared" si="81"/>
        <v>3.8532771403830601E-2</v>
      </c>
      <c r="P103" s="140">
        <f t="shared" si="81"/>
        <v>3.3068036091970697E-2</v>
      </c>
      <c r="Q103" s="140">
        <f t="shared" si="81"/>
        <v>2.8933355032353971E-2</v>
      </c>
      <c r="R103" s="140">
        <f t="shared" si="81"/>
        <v>2.809705901591451E-2</v>
      </c>
      <c r="S103" s="140">
        <f t="shared" si="81"/>
        <v>2.6762107662578579E-2</v>
      </c>
      <c r="T103" s="140">
        <f t="shared" si="81"/>
        <v>2.6858677487509135E-2</v>
      </c>
      <c r="U103" s="140">
        <f t="shared" si="81"/>
        <v>2.6889462395689762E-2</v>
      </c>
      <c r="V103" s="140">
        <f t="shared" si="81"/>
        <v>2.2475824216261573E-2</v>
      </c>
      <c r="W103" s="140">
        <f t="shared" si="81"/>
        <v>2.1269632093789768E-2</v>
      </c>
      <c r="X103" s="140">
        <f t="shared" si="81"/>
        <v>2.8524567102728653E-2</v>
      </c>
      <c r="Y103" s="140">
        <f t="shared" si="81"/>
        <v>2.9005682908004753E-2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3.2036446469586054E-2</v>
      </c>
      <c r="C105" s="124">
        <f t="shared" si="83"/>
        <v>3.1985568556814351E-2</v>
      </c>
      <c r="D105" s="124">
        <f t="shared" si="83"/>
        <v>3.2556727987535741E-2</v>
      </c>
      <c r="E105" s="124">
        <f t="shared" si="83"/>
        <v>4.4948207704711661E-2</v>
      </c>
      <c r="F105" s="124">
        <f t="shared" si="83"/>
        <v>5.8590821729385088E-2</v>
      </c>
      <c r="G105" s="124">
        <f t="shared" si="83"/>
        <v>0.10113364334615466</v>
      </c>
      <c r="H105" s="124">
        <f t="shared" si="83"/>
        <v>0.1098283316779235</v>
      </c>
      <c r="I105" s="124">
        <f t="shared" si="83"/>
        <v>0.12184726879339199</v>
      </c>
      <c r="J105" s="124">
        <f t="shared" si="83"/>
        <v>0.144205989513707</v>
      </c>
      <c r="K105" s="124">
        <f t="shared" si="83"/>
        <v>0.15523083976080801</v>
      </c>
      <c r="L105" s="124">
        <f t="shared" si="83"/>
        <v>0.17350333783152747</v>
      </c>
      <c r="M105" s="124">
        <f t="shared" si="83"/>
        <v>0.18273109310836527</v>
      </c>
      <c r="N105" s="124">
        <f t="shared" si="83"/>
        <v>0.16443939949631761</v>
      </c>
      <c r="O105" s="124">
        <f t="shared" si="83"/>
        <v>0.16522480421605121</v>
      </c>
      <c r="P105" s="124">
        <f t="shared" si="83"/>
        <v>0.15567544354602694</v>
      </c>
      <c r="Q105" s="124">
        <f t="shared" si="83"/>
        <v>0.15537196313077647</v>
      </c>
      <c r="R105" s="124">
        <f t="shared" si="83"/>
        <v>0.15858224631442761</v>
      </c>
      <c r="S105" s="124">
        <f t="shared" si="83"/>
        <v>0.16794126249927208</v>
      </c>
      <c r="T105" s="124">
        <f t="shared" si="83"/>
        <v>0.18744253977808684</v>
      </c>
      <c r="U105" s="124">
        <f t="shared" si="83"/>
        <v>0.19979145415923372</v>
      </c>
      <c r="V105" s="124">
        <f t="shared" si="83"/>
        <v>6.7718795309701721E-2</v>
      </c>
      <c r="W105" s="124">
        <f t="shared" si="83"/>
        <v>9.7638241042119017E-2</v>
      </c>
      <c r="X105" s="124">
        <f t="shared" si="83"/>
        <v>0.2012880181489396</v>
      </c>
      <c r="Y105" s="124">
        <f t="shared" si="83"/>
        <v>0.23784001695847995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2.3421835107053188E-2</v>
      </c>
      <c r="C107" s="140">
        <f t="shared" si="85"/>
        <v>2.3412804030304268E-2</v>
      </c>
      <c r="D107" s="140">
        <f t="shared" si="85"/>
        <v>2.3768807863169514E-2</v>
      </c>
      <c r="E107" s="140">
        <f t="shared" si="85"/>
        <v>3.2603773335632712E-2</v>
      </c>
      <c r="F107" s="140">
        <f t="shared" si="85"/>
        <v>4.2253328423158876E-2</v>
      </c>
      <c r="G107" s="140">
        <f t="shared" si="85"/>
        <v>7.2652903173703237E-2</v>
      </c>
      <c r="H107" s="140">
        <f t="shared" si="85"/>
        <v>7.8858888402700986E-2</v>
      </c>
      <c r="I107" s="140">
        <f t="shared" si="85"/>
        <v>8.13974173972523E-2</v>
      </c>
      <c r="J107" s="140">
        <f t="shared" si="85"/>
        <v>9.3205833325155543E-2</v>
      </c>
      <c r="K107" s="140">
        <f t="shared" si="85"/>
        <v>0.10849207684379966</v>
      </c>
      <c r="L107" s="140">
        <f t="shared" si="85"/>
        <v>0.12329837771106431</v>
      </c>
      <c r="M107" s="140">
        <f t="shared" si="85"/>
        <v>0.13220021566188414</v>
      </c>
      <c r="N107" s="140">
        <f t="shared" si="85"/>
        <v>0.11859953580251716</v>
      </c>
      <c r="O107" s="140">
        <f t="shared" si="85"/>
        <v>0.11740830592039411</v>
      </c>
      <c r="P107" s="140">
        <f t="shared" si="85"/>
        <v>0.11687836790529409</v>
      </c>
      <c r="Q107" s="140">
        <f t="shared" si="85"/>
        <v>0.12187469348869519</v>
      </c>
      <c r="R107" s="140">
        <f t="shared" si="85"/>
        <v>0.12331065310309199</v>
      </c>
      <c r="S107" s="140">
        <f t="shared" si="85"/>
        <v>0.12956941740221803</v>
      </c>
      <c r="T107" s="140">
        <f t="shared" si="85"/>
        <v>0.14310248973245249</v>
      </c>
      <c r="U107" s="140">
        <f t="shared" si="85"/>
        <v>0.14845416294984132</v>
      </c>
      <c r="V107" s="140">
        <f t="shared" si="85"/>
        <v>5.5544292870562097E-2</v>
      </c>
      <c r="W107" s="140">
        <f t="shared" si="85"/>
        <v>7.5238833267898667E-2</v>
      </c>
      <c r="X107" s="140">
        <f t="shared" si="85"/>
        <v>0.16317615067553037</v>
      </c>
      <c r="Y107" s="140">
        <f t="shared" si="85"/>
        <v>0.18360953676243039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8.6146113625328643E-3</v>
      </c>
      <c r="C108" s="140">
        <f t="shared" si="86"/>
        <v>8.5727645265100839E-3</v>
      </c>
      <c r="D108" s="140">
        <f t="shared" si="86"/>
        <v>8.7879201243662251E-3</v>
      </c>
      <c r="E108" s="140">
        <f t="shared" si="86"/>
        <v>1.2344434369078951E-2</v>
      </c>
      <c r="F108" s="140">
        <f t="shared" si="86"/>
        <v>1.6337493306226213E-2</v>
      </c>
      <c r="G108" s="140">
        <f t="shared" si="86"/>
        <v>2.8480740172451412E-2</v>
      </c>
      <c r="H108" s="140">
        <f t="shared" si="86"/>
        <v>3.0969443275222514E-2</v>
      </c>
      <c r="I108" s="140">
        <f t="shared" si="86"/>
        <v>4.0449851396139685E-2</v>
      </c>
      <c r="J108" s="140">
        <f t="shared" si="86"/>
        <v>5.100015618855145E-2</v>
      </c>
      <c r="K108" s="140">
        <f t="shared" si="86"/>
        <v>4.6738762917008368E-2</v>
      </c>
      <c r="L108" s="140">
        <f t="shared" si="86"/>
        <v>5.020496012046316E-2</v>
      </c>
      <c r="M108" s="140">
        <f t="shared" si="86"/>
        <v>5.0530877446481139E-2</v>
      </c>
      <c r="N108" s="140">
        <f t="shared" si="86"/>
        <v>4.5839863693800442E-2</v>
      </c>
      <c r="O108" s="140">
        <f t="shared" si="86"/>
        <v>4.7816498295657088E-2</v>
      </c>
      <c r="P108" s="140">
        <f t="shared" si="86"/>
        <v>3.8797075640732856E-2</v>
      </c>
      <c r="Q108" s="140">
        <f t="shared" si="86"/>
        <v>3.3497269642081287E-2</v>
      </c>
      <c r="R108" s="140">
        <f t="shared" si="86"/>
        <v>3.5271593211335633E-2</v>
      </c>
      <c r="S108" s="140">
        <f t="shared" si="86"/>
        <v>3.837184509705404E-2</v>
      </c>
      <c r="T108" s="140">
        <f t="shared" si="86"/>
        <v>4.4340050045634356E-2</v>
      </c>
      <c r="U108" s="140">
        <f t="shared" si="86"/>
        <v>5.1337291209392379E-2</v>
      </c>
      <c r="V108" s="140">
        <f t="shared" si="86"/>
        <v>1.2174502439139616E-2</v>
      </c>
      <c r="W108" s="140">
        <f t="shared" si="86"/>
        <v>2.2399407774220344E-2</v>
      </c>
      <c r="X108" s="140">
        <f t="shared" si="86"/>
        <v>3.811186747340925E-2</v>
      </c>
      <c r="Y108" s="140">
        <f t="shared" si="86"/>
        <v>5.423048019604957E-2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0.14577846481031392</v>
      </c>
      <c r="C110" s="139">
        <f t="shared" si="88"/>
        <v>0.14961782893582834</v>
      </c>
      <c r="D110" s="139">
        <f t="shared" si="88"/>
        <v>0.16111806209549856</v>
      </c>
      <c r="E110" s="139">
        <f t="shared" si="88"/>
        <v>0.15481829801628413</v>
      </c>
      <c r="F110" s="139">
        <f t="shared" si="88"/>
        <v>0.15693872253251528</v>
      </c>
      <c r="G110" s="139">
        <f t="shared" si="88"/>
        <v>0.16282358019439522</v>
      </c>
      <c r="H110" s="139">
        <f t="shared" si="88"/>
        <v>0.19476806921155584</v>
      </c>
      <c r="I110" s="139">
        <f t="shared" si="88"/>
        <v>0.19868325889347169</v>
      </c>
      <c r="J110" s="139">
        <f t="shared" si="88"/>
        <v>0.17040710740582116</v>
      </c>
      <c r="K110" s="139">
        <f t="shared" si="88"/>
        <v>0.15138592687486441</v>
      </c>
      <c r="L110" s="139">
        <f t="shared" si="88"/>
        <v>0.18312728471634876</v>
      </c>
      <c r="M110" s="139">
        <f t="shared" si="88"/>
        <v>0.16143970781288286</v>
      </c>
      <c r="N110" s="139">
        <f t="shared" si="88"/>
        <v>0.16202254562251894</v>
      </c>
      <c r="O110" s="139">
        <f t="shared" si="88"/>
        <v>0.19185075750980188</v>
      </c>
      <c r="P110" s="139">
        <f t="shared" si="88"/>
        <v>0.19259575335949081</v>
      </c>
      <c r="Q110" s="139">
        <f t="shared" si="88"/>
        <v>0.20796966276140849</v>
      </c>
      <c r="R110" s="139">
        <f t="shared" si="88"/>
        <v>0.24023454097839494</v>
      </c>
      <c r="S110" s="139">
        <f t="shared" si="88"/>
        <v>0.26616236416058031</v>
      </c>
      <c r="T110" s="139">
        <f t="shared" si="88"/>
        <v>0.2472517746749531</v>
      </c>
      <c r="U110" s="139">
        <f t="shared" si="88"/>
        <v>0.27012669934702843</v>
      </c>
      <c r="V110" s="139">
        <f t="shared" si="88"/>
        <v>0.44277590700699271</v>
      </c>
      <c r="W110" s="139">
        <f t="shared" si="88"/>
        <v>0.47304794376623266</v>
      </c>
      <c r="X110" s="139">
        <f t="shared" si="88"/>
        <v>0.47572714918022035</v>
      </c>
      <c r="Y110" s="139">
        <f t="shared" si="88"/>
        <v>0.56724743339030348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4.1504549650897378E-3</v>
      </c>
      <c r="C111" s="140">
        <f t="shared" si="89"/>
        <v>4.536781676319537E-3</v>
      </c>
      <c r="D111" s="140">
        <f t="shared" si="89"/>
        <v>5.4709839921824287E-3</v>
      </c>
      <c r="E111" s="140">
        <f t="shared" si="89"/>
        <v>4.2733807968323833E-3</v>
      </c>
      <c r="F111" s="140">
        <f t="shared" si="89"/>
        <v>5.377038131166743E-3</v>
      </c>
      <c r="G111" s="140">
        <f t="shared" si="89"/>
        <v>4.7308570468778755E-3</v>
      </c>
      <c r="H111" s="140">
        <f t="shared" si="89"/>
        <v>5.9307725854937775E-3</v>
      </c>
      <c r="I111" s="140">
        <f t="shared" si="89"/>
        <v>5.9758455553202425E-3</v>
      </c>
      <c r="J111" s="140">
        <f t="shared" si="89"/>
        <v>5.9202530277563037E-3</v>
      </c>
      <c r="K111" s="140">
        <f t="shared" si="89"/>
        <v>6.0673922833847397E-3</v>
      </c>
      <c r="L111" s="140">
        <f t="shared" si="89"/>
        <v>5.4614047948433886E-3</v>
      </c>
      <c r="M111" s="140">
        <f t="shared" si="89"/>
        <v>4.6844958402400914E-3</v>
      </c>
      <c r="N111" s="140">
        <f t="shared" si="89"/>
        <v>4.990520363028085E-3</v>
      </c>
      <c r="O111" s="140">
        <f t="shared" si="89"/>
        <v>6.2506108553730764E-3</v>
      </c>
      <c r="P111" s="140">
        <f t="shared" si="89"/>
        <v>6.948752953895897E-3</v>
      </c>
      <c r="Q111" s="140">
        <f t="shared" si="89"/>
        <v>7.4328468186846044E-3</v>
      </c>
      <c r="R111" s="140">
        <f t="shared" si="89"/>
        <v>8.5020293985561806E-3</v>
      </c>
      <c r="S111" s="140">
        <f t="shared" si="89"/>
        <v>9.0663039644868493E-3</v>
      </c>
      <c r="T111" s="140">
        <f t="shared" si="89"/>
        <v>8.0051869839629624E-3</v>
      </c>
      <c r="U111" s="140">
        <f t="shared" si="89"/>
        <v>9.5143566294679394E-3</v>
      </c>
      <c r="V111" s="140">
        <f t="shared" si="89"/>
        <v>1.4145319852511827E-2</v>
      </c>
      <c r="W111" s="140">
        <f t="shared" si="89"/>
        <v>1.496576206228014E-2</v>
      </c>
      <c r="X111" s="140">
        <f t="shared" si="89"/>
        <v>1.521214592214026E-2</v>
      </c>
      <c r="Y111" s="140">
        <f t="shared" si="89"/>
        <v>1.8444625132976955E-2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0.14162800984522417</v>
      </c>
      <c r="C112" s="140">
        <f t="shared" si="90"/>
        <v>0.14508104725950882</v>
      </c>
      <c r="D112" s="140">
        <f t="shared" si="90"/>
        <v>0.15564707810331613</v>
      </c>
      <c r="E112" s="140">
        <f t="shared" si="90"/>
        <v>0.15054491721945176</v>
      </c>
      <c r="F112" s="140">
        <f t="shared" si="90"/>
        <v>0.15156168440134854</v>
      </c>
      <c r="G112" s="140">
        <f t="shared" si="90"/>
        <v>0.15809272314751735</v>
      </c>
      <c r="H112" s="140">
        <f t="shared" si="90"/>
        <v>0.18883729662606208</v>
      </c>
      <c r="I112" s="140">
        <f t="shared" si="90"/>
        <v>0.19270741333815145</v>
      </c>
      <c r="J112" s="140">
        <f t="shared" si="90"/>
        <v>0.16448685437806485</v>
      </c>
      <c r="K112" s="140">
        <f t="shared" si="90"/>
        <v>0.14531853459147967</v>
      </c>
      <c r="L112" s="140">
        <f t="shared" si="90"/>
        <v>0.17766587992150537</v>
      </c>
      <c r="M112" s="140">
        <f t="shared" si="90"/>
        <v>0.15675521197264275</v>
      </c>
      <c r="N112" s="140">
        <f t="shared" si="90"/>
        <v>0.15703202525949086</v>
      </c>
      <c r="O112" s="140">
        <f t="shared" si="90"/>
        <v>0.18560014665442881</v>
      </c>
      <c r="P112" s="140">
        <f t="shared" si="90"/>
        <v>0.1856470004055949</v>
      </c>
      <c r="Q112" s="140">
        <f t="shared" si="90"/>
        <v>0.20053681594272388</v>
      </c>
      <c r="R112" s="140">
        <f t="shared" si="90"/>
        <v>0.23173251157983876</v>
      </c>
      <c r="S112" s="140">
        <f t="shared" si="90"/>
        <v>0.25709606019609349</v>
      </c>
      <c r="T112" s="140">
        <f t="shared" si="90"/>
        <v>0.23924658769099011</v>
      </c>
      <c r="U112" s="140">
        <f t="shared" si="90"/>
        <v>0.26061234271756045</v>
      </c>
      <c r="V112" s="140">
        <f t="shared" si="90"/>
        <v>0.42863058715448088</v>
      </c>
      <c r="W112" s="140">
        <f t="shared" si="90"/>
        <v>0.45808218170395254</v>
      </c>
      <c r="X112" s="140">
        <f t="shared" si="90"/>
        <v>0.46051500325808009</v>
      </c>
      <c r="Y112" s="140">
        <f t="shared" si="90"/>
        <v>0.54880280825732652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0.85403842690437393</v>
      </c>
      <c r="C113" s="124">
        <f t="shared" si="91"/>
        <v>0.85019179897065922</v>
      </c>
      <c r="D113" s="124">
        <f t="shared" si="91"/>
        <v>0.8386924862796421</v>
      </c>
      <c r="E113" s="124">
        <f t="shared" si="91"/>
        <v>0.84503684028241211</v>
      </c>
      <c r="F113" s="124">
        <f t="shared" si="91"/>
        <v>0.84291225577358242</v>
      </c>
      <c r="G113" s="124">
        <f t="shared" si="91"/>
        <v>0.83696467985863143</v>
      </c>
      <c r="H113" s="124">
        <f t="shared" si="91"/>
        <v>0.80495825338659477</v>
      </c>
      <c r="I113" s="124">
        <f t="shared" si="91"/>
        <v>0.80072694117712495</v>
      </c>
      <c r="J113" s="124">
        <f t="shared" si="91"/>
        <v>0.8288708604874252</v>
      </c>
      <c r="K113" s="124">
        <f t="shared" si="91"/>
        <v>0.84747312966707311</v>
      </c>
      <c r="L113" s="124">
        <f t="shared" si="91"/>
        <v>0.81555427742705644</v>
      </c>
      <c r="M113" s="124">
        <f t="shared" si="91"/>
        <v>0.8374254119512583</v>
      </c>
      <c r="N113" s="124">
        <f t="shared" si="91"/>
        <v>0.8329521801921409</v>
      </c>
      <c r="O113" s="124">
        <f t="shared" si="91"/>
        <v>0.79930596543664711</v>
      </c>
      <c r="P113" s="124">
        <f t="shared" si="91"/>
        <v>0.80274529800884853</v>
      </c>
      <c r="Q113" s="124">
        <f t="shared" si="91"/>
        <v>0.79031519222611102</v>
      </c>
      <c r="R113" s="124">
        <f t="shared" si="91"/>
        <v>0.75766539862410542</v>
      </c>
      <c r="S113" s="124">
        <f t="shared" si="91"/>
        <v>0.73152385433812994</v>
      </c>
      <c r="T113" s="124">
        <f t="shared" si="91"/>
        <v>0.75131085098881523</v>
      </c>
      <c r="U113" s="124">
        <f t="shared" si="91"/>
        <v>0.72726435809644008</v>
      </c>
      <c r="V113" s="124">
        <f t="shared" si="91"/>
        <v>0.55619506503587623</v>
      </c>
      <c r="W113" s="124">
        <f t="shared" si="91"/>
        <v>0.52589861814134609</v>
      </c>
      <c r="X113" s="124">
        <f t="shared" si="91"/>
        <v>0.52313600707379626</v>
      </c>
      <c r="Y113" s="124">
        <f t="shared" si="91"/>
        <v>0.4315109629905759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1.8310828531203371E-4</v>
      </c>
      <c r="C114" s="124">
        <f t="shared" si="92"/>
        <v>1.9037209351241278E-4</v>
      </c>
      <c r="D114" s="124">
        <f t="shared" si="92"/>
        <v>1.8945162485937601E-4</v>
      </c>
      <c r="E114" s="124">
        <f t="shared" si="92"/>
        <v>1.4486170130386937E-4</v>
      </c>
      <c r="F114" s="124">
        <f t="shared" si="92"/>
        <v>1.4902169390214158E-4</v>
      </c>
      <c r="G114" s="124">
        <f t="shared" si="92"/>
        <v>2.1173994697342851E-4</v>
      </c>
      <c r="H114" s="124">
        <f t="shared" si="92"/>
        <v>2.7367740184923873E-4</v>
      </c>
      <c r="I114" s="124">
        <f t="shared" si="92"/>
        <v>3.1284888667866513E-4</v>
      </c>
      <c r="J114" s="124">
        <f t="shared" si="92"/>
        <v>3.8804553358344495E-4</v>
      </c>
      <c r="K114" s="124">
        <f t="shared" si="92"/>
        <v>5.4999784235814546E-4</v>
      </c>
      <c r="L114" s="124">
        <f t="shared" si="92"/>
        <v>9.0959255493575759E-4</v>
      </c>
      <c r="M114" s="124">
        <f t="shared" si="92"/>
        <v>7.3282998786989976E-4</v>
      </c>
      <c r="N114" s="124">
        <f t="shared" si="92"/>
        <v>4.5384997804984147E-3</v>
      </c>
      <c r="O114" s="124">
        <f t="shared" si="92"/>
        <v>7.9247217750237162E-3</v>
      </c>
      <c r="P114" s="124">
        <f t="shared" si="92"/>
        <v>4.3239931325891367E-3</v>
      </c>
      <c r="Q114" s="124">
        <f t="shared" si="92"/>
        <v>1.4085665918845401E-3</v>
      </c>
      <c r="R114" s="124">
        <f t="shared" si="92"/>
        <v>1.3893165062684966E-3</v>
      </c>
      <c r="S114" s="124">
        <f t="shared" si="92"/>
        <v>1.4312657444210102E-3</v>
      </c>
      <c r="T114" s="124">
        <f t="shared" si="92"/>
        <v>1.1381793772622592E-3</v>
      </c>
      <c r="U114" s="124">
        <f t="shared" si="92"/>
        <v>2.4120063993720532E-3</v>
      </c>
      <c r="V114" s="124">
        <f t="shared" si="92"/>
        <v>8.8961322720594105E-4</v>
      </c>
      <c r="W114" s="124">
        <f t="shared" si="92"/>
        <v>9.1066664728993853E-4</v>
      </c>
      <c r="X114" s="124">
        <f t="shared" si="92"/>
        <v>1.039205811059914E-3</v>
      </c>
      <c r="Y114" s="124">
        <f t="shared" si="92"/>
        <v>1.1761828663035159E-3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6.9493820557033284E-5</v>
      </c>
      <c r="C116" s="140">
        <f t="shared" si="96"/>
        <v>6.3228270938693029E-5</v>
      </c>
      <c r="D116" s="140">
        <f t="shared" si="96"/>
        <v>6.3676673833204802E-5</v>
      </c>
      <c r="E116" s="140">
        <f t="shared" si="96"/>
        <v>4.8537096269634665E-5</v>
      </c>
      <c r="F116" s="140">
        <f t="shared" si="96"/>
        <v>4.9094397627892162E-5</v>
      </c>
      <c r="G116" s="140">
        <f t="shared" si="96"/>
        <v>6.9315858349715452E-5</v>
      </c>
      <c r="H116" s="140">
        <f t="shared" si="96"/>
        <v>8.2428140270576571E-5</v>
      </c>
      <c r="I116" s="140">
        <f t="shared" si="96"/>
        <v>7.3586809901907566E-5</v>
      </c>
      <c r="J116" s="140">
        <f t="shared" si="96"/>
        <v>8.6736724150652018E-5</v>
      </c>
      <c r="K116" s="140">
        <f t="shared" si="96"/>
        <v>1.7379208019657091E-4</v>
      </c>
      <c r="L116" s="140">
        <f t="shared" si="96"/>
        <v>2.5559402095074943E-4</v>
      </c>
      <c r="M116" s="140">
        <f t="shared" si="96"/>
        <v>1.9255693650258574E-4</v>
      </c>
      <c r="N116" s="140">
        <f t="shared" si="96"/>
        <v>1.9199278886166212E-4</v>
      </c>
      <c r="O116" s="140">
        <f t="shared" si="96"/>
        <v>2.3522136405405928E-4</v>
      </c>
      <c r="P116" s="140">
        <f t="shared" si="96"/>
        <v>2.6891906787755363E-4</v>
      </c>
      <c r="Q116" s="140">
        <f t="shared" si="96"/>
        <v>2.4828115588165886E-4</v>
      </c>
      <c r="R116" s="140">
        <f t="shared" si="94"/>
        <v>2.7825530198034929E-4</v>
      </c>
      <c r="S116" s="140">
        <f t="shared" si="94"/>
        <v>2.8857441879508427E-4</v>
      </c>
      <c r="T116" s="140">
        <f t="shared" si="94"/>
        <v>2.5853188600235514E-4</v>
      </c>
      <c r="U116" s="140">
        <f t="shared" si="94"/>
        <v>3.8302104032097637E-4</v>
      </c>
      <c r="V116" s="140">
        <f t="shared" si="94"/>
        <v>4.0474842622891232E-4</v>
      </c>
      <c r="W116" s="140">
        <f t="shared" si="95"/>
        <v>5.5624879041552119E-4</v>
      </c>
      <c r="X116" s="140">
        <f t="shared" si="95"/>
        <v>6.6379270767729086E-4</v>
      </c>
      <c r="Y116" s="140">
        <f t="shared" si="95"/>
        <v>8.0632189498106911E-4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1.1361446475500042E-4</v>
      </c>
      <c r="C117" s="140">
        <f t="shared" si="97"/>
        <v>1.2714382257371975E-4</v>
      </c>
      <c r="D117" s="140">
        <f t="shared" si="97"/>
        <v>1.2577495102617122E-4</v>
      </c>
      <c r="E117" s="140">
        <f t="shared" si="97"/>
        <v>9.6324605034234717E-5</v>
      </c>
      <c r="F117" s="140">
        <f t="shared" si="97"/>
        <v>9.9927296274249431E-5</v>
      </c>
      <c r="G117" s="140">
        <f t="shared" si="97"/>
        <v>1.4242408862371304E-4</v>
      </c>
      <c r="H117" s="140">
        <f t="shared" si="97"/>
        <v>1.9124926157866216E-4</v>
      </c>
      <c r="I117" s="140">
        <f t="shared" si="97"/>
        <v>2.3926207677675757E-4</v>
      </c>
      <c r="J117" s="140">
        <f t="shared" si="97"/>
        <v>3.0130880943279295E-4</v>
      </c>
      <c r="K117" s="140">
        <f t="shared" si="97"/>
        <v>3.7620576216157453E-4</v>
      </c>
      <c r="L117" s="140">
        <f t="shared" si="97"/>
        <v>6.5399853398500816E-4</v>
      </c>
      <c r="M117" s="140">
        <f t="shared" si="97"/>
        <v>5.4027305136731402E-4</v>
      </c>
      <c r="N117" s="140">
        <f t="shared" si="97"/>
        <v>4.3465069916367519E-3</v>
      </c>
      <c r="O117" s="140">
        <f t="shared" si="97"/>
        <v>7.6895004109696569E-3</v>
      </c>
      <c r="P117" s="140">
        <f t="shared" si="97"/>
        <v>4.055074064711583E-3</v>
      </c>
      <c r="Q117" s="140">
        <f t="shared" si="97"/>
        <v>1.1602854360028812E-3</v>
      </c>
      <c r="R117" s="140">
        <f t="shared" ref="R117:V120" si="98">IF(R25=0,0,R25/R$17)</f>
        <v>1.1110612042881474E-3</v>
      </c>
      <c r="S117" s="140">
        <f t="shared" si="98"/>
        <v>1.1426913256259259E-3</v>
      </c>
      <c r="T117" s="140">
        <f t="shared" si="98"/>
        <v>8.7964749125990418E-4</v>
      </c>
      <c r="U117" s="140">
        <f t="shared" si="98"/>
        <v>2.0289853590510767E-3</v>
      </c>
      <c r="V117" s="140">
        <f t="shared" si="98"/>
        <v>4.8486480097702884E-4</v>
      </c>
      <c r="W117" s="140">
        <f t="shared" si="95"/>
        <v>3.5441785687441733E-4</v>
      </c>
      <c r="X117" s="140">
        <f t="shared" si="95"/>
        <v>3.75413103382623E-4</v>
      </c>
      <c r="Y117" s="140">
        <f t="shared" si="95"/>
        <v>3.6986097132244664E-4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0</v>
      </c>
      <c r="C118" s="124">
        <f t="shared" si="99"/>
        <v>0</v>
      </c>
      <c r="D118" s="124">
        <f t="shared" si="99"/>
        <v>0</v>
      </c>
      <c r="E118" s="124">
        <f t="shared" si="99"/>
        <v>0</v>
      </c>
      <c r="F118" s="124">
        <f t="shared" si="99"/>
        <v>0</v>
      </c>
      <c r="G118" s="124">
        <f t="shared" si="99"/>
        <v>0</v>
      </c>
      <c r="H118" s="124">
        <f t="shared" si="99"/>
        <v>0</v>
      </c>
      <c r="I118" s="124">
        <f t="shared" si="99"/>
        <v>2.7695104272461692E-4</v>
      </c>
      <c r="J118" s="124">
        <f t="shared" si="99"/>
        <v>3.3398657317020502E-4</v>
      </c>
      <c r="K118" s="124">
        <f t="shared" si="99"/>
        <v>5.9094561570429771E-4</v>
      </c>
      <c r="L118" s="124">
        <f t="shared" si="99"/>
        <v>4.0884530165910765E-4</v>
      </c>
      <c r="M118" s="124">
        <f t="shared" si="99"/>
        <v>4.0205024798911648E-4</v>
      </c>
      <c r="N118" s="124">
        <f t="shared" si="99"/>
        <v>4.8677440484178752E-4</v>
      </c>
      <c r="O118" s="124">
        <f t="shared" si="99"/>
        <v>9.1855527852708295E-4</v>
      </c>
      <c r="P118" s="124">
        <f t="shared" si="99"/>
        <v>3.3495549907143566E-4</v>
      </c>
      <c r="Q118" s="124">
        <f t="shared" si="99"/>
        <v>3.0657842059591124E-4</v>
      </c>
      <c r="R118" s="124">
        <f t="shared" si="98"/>
        <v>7.1074389123120581E-4</v>
      </c>
      <c r="S118" s="124">
        <f t="shared" si="98"/>
        <v>8.8251575686869256E-4</v>
      </c>
      <c r="T118" s="124">
        <f t="shared" si="98"/>
        <v>2.9919495896928465E-4</v>
      </c>
      <c r="U118" s="124">
        <f t="shared" si="98"/>
        <v>1.9693615715947945E-4</v>
      </c>
      <c r="V118" s="124">
        <f t="shared" si="98"/>
        <v>1.3941472992502226E-4</v>
      </c>
      <c r="W118" s="124">
        <f t="shared" si="95"/>
        <v>1.4277144513135501E-4</v>
      </c>
      <c r="X118" s="124">
        <f t="shared" si="95"/>
        <v>9.7637934923489931E-5</v>
      </c>
      <c r="Y118" s="124">
        <f t="shared" si="95"/>
        <v>6.54207528171033E-5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2.7695104272461692E-4</v>
      </c>
      <c r="J119" s="140">
        <f t="shared" si="100"/>
        <v>3.3398657317020502E-4</v>
      </c>
      <c r="K119" s="140">
        <f t="shared" si="100"/>
        <v>5.9094561570429771E-4</v>
      </c>
      <c r="L119" s="140">
        <f t="shared" si="100"/>
        <v>4.0884530165910765E-4</v>
      </c>
      <c r="M119" s="140">
        <f t="shared" si="100"/>
        <v>4.0205024798911648E-4</v>
      </c>
      <c r="N119" s="140">
        <f t="shared" si="100"/>
        <v>4.8677440484178752E-4</v>
      </c>
      <c r="O119" s="140">
        <f t="shared" si="100"/>
        <v>9.1855527852708295E-4</v>
      </c>
      <c r="P119" s="140">
        <f t="shared" si="100"/>
        <v>3.3495549907143566E-4</v>
      </c>
      <c r="Q119" s="140">
        <f t="shared" si="100"/>
        <v>3.0657842059591124E-4</v>
      </c>
      <c r="R119" s="140">
        <f t="shared" si="98"/>
        <v>7.1074389123120581E-4</v>
      </c>
      <c r="S119" s="140">
        <f t="shared" si="98"/>
        <v>8.8251575686869256E-4</v>
      </c>
      <c r="T119" s="140">
        <f t="shared" si="98"/>
        <v>2.9919495896928465E-4</v>
      </c>
      <c r="U119" s="140">
        <f t="shared" si="98"/>
        <v>1.9693615715947945E-4</v>
      </c>
      <c r="V119" s="140">
        <f t="shared" si="98"/>
        <v>1.3941472992502226E-4</v>
      </c>
      <c r="W119" s="140">
        <f t="shared" si="95"/>
        <v>1.4277144513135501E-4</v>
      </c>
      <c r="X119" s="140">
        <f t="shared" si="95"/>
        <v>9.7637934923489931E-5</v>
      </c>
      <c r="Y119" s="140">
        <f t="shared" si="95"/>
        <v>6.54207528171033E-5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0.31954651253470906</v>
      </c>
      <c r="C122" s="140">
        <f t="shared" si="103"/>
        <v>0.31448731852842077</v>
      </c>
      <c r="D122" s="140">
        <f t="shared" si="103"/>
        <v>0.3145438467070123</v>
      </c>
      <c r="E122" s="140">
        <f t="shared" si="103"/>
        <v>0.31522779690595426</v>
      </c>
      <c r="F122" s="140">
        <f t="shared" si="103"/>
        <v>0.31507933772362651</v>
      </c>
      <c r="G122" s="140">
        <f t="shared" si="103"/>
        <v>0.28314427606617515</v>
      </c>
      <c r="H122" s="140">
        <f t="shared" si="103"/>
        <v>0.29571228572082786</v>
      </c>
      <c r="I122" s="140">
        <f t="shared" si="103"/>
        <v>0.29605272698242907</v>
      </c>
      <c r="J122" s="140">
        <f t="shared" si="103"/>
        <v>0.29051834746185723</v>
      </c>
      <c r="K122" s="140">
        <f t="shared" si="103"/>
        <v>0.30471179977814172</v>
      </c>
      <c r="L122" s="140">
        <f t="shared" si="103"/>
        <v>0.32828830074785698</v>
      </c>
      <c r="M122" s="140">
        <f t="shared" si="103"/>
        <v>0.30051075338858863</v>
      </c>
      <c r="N122" s="140">
        <f t="shared" si="103"/>
        <v>0.36094051230450475</v>
      </c>
      <c r="O122" s="140">
        <f t="shared" si="103"/>
        <v>0.39798697433937807</v>
      </c>
      <c r="P122" s="140">
        <f t="shared" si="103"/>
        <v>0.35655630272610322</v>
      </c>
      <c r="Q122" s="140">
        <f t="shared" si="103"/>
        <v>0.38870309129437763</v>
      </c>
      <c r="R122" s="140">
        <f t="shared" si="103"/>
        <v>0.37511190189719024</v>
      </c>
      <c r="S122" s="140">
        <f t="shared" si="103"/>
        <v>0.33059165549306962</v>
      </c>
      <c r="T122" s="140">
        <f t="shared" si="103"/>
        <v>0.29231944515203356</v>
      </c>
      <c r="U122" s="140">
        <f t="shared" si="103"/>
        <v>0.24384123648787381</v>
      </c>
      <c r="V122" s="140">
        <f t="shared" si="103"/>
        <v>0.24199006658312874</v>
      </c>
      <c r="W122" s="140">
        <f t="shared" si="103"/>
        <v>0.20464480409030761</v>
      </c>
      <c r="X122" s="140">
        <f t="shared" si="103"/>
        <v>0.21474362960803259</v>
      </c>
      <c r="Y122" s="140">
        <f t="shared" si="103"/>
        <v>0.2033958103354106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0.680453487465291</v>
      </c>
      <c r="C123" s="127">
        <f t="shared" si="104"/>
        <v>0.68551268147157918</v>
      </c>
      <c r="D123" s="127">
        <f t="shared" si="104"/>
        <v>0.6854561532929877</v>
      </c>
      <c r="E123" s="127">
        <f t="shared" si="104"/>
        <v>0.68477220309404574</v>
      </c>
      <c r="F123" s="127">
        <f t="shared" si="104"/>
        <v>0.6849206622763736</v>
      </c>
      <c r="G123" s="127">
        <f t="shared" si="104"/>
        <v>0.71685572393382491</v>
      </c>
      <c r="H123" s="127">
        <f t="shared" si="104"/>
        <v>0.70428771427917214</v>
      </c>
      <c r="I123" s="127">
        <f t="shared" si="104"/>
        <v>0.70394727301757087</v>
      </c>
      <c r="J123" s="127">
        <f t="shared" si="104"/>
        <v>0.70948165253814277</v>
      </c>
      <c r="K123" s="127">
        <f t="shared" si="104"/>
        <v>0.69528820022185833</v>
      </c>
      <c r="L123" s="127">
        <f t="shared" si="104"/>
        <v>0.67171169925214314</v>
      </c>
      <c r="M123" s="127">
        <f t="shared" si="104"/>
        <v>0.69948924661141132</v>
      </c>
      <c r="N123" s="127">
        <f t="shared" si="104"/>
        <v>0.63905948769549525</v>
      </c>
      <c r="O123" s="127">
        <f t="shared" si="104"/>
        <v>0.60201302566062198</v>
      </c>
      <c r="P123" s="127">
        <f t="shared" si="104"/>
        <v>0.64344369727389672</v>
      </c>
      <c r="Q123" s="127">
        <f t="shared" si="104"/>
        <v>0.61129690870562237</v>
      </c>
      <c r="R123" s="127">
        <f t="shared" si="104"/>
        <v>0.62488809810280987</v>
      </c>
      <c r="S123" s="127">
        <f t="shared" si="104"/>
        <v>0.66940834450693043</v>
      </c>
      <c r="T123" s="127">
        <f t="shared" si="104"/>
        <v>0.70768055484796633</v>
      </c>
      <c r="U123" s="127">
        <f t="shared" si="104"/>
        <v>0.75615876351212619</v>
      </c>
      <c r="V123" s="127">
        <f t="shared" si="104"/>
        <v>0.75800993341687117</v>
      </c>
      <c r="W123" s="127">
        <f t="shared" si="104"/>
        <v>0.79535519590969239</v>
      </c>
      <c r="X123" s="127">
        <f t="shared" si="104"/>
        <v>0.7852563703919675</v>
      </c>
      <c r="Y123" s="127">
        <f t="shared" si="104"/>
        <v>0.79660418966458946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0.91702140214573269</v>
      </c>
      <c r="C127" s="139">
        <f t="shared" ref="C127:Y127" si="107">IF(C35=0,0,C35/C$34)</f>
        <v>0.92486737465367641</v>
      </c>
      <c r="D127" s="139">
        <f t="shared" si="107"/>
        <v>0.92264735859626701</v>
      </c>
      <c r="E127" s="139">
        <f t="shared" si="107"/>
        <v>0.90580975536317154</v>
      </c>
      <c r="F127" s="139">
        <f t="shared" si="107"/>
        <v>0.89743962439881275</v>
      </c>
      <c r="G127" s="139">
        <f t="shared" si="107"/>
        <v>0.88508978320821252</v>
      </c>
      <c r="H127" s="139">
        <f t="shared" si="107"/>
        <v>0.88882294402057538</v>
      </c>
      <c r="I127" s="139">
        <f t="shared" si="107"/>
        <v>0.88151052659884166</v>
      </c>
      <c r="J127" s="139">
        <f t="shared" si="107"/>
        <v>0.85880582892934676</v>
      </c>
      <c r="K127" s="139">
        <f t="shared" si="107"/>
        <v>0.84312749547205201</v>
      </c>
      <c r="L127" s="139">
        <f t="shared" si="107"/>
        <v>0.82852766486382456</v>
      </c>
      <c r="M127" s="139">
        <f t="shared" si="107"/>
        <v>0.82025552227737586</v>
      </c>
      <c r="N127" s="139">
        <f t="shared" si="107"/>
        <v>0.81733716834592973</v>
      </c>
      <c r="O127" s="139">
        <f t="shared" si="107"/>
        <v>0.81549399357530195</v>
      </c>
      <c r="P127" s="139">
        <f t="shared" si="107"/>
        <v>0.84093075526859529</v>
      </c>
      <c r="Q127" s="139">
        <f t="shared" si="107"/>
        <v>0.84834589855567377</v>
      </c>
      <c r="R127" s="139">
        <f t="shared" si="107"/>
        <v>0.83562440267896865</v>
      </c>
      <c r="S127" s="139">
        <f t="shared" si="107"/>
        <v>0.82349088058382036</v>
      </c>
      <c r="T127" s="139">
        <f t="shared" si="107"/>
        <v>0.81480424208295699</v>
      </c>
      <c r="U127" s="139">
        <f t="shared" si="107"/>
        <v>0.81549561097166734</v>
      </c>
      <c r="V127" s="139">
        <f t="shared" si="107"/>
        <v>0.9157812296030845</v>
      </c>
      <c r="W127" s="139">
        <f t="shared" si="107"/>
        <v>0.89191335519172987</v>
      </c>
      <c r="X127" s="139">
        <f t="shared" si="107"/>
        <v>0.85210891964284696</v>
      </c>
      <c r="Y127" s="139">
        <f t="shared" si="107"/>
        <v>0.82417539231451609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5.6748354270520721E-3</v>
      </c>
      <c r="C128" s="140">
        <f t="shared" ref="C128:Y128" si="108">IF(C36=0,0,C36/C$34)</f>
        <v>5.2680782166094524E-3</v>
      </c>
      <c r="D128" s="140">
        <f t="shared" si="108"/>
        <v>5.1952991394458884E-3</v>
      </c>
      <c r="E128" s="140">
        <f t="shared" si="108"/>
        <v>4.8455812013425883E-3</v>
      </c>
      <c r="F128" s="140">
        <f t="shared" si="108"/>
        <v>4.5393435453475444E-3</v>
      </c>
      <c r="G128" s="140">
        <f t="shared" si="108"/>
        <v>4.308435312301474E-3</v>
      </c>
      <c r="H128" s="140">
        <f t="shared" si="108"/>
        <v>3.7150053842050059E-3</v>
      </c>
      <c r="I128" s="140">
        <f t="shared" si="108"/>
        <v>3.1680828666503743E-3</v>
      </c>
      <c r="J128" s="140">
        <f t="shared" si="108"/>
        <v>3.0465186375679678E-3</v>
      </c>
      <c r="K128" s="140">
        <f t="shared" si="108"/>
        <v>3.1747533621911436E-3</v>
      </c>
      <c r="L128" s="140">
        <f t="shared" si="108"/>
        <v>3.0914060416855388E-3</v>
      </c>
      <c r="M128" s="140">
        <f t="shared" si="108"/>
        <v>3.148318521424952E-3</v>
      </c>
      <c r="N128" s="140">
        <f t="shared" si="108"/>
        <v>2.9103349762762977E-3</v>
      </c>
      <c r="O128" s="140">
        <f t="shared" si="108"/>
        <v>2.9491168242486744E-3</v>
      </c>
      <c r="P128" s="140">
        <f t="shared" si="108"/>
        <v>3.2908086314781303E-3</v>
      </c>
      <c r="Q128" s="140">
        <f t="shared" si="108"/>
        <v>3.859234991776529E-3</v>
      </c>
      <c r="R128" s="140">
        <f t="shared" si="108"/>
        <v>3.6045230325660099E-3</v>
      </c>
      <c r="S128" s="140">
        <f t="shared" si="108"/>
        <v>3.1857223082913813E-3</v>
      </c>
      <c r="T128" s="140">
        <f t="shared" si="108"/>
        <v>2.890280875263359E-3</v>
      </c>
      <c r="U128" s="140">
        <f t="shared" si="108"/>
        <v>2.9540949174305061E-3</v>
      </c>
      <c r="V128" s="140">
        <f t="shared" si="108"/>
        <v>3.0884041189431673E-3</v>
      </c>
      <c r="W128" s="140">
        <f t="shared" si="108"/>
        <v>3.2393709220482981E-3</v>
      </c>
      <c r="X128" s="140">
        <f t="shared" si="108"/>
        <v>3.3715970762630046E-3</v>
      </c>
      <c r="Y128" s="140">
        <f t="shared" si="108"/>
        <v>3.5248782402342404E-3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0.75255216326940366</v>
      </c>
      <c r="C129" s="140">
        <f t="shared" ref="C129:Y129" si="109">IF(C37=0,0,C37/C$34)</f>
        <v>0.7574132413951522</v>
      </c>
      <c r="D129" s="140">
        <f t="shared" si="109"/>
        <v>0.75960101595255292</v>
      </c>
      <c r="E129" s="140">
        <f t="shared" si="109"/>
        <v>0.74380796409213212</v>
      </c>
      <c r="F129" s="140">
        <f t="shared" si="109"/>
        <v>0.74226542714269561</v>
      </c>
      <c r="G129" s="140">
        <f t="shared" si="109"/>
        <v>0.73582648085705737</v>
      </c>
      <c r="H129" s="140">
        <f t="shared" si="109"/>
        <v>0.75805271349991288</v>
      </c>
      <c r="I129" s="140">
        <f t="shared" si="109"/>
        <v>0.763885367080545</v>
      </c>
      <c r="J129" s="140">
        <f t="shared" si="109"/>
        <v>0.74652897472531787</v>
      </c>
      <c r="K129" s="140">
        <f t="shared" si="109"/>
        <v>0.72849424721501221</v>
      </c>
      <c r="L129" s="140">
        <f t="shared" si="109"/>
        <v>0.70913160990843205</v>
      </c>
      <c r="M129" s="140">
        <f t="shared" si="109"/>
        <v>0.70728456343382384</v>
      </c>
      <c r="N129" s="140">
        <f t="shared" si="109"/>
        <v>0.7045271277705849</v>
      </c>
      <c r="O129" s="140">
        <f t="shared" si="109"/>
        <v>0.70484550991259598</v>
      </c>
      <c r="P129" s="140">
        <f t="shared" si="109"/>
        <v>0.73915312364382835</v>
      </c>
      <c r="Q129" s="140">
        <f t="shared" si="109"/>
        <v>0.75163395530526378</v>
      </c>
      <c r="R129" s="140">
        <f t="shared" si="109"/>
        <v>0.74310781715451402</v>
      </c>
      <c r="S129" s="140">
        <f t="shared" si="109"/>
        <v>0.73400341015855741</v>
      </c>
      <c r="T129" s="140">
        <f t="shared" si="109"/>
        <v>0.73095369839040869</v>
      </c>
      <c r="U129" s="140">
        <f t="shared" si="109"/>
        <v>0.73778106036180746</v>
      </c>
      <c r="V129" s="140">
        <f t="shared" si="109"/>
        <v>0.84204647999951787</v>
      </c>
      <c r="W129" s="140">
        <f t="shared" si="109"/>
        <v>0.82783283964727927</v>
      </c>
      <c r="X129" s="140">
        <f t="shared" si="109"/>
        <v>0.78321345306393508</v>
      </c>
      <c r="Y129" s="140">
        <f t="shared" si="109"/>
        <v>0.75760890042515194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0.15879440344927692</v>
      </c>
      <c r="C130" s="140">
        <f t="shared" ref="C130:Y130" si="110">IF(C38=0,0,C38/C$34)</f>
        <v>0.16218605504191477</v>
      </c>
      <c r="D130" s="140">
        <f t="shared" si="110"/>
        <v>0.15785104350426821</v>
      </c>
      <c r="E130" s="140">
        <f t="shared" si="110"/>
        <v>0.15715621006969691</v>
      </c>
      <c r="F130" s="140">
        <f t="shared" si="110"/>
        <v>0.15063485371076968</v>
      </c>
      <c r="G130" s="140">
        <f t="shared" si="110"/>
        <v>0.14495486703885366</v>
      </c>
      <c r="H130" s="140">
        <f t="shared" si="110"/>
        <v>0.12705522513645751</v>
      </c>
      <c r="I130" s="140">
        <f t="shared" si="110"/>
        <v>0.1144570766516463</v>
      </c>
      <c r="J130" s="140">
        <f t="shared" si="110"/>
        <v>0.10923033556646081</v>
      </c>
      <c r="K130" s="140">
        <f t="shared" si="110"/>
        <v>0.11145849489484863</v>
      </c>
      <c r="L130" s="140">
        <f t="shared" si="110"/>
        <v>0.11630464891370688</v>
      </c>
      <c r="M130" s="140">
        <f t="shared" si="110"/>
        <v>0.10982264032212703</v>
      </c>
      <c r="N130" s="140">
        <f t="shared" si="110"/>
        <v>0.10989970559906852</v>
      </c>
      <c r="O130" s="140">
        <f t="shared" si="110"/>
        <v>0.10769936683845714</v>
      </c>
      <c r="P130" s="140">
        <f t="shared" si="110"/>
        <v>9.8486822993288745E-2</v>
      </c>
      <c r="Q130" s="140">
        <f t="shared" si="110"/>
        <v>9.2852708258633454E-2</v>
      </c>
      <c r="R130" s="140">
        <f t="shared" si="110"/>
        <v>8.8912062491888724E-2</v>
      </c>
      <c r="S130" s="140">
        <f t="shared" si="110"/>
        <v>8.63017481169715E-2</v>
      </c>
      <c r="T130" s="140">
        <f t="shared" si="110"/>
        <v>8.0960262817284939E-2</v>
      </c>
      <c r="U130" s="140">
        <f t="shared" si="110"/>
        <v>7.4760455692429173E-2</v>
      </c>
      <c r="V130" s="140">
        <f t="shared" si="110"/>
        <v>7.0646345484623521E-2</v>
      </c>
      <c r="W130" s="140">
        <f t="shared" si="110"/>
        <v>6.0841144622402372E-2</v>
      </c>
      <c r="X130" s="140">
        <f t="shared" si="110"/>
        <v>6.5523869502648865E-2</v>
      </c>
      <c r="Y130" s="140">
        <f t="shared" si="110"/>
        <v>6.3041613649129802E-2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3.0713151837325557E-2</v>
      </c>
      <c r="C131" s="124">
        <f t="shared" ref="C131:Y131" si="111">IF(C39=0,0,C39/C$34)</f>
        <v>2.6735053295456224E-2</v>
      </c>
      <c r="D131" s="124">
        <f t="shared" si="111"/>
        <v>2.7476625623199667E-2</v>
      </c>
      <c r="E131" s="124">
        <f t="shared" si="111"/>
        <v>2.6234845354966015E-2</v>
      </c>
      <c r="F131" s="124">
        <f t="shared" si="111"/>
        <v>2.4776236448126539E-2</v>
      </c>
      <c r="G131" s="124">
        <f t="shared" si="111"/>
        <v>2.4063658554684172E-2</v>
      </c>
      <c r="H131" s="124">
        <f t="shared" si="111"/>
        <v>2.0555732248954697E-2</v>
      </c>
      <c r="I131" s="124">
        <f t="shared" si="111"/>
        <v>1.8588712358717022E-2</v>
      </c>
      <c r="J131" s="124">
        <f t="shared" si="111"/>
        <v>1.8504079266662306E-2</v>
      </c>
      <c r="K131" s="124">
        <f t="shared" si="111"/>
        <v>1.7276057051413742E-2</v>
      </c>
      <c r="L131" s="124">
        <f t="shared" si="111"/>
        <v>1.4779184165041769E-2</v>
      </c>
      <c r="M131" s="124">
        <f t="shared" si="111"/>
        <v>1.5431890332818199E-2</v>
      </c>
      <c r="N131" s="124">
        <f t="shared" si="111"/>
        <v>1.5315205037245816E-2</v>
      </c>
      <c r="O131" s="124">
        <f t="shared" si="111"/>
        <v>1.4791578810194109E-2</v>
      </c>
      <c r="P131" s="124">
        <f t="shared" si="111"/>
        <v>1.2906430401809155E-2</v>
      </c>
      <c r="Q131" s="124">
        <f t="shared" si="111"/>
        <v>1.4296074809953978E-2</v>
      </c>
      <c r="R131" s="124">
        <f t="shared" si="111"/>
        <v>1.343540111123531E-2</v>
      </c>
      <c r="S131" s="124">
        <f t="shared" si="111"/>
        <v>1.231342366804165E-2</v>
      </c>
      <c r="T131" s="124">
        <f t="shared" si="111"/>
        <v>1.13033466074425E-2</v>
      </c>
      <c r="U131" s="124">
        <f t="shared" si="111"/>
        <v>1.0570637857412765E-2</v>
      </c>
      <c r="V131" s="124">
        <f t="shared" si="111"/>
        <v>9.5613132288571989E-3</v>
      </c>
      <c r="W131" s="124">
        <f t="shared" si="111"/>
        <v>1.0585005424665816E-2</v>
      </c>
      <c r="X131" s="124">
        <f t="shared" si="111"/>
        <v>1.097208327438395E-2</v>
      </c>
      <c r="Y131" s="124">
        <f t="shared" si="111"/>
        <v>1.1228737250713007E-2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2.7086689795808305E-3</v>
      </c>
      <c r="C132" s="140">
        <f t="shared" ref="C132:Y132" si="112">IF(C40=0,0,C40/C$34)</f>
        <v>2.3750799031804662E-3</v>
      </c>
      <c r="D132" s="140">
        <f t="shared" si="112"/>
        <v>2.2833283384397652E-3</v>
      </c>
      <c r="E132" s="140">
        <f t="shared" si="112"/>
        <v>2.034028956439944E-3</v>
      </c>
      <c r="F132" s="140">
        <f t="shared" si="112"/>
        <v>1.9621492609379655E-3</v>
      </c>
      <c r="G132" s="140">
        <f t="shared" si="112"/>
        <v>1.8999280472181183E-3</v>
      </c>
      <c r="H132" s="140">
        <f t="shared" si="112"/>
        <v>1.6570775943249374E-3</v>
      </c>
      <c r="I132" s="140">
        <f t="shared" si="112"/>
        <v>1.4965058737280274E-3</v>
      </c>
      <c r="J132" s="140">
        <f t="shared" si="112"/>
        <v>1.422164685923933E-3</v>
      </c>
      <c r="K132" s="140">
        <f t="shared" si="112"/>
        <v>1.0524110800502813E-3</v>
      </c>
      <c r="L132" s="140">
        <f t="shared" si="112"/>
        <v>2.1127466899783474E-3</v>
      </c>
      <c r="M132" s="140">
        <f t="shared" si="112"/>
        <v>2.2894322503138834E-3</v>
      </c>
      <c r="N132" s="140">
        <f t="shared" si="112"/>
        <v>2.2015697869977209E-3</v>
      </c>
      <c r="O132" s="140">
        <f t="shared" si="112"/>
        <v>2.3118605622264379E-3</v>
      </c>
      <c r="P132" s="140">
        <f t="shared" si="112"/>
        <v>2.2744432532613647E-3</v>
      </c>
      <c r="Q132" s="140">
        <f t="shared" si="112"/>
        <v>2.0081582881297392E-3</v>
      </c>
      <c r="R132" s="140">
        <f t="shared" si="112"/>
        <v>1.8122791499021905E-3</v>
      </c>
      <c r="S132" s="140">
        <f t="shared" si="112"/>
        <v>1.7338652005829637E-3</v>
      </c>
      <c r="T132" s="140">
        <f t="shared" si="112"/>
        <v>1.7213071811080106E-3</v>
      </c>
      <c r="U132" s="140">
        <f t="shared" si="112"/>
        <v>1.5756964609446057E-3</v>
      </c>
      <c r="V132" s="140">
        <f t="shared" si="112"/>
        <v>1.6781555704063944E-3</v>
      </c>
      <c r="W132" s="140">
        <f t="shared" si="112"/>
        <v>5.4523318068322056E-4</v>
      </c>
      <c r="X132" s="140">
        <f t="shared" si="112"/>
        <v>4.8350222724589806E-4</v>
      </c>
      <c r="Y132" s="140">
        <f t="shared" si="112"/>
        <v>4.6039235994471152E-4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2.8004482857744723E-2</v>
      </c>
      <c r="C133" s="140">
        <f t="shared" ref="C133:Y133" si="113">IF(C41=0,0,C41/C$34)</f>
        <v>2.4359973392275757E-2</v>
      </c>
      <c r="D133" s="140">
        <f t="shared" si="113"/>
        <v>2.5193297284759903E-2</v>
      </c>
      <c r="E133" s="140">
        <f t="shared" si="113"/>
        <v>2.420081639852607E-2</v>
      </c>
      <c r="F133" s="140">
        <f t="shared" si="113"/>
        <v>2.2814087187188574E-2</v>
      </c>
      <c r="G133" s="140">
        <f t="shared" si="113"/>
        <v>2.2163730507466055E-2</v>
      </c>
      <c r="H133" s="140">
        <f t="shared" si="113"/>
        <v>1.8898654654629757E-2</v>
      </c>
      <c r="I133" s="140">
        <f t="shared" si="113"/>
        <v>1.7092206484988996E-2</v>
      </c>
      <c r="J133" s="140">
        <f t="shared" si="113"/>
        <v>1.7081914580738374E-2</v>
      </c>
      <c r="K133" s="140">
        <f t="shared" si="113"/>
        <v>1.622364597136346E-2</v>
      </c>
      <c r="L133" s="140">
        <f t="shared" si="113"/>
        <v>1.2666437475063422E-2</v>
      </c>
      <c r="M133" s="140">
        <f t="shared" si="113"/>
        <v>1.3142458082504315E-2</v>
      </c>
      <c r="N133" s="140">
        <f t="shared" si="113"/>
        <v>1.3113635250248095E-2</v>
      </c>
      <c r="O133" s="140">
        <f t="shared" si="113"/>
        <v>1.2479718247967671E-2</v>
      </c>
      <c r="P133" s="140">
        <f t="shared" si="113"/>
        <v>1.0631987148547791E-2</v>
      </c>
      <c r="Q133" s="140">
        <f t="shared" si="113"/>
        <v>1.2287916521824238E-2</v>
      </c>
      <c r="R133" s="140">
        <f t="shared" si="113"/>
        <v>1.1623121961333119E-2</v>
      </c>
      <c r="S133" s="140">
        <f t="shared" si="113"/>
        <v>1.0579558467458687E-2</v>
      </c>
      <c r="T133" s="140">
        <f t="shared" si="113"/>
        <v>9.5820394263344891E-3</v>
      </c>
      <c r="U133" s="140">
        <f t="shared" si="113"/>
        <v>8.9949413964681597E-3</v>
      </c>
      <c r="V133" s="140">
        <f t="shared" si="113"/>
        <v>7.8831576584508043E-3</v>
      </c>
      <c r="W133" s="140">
        <f t="shared" si="113"/>
        <v>1.0039772243982597E-2</v>
      </c>
      <c r="X133" s="140">
        <f t="shared" si="113"/>
        <v>1.0488581047138054E-2</v>
      </c>
      <c r="Y133" s="140">
        <f t="shared" si="113"/>
        <v>1.0768344890768297E-2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5.2265446016941691E-2</v>
      </c>
      <c r="C135" s="124">
        <f t="shared" ref="C135:Y135" si="115">IF(C43=0,0,C43/C$34)</f>
        <v>4.8397572050867449E-2</v>
      </c>
      <c r="D135" s="124">
        <f t="shared" si="115"/>
        <v>4.9876015780533342E-2</v>
      </c>
      <c r="E135" s="124">
        <f t="shared" si="115"/>
        <v>6.7955399281862533E-2</v>
      </c>
      <c r="F135" s="124">
        <f t="shared" si="115"/>
        <v>7.7784139153060733E-2</v>
      </c>
      <c r="G135" s="124">
        <f t="shared" si="115"/>
        <v>9.0846558237103289E-2</v>
      </c>
      <c r="H135" s="124">
        <f t="shared" si="115"/>
        <v>9.0621323730469855E-2</v>
      </c>
      <c r="I135" s="124">
        <f t="shared" si="115"/>
        <v>9.990076104244143E-2</v>
      </c>
      <c r="J135" s="124">
        <f t="shared" si="115"/>
        <v>0.12269009180399086</v>
      </c>
      <c r="K135" s="124">
        <f t="shared" si="115"/>
        <v>0.13959644747653438</v>
      </c>
      <c r="L135" s="124">
        <f t="shared" si="115"/>
        <v>0.15669315097113362</v>
      </c>
      <c r="M135" s="124">
        <f t="shared" si="115"/>
        <v>0.16431258738980595</v>
      </c>
      <c r="N135" s="124">
        <f t="shared" si="115"/>
        <v>0.16734762661682445</v>
      </c>
      <c r="O135" s="124">
        <f t="shared" si="115"/>
        <v>0.16971442761450387</v>
      </c>
      <c r="P135" s="124">
        <f t="shared" si="115"/>
        <v>0.14616281432959571</v>
      </c>
      <c r="Q135" s="124">
        <f t="shared" si="115"/>
        <v>0.13735802663437219</v>
      </c>
      <c r="R135" s="124">
        <f t="shared" si="115"/>
        <v>0.15094019620979593</v>
      </c>
      <c r="S135" s="124">
        <f t="shared" si="115"/>
        <v>0.16419569574813797</v>
      </c>
      <c r="T135" s="124">
        <f t="shared" si="115"/>
        <v>0.17389241130960045</v>
      </c>
      <c r="U135" s="124">
        <f t="shared" si="115"/>
        <v>0.17393375117092</v>
      </c>
      <c r="V135" s="124">
        <f t="shared" si="115"/>
        <v>7.4657457168058342E-2</v>
      </c>
      <c r="W135" s="124">
        <f t="shared" si="115"/>
        <v>9.7501639383604233E-2</v>
      </c>
      <c r="X135" s="124">
        <f t="shared" si="115"/>
        <v>0.13691899708276917</v>
      </c>
      <c r="Y135" s="124">
        <f t="shared" si="115"/>
        <v>0.16459587043477095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4.5783557503042485E-2</v>
      </c>
      <c r="C137" s="140">
        <f t="shared" ref="C137:Y137" si="117">IF(C45=0,0,C45/C$34)</f>
        <v>4.2392729378644599E-2</v>
      </c>
      <c r="D137" s="140">
        <f t="shared" si="117"/>
        <v>4.3687401107092023E-2</v>
      </c>
      <c r="E137" s="140">
        <f t="shared" si="117"/>
        <v>5.9523135901339591E-2</v>
      </c>
      <c r="F137" s="140">
        <f t="shared" si="117"/>
        <v>6.8126971625788998E-2</v>
      </c>
      <c r="G137" s="140">
        <f t="shared" si="117"/>
        <v>8.1127662144617793E-2</v>
      </c>
      <c r="H137" s="140">
        <f t="shared" si="117"/>
        <v>8.232133104464695E-2</v>
      </c>
      <c r="I137" s="140">
        <f t="shared" si="117"/>
        <v>9.1167531314279154E-2</v>
      </c>
      <c r="J137" s="140">
        <f t="shared" si="117"/>
        <v>0.11173220541688193</v>
      </c>
      <c r="K137" s="140">
        <f t="shared" si="117"/>
        <v>0.12697603348959144</v>
      </c>
      <c r="L137" s="140">
        <f t="shared" si="117"/>
        <v>0.14369325095583727</v>
      </c>
      <c r="M137" s="140">
        <f t="shared" si="117"/>
        <v>0.15064574512881743</v>
      </c>
      <c r="N137" s="140">
        <f t="shared" si="117"/>
        <v>0.15272841111689531</v>
      </c>
      <c r="O137" s="140">
        <f t="shared" si="117"/>
        <v>0.15517738656745761</v>
      </c>
      <c r="P137" s="140">
        <f t="shared" si="117"/>
        <v>0.13367225121053442</v>
      </c>
      <c r="Q137" s="140">
        <f t="shared" si="117"/>
        <v>0.1262695346485842</v>
      </c>
      <c r="R137" s="140">
        <f t="shared" si="117"/>
        <v>0.13924958060795153</v>
      </c>
      <c r="S137" s="140">
        <f t="shared" si="117"/>
        <v>0.15219869207171374</v>
      </c>
      <c r="T137" s="140">
        <f t="shared" si="117"/>
        <v>0.16147554068599657</v>
      </c>
      <c r="U137" s="140">
        <f t="shared" si="117"/>
        <v>0.16142667712082542</v>
      </c>
      <c r="V137" s="140">
        <f t="shared" si="117"/>
        <v>6.6414234529038829E-2</v>
      </c>
      <c r="W137" s="140">
        <f t="shared" si="117"/>
        <v>8.7924807039685623E-2</v>
      </c>
      <c r="X137" s="140">
        <f t="shared" si="117"/>
        <v>0.1265897717599761</v>
      </c>
      <c r="Y137" s="140">
        <f t="shared" si="117"/>
        <v>0.15184670653624641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6.4818885138992104E-3</v>
      </c>
      <c r="C138" s="140">
        <f t="shared" ref="C138:Y138" si="118">IF(C46=0,0,C46/C$34)</f>
        <v>6.0048426722228553E-3</v>
      </c>
      <c r="D138" s="140">
        <f t="shared" si="118"/>
        <v>6.1886146734413238E-3</v>
      </c>
      <c r="E138" s="140">
        <f t="shared" si="118"/>
        <v>8.4322633805229436E-3</v>
      </c>
      <c r="F138" s="140">
        <f t="shared" si="118"/>
        <v>9.6571675272717362E-3</v>
      </c>
      <c r="G138" s="140">
        <f t="shared" si="118"/>
        <v>9.7188960924854823E-3</v>
      </c>
      <c r="H138" s="140">
        <f t="shared" si="118"/>
        <v>8.2999926858228993E-3</v>
      </c>
      <c r="I138" s="140">
        <f t="shared" si="118"/>
        <v>8.7332297281622773E-3</v>
      </c>
      <c r="J138" s="140">
        <f t="shared" si="118"/>
        <v>1.0957886387108916E-2</v>
      </c>
      <c r="K138" s="140">
        <f t="shared" si="118"/>
        <v>1.262041398694295E-2</v>
      </c>
      <c r="L138" s="140">
        <f t="shared" si="118"/>
        <v>1.299990001529636E-2</v>
      </c>
      <c r="M138" s="140">
        <f t="shared" si="118"/>
        <v>1.3666842260988512E-2</v>
      </c>
      <c r="N138" s="140">
        <f t="shared" si="118"/>
        <v>1.4619215499929127E-2</v>
      </c>
      <c r="O138" s="140">
        <f t="shared" si="118"/>
        <v>1.453704104704627E-2</v>
      </c>
      <c r="P138" s="140">
        <f t="shared" si="118"/>
        <v>1.2490563119061306E-2</v>
      </c>
      <c r="Q138" s="140">
        <f t="shared" si="118"/>
        <v>1.1088491985787995E-2</v>
      </c>
      <c r="R138" s="140">
        <f t="shared" si="118"/>
        <v>1.1690615601844411E-2</v>
      </c>
      <c r="S138" s="140">
        <f t="shared" si="118"/>
        <v>1.1997003676424254E-2</v>
      </c>
      <c r="T138" s="140">
        <f t="shared" si="118"/>
        <v>1.241687062360387E-2</v>
      </c>
      <c r="U138" s="140">
        <f t="shared" si="118"/>
        <v>1.2507074050094552E-2</v>
      </c>
      <c r="V138" s="140">
        <f t="shared" si="118"/>
        <v>8.2432226390195158E-3</v>
      </c>
      <c r="W138" s="140">
        <f t="shared" si="118"/>
        <v>9.5768323439186179E-3</v>
      </c>
      <c r="X138" s="140">
        <f t="shared" si="118"/>
        <v>1.0329225322793066E-2</v>
      </c>
      <c r="Y138" s="140">
        <f t="shared" si="118"/>
        <v>1.274916389852452E-2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0.76656220126510388</v>
      </c>
      <c r="C140" s="139">
        <f t="shared" ref="C140:Y140" si="121">IF(C48=0,0,C48/C$47)</f>
        <v>0.82115597507148053</v>
      </c>
      <c r="D140" s="139">
        <f t="shared" si="121"/>
        <v>0.82541191702822125</v>
      </c>
      <c r="E140" s="139">
        <f t="shared" si="121"/>
        <v>0.8088505627479512</v>
      </c>
      <c r="F140" s="139">
        <f t="shared" si="121"/>
        <v>0.8141254472545334</v>
      </c>
      <c r="G140" s="139">
        <f t="shared" si="121"/>
        <v>0.82748085114973746</v>
      </c>
      <c r="H140" s="139">
        <f t="shared" si="121"/>
        <v>0.86055954383588962</v>
      </c>
      <c r="I140" s="139">
        <f t="shared" si="121"/>
        <v>0.86816944830594089</v>
      </c>
      <c r="J140" s="139">
        <f t="shared" si="121"/>
        <v>0.85433789900479695</v>
      </c>
      <c r="K140" s="139">
        <f t="shared" si="121"/>
        <v>0.83020344184977246</v>
      </c>
      <c r="L140" s="139">
        <f t="shared" si="121"/>
        <v>0.85551931180123586</v>
      </c>
      <c r="M140" s="139">
        <f t="shared" si="121"/>
        <v>0.79590128593636944</v>
      </c>
      <c r="N140" s="139">
        <f t="shared" si="121"/>
        <v>0.76825617480320896</v>
      </c>
      <c r="O140" s="139">
        <f t="shared" si="121"/>
        <v>0.78266615251725968</v>
      </c>
      <c r="P140" s="139">
        <f t="shared" si="121"/>
        <v>0.80022808790072819</v>
      </c>
      <c r="Q140" s="139">
        <f t="shared" si="121"/>
        <v>0.8215235524708443</v>
      </c>
      <c r="R140" s="139">
        <f t="shared" si="121"/>
        <v>0.83599850521136421</v>
      </c>
      <c r="S140" s="139">
        <f t="shared" si="121"/>
        <v>0.85554409257826236</v>
      </c>
      <c r="T140" s="139">
        <f t="shared" si="121"/>
        <v>0.85069022663605909</v>
      </c>
      <c r="U140" s="139">
        <f t="shared" si="121"/>
        <v>0.87640643650593253</v>
      </c>
      <c r="V140" s="139">
        <f t="shared" si="121"/>
        <v>0.91654896154226206</v>
      </c>
      <c r="W140" s="139">
        <f t="shared" si="121"/>
        <v>0.92781300880678719</v>
      </c>
      <c r="X140" s="139">
        <f t="shared" si="121"/>
        <v>0.93327025454790313</v>
      </c>
      <c r="Y140" s="139">
        <f t="shared" si="121"/>
        <v>0.94016991919383475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0.15864034765194845</v>
      </c>
      <c r="C141" s="140">
        <f t="shared" ref="C141:Y141" si="122">IF(C49=0,0,C49/C$47)</f>
        <v>0.1379217463174979</v>
      </c>
      <c r="D141" s="140">
        <f t="shared" si="122"/>
        <v>0.15741962556374317</v>
      </c>
      <c r="E141" s="140">
        <f t="shared" si="122"/>
        <v>0.13284918603263654</v>
      </c>
      <c r="F141" s="140">
        <f t="shared" si="122"/>
        <v>0.16194228954809045</v>
      </c>
      <c r="G141" s="140">
        <f t="shared" si="122"/>
        <v>0.1408373921642084</v>
      </c>
      <c r="H141" s="140">
        <f t="shared" si="122"/>
        <v>0.14560238230135253</v>
      </c>
      <c r="I141" s="140">
        <f t="shared" si="122"/>
        <v>0.13862054698446272</v>
      </c>
      <c r="J141" s="140">
        <f t="shared" si="122"/>
        <v>0.14838142262382661</v>
      </c>
      <c r="K141" s="140">
        <f t="shared" si="122"/>
        <v>0.15972646826754894</v>
      </c>
      <c r="L141" s="140">
        <f t="shared" si="122"/>
        <v>0.13356359939861384</v>
      </c>
      <c r="M141" s="140">
        <f t="shared" si="122"/>
        <v>0.15745827250057728</v>
      </c>
      <c r="N141" s="140">
        <f t="shared" si="122"/>
        <v>0.17623633751422399</v>
      </c>
      <c r="O141" s="140">
        <f t="shared" si="122"/>
        <v>0.19623549943909582</v>
      </c>
      <c r="P141" s="140">
        <f t="shared" si="122"/>
        <v>0.21495915016668518</v>
      </c>
      <c r="Q141" s="140">
        <f t="shared" si="122"/>
        <v>0.2150427134943888</v>
      </c>
      <c r="R141" s="140">
        <f t="shared" si="122"/>
        <v>0.2232513158434184</v>
      </c>
      <c r="S141" s="140">
        <f t="shared" si="122"/>
        <v>0.21738798311977361</v>
      </c>
      <c r="T141" s="140">
        <f t="shared" si="122"/>
        <v>0.21224843157469661</v>
      </c>
      <c r="U141" s="140">
        <f t="shared" si="122"/>
        <v>0.22858293622747522</v>
      </c>
      <c r="V141" s="140">
        <f t="shared" si="122"/>
        <v>0.2476477358812621</v>
      </c>
      <c r="W141" s="140">
        <f t="shared" si="122"/>
        <v>0.238122145063354</v>
      </c>
      <c r="X141" s="140">
        <f t="shared" si="122"/>
        <v>0.24548687681010051</v>
      </c>
      <c r="Y141" s="140">
        <f t="shared" si="122"/>
        <v>0.25703183647037769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0.60792185361315532</v>
      </c>
      <c r="C142" s="140">
        <f t="shared" ref="C142:Y142" si="123">IF(C50=0,0,C50/C$47)</f>
        <v>0.68323422875398265</v>
      </c>
      <c r="D142" s="140">
        <f t="shared" si="123"/>
        <v>0.66799229146447814</v>
      </c>
      <c r="E142" s="140">
        <f t="shared" si="123"/>
        <v>0.67600137671531468</v>
      </c>
      <c r="F142" s="140">
        <f t="shared" si="123"/>
        <v>0.65218315770644297</v>
      </c>
      <c r="G142" s="140">
        <f t="shared" si="123"/>
        <v>0.68664345898552914</v>
      </c>
      <c r="H142" s="140">
        <f t="shared" si="123"/>
        <v>0.71495716153453703</v>
      </c>
      <c r="I142" s="140">
        <f t="shared" si="123"/>
        <v>0.7295489013214782</v>
      </c>
      <c r="J142" s="140">
        <f t="shared" si="123"/>
        <v>0.70595647638097037</v>
      </c>
      <c r="K142" s="140">
        <f t="shared" si="123"/>
        <v>0.67047697358222358</v>
      </c>
      <c r="L142" s="140">
        <f t="shared" si="123"/>
        <v>0.72195571240262202</v>
      </c>
      <c r="M142" s="140">
        <f t="shared" si="123"/>
        <v>0.63844301343579213</v>
      </c>
      <c r="N142" s="140">
        <f t="shared" si="123"/>
        <v>0.592019837288985</v>
      </c>
      <c r="O142" s="140">
        <f t="shared" si="123"/>
        <v>0.58643065307816389</v>
      </c>
      <c r="P142" s="140">
        <f t="shared" si="123"/>
        <v>0.58526893773404298</v>
      </c>
      <c r="Q142" s="140">
        <f t="shared" si="123"/>
        <v>0.60648083897645555</v>
      </c>
      <c r="R142" s="140">
        <f t="shared" si="123"/>
        <v>0.61274718936794581</v>
      </c>
      <c r="S142" s="140">
        <f t="shared" si="123"/>
        <v>0.63815610945848866</v>
      </c>
      <c r="T142" s="140">
        <f t="shared" si="123"/>
        <v>0.63844179506136245</v>
      </c>
      <c r="U142" s="140">
        <f t="shared" si="123"/>
        <v>0.64782350027845736</v>
      </c>
      <c r="V142" s="140">
        <f t="shared" si="123"/>
        <v>0.66890122566099985</v>
      </c>
      <c r="W142" s="140">
        <f t="shared" si="123"/>
        <v>0.68969086374343325</v>
      </c>
      <c r="X142" s="140">
        <f t="shared" si="123"/>
        <v>0.68778337773780263</v>
      </c>
      <c r="Y142" s="140">
        <f t="shared" si="123"/>
        <v>0.683138082723457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0.23237361071851331</v>
      </c>
      <c r="C143" s="124">
        <f t="shared" ref="C143:Y143" si="124">IF(C51=0,0,C51/C$47)</f>
        <v>0.17811490771821872</v>
      </c>
      <c r="D143" s="124">
        <f t="shared" si="124"/>
        <v>0.17380674105024393</v>
      </c>
      <c r="E143" s="124">
        <f t="shared" si="124"/>
        <v>0.19049125250082682</v>
      </c>
      <c r="F143" s="124">
        <f t="shared" si="124"/>
        <v>0.18515917271610971</v>
      </c>
      <c r="G143" s="124">
        <f t="shared" si="124"/>
        <v>0.17165192435050186</v>
      </c>
      <c r="H143" s="124">
        <f t="shared" si="124"/>
        <v>0.13861081709941436</v>
      </c>
      <c r="I143" s="124">
        <f t="shared" si="124"/>
        <v>0.12918788891621796</v>
      </c>
      <c r="J143" s="124">
        <f t="shared" si="124"/>
        <v>0.14039507948699675</v>
      </c>
      <c r="K143" s="124">
        <f t="shared" si="124"/>
        <v>0.15755095454281748</v>
      </c>
      <c r="L143" s="124">
        <f t="shared" si="124"/>
        <v>0.13062296315098276</v>
      </c>
      <c r="M143" s="124">
        <f t="shared" si="124"/>
        <v>0.18718909606919643</v>
      </c>
      <c r="N143" s="124">
        <f t="shared" si="124"/>
        <v>0.21010455253746171</v>
      </c>
      <c r="O143" s="124">
        <f t="shared" si="124"/>
        <v>0.18059172847105726</v>
      </c>
      <c r="P143" s="124">
        <f t="shared" si="124"/>
        <v>0.18068446843174435</v>
      </c>
      <c r="Q143" s="124">
        <f t="shared" si="124"/>
        <v>0.16668642465092243</v>
      </c>
      <c r="R143" s="124">
        <f t="shared" si="124"/>
        <v>0.14882077952086489</v>
      </c>
      <c r="S143" s="124">
        <f t="shared" si="124"/>
        <v>0.12831569477635058</v>
      </c>
      <c r="T143" s="124">
        <f t="shared" si="124"/>
        <v>0.1314970403300372</v>
      </c>
      <c r="U143" s="124">
        <f t="shared" si="124"/>
        <v>0.11356668757999197</v>
      </c>
      <c r="V143" s="124">
        <f t="shared" si="124"/>
        <v>7.2607153906834102E-2</v>
      </c>
      <c r="W143" s="124">
        <f t="shared" si="124"/>
        <v>6.0808759084140296E-2</v>
      </c>
      <c r="X143" s="124">
        <f t="shared" si="124"/>
        <v>5.7448161388870489E-2</v>
      </c>
      <c r="Y143" s="124">
        <f t="shared" si="124"/>
        <v>5.2246281105584866E-2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1.0641880163828506E-3</v>
      </c>
      <c r="C144" s="124">
        <f t="shared" ref="C144:Y144" si="125">IF(C52=0,0,C52/C$47)</f>
        <v>7.2911721030065497E-4</v>
      </c>
      <c r="D144" s="124">
        <f t="shared" si="125"/>
        <v>7.8134192153476631E-4</v>
      </c>
      <c r="E144" s="124">
        <f t="shared" si="125"/>
        <v>6.5818475122196335E-4</v>
      </c>
      <c r="F144" s="124">
        <f t="shared" si="125"/>
        <v>7.1538002935687788E-4</v>
      </c>
      <c r="G144" s="124">
        <f t="shared" si="125"/>
        <v>8.672244997606364E-4</v>
      </c>
      <c r="H144" s="124">
        <f t="shared" si="125"/>
        <v>8.2963906469594193E-4</v>
      </c>
      <c r="I144" s="124">
        <f t="shared" si="125"/>
        <v>7.0322533771652654E-4</v>
      </c>
      <c r="J144" s="124">
        <f t="shared" si="125"/>
        <v>1.0950448232622068E-3</v>
      </c>
      <c r="K144" s="124">
        <f t="shared" si="125"/>
        <v>2.4064646592944694E-3</v>
      </c>
      <c r="L144" s="124">
        <f t="shared" si="125"/>
        <v>2.7064748368839102E-3</v>
      </c>
      <c r="M144" s="124">
        <f t="shared" si="125"/>
        <v>3.2186586643942797E-3</v>
      </c>
      <c r="N144" s="124">
        <f t="shared" si="125"/>
        <v>1.0246335443741168E-2</v>
      </c>
      <c r="O144" s="124">
        <f t="shared" si="125"/>
        <v>1.4546030343394457E-2</v>
      </c>
      <c r="P144" s="124">
        <f t="shared" si="125"/>
        <v>7.770644754043733E-3</v>
      </c>
      <c r="Q144" s="124">
        <f t="shared" si="125"/>
        <v>3.6558369329783582E-3</v>
      </c>
      <c r="R144" s="124">
        <f t="shared" si="125"/>
        <v>3.6630726019765752E-3</v>
      </c>
      <c r="S144" s="124">
        <f t="shared" si="125"/>
        <v>3.9198730452106884E-3</v>
      </c>
      <c r="T144" s="124">
        <f t="shared" si="125"/>
        <v>3.8128033837259733E-3</v>
      </c>
      <c r="U144" s="124">
        <f t="shared" si="125"/>
        <v>5.3013632972070237E-3</v>
      </c>
      <c r="V144" s="124">
        <f t="shared" si="125"/>
        <v>3.9726735698535449E-3</v>
      </c>
      <c r="W144" s="124">
        <f t="shared" si="125"/>
        <v>4.5088890086633082E-3</v>
      </c>
      <c r="X144" s="124">
        <f t="shared" si="125"/>
        <v>4.465275809465259E-3</v>
      </c>
      <c r="Y144" s="124">
        <f t="shared" si="125"/>
        <v>4.7723841747656934E-3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9.3542187297690602E-4</v>
      </c>
      <c r="C146" s="140">
        <f t="shared" ref="C146:Y146" si="127">IF(C54=0,0,C54/C$47)</f>
        <v>6.2208976002046923E-4</v>
      </c>
      <c r="D146" s="140">
        <f t="shared" si="127"/>
        <v>6.6876313169586207E-4</v>
      </c>
      <c r="E146" s="140">
        <f t="shared" si="127"/>
        <v>5.526922970458556E-4</v>
      </c>
      <c r="F146" s="140">
        <f t="shared" si="127"/>
        <v>6.0493015362004404E-4</v>
      </c>
      <c r="G146" s="140">
        <f t="shared" si="127"/>
        <v>7.5847844968806438E-4</v>
      </c>
      <c r="H146" s="140">
        <f t="shared" si="127"/>
        <v>7.1938965420446227E-4</v>
      </c>
      <c r="I146" s="140">
        <f t="shared" si="127"/>
        <v>5.6452732770313784E-4</v>
      </c>
      <c r="J146" s="140">
        <f t="shared" si="127"/>
        <v>8.3882076510114671E-4</v>
      </c>
      <c r="K146" s="140">
        <f t="shared" si="127"/>
        <v>2.0001547080598383E-3</v>
      </c>
      <c r="L146" s="140">
        <f t="shared" si="127"/>
        <v>2.1125298954319197E-3</v>
      </c>
      <c r="M146" s="140">
        <f t="shared" si="127"/>
        <v>2.4315928448972383E-3</v>
      </c>
      <c r="N146" s="140">
        <f t="shared" si="127"/>
        <v>2.8276250386738162E-3</v>
      </c>
      <c r="O146" s="140">
        <f t="shared" si="127"/>
        <v>3.2028307001235562E-3</v>
      </c>
      <c r="P146" s="140">
        <f t="shared" si="127"/>
        <v>2.9029061578888468E-3</v>
      </c>
      <c r="Q146" s="140">
        <f t="shared" si="127"/>
        <v>2.3531150080415022E-3</v>
      </c>
      <c r="R146" s="140">
        <f t="shared" si="127"/>
        <v>2.6560709482257609E-3</v>
      </c>
      <c r="S146" s="140">
        <f t="shared" si="127"/>
        <v>3.0252698306501838E-3</v>
      </c>
      <c r="T146" s="140">
        <f t="shared" si="127"/>
        <v>3.1114971585685402E-3</v>
      </c>
      <c r="U146" s="140">
        <f t="shared" si="127"/>
        <v>3.5801699778400336E-3</v>
      </c>
      <c r="V146" s="140">
        <f t="shared" si="127"/>
        <v>3.1344265376705856E-3</v>
      </c>
      <c r="W146" s="140">
        <f t="shared" si="127"/>
        <v>4.1423393045679465E-3</v>
      </c>
      <c r="X146" s="140">
        <f t="shared" si="127"/>
        <v>4.0572918161208759E-3</v>
      </c>
      <c r="Y146" s="140">
        <f t="shared" si="127"/>
        <v>4.5175042983106274E-3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1.2876614340594453E-4</v>
      </c>
      <c r="C147" s="140">
        <f t="shared" ref="C147:Y147" si="128">IF(C55=0,0,C55/C$47)</f>
        <v>1.0702745028018574E-4</v>
      </c>
      <c r="D147" s="140">
        <f t="shared" si="128"/>
        <v>1.1257878983890431E-4</v>
      </c>
      <c r="E147" s="140">
        <f t="shared" si="128"/>
        <v>1.0549245417610769E-4</v>
      </c>
      <c r="F147" s="140">
        <f t="shared" si="128"/>
        <v>1.1044987573683381E-4</v>
      </c>
      <c r="G147" s="140">
        <f t="shared" si="128"/>
        <v>1.08746050072572E-4</v>
      </c>
      <c r="H147" s="140">
        <f t="shared" si="128"/>
        <v>1.1024941049147959E-4</v>
      </c>
      <c r="I147" s="140">
        <f t="shared" si="128"/>
        <v>1.3869801001338862E-4</v>
      </c>
      <c r="J147" s="140">
        <f t="shared" si="128"/>
        <v>2.5622405816105994E-4</v>
      </c>
      <c r="K147" s="140">
        <f t="shared" si="128"/>
        <v>4.0630995123463115E-4</v>
      </c>
      <c r="L147" s="140">
        <f t="shared" si="128"/>
        <v>5.9394494145199091E-4</v>
      </c>
      <c r="M147" s="140">
        <f t="shared" si="128"/>
        <v>7.8706581949704096E-4</v>
      </c>
      <c r="N147" s="140">
        <f t="shared" si="128"/>
        <v>7.4187104050673506E-3</v>
      </c>
      <c r="O147" s="140">
        <f t="shared" si="128"/>
        <v>1.13431996432709E-2</v>
      </c>
      <c r="P147" s="140">
        <f t="shared" si="128"/>
        <v>4.8677385961548867E-3</v>
      </c>
      <c r="Q147" s="140">
        <f t="shared" si="128"/>
        <v>1.3027219249368556E-3</v>
      </c>
      <c r="R147" s="140">
        <f t="shared" si="128"/>
        <v>1.0070016537508143E-3</v>
      </c>
      <c r="S147" s="140">
        <f t="shared" si="128"/>
        <v>8.946032145605051E-4</v>
      </c>
      <c r="T147" s="140">
        <f t="shared" si="128"/>
        <v>7.013062251574328E-4</v>
      </c>
      <c r="U147" s="140">
        <f t="shared" si="128"/>
        <v>1.7211933193669897E-3</v>
      </c>
      <c r="V147" s="140">
        <f t="shared" si="128"/>
        <v>8.3824703218295918E-4</v>
      </c>
      <c r="W147" s="140">
        <f t="shared" si="128"/>
        <v>3.6654970409536207E-4</v>
      </c>
      <c r="X147" s="140">
        <f t="shared" si="128"/>
        <v>4.0798399334438353E-4</v>
      </c>
      <c r="Y147" s="140">
        <f t="shared" si="128"/>
        <v>2.5487987645506581E-4</v>
      </c>
      <c r="DA147" s="175"/>
    </row>
    <row r="148" spans="1:105" ht="11.45" customHeight="1" x14ac:dyDescent="0.25">
      <c r="A148" s="109" t="s">
        <v>141</v>
      </c>
      <c r="B148" s="124">
        <f t="shared" si="119"/>
        <v>0</v>
      </c>
      <c r="C148" s="124">
        <f t="shared" ref="C148:Y148" si="129">IF(C56=0,0,C56/C$47)</f>
        <v>0</v>
      </c>
      <c r="D148" s="124">
        <f t="shared" si="129"/>
        <v>0</v>
      </c>
      <c r="E148" s="124">
        <f t="shared" si="129"/>
        <v>0</v>
      </c>
      <c r="F148" s="124">
        <f t="shared" si="129"/>
        <v>0</v>
      </c>
      <c r="G148" s="124">
        <f t="shared" si="129"/>
        <v>0</v>
      </c>
      <c r="H148" s="124">
        <f t="shared" si="129"/>
        <v>0</v>
      </c>
      <c r="I148" s="124">
        <f t="shared" si="129"/>
        <v>1.939437440124567E-3</v>
      </c>
      <c r="J148" s="124">
        <f t="shared" si="129"/>
        <v>4.1719766849441786E-3</v>
      </c>
      <c r="K148" s="124">
        <f t="shared" si="129"/>
        <v>9.8391389481155053E-3</v>
      </c>
      <c r="L148" s="124">
        <f t="shared" si="129"/>
        <v>1.1151250210897556E-2</v>
      </c>
      <c r="M148" s="124">
        <f t="shared" si="129"/>
        <v>1.3690959330039949E-2</v>
      </c>
      <c r="N148" s="124">
        <f t="shared" si="129"/>
        <v>1.1392937215587977E-2</v>
      </c>
      <c r="O148" s="124">
        <f t="shared" si="129"/>
        <v>2.2196088668288587E-2</v>
      </c>
      <c r="P148" s="124">
        <f t="shared" si="129"/>
        <v>1.1316798913483679E-2</v>
      </c>
      <c r="Q148" s="124">
        <f t="shared" si="129"/>
        <v>8.1341859452549233E-3</v>
      </c>
      <c r="R148" s="124">
        <f t="shared" si="129"/>
        <v>1.1517642665794371E-2</v>
      </c>
      <c r="S148" s="124">
        <f t="shared" si="129"/>
        <v>1.222033960017643E-2</v>
      </c>
      <c r="T148" s="124">
        <f t="shared" si="129"/>
        <v>1.3999929650177689E-2</v>
      </c>
      <c r="U148" s="124">
        <f t="shared" si="129"/>
        <v>4.7255126168683709E-3</v>
      </c>
      <c r="V148" s="124">
        <f t="shared" si="129"/>
        <v>6.8712109810503373E-3</v>
      </c>
      <c r="W148" s="124">
        <f t="shared" si="129"/>
        <v>6.869343100409246E-3</v>
      </c>
      <c r="X148" s="124">
        <f t="shared" si="129"/>
        <v>4.8163082537611398E-3</v>
      </c>
      <c r="Y148" s="124">
        <f t="shared" si="129"/>
        <v>2.811415525814662E-3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1.939437440124567E-3</v>
      </c>
      <c r="J149" s="140">
        <f t="shared" si="130"/>
        <v>4.1719766849441786E-3</v>
      </c>
      <c r="K149" s="140">
        <f t="shared" si="130"/>
        <v>9.8391389481155053E-3</v>
      </c>
      <c r="L149" s="140">
        <f t="shared" si="130"/>
        <v>1.1151250210897556E-2</v>
      </c>
      <c r="M149" s="140">
        <f t="shared" si="130"/>
        <v>1.3690959330039949E-2</v>
      </c>
      <c r="N149" s="140">
        <f t="shared" si="130"/>
        <v>1.1392937215587977E-2</v>
      </c>
      <c r="O149" s="140">
        <f t="shared" si="130"/>
        <v>2.2196088668288587E-2</v>
      </c>
      <c r="P149" s="140">
        <f t="shared" si="130"/>
        <v>1.1316798913483679E-2</v>
      </c>
      <c r="Q149" s="140">
        <f t="shared" si="130"/>
        <v>8.1341859452549233E-3</v>
      </c>
      <c r="R149" s="140">
        <f t="shared" si="130"/>
        <v>1.1517642665794371E-2</v>
      </c>
      <c r="S149" s="140">
        <f t="shared" si="130"/>
        <v>1.222033960017643E-2</v>
      </c>
      <c r="T149" s="140">
        <f t="shared" si="130"/>
        <v>1.3999929650177689E-2</v>
      </c>
      <c r="U149" s="140">
        <f t="shared" si="130"/>
        <v>4.7255126168683709E-3</v>
      </c>
      <c r="V149" s="140">
        <f t="shared" si="130"/>
        <v>6.8712109810503373E-3</v>
      </c>
      <c r="W149" s="140">
        <f t="shared" si="130"/>
        <v>6.869343100409246E-3</v>
      </c>
      <c r="X149" s="140">
        <f t="shared" si="130"/>
        <v>4.8163082537611398E-3</v>
      </c>
      <c r="Y149" s="140">
        <f t="shared" si="130"/>
        <v>2.811415525814662E-3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0.50615784483576032</v>
      </c>
      <c r="C152" s="140">
        <f t="shared" si="133"/>
        <v>0.50475929023375921</v>
      </c>
      <c r="D152" s="140">
        <f t="shared" si="133"/>
        <v>0.50305834610673295</v>
      </c>
      <c r="E152" s="140">
        <f t="shared" si="133"/>
        <v>0.50327926990890559</v>
      </c>
      <c r="F152" s="140">
        <f t="shared" si="133"/>
        <v>0.50345718873853162</v>
      </c>
      <c r="G152" s="140">
        <f t="shared" si="133"/>
        <v>0.47352326944510426</v>
      </c>
      <c r="H152" s="140">
        <f t="shared" si="133"/>
        <v>0.46319119741393872</v>
      </c>
      <c r="I152" s="140">
        <f t="shared" si="133"/>
        <v>0.48012939355599688</v>
      </c>
      <c r="J152" s="140">
        <f t="shared" si="133"/>
        <v>0.48287921813312928</v>
      </c>
      <c r="K152" s="140">
        <f t="shared" si="133"/>
        <v>0.49959110198332779</v>
      </c>
      <c r="L152" s="140">
        <f t="shared" si="133"/>
        <v>0.53419327959264318</v>
      </c>
      <c r="M152" s="140">
        <f t="shared" si="133"/>
        <v>0.50235887584770844</v>
      </c>
      <c r="N152" s="140">
        <f t="shared" si="133"/>
        <v>0.53171467256493399</v>
      </c>
      <c r="O152" s="140">
        <f t="shared" si="133"/>
        <v>0.54598698367014264</v>
      </c>
      <c r="P152" s="140">
        <f t="shared" si="133"/>
        <v>0.53796679873193343</v>
      </c>
      <c r="Q152" s="140">
        <f t="shared" si="133"/>
        <v>0.56235737631344718</v>
      </c>
      <c r="R152" s="140">
        <f t="shared" si="133"/>
        <v>0.56464701167778863</v>
      </c>
      <c r="S152" s="140">
        <f t="shared" si="133"/>
        <v>0.55216697766255118</v>
      </c>
      <c r="T152" s="140">
        <f t="shared" si="133"/>
        <v>0.52424893564870734</v>
      </c>
      <c r="U152" s="140">
        <f t="shared" si="133"/>
        <v>0.48671406223388247</v>
      </c>
      <c r="V152" s="140">
        <f t="shared" si="133"/>
        <v>0.43015625724542789</v>
      </c>
      <c r="W152" s="140">
        <f t="shared" si="133"/>
        <v>0.40477451601360476</v>
      </c>
      <c r="X152" s="140">
        <f t="shared" si="133"/>
        <v>0.4632610231589212</v>
      </c>
      <c r="Y152" s="140">
        <f t="shared" si="133"/>
        <v>0.45625893543237478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0.49384215516423968</v>
      </c>
      <c r="C153" s="127">
        <f t="shared" si="134"/>
        <v>0.49524070976624085</v>
      </c>
      <c r="D153" s="127">
        <f t="shared" si="134"/>
        <v>0.496941653893267</v>
      </c>
      <c r="E153" s="127">
        <f t="shared" si="134"/>
        <v>0.4967207300910943</v>
      </c>
      <c r="F153" s="127">
        <f t="shared" si="134"/>
        <v>0.49654281126146832</v>
      </c>
      <c r="G153" s="127">
        <f t="shared" si="134"/>
        <v>0.52647673055489574</v>
      </c>
      <c r="H153" s="127">
        <f t="shared" si="134"/>
        <v>0.53680880258606134</v>
      </c>
      <c r="I153" s="127">
        <f t="shared" si="134"/>
        <v>0.51987060644400318</v>
      </c>
      <c r="J153" s="127">
        <f t="shared" si="134"/>
        <v>0.51712078186687083</v>
      </c>
      <c r="K153" s="127">
        <f t="shared" si="134"/>
        <v>0.50040889801667221</v>
      </c>
      <c r="L153" s="127">
        <f t="shared" si="134"/>
        <v>0.46580672040735682</v>
      </c>
      <c r="M153" s="127">
        <f t="shared" si="134"/>
        <v>0.49764112415229156</v>
      </c>
      <c r="N153" s="127">
        <f t="shared" si="134"/>
        <v>0.46828532743506612</v>
      </c>
      <c r="O153" s="127">
        <f t="shared" si="134"/>
        <v>0.45401301632985747</v>
      </c>
      <c r="P153" s="127">
        <f t="shared" si="134"/>
        <v>0.46203320126806657</v>
      </c>
      <c r="Q153" s="127">
        <f t="shared" si="134"/>
        <v>0.43764262368655282</v>
      </c>
      <c r="R153" s="127">
        <f t="shared" si="134"/>
        <v>0.43535298832221137</v>
      </c>
      <c r="S153" s="127">
        <f t="shared" si="134"/>
        <v>0.44783302233744871</v>
      </c>
      <c r="T153" s="127">
        <f t="shared" si="134"/>
        <v>0.47575106435129261</v>
      </c>
      <c r="U153" s="127">
        <f t="shared" si="134"/>
        <v>0.51328593776611753</v>
      </c>
      <c r="V153" s="127">
        <f t="shared" si="134"/>
        <v>0.56984374275457206</v>
      </c>
      <c r="W153" s="127">
        <f t="shared" si="134"/>
        <v>0.5952254839863953</v>
      </c>
      <c r="X153" s="127">
        <f t="shared" si="134"/>
        <v>0.53673897684107874</v>
      </c>
      <c r="Y153" s="127">
        <f t="shared" si="134"/>
        <v>0.54374106456762528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0.92042277874093348</v>
      </c>
      <c r="C157" s="139">
        <f t="shared" ref="C157:W157" si="138">IF(C65=0,0,C65/C$64)</f>
        <v>0.92807758165695242</v>
      </c>
      <c r="D157" s="139">
        <f t="shared" si="138"/>
        <v>0.92553970465244551</v>
      </c>
      <c r="E157" s="139">
        <f t="shared" si="138"/>
        <v>0.90858476384193043</v>
      </c>
      <c r="F157" s="139">
        <f t="shared" si="138"/>
        <v>0.89991882211353358</v>
      </c>
      <c r="G157" s="139">
        <f t="shared" si="138"/>
        <v>0.88731575718491862</v>
      </c>
      <c r="H157" s="139">
        <f t="shared" si="138"/>
        <v>0.89054226897033284</v>
      </c>
      <c r="I157" s="139">
        <f t="shared" si="138"/>
        <v>0.88300879501575646</v>
      </c>
      <c r="J157" s="139">
        <f t="shared" si="138"/>
        <v>0.86049268120786859</v>
      </c>
      <c r="K157" s="139">
        <f t="shared" si="138"/>
        <v>0.84415252533709828</v>
      </c>
      <c r="L157" s="139">
        <f t="shared" si="138"/>
        <v>0.8261530632633578</v>
      </c>
      <c r="M157" s="139">
        <f t="shared" si="138"/>
        <v>0.81793837198660457</v>
      </c>
      <c r="N157" s="139">
        <f t="shared" si="138"/>
        <v>0.81553455868787383</v>
      </c>
      <c r="O157" s="139">
        <f t="shared" si="138"/>
        <v>0.81337030826071322</v>
      </c>
      <c r="P157" s="139">
        <f t="shared" si="138"/>
        <v>0.83979262796477372</v>
      </c>
      <c r="Q157" s="139">
        <f t="shared" si="138"/>
        <v>0.85009338114739774</v>
      </c>
      <c r="R157" s="139">
        <f t="shared" si="138"/>
        <v>0.83836811436198466</v>
      </c>
      <c r="S157" s="139">
        <f t="shared" si="138"/>
        <v>0.8262817559885961</v>
      </c>
      <c r="T157" s="139">
        <f t="shared" si="138"/>
        <v>0.81428823185106747</v>
      </c>
      <c r="U157" s="139">
        <f t="shared" si="138"/>
        <v>0.81563405275317791</v>
      </c>
      <c r="V157" s="139">
        <f t="shared" si="138"/>
        <v>0.91876908049769201</v>
      </c>
      <c r="W157" s="139">
        <f t="shared" si="138"/>
        <v>0.89378446793455235</v>
      </c>
      <c r="X157" s="139">
        <f t="shared" ref="X157:Y157" si="139">IF(X65=0,0,X65/X$64)</f>
        <v>0.85567216409373115</v>
      </c>
      <c r="Y157" s="139">
        <f t="shared" si="139"/>
        <v>0.82712334787298891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5.6309533574564075E-3</v>
      </c>
      <c r="C158" s="140">
        <f t="shared" ref="C158:W158" si="140">IF(C66=0,0,C66/C$64)</f>
        <v>5.2182037245665277E-3</v>
      </c>
      <c r="D158" s="140">
        <f t="shared" si="140"/>
        <v>5.1366287151688103E-3</v>
      </c>
      <c r="E158" s="140">
        <f t="shared" si="140"/>
        <v>4.7823859499077914E-3</v>
      </c>
      <c r="F158" s="140">
        <f t="shared" si="140"/>
        <v>4.4732283854994268E-3</v>
      </c>
      <c r="G158" s="140">
        <f t="shared" si="140"/>
        <v>4.2486053411836464E-3</v>
      </c>
      <c r="H158" s="140">
        <f t="shared" si="140"/>
        <v>3.6496241422106701E-3</v>
      </c>
      <c r="I158" s="140">
        <f t="shared" si="140"/>
        <v>3.1131690825762968E-3</v>
      </c>
      <c r="J158" s="140">
        <f t="shared" si="140"/>
        <v>2.9919543743915028E-3</v>
      </c>
      <c r="K158" s="140">
        <f t="shared" si="140"/>
        <v>3.1024204694433668E-3</v>
      </c>
      <c r="L158" s="140">
        <f t="shared" si="140"/>
        <v>3.0136432086851151E-3</v>
      </c>
      <c r="M158" s="140">
        <f t="shared" si="140"/>
        <v>3.0711800198910772E-3</v>
      </c>
      <c r="N158" s="140">
        <f t="shared" si="140"/>
        <v>2.833028249076241E-3</v>
      </c>
      <c r="O158" s="140">
        <f t="shared" si="140"/>
        <v>2.8625243041029724E-3</v>
      </c>
      <c r="P158" s="140">
        <f t="shared" si="140"/>
        <v>3.1920049008449772E-3</v>
      </c>
      <c r="Q158" s="140">
        <f t="shared" si="140"/>
        <v>3.723922078444423E-3</v>
      </c>
      <c r="R158" s="140">
        <f t="shared" si="140"/>
        <v>3.426521151638474E-3</v>
      </c>
      <c r="S158" s="140">
        <f t="shared" si="140"/>
        <v>3.01506702754616E-3</v>
      </c>
      <c r="T158" s="140">
        <f t="shared" si="140"/>
        <v>2.7715244434944573E-3</v>
      </c>
      <c r="U158" s="140">
        <f t="shared" si="140"/>
        <v>2.8309591285027953E-3</v>
      </c>
      <c r="V158" s="140">
        <f t="shared" si="140"/>
        <v>2.9147879541232963E-3</v>
      </c>
      <c r="W158" s="140">
        <f t="shared" si="140"/>
        <v>3.0702182766546818E-3</v>
      </c>
      <c r="X158" s="140">
        <f t="shared" ref="X158:Y158" si="141">IF(X66=0,0,X66/X$64)</f>
        <v>3.1145457151811875E-3</v>
      </c>
      <c r="Y158" s="140">
        <f t="shared" si="141"/>
        <v>3.2814954910457693E-3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0.74781040993634429</v>
      </c>
      <c r="C159" s="140">
        <f t="shared" ref="C159:W159" si="142">IF(C67=0,0,C67/C$64)</f>
        <v>0.75317982411866979</v>
      </c>
      <c r="D159" s="140">
        <f t="shared" si="142"/>
        <v>0.75523650057412695</v>
      </c>
      <c r="E159" s="140">
        <f t="shared" si="142"/>
        <v>0.73952350507528786</v>
      </c>
      <c r="F159" s="140">
        <f t="shared" si="142"/>
        <v>0.73820421406990622</v>
      </c>
      <c r="G159" s="140">
        <f t="shared" si="142"/>
        <v>0.73308869289940948</v>
      </c>
      <c r="H159" s="140">
        <f t="shared" si="142"/>
        <v>0.7553024045002813</v>
      </c>
      <c r="I159" s="140">
        <f t="shared" si="142"/>
        <v>0.76217439547529175</v>
      </c>
      <c r="J159" s="140">
        <f t="shared" si="142"/>
        <v>0.7463324059514127</v>
      </c>
      <c r="K159" s="140">
        <f t="shared" si="142"/>
        <v>0.72888197253812603</v>
      </c>
      <c r="L159" s="140">
        <f t="shared" si="142"/>
        <v>0.70812939064184988</v>
      </c>
      <c r="M159" s="140">
        <f t="shared" si="142"/>
        <v>0.70655579430031845</v>
      </c>
      <c r="N159" s="140">
        <f t="shared" si="142"/>
        <v>0.70390957875583671</v>
      </c>
      <c r="O159" s="140">
        <f t="shared" si="142"/>
        <v>0.70384462001083581</v>
      </c>
      <c r="P159" s="140">
        <f t="shared" si="142"/>
        <v>0.73938943836493054</v>
      </c>
      <c r="Q159" s="140">
        <f t="shared" si="142"/>
        <v>0.75460450352124941</v>
      </c>
      <c r="R159" s="140">
        <f t="shared" si="142"/>
        <v>0.74687452106175056</v>
      </c>
      <c r="S159" s="140">
        <f t="shared" si="142"/>
        <v>0.73738609753737716</v>
      </c>
      <c r="T159" s="140">
        <f t="shared" si="142"/>
        <v>0.73247248407206444</v>
      </c>
      <c r="U159" s="140">
        <f t="shared" si="142"/>
        <v>0.74040010218183538</v>
      </c>
      <c r="V159" s="140">
        <f t="shared" si="142"/>
        <v>0.84780218476899505</v>
      </c>
      <c r="W159" s="140">
        <f t="shared" si="142"/>
        <v>0.83412984546707014</v>
      </c>
      <c r="X159" s="140">
        <f t="shared" ref="X159:Y159" si="143">IF(X67=0,0,X67/X$64)</f>
        <v>0.79042608372121659</v>
      </c>
      <c r="Y159" s="140">
        <f t="shared" si="143"/>
        <v>0.76512700258596267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0.16698141544713288</v>
      </c>
      <c r="C160" s="140">
        <f t="shared" ref="C160:W160" si="144">IF(C68=0,0,C68/C$64)</f>
        <v>0.16967955381371602</v>
      </c>
      <c r="D160" s="140">
        <f t="shared" si="144"/>
        <v>0.16516657536314971</v>
      </c>
      <c r="E160" s="140">
        <f t="shared" si="144"/>
        <v>0.16427887281673484</v>
      </c>
      <c r="F160" s="140">
        <f t="shared" si="144"/>
        <v>0.15724137965812787</v>
      </c>
      <c r="G160" s="140">
        <f t="shared" si="144"/>
        <v>0.14997845894432552</v>
      </c>
      <c r="H160" s="140">
        <f t="shared" si="144"/>
        <v>0.13159024032784084</v>
      </c>
      <c r="I160" s="140">
        <f t="shared" si="144"/>
        <v>0.11772123045788835</v>
      </c>
      <c r="J160" s="140">
        <f t="shared" si="144"/>
        <v>0.1111683208820643</v>
      </c>
      <c r="K160" s="140">
        <f t="shared" si="144"/>
        <v>0.11216813232952887</v>
      </c>
      <c r="L160" s="140">
        <f t="shared" si="144"/>
        <v>0.11501002941282296</v>
      </c>
      <c r="M160" s="140">
        <f t="shared" si="144"/>
        <v>0.10831139766639498</v>
      </c>
      <c r="N160" s="140">
        <f t="shared" si="144"/>
        <v>0.10879195168296089</v>
      </c>
      <c r="O160" s="140">
        <f t="shared" si="144"/>
        <v>0.10666316394577448</v>
      </c>
      <c r="P160" s="140">
        <f t="shared" si="144"/>
        <v>9.7211184698998171E-2</v>
      </c>
      <c r="Q160" s="140">
        <f t="shared" si="144"/>
        <v>9.1764955547703947E-2</v>
      </c>
      <c r="R160" s="140">
        <f t="shared" si="144"/>
        <v>8.8067072148595674E-2</v>
      </c>
      <c r="S160" s="140">
        <f t="shared" si="144"/>
        <v>8.5880591423672742E-2</v>
      </c>
      <c r="T160" s="140">
        <f t="shared" si="144"/>
        <v>7.904422333550859E-2</v>
      </c>
      <c r="U160" s="140">
        <f t="shared" si="144"/>
        <v>7.2402991442839668E-2</v>
      </c>
      <c r="V160" s="140">
        <f t="shared" si="144"/>
        <v>6.8052107774573656E-2</v>
      </c>
      <c r="W160" s="140">
        <f t="shared" si="144"/>
        <v>5.658440419082756E-2</v>
      </c>
      <c r="X160" s="140">
        <f t="shared" ref="X160:Y160" si="145">IF(X68=0,0,X68/X$64)</f>
        <v>6.2131534657333391E-2</v>
      </c>
      <c r="Y160" s="140">
        <f t="shared" si="145"/>
        <v>5.871484979598042E-2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2.5770196896971093E-2</v>
      </c>
      <c r="C161" s="124">
        <f t="shared" ref="C161:W161" si="146">IF(C69=0,0,C69/C$64)</f>
        <v>2.2184449398615576E-2</v>
      </c>
      <c r="D161" s="124">
        <f t="shared" si="146"/>
        <v>2.3297410325262082E-2</v>
      </c>
      <c r="E161" s="124">
        <f t="shared" si="146"/>
        <v>2.1829797336098855E-2</v>
      </c>
      <c r="F161" s="124">
        <f t="shared" si="146"/>
        <v>2.0554154892722998E-2</v>
      </c>
      <c r="G161" s="124">
        <f t="shared" si="146"/>
        <v>1.9738190603572462E-2</v>
      </c>
      <c r="H161" s="124">
        <f t="shared" si="146"/>
        <v>1.6787679426176063E-2</v>
      </c>
      <c r="I161" s="124">
        <f t="shared" si="146"/>
        <v>1.5138954737185907E-2</v>
      </c>
      <c r="J161" s="124">
        <f t="shared" si="146"/>
        <v>1.4494002995358824E-2</v>
      </c>
      <c r="K161" s="124">
        <f t="shared" si="146"/>
        <v>1.3196786535673188E-2</v>
      </c>
      <c r="L161" s="124">
        <f t="shared" si="146"/>
        <v>1.0879554994888026E-2</v>
      </c>
      <c r="M161" s="124">
        <f t="shared" si="146"/>
        <v>1.1083113835461542E-2</v>
      </c>
      <c r="N161" s="124">
        <f t="shared" si="146"/>
        <v>1.0789966634991729E-2</v>
      </c>
      <c r="O161" s="124">
        <f t="shared" si="146"/>
        <v>1.0509502181133548E-2</v>
      </c>
      <c r="P161" s="124">
        <f t="shared" si="146"/>
        <v>8.5396954027633018E-3</v>
      </c>
      <c r="Q161" s="124">
        <f t="shared" si="146"/>
        <v>7.234045153599866E-3</v>
      </c>
      <c r="R161" s="124">
        <f t="shared" si="146"/>
        <v>6.5538956673285931E-3</v>
      </c>
      <c r="S161" s="124">
        <f t="shared" si="146"/>
        <v>5.8367242643873E-3</v>
      </c>
      <c r="T161" s="124">
        <f t="shared" si="146"/>
        <v>4.7493666984413816E-3</v>
      </c>
      <c r="U161" s="124">
        <f t="shared" si="146"/>
        <v>4.1882805137936057E-3</v>
      </c>
      <c r="V161" s="124">
        <f t="shared" si="146"/>
        <v>2.5637088413270419E-3</v>
      </c>
      <c r="W161" s="124">
        <f t="shared" si="146"/>
        <v>3.5597865257718099E-3</v>
      </c>
      <c r="X161" s="124">
        <f t="shared" ref="X161:Y161" si="147">IF(X69=0,0,X69/X$64)</f>
        <v>3.7465126204792106E-3</v>
      </c>
      <c r="Y161" s="124">
        <f t="shared" si="147"/>
        <v>4.5445765733983304E-3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2.5770196896971093E-2</v>
      </c>
      <c r="C163" s="140">
        <f t="shared" ref="C163:W163" si="150">IF(C71=0,0,C71/C$64)</f>
        <v>2.2184449398615576E-2</v>
      </c>
      <c r="D163" s="140">
        <f t="shared" si="150"/>
        <v>2.3297410325262082E-2</v>
      </c>
      <c r="E163" s="140">
        <f t="shared" si="150"/>
        <v>2.1829797336098855E-2</v>
      </c>
      <c r="F163" s="140">
        <f t="shared" si="150"/>
        <v>2.0554154892722998E-2</v>
      </c>
      <c r="G163" s="140">
        <f t="shared" si="150"/>
        <v>1.9738190603572462E-2</v>
      </c>
      <c r="H163" s="140">
        <f t="shared" si="150"/>
        <v>1.6787679426176063E-2</v>
      </c>
      <c r="I163" s="140">
        <f t="shared" si="150"/>
        <v>1.5138954737185907E-2</v>
      </c>
      <c r="J163" s="140">
        <f t="shared" si="150"/>
        <v>1.4494002995358824E-2</v>
      </c>
      <c r="K163" s="140">
        <f t="shared" si="150"/>
        <v>1.3196786535673188E-2</v>
      </c>
      <c r="L163" s="140">
        <f t="shared" si="150"/>
        <v>1.0879554994888026E-2</v>
      </c>
      <c r="M163" s="140">
        <f t="shared" si="150"/>
        <v>1.1083113835461542E-2</v>
      </c>
      <c r="N163" s="140">
        <f t="shared" si="150"/>
        <v>1.0789966634991729E-2</v>
      </c>
      <c r="O163" s="140">
        <f t="shared" si="150"/>
        <v>1.0509502181133548E-2</v>
      </c>
      <c r="P163" s="140">
        <f t="shared" si="150"/>
        <v>8.5396954027633018E-3</v>
      </c>
      <c r="Q163" s="140">
        <f t="shared" si="150"/>
        <v>7.234045153599866E-3</v>
      </c>
      <c r="R163" s="140">
        <f t="shared" si="150"/>
        <v>6.5538956673285931E-3</v>
      </c>
      <c r="S163" s="140">
        <f t="shared" si="150"/>
        <v>5.8367242643873E-3</v>
      </c>
      <c r="T163" s="140">
        <f t="shared" si="150"/>
        <v>4.7493666984413816E-3</v>
      </c>
      <c r="U163" s="140">
        <f t="shared" si="150"/>
        <v>4.1882805137936057E-3</v>
      </c>
      <c r="V163" s="140">
        <f t="shared" si="150"/>
        <v>2.5637088413270419E-3</v>
      </c>
      <c r="W163" s="140">
        <f t="shared" si="150"/>
        <v>3.5597865257718099E-3</v>
      </c>
      <c r="X163" s="140">
        <f t="shared" ref="X163:Y163" si="151">IF(X71=0,0,X71/X$64)</f>
        <v>3.7465126204792106E-3</v>
      </c>
      <c r="Y163" s="140">
        <f t="shared" si="151"/>
        <v>4.5445765733983304E-3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5.3807024362095425E-2</v>
      </c>
      <c r="C165" s="124">
        <f t="shared" ref="C165:W165" si="154">IF(C73=0,0,C73/C$64)</f>
        <v>4.9737968944432019E-2</v>
      </c>
      <c r="D165" s="124">
        <f t="shared" si="154"/>
        <v>5.1162885022292326E-2</v>
      </c>
      <c r="E165" s="124">
        <f t="shared" si="154"/>
        <v>6.9585438821970658E-2</v>
      </c>
      <c r="F165" s="124">
        <f t="shared" si="154"/>
        <v>7.9527022993743479E-2</v>
      </c>
      <c r="G165" s="124">
        <f t="shared" si="154"/>
        <v>9.2946052211508937E-2</v>
      </c>
      <c r="H165" s="124">
        <f t="shared" si="154"/>
        <v>9.2670051603491205E-2</v>
      </c>
      <c r="I165" s="124">
        <f t="shared" si="154"/>
        <v>0.10185225024705756</v>
      </c>
      <c r="J165" s="124">
        <f t="shared" si="154"/>
        <v>0.12501331579677266</v>
      </c>
      <c r="K165" s="124">
        <f t="shared" si="154"/>
        <v>0.14265068812722859</v>
      </c>
      <c r="L165" s="124">
        <f t="shared" si="154"/>
        <v>0.16296738174175418</v>
      </c>
      <c r="M165" s="124">
        <f t="shared" si="154"/>
        <v>0.17097851417793397</v>
      </c>
      <c r="N165" s="124">
        <f t="shared" si="154"/>
        <v>0.17367547467713451</v>
      </c>
      <c r="O165" s="124">
        <f t="shared" si="154"/>
        <v>0.1761201895581532</v>
      </c>
      <c r="P165" s="124">
        <f t="shared" si="154"/>
        <v>0.15166767663246297</v>
      </c>
      <c r="Q165" s="124">
        <f t="shared" si="154"/>
        <v>0.14267257369900227</v>
      </c>
      <c r="R165" s="124">
        <f t="shared" si="154"/>
        <v>0.1550779899706867</v>
      </c>
      <c r="S165" s="124">
        <f t="shared" si="154"/>
        <v>0.16788151974701662</v>
      </c>
      <c r="T165" s="124">
        <f t="shared" si="154"/>
        <v>0.18096240145049122</v>
      </c>
      <c r="U165" s="124">
        <f t="shared" si="154"/>
        <v>0.18017766673302851</v>
      </c>
      <c r="V165" s="124">
        <f t="shared" si="154"/>
        <v>7.8667210660981021E-2</v>
      </c>
      <c r="W165" s="124">
        <f t="shared" si="154"/>
        <v>0.10265574553967576</v>
      </c>
      <c r="X165" s="124">
        <f t="shared" ref="X165:Y165" si="155">IF(X73=0,0,X73/X$64)</f>
        <v>0.14058132328578965</v>
      </c>
      <c r="Y165" s="124">
        <f t="shared" si="155"/>
        <v>0.16833207555361285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4.7133951428465277E-2</v>
      </c>
      <c r="C167" s="140">
        <f t="shared" ref="C167:W167" si="158">IF(C75=0,0,C75/C$64)</f>
        <v>4.3566818911671905E-2</v>
      </c>
      <c r="D167" s="140">
        <f t="shared" si="158"/>
        <v>4.4814595648542274E-2</v>
      </c>
      <c r="E167" s="140">
        <f t="shared" si="158"/>
        <v>6.0950911561489504E-2</v>
      </c>
      <c r="F167" s="140">
        <f t="shared" si="158"/>
        <v>6.9653470462879577E-2</v>
      </c>
      <c r="G167" s="140">
        <f t="shared" si="158"/>
        <v>8.3002549219433563E-2</v>
      </c>
      <c r="H167" s="140">
        <f t="shared" si="158"/>
        <v>8.4182416256302045E-2</v>
      </c>
      <c r="I167" s="140">
        <f t="shared" si="158"/>
        <v>9.2948423184519624E-2</v>
      </c>
      <c r="J167" s="140">
        <f t="shared" si="158"/>
        <v>0.11384793405131502</v>
      </c>
      <c r="K167" s="140">
        <f t="shared" si="158"/>
        <v>0.12975415120073885</v>
      </c>
      <c r="L167" s="140">
        <f t="shared" si="158"/>
        <v>0.14944694606688716</v>
      </c>
      <c r="M167" s="140">
        <f t="shared" si="158"/>
        <v>0.15675722766295463</v>
      </c>
      <c r="N167" s="140">
        <f t="shared" si="158"/>
        <v>0.158503468699595</v>
      </c>
      <c r="O167" s="140">
        <f t="shared" si="158"/>
        <v>0.16103445724412782</v>
      </c>
      <c r="P167" s="140">
        <f t="shared" si="158"/>
        <v>0.1387066872263116</v>
      </c>
      <c r="Q167" s="140">
        <f t="shared" si="158"/>
        <v>0.13115505463719848</v>
      </c>
      <c r="R167" s="140">
        <f t="shared" si="158"/>
        <v>0.14306689408914894</v>
      </c>
      <c r="S167" s="140">
        <f t="shared" si="158"/>
        <v>0.15561521032622605</v>
      </c>
      <c r="T167" s="140">
        <f t="shared" si="158"/>
        <v>0.16804069480656614</v>
      </c>
      <c r="U167" s="140">
        <f t="shared" si="158"/>
        <v>0.16722161073565744</v>
      </c>
      <c r="V167" s="140">
        <f t="shared" si="158"/>
        <v>6.9981255413277238E-2</v>
      </c>
      <c r="W167" s="140">
        <f t="shared" si="158"/>
        <v>9.2572665189554315E-2</v>
      </c>
      <c r="X167" s="140">
        <f t="shared" ref="X167:Y167" si="159">IF(X75=0,0,X75/X$64)</f>
        <v>0.12997581057145441</v>
      </c>
      <c r="Y167" s="140">
        <f t="shared" si="159"/>
        <v>0.15529351501778024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6.6730729336301484E-3</v>
      </c>
      <c r="C168" s="140">
        <f t="shared" ref="C168:W168" si="160">IF(C76=0,0,C76/C$64)</f>
        <v>6.1711500327601108E-3</v>
      </c>
      <c r="D168" s="140">
        <f t="shared" si="160"/>
        <v>6.3482893737500492E-3</v>
      </c>
      <c r="E168" s="140">
        <f t="shared" si="160"/>
        <v>8.6345272604811431E-3</v>
      </c>
      <c r="F168" s="140">
        <f t="shared" si="160"/>
        <v>9.8735525308638952E-3</v>
      </c>
      <c r="G168" s="140">
        <f t="shared" si="160"/>
        <v>9.9435029920753679E-3</v>
      </c>
      <c r="H168" s="140">
        <f t="shared" si="160"/>
        <v>8.4876353471891579E-3</v>
      </c>
      <c r="I168" s="140">
        <f t="shared" si="160"/>
        <v>8.9038270625379484E-3</v>
      </c>
      <c r="J168" s="140">
        <f t="shared" si="160"/>
        <v>1.1165381745457654E-2</v>
      </c>
      <c r="K168" s="140">
        <f t="shared" si="160"/>
        <v>1.2896536926489744E-2</v>
      </c>
      <c r="L168" s="140">
        <f t="shared" si="160"/>
        <v>1.3520435674867012E-2</v>
      </c>
      <c r="M168" s="140">
        <f t="shared" si="160"/>
        <v>1.422128651497934E-2</v>
      </c>
      <c r="N168" s="140">
        <f t="shared" si="160"/>
        <v>1.5172005977539529E-2</v>
      </c>
      <c r="O168" s="140">
        <f t="shared" si="160"/>
        <v>1.5085732314025383E-2</v>
      </c>
      <c r="P168" s="140">
        <f t="shared" si="160"/>
        <v>1.2960989406151363E-2</v>
      </c>
      <c r="Q168" s="140">
        <f t="shared" si="160"/>
        <v>1.1517519061803785E-2</v>
      </c>
      <c r="R168" s="140">
        <f t="shared" si="160"/>
        <v>1.2011095881537759E-2</v>
      </c>
      <c r="S168" s="140">
        <f t="shared" si="160"/>
        <v>1.2266309420790589E-2</v>
      </c>
      <c r="T168" s="140">
        <f t="shared" si="160"/>
        <v>1.2921706643925069E-2</v>
      </c>
      <c r="U168" s="140">
        <f t="shared" si="160"/>
        <v>1.295605599737107E-2</v>
      </c>
      <c r="V168" s="140">
        <f t="shared" si="160"/>
        <v>8.6859552477037711E-3</v>
      </c>
      <c r="W168" s="140">
        <f t="shared" si="160"/>
        <v>1.0083080350121435E-2</v>
      </c>
      <c r="X168" s="140">
        <f t="shared" ref="X168:Y168" si="161">IF(X76=0,0,X76/X$64)</f>
        <v>1.0605512714335234E-2</v>
      </c>
      <c r="Y168" s="140">
        <f t="shared" si="161"/>
        <v>1.3038560535832616E-2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0.76567679556865631</v>
      </c>
      <c r="C170" s="139">
        <f t="shared" ref="C170:W170" si="165">IF(C78=0,0,C78/C$77)</f>
        <v>0.8206648997644812</v>
      </c>
      <c r="D170" s="139">
        <f t="shared" si="165"/>
        <v>0.82499460395462465</v>
      </c>
      <c r="E170" s="139">
        <f t="shared" si="165"/>
        <v>0.80842857750177299</v>
      </c>
      <c r="F170" s="139">
        <f t="shared" si="165"/>
        <v>0.81375497145812326</v>
      </c>
      <c r="G170" s="139">
        <f t="shared" si="165"/>
        <v>0.82647721156928555</v>
      </c>
      <c r="H170" s="139">
        <f t="shared" si="165"/>
        <v>0.85997562609359801</v>
      </c>
      <c r="I170" s="139">
        <f t="shared" si="165"/>
        <v>0.86771433645575091</v>
      </c>
      <c r="J170" s="139">
        <f t="shared" si="165"/>
        <v>0.85385747392455214</v>
      </c>
      <c r="K170" s="139">
        <f t="shared" si="165"/>
        <v>0.82962524377309144</v>
      </c>
      <c r="L170" s="139">
        <f t="shared" si="165"/>
        <v>0.85201433169167196</v>
      </c>
      <c r="M170" s="139">
        <f t="shared" si="165"/>
        <v>0.79493034085279612</v>
      </c>
      <c r="N170" s="139">
        <f t="shared" si="165"/>
        <v>0.76809762837515805</v>
      </c>
      <c r="O170" s="139">
        <f t="shared" si="165"/>
        <v>0.78115630914573875</v>
      </c>
      <c r="P170" s="139">
        <f t="shared" si="165"/>
        <v>0.80030389326153384</v>
      </c>
      <c r="Q170" s="139">
        <f t="shared" si="165"/>
        <v>0.82227739600217808</v>
      </c>
      <c r="R170" s="139">
        <f t="shared" si="165"/>
        <v>0.83968566087604668</v>
      </c>
      <c r="S170" s="139">
        <f t="shared" si="165"/>
        <v>0.8569303631960189</v>
      </c>
      <c r="T170" s="139">
        <f t="shared" si="165"/>
        <v>0.85009489940417082</v>
      </c>
      <c r="U170" s="139">
        <f t="shared" si="165"/>
        <v>0.87589977007395436</v>
      </c>
      <c r="V170" s="139">
        <f t="shared" si="165"/>
        <v>0.91606224217669885</v>
      </c>
      <c r="W170" s="139">
        <f t="shared" si="165"/>
        <v>0.92716556911729142</v>
      </c>
      <c r="X170" s="139">
        <f t="shared" ref="X170:Y170" si="166">IF(X78=0,0,X78/X$77)</f>
        <v>0.93498697574022049</v>
      </c>
      <c r="Y170" s="139">
        <f t="shared" si="166"/>
        <v>0.94185333544629779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0.15536655230252522</v>
      </c>
      <c r="C171" s="140">
        <f t="shared" ref="C171:W171" si="167">IF(C79=0,0,C79/C$77)</f>
        <v>0.13547169040497847</v>
      </c>
      <c r="D171" s="140">
        <f t="shared" si="167"/>
        <v>0.15531664801858078</v>
      </c>
      <c r="E171" s="140">
        <f t="shared" si="167"/>
        <v>0.13086557948105026</v>
      </c>
      <c r="F171" s="140">
        <f t="shared" si="167"/>
        <v>0.16019723495905691</v>
      </c>
      <c r="G171" s="140">
        <f t="shared" si="167"/>
        <v>0.13919421721692876</v>
      </c>
      <c r="H171" s="140">
        <f t="shared" si="167"/>
        <v>0.14400825114658736</v>
      </c>
      <c r="I171" s="140">
        <f t="shared" si="167"/>
        <v>0.13737361188614583</v>
      </c>
      <c r="J171" s="140">
        <f t="shared" si="167"/>
        <v>0.14727499808896674</v>
      </c>
      <c r="K171" s="140">
        <f t="shared" si="167"/>
        <v>0.15856680096428274</v>
      </c>
      <c r="L171" s="140">
        <f t="shared" si="167"/>
        <v>0.13260778192416969</v>
      </c>
      <c r="M171" s="140">
        <f t="shared" si="167"/>
        <v>0.15682962606749748</v>
      </c>
      <c r="N171" s="140">
        <f t="shared" si="167"/>
        <v>0.17572705395140245</v>
      </c>
      <c r="O171" s="140">
        <f t="shared" si="167"/>
        <v>0.19544692140129746</v>
      </c>
      <c r="P171" s="140">
        <f t="shared" si="167"/>
        <v>0.21467465896905932</v>
      </c>
      <c r="Q171" s="140">
        <f t="shared" si="167"/>
        <v>0.21492643055242242</v>
      </c>
      <c r="R171" s="140">
        <f t="shared" si="167"/>
        <v>0.22383101957601514</v>
      </c>
      <c r="S171" s="140">
        <f t="shared" si="167"/>
        <v>0.21733389816216003</v>
      </c>
      <c r="T171" s="140">
        <f t="shared" si="167"/>
        <v>0.21179705960501446</v>
      </c>
      <c r="U171" s="140">
        <f t="shared" si="167"/>
        <v>0.22813231369287265</v>
      </c>
      <c r="V171" s="140">
        <f t="shared" si="167"/>
        <v>0.24710502757424582</v>
      </c>
      <c r="W171" s="140">
        <f t="shared" si="167"/>
        <v>0.23756361632342554</v>
      </c>
      <c r="X171" s="140">
        <f t="shared" ref="X171:Y171" si="168">IF(X79=0,0,X79/X$77)</f>
        <v>0.24539571352974104</v>
      </c>
      <c r="Y171" s="140">
        <f t="shared" si="168"/>
        <v>0.25691124180529323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0.61031024326613115</v>
      </c>
      <c r="C172" s="140">
        <f t="shared" ref="C172:W172" si="169">IF(C80=0,0,C80/C$77)</f>
        <v>0.68519320935950268</v>
      </c>
      <c r="D172" s="140">
        <f t="shared" si="169"/>
        <v>0.66967795593604384</v>
      </c>
      <c r="E172" s="140">
        <f t="shared" si="169"/>
        <v>0.67756299802072273</v>
      </c>
      <c r="F172" s="140">
        <f t="shared" si="169"/>
        <v>0.65355773649906623</v>
      </c>
      <c r="G172" s="140">
        <f t="shared" si="169"/>
        <v>0.68728299435235685</v>
      </c>
      <c r="H172" s="140">
        <f t="shared" si="169"/>
        <v>0.71596737494701068</v>
      </c>
      <c r="I172" s="140">
        <f t="shared" si="169"/>
        <v>0.73034072456960519</v>
      </c>
      <c r="J172" s="140">
        <f t="shared" si="169"/>
        <v>0.70658247583558542</v>
      </c>
      <c r="K172" s="140">
        <f t="shared" si="169"/>
        <v>0.67105844280880877</v>
      </c>
      <c r="L172" s="140">
        <f t="shared" si="169"/>
        <v>0.71940654976750218</v>
      </c>
      <c r="M172" s="140">
        <f t="shared" si="169"/>
        <v>0.63810071478529862</v>
      </c>
      <c r="N172" s="140">
        <f t="shared" si="169"/>
        <v>0.59237057442375562</v>
      </c>
      <c r="O172" s="140">
        <f t="shared" si="169"/>
        <v>0.58570938774444137</v>
      </c>
      <c r="P172" s="140">
        <f t="shared" si="169"/>
        <v>0.58562923429247449</v>
      </c>
      <c r="Q172" s="140">
        <f t="shared" si="169"/>
        <v>0.60735096544975564</v>
      </c>
      <c r="R172" s="140">
        <f t="shared" si="169"/>
        <v>0.61585464130003154</v>
      </c>
      <c r="S172" s="140">
        <f t="shared" si="169"/>
        <v>0.63959646503385892</v>
      </c>
      <c r="T172" s="140">
        <f t="shared" si="169"/>
        <v>0.63829783979915633</v>
      </c>
      <c r="U172" s="140">
        <f t="shared" si="169"/>
        <v>0.6477674563810818</v>
      </c>
      <c r="V172" s="140">
        <f t="shared" si="169"/>
        <v>0.66895721460245305</v>
      </c>
      <c r="W172" s="140">
        <f t="shared" si="169"/>
        <v>0.68960195279386582</v>
      </c>
      <c r="X172" s="140">
        <f t="shared" ref="X172:Y172" si="170">IF(X80=0,0,X80/X$77)</f>
        <v>0.68959126221047951</v>
      </c>
      <c r="Y172" s="140">
        <f t="shared" si="170"/>
        <v>0.68494209364100456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0.23328655491383404</v>
      </c>
      <c r="C173" s="124">
        <f t="shared" ref="C173:W173" si="171">IF(C81=0,0,C81/C$77)</f>
        <v>0.1786256017600121</v>
      </c>
      <c r="D173" s="124">
        <f t="shared" si="171"/>
        <v>0.17424533869882564</v>
      </c>
      <c r="E173" s="124">
        <f t="shared" si="171"/>
        <v>0.19093130367327349</v>
      </c>
      <c r="F173" s="124">
        <f t="shared" si="171"/>
        <v>0.18554942485474252</v>
      </c>
      <c r="G173" s="124">
        <f t="shared" si="171"/>
        <v>0.17267628981345584</v>
      </c>
      <c r="H173" s="124">
        <f t="shared" si="171"/>
        <v>0.13921585264740491</v>
      </c>
      <c r="I173" s="124">
        <f t="shared" si="171"/>
        <v>0.1296544114790803</v>
      </c>
      <c r="J173" s="124">
        <f t="shared" si="171"/>
        <v>0.14088957902844534</v>
      </c>
      <c r="K173" s="124">
        <f t="shared" si="171"/>
        <v>0.15815400143606728</v>
      </c>
      <c r="L173" s="124">
        <f t="shared" si="171"/>
        <v>0.13386621734285895</v>
      </c>
      <c r="M173" s="124">
        <f t="shared" si="171"/>
        <v>0.18780143451329204</v>
      </c>
      <c r="N173" s="124">
        <f t="shared" si="171"/>
        <v>0.21009537147517479</v>
      </c>
      <c r="O173" s="124">
        <f t="shared" si="171"/>
        <v>0.18183304993154714</v>
      </c>
      <c r="P173" s="124">
        <f t="shared" si="171"/>
        <v>0.18038577668914227</v>
      </c>
      <c r="Q173" s="124">
        <f t="shared" si="171"/>
        <v>0.16579088594404071</v>
      </c>
      <c r="R173" s="124">
        <f t="shared" si="171"/>
        <v>0.14514649821017689</v>
      </c>
      <c r="S173" s="124">
        <f t="shared" si="171"/>
        <v>0.12701816834903787</v>
      </c>
      <c r="T173" s="124">
        <f t="shared" si="171"/>
        <v>0.13158563266293963</v>
      </c>
      <c r="U173" s="124">
        <f t="shared" si="171"/>
        <v>0.11391828175108248</v>
      </c>
      <c r="V173" s="124">
        <f t="shared" si="171"/>
        <v>7.2785697789778142E-2</v>
      </c>
      <c r="W173" s="124">
        <f t="shared" si="171"/>
        <v>6.1143274350735043E-2</v>
      </c>
      <c r="X173" s="124">
        <f t="shared" ref="X173:Y173" si="172">IF(X81=0,0,X81/X$77)</f>
        <v>5.5808369706481807E-2</v>
      </c>
      <c r="Y173" s="124">
        <f t="shared" si="172"/>
        <v>5.0684374930050166E-2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1.0366495175097429E-3</v>
      </c>
      <c r="C174" s="124">
        <f t="shared" ref="C174:W174" si="173">IF(C82=0,0,C82/C$77)</f>
        <v>7.0949847550671921E-4</v>
      </c>
      <c r="D174" s="124">
        <f t="shared" si="173"/>
        <v>7.6005734654965374E-4</v>
      </c>
      <c r="E174" s="124">
        <f t="shared" si="173"/>
        <v>6.4011882495357373E-4</v>
      </c>
      <c r="F174" s="124">
        <f t="shared" si="173"/>
        <v>6.9560368713427747E-4</v>
      </c>
      <c r="G174" s="124">
        <f t="shared" si="173"/>
        <v>8.4649861725842569E-4</v>
      </c>
      <c r="H174" s="124">
        <f t="shared" si="173"/>
        <v>8.0852125899712353E-4</v>
      </c>
      <c r="I174" s="124">
        <f t="shared" si="173"/>
        <v>6.8481093969347559E-4</v>
      </c>
      <c r="J174" s="124">
        <f t="shared" si="173"/>
        <v>1.0662758260020929E-3</v>
      </c>
      <c r="K174" s="124">
        <f t="shared" si="173"/>
        <v>2.3439552510005979E-3</v>
      </c>
      <c r="L174" s="124">
        <f t="shared" si="173"/>
        <v>2.6913249425495321E-3</v>
      </c>
      <c r="M174" s="124">
        <f t="shared" si="173"/>
        <v>3.2074564771824585E-3</v>
      </c>
      <c r="N174" s="124">
        <f t="shared" si="173"/>
        <v>1.016204817955371E-2</v>
      </c>
      <c r="O174" s="124">
        <f t="shared" si="173"/>
        <v>1.4386412274331612E-2</v>
      </c>
      <c r="P174" s="124">
        <f t="shared" si="173"/>
        <v>7.7213085431939955E-3</v>
      </c>
      <c r="Q174" s="124">
        <f t="shared" si="173"/>
        <v>3.6232851807304917E-3</v>
      </c>
      <c r="R174" s="124">
        <f t="shared" si="173"/>
        <v>3.5769283332101245E-3</v>
      </c>
      <c r="S174" s="124">
        <f t="shared" si="173"/>
        <v>3.8154270585973515E-3</v>
      </c>
      <c r="T174" s="124">
        <f t="shared" si="173"/>
        <v>3.8319797242714606E-3</v>
      </c>
      <c r="U174" s="124">
        <f t="shared" si="173"/>
        <v>5.3155339343557957E-3</v>
      </c>
      <c r="V174" s="124">
        <f t="shared" si="173"/>
        <v>4.0157786027743558E-3</v>
      </c>
      <c r="W174" s="124">
        <f t="shared" si="173"/>
        <v>4.5639210003465148E-3</v>
      </c>
      <c r="X174" s="124">
        <f t="shared" ref="X174:Y174" si="174">IF(X82=0,0,X82/X$77)</f>
        <v>4.371721028491358E-3</v>
      </c>
      <c r="Y174" s="124">
        <f t="shared" si="174"/>
        <v>4.6566944908651986E-3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9.1121551677077932E-4</v>
      </c>
      <c r="C176" s="140">
        <f t="shared" ref="C176:W176" si="177">IF(C84=0,0,C84/C$77)</f>
        <v>6.0535086832041996E-4</v>
      </c>
      <c r="D176" s="140">
        <f t="shared" si="177"/>
        <v>6.5054532124496584E-4</v>
      </c>
      <c r="E176" s="140">
        <f t="shared" si="177"/>
        <v>5.3752193907417726E-4</v>
      </c>
      <c r="F176" s="140">
        <f t="shared" si="177"/>
        <v>5.882071459208842E-4</v>
      </c>
      <c r="G176" s="140">
        <f t="shared" si="177"/>
        <v>7.4035149959263624E-4</v>
      </c>
      <c r="H176" s="140">
        <f t="shared" si="177"/>
        <v>7.0107815998281817E-4</v>
      </c>
      <c r="I176" s="140">
        <f t="shared" si="177"/>
        <v>5.4974482435795073E-4</v>
      </c>
      <c r="J176" s="140">
        <f t="shared" si="177"/>
        <v>8.1678328153857377E-4</v>
      </c>
      <c r="K176" s="140">
        <f t="shared" si="177"/>
        <v>1.9481994521145139E-3</v>
      </c>
      <c r="L176" s="140">
        <f t="shared" si="177"/>
        <v>2.1007046960035526E-3</v>
      </c>
      <c r="M176" s="140">
        <f t="shared" si="177"/>
        <v>2.4231299536398364E-3</v>
      </c>
      <c r="N176" s="140">
        <f t="shared" si="177"/>
        <v>2.8043647443016131E-3</v>
      </c>
      <c r="O176" s="140">
        <f t="shared" si="177"/>
        <v>3.1676850528355965E-3</v>
      </c>
      <c r="P176" s="140">
        <f t="shared" si="177"/>
        <v>2.8844754620050749E-3</v>
      </c>
      <c r="Q176" s="140">
        <f t="shared" si="177"/>
        <v>2.3321627560245889E-3</v>
      </c>
      <c r="R176" s="140">
        <f t="shared" si="177"/>
        <v>2.5936082797262997E-3</v>
      </c>
      <c r="S176" s="140">
        <f t="shared" si="177"/>
        <v>2.9446607679102861E-3</v>
      </c>
      <c r="T176" s="140">
        <f t="shared" si="177"/>
        <v>3.1271463077939378E-3</v>
      </c>
      <c r="U176" s="140">
        <f t="shared" si="177"/>
        <v>3.5897398350338669E-3</v>
      </c>
      <c r="V176" s="140">
        <f t="shared" si="177"/>
        <v>3.1684362685781109E-3</v>
      </c>
      <c r="W176" s="140">
        <f t="shared" si="177"/>
        <v>4.1928974757094398E-3</v>
      </c>
      <c r="X176" s="140">
        <f t="shared" ref="X176:Y176" si="178">IF(X84=0,0,X84/X$77)</f>
        <v>3.9722849624793206E-3</v>
      </c>
      <c r="Y176" s="140">
        <f t="shared" si="178"/>
        <v>4.4079932813530839E-3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1.2543400073896369E-4</v>
      </c>
      <c r="C177" s="140">
        <f t="shared" ref="C177:W177" si="179">IF(C85=0,0,C85/C$77)</f>
        <v>1.0414760718629928E-4</v>
      </c>
      <c r="D177" s="140">
        <f t="shared" si="179"/>
        <v>1.0951202530468781E-4</v>
      </c>
      <c r="E177" s="140">
        <f t="shared" si="179"/>
        <v>1.0259688587939655E-4</v>
      </c>
      <c r="F177" s="140">
        <f t="shared" si="179"/>
        <v>1.0739654121339319E-4</v>
      </c>
      <c r="G177" s="140">
        <f t="shared" si="179"/>
        <v>1.0614711766578953E-4</v>
      </c>
      <c r="H177" s="140">
        <f t="shared" si="179"/>
        <v>1.0744309901430536E-4</v>
      </c>
      <c r="I177" s="140">
        <f t="shared" si="179"/>
        <v>1.3506611533552481E-4</v>
      </c>
      <c r="J177" s="140">
        <f t="shared" si="179"/>
        <v>2.4949254446351911E-4</v>
      </c>
      <c r="K177" s="140">
        <f t="shared" si="179"/>
        <v>3.9575579888608404E-4</v>
      </c>
      <c r="L177" s="140">
        <f t="shared" si="179"/>
        <v>5.906202465459793E-4</v>
      </c>
      <c r="M177" s="140">
        <f t="shared" si="179"/>
        <v>7.8432652354262203E-4</v>
      </c>
      <c r="N177" s="140">
        <f t="shared" si="179"/>
        <v>7.3576834352520977E-3</v>
      </c>
      <c r="O177" s="140">
        <f t="shared" si="179"/>
        <v>1.1218727221496017E-2</v>
      </c>
      <c r="P177" s="140">
        <f t="shared" si="179"/>
        <v>4.8368330811889198E-3</v>
      </c>
      <c r="Q177" s="140">
        <f t="shared" si="179"/>
        <v>1.2911224247059028E-3</v>
      </c>
      <c r="R177" s="140">
        <f t="shared" si="179"/>
        <v>9.8332005348382477E-4</v>
      </c>
      <c r="S177" s="140">
        <f t="shared" si="179"/>
        <v>8.707662906870656E-4</v>
      </c>
      <c r="T177" s="140">
        <f t="shared" si="179"/>
        <v>7.0483341647752313E-4</v>
      </c>
      <c r="U177" s="140">
        <f t="shared" si="179"/>
        <v>1.7257940993219295E-3</v>
      </c>
      <c r="V177" s="140">
        <f t="shared" si="179"/>
        <v>8.4734233419624572E-4</v>
      </c>
      <c r="W177" s="140">
        <f t="shared" si="179"/>
        <v>3.7102352463707413E-4</v>
      </c>
      <c r="X177" s="140">
        <f t="shared" ref="X177:Y177" si="180">IF(X85=0,0,X85/X$77)</f>
        <v>3.9943606601203761E-4</v>
      </c>
      <c r="Y177" s="140">
        <f t="shared" si="180"/>
        <v>2.4870120951211555E-4</v>
      </c>
      <c r="DA177" s="175"/>
    </row>
    <row r="178" spans="1:105" ht="11.45" customHeight="1" x14ac:dyDescent="0.25">
      <c r="A178" s="109" t="s">
        <v>141</v>
      </c>
      <c r="B178" s="124">
        <f t="shared" si="162"/>
        <v>0</v>
      </c>
      <c r="C178" s="124">
        <f t="shared" ref="C178:W178" si="181">IF(C86=0,0,C86/C$77)</f>
        <v>0</v>
      </c>
      <c r="D178" s="124">
        <f t="shared" si="181"/>
        <v>0</v>
      </c>
      <c r="E178" s="124">
        <f t="shared" si="181"/>
        <v>0</v>
      </c>
      <c r="F178" s="124">
        <f t="shared" si="181"/>
        <v>0</v>
      </c>
      <c r="G178" s="124">
        <f t="shared" si="181"/>
        <v>0</v>
      </c>
      <c r="H178" s="124">
        <f t="shared" si="181"/>
        <v>0</v>
      </c>
      <c r="I178" s="124">
        <f t="shared" si="181"/>
        <v>1.9464411254751718E-3</v>
      </c>
      <c r="J178" s="124">
        <f t="shared" si="181"/>
        <v>4.1866712210004101E-3</v>
      </c>
      <c r="K178" s="124">
        <f t="shared" si="181"/>
        <v>9.8767995398404609E-3</v>
      </c>
      <c r="L178" s="124">
        <f t="shared" si="181"/>
        <v>1.1428126022919599E-2</v>
      </c>
      <c r="M178" s="124">
        <f t="shared" si="181"/>
        <v>1.4060768156729514E-2</v>
      </c>
      <c r="N178" s="124">
        <f t="shared" si="181"/>
        <v>1.1644951970113329E-2</v>
      </c>
      <c r="O178" s="124">
        <f t="shared" si="181"/>
        <v>2.2624228648382688E-2</v>
      </c>
      <c r="P178" s="124">
        <f t="shared" si="181"/>
        <v>1.158902150612991E-2</v>
      </c>
      <c r="Q178" s="124">
        <f t="shared" si="181"/>
        <v>8.3084328730508826E-3</v>
      </c>
      <c r="R178" s="124">
        <f t="shared" si="181"/>
        <v>1.1590912580566388E-2</v>
      </c>
      <c r="S178" s="124">
        <f t="shared" si="181"/>
        <v>1.2236041396345843E-2</v>
      </c>
      <c r="T178" s="124">
        <f t="shared" si="181"/>
        <v>1.4487488208618188E-2</v>
      </c>
      <c r="U178" s="124">
        <f t="shared" si="181"/>
        <v>4.8664142406072758E-3</v>
      </c>
      <c r="V178" s="124">
        <f t="shared" si="181"/>
        <v>7.1362814307485483E-3</v>
      </c>
      <c r="W178" s="124">
        <f t="shared" si="181"/>
        <v>7.1272355316271668E-3</v>
      </c>
      <c r="X178" s="124">
        <f t="shared" ref="X178:Y178" si="182">IF(X86=0,0,X86/X$77)</f>
        <v>4.8329335248062273E-3</v>
      </c>
      <c r="Y178" s="124">
        <f t="shared" si="182"/>
        <v>2.8055951327869057E-3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1.9464411254751718E-3</v>
      </c>
      <c r="J179" s="140">
        <f t="shared" si="183"/>
        <v>4.1866712210004101E-3</v>
      </c>
      <c r="K179" s="140">
        <f t="shared" si="183"/>
        <v>9.8767995398404609E-3</v>
      </c>
      <c r="L179" s="140">
        <f t="shared" si="183"/>
        <v>1.1428126022919599E-2</v>
      </c>
      <c r="M179" s="140">
        <f t="shared" si="183"/>
        <v>1.4060768156729514E-2</v>
      </c>
      <c r="N179" s="140">
        <f t="shared" si="183"/>
        <v>1.1644951970113329E-2</v>
      </c>
      <c r="O179" s="140">
        <f t="shared" si="183"/>
        <v>2.2624228648382688E-2</v>
      </c>
      <c r="P179" s="140">
        <f t="shared" si="183"/>
        <v>1.158902150612991E-2</v>
      </c>
      <c r="Q179" s="140">
        <f t="shared" si="183"/>
        <v>8.3084328730508826E-3</v>
      </c>
      <c r="R179" s="140">
        <f t="shared" si="183"/>
        <v>1.1590912580566388E-2</v>
      </c>
      <c r="S179" s="140">
        <f t="shared" si="183"/>
        <v>1.2236041396345843E-2</v>
      </c>
      <c r="T179" s="140">
        <f t="shared" si="183"/>
        <v>1.4487488208618188E-2</v>
      </c>
      <c r="U179" s="140">
        <f t="shared" si="183"/>
        <v>4.8664142406072758E-3</v>
      </c>
      <c r="V179" s="140">
        <f t="shared" si="183"/>
        <v>7.1362814307485483E-3</v>
      </c>
      <c r="W179" s="140">
        <f t="shared" si="183"/>
        <v>7.1272355316271668E-3</v>
      </c>
      <c r="X179" s="140">
        <f t="shared" ref="X179:Y179" si="184">IF(X87=0,0,X87/X$77)</f>
        <v>4.8329335248062273E-3</v>
      </c>
      <c r="Y179" s="140">
        <f t="shared" si="184"/>
        <v>2.8055951327869057E-3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0.50615784483576032</v>
      </c>
      <c r="C182" s="140">
        <f t="shared" ref="C182:W182" si="189">IF(C90=0,0,C90/C$89)</f>
        <v>0.49723841459230311</v>
      </c>
      <c r="D182" s="140">
        <f t="shared" si="189"/>
        <v>0.49698929932816149</v>
      </c>
      <c r="E182" s="140">
        <f t="shared" si="189"/>
        <v>0.49757471560924499</v>
      </c>
      <c r="F182" s="140">
        <f t="shared" si="189"/>
        <v>0.49802623357833992</v>
      </c>
      <c r="G182" s="140">
        <f t="shared" si="189"/>
        <v>0.46826876151833391</v>
      </c>
      <c r="H182" s="140">
        <f t="shared" si="189"/>
        <v>0.45812496539731223</v>
      </c>
      <c r="I182" s="140">
        <f t="shared" si="189"/>
        <v>0.47513585307488282</v>
      </c>
      <c r="J182" s="140">
        <f t="shared" si="189"/>
        <v>0.47960918534156999</v>
      </c>
      <c r="K182" s="140">
        <f t="shared" si="189"/>
        <v>0.49631988847469716</v>
      </c>
      <c r="L182" s="140">
        <f t="shared" si="189"/>
        <v>0.53034541469337992</v>
      </c>
      <c r="M182" s="140">
        <f t="shared" si="189"/>
        <v>0.49722103294055581</v>
      </c>
      <c r="N182" s="140">
        <f t="shared" si="189"/>
        <v>0.52660912947558547</v>
      </c>
      <c r="O182" s="140">
        <f t="shared" si="189"/>
        <v>0.54140571001668414</v>
      </c>
      <c r="P182" s="140">
        <f t="shared" si="189"/>
        <v>0.53381876262930772</v>
      </c>
      <c r="Q182" s="140">
        <f t="shared" si="189"/>
        <v>0.5558325908002435</v>
      </c>
      <c r="R182" s="140">
        <f t="shared" si="189"/>
        <v>0.55764219416373506</v>
      </c>
      <c r="S182" s="140">
        <f t="shared" si="189"/>
        <v>0.54497381680277013</v>
      </c>
      <c r="T182" s="140">
        <f t="shared" si="189"/>
        <v>0.52319846153653371</v>
      </c>
      <c r="U182" s="140">
        <f t="shared" si="189"/>
        <v>0.48367771360214301</v>
      </c>
      <c r="V182" s="140">
        <f t="shared" si="189"/>
        <v>0.42987311931151412</v>
      </c>
      <c r="W182" s="140">
        <f t="shared" si="189"/>
        <v>0.40386433142400907</v>
      </c>
      <c r="X182" s="140">
        <f t="shared" ref="X182:Y182" si="190">IF(X90=0,0,X90/X$89)</f>
        <v>0.45883743311581116</v>
      </c>
      <c r="Y182" s="140">
        <f t="shared" si="190"/>
        <v>0.45446269912697512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0.49384215516423968</v>
      </c>
      <c r="C183" s="127">
        <f t="shared" ref="C183:W183" si="191">IF(C91=0,0,C91/C$89)</f>
        <v>0.50276158540769689</v>
      </c>
      <c r="D183" s="127">
        <f t="shared" si="191"/>
        <v>0.50301070067183851</v>
      </c>
      <c r="E183" s="127">
        <f t="shared" si="191"/>
        <v>0.50242528439075496</v>
      </c>
      <c r="F183" s="127">
        <f t="shared" si="191"/>
        <v>0.50197376642166014</v>
      </c>
      <c r="G183" s="127">
        <f t="shared" si="191"/>
        <v>0.53173123848166604</v>
      </c>
      <c r="H183" s="127">
        <f t="shared" si="191"/>
        <v>0.54187503460268782</v>
      </c>
      <c r="I183" s="127">
        <f t="shared" si="191"/>
        <v>0.52486414692511707</v>
      </c>
      <c r="J183" s="127">
        <f t="shared" si="191"/>
        <v>0.52039081465843007</v>
      </c>
      <c r="K183" s="127">
        <f t="shared" si="191"/>
        <v>0.5036801115253029</v>
      </c>
      <c r="L183" s="127">
        <f t="shared" si="191"/>
        <v>0.46965458530662008</v>
      </c>
      <c r="M183" s="127">
        <f t="shared" si="191"/>
        <v>0.50277896705944425</v>
      </c>
      <c r="N183" s="127">
        <f t="shared" si="191"/>
        <v>0.47339087052441453</v>
      </c>
      <c r="O183" s="127">
        <f t="shared" si="191"/>
        <v>0.45859428998331592</v>
      </c>
      <c r="P183" s="127">
        <f t="shared" si="191"/>
        <v>0.46618123737069228</v>
      </c>
      <c r="Q183" s="127">
        <f t="shared" si="191"/>
        <v>0.44416740919975645</v>
      </c>
      <c r="R183" s="127">
        <f t="shared" si="191"/>
        <v>0.44235780583626494</v>
      </c>
      <c r="S183" s="127">
        <f t="shared" si="191"/>
        <v>0.45502618319722987</v>
      </c>
      <c r="T183" s="127">
        <f t="shared" si="191"/>
        <v>0.47680153846346618</v>
      </c>
      <c r="U183" s="127">
        <f t="shared" si="191"/>
        <v>0.51632228639785704</v>
      </c>
      <c r="V183" s="127">
        <f t="shared" si="191"/>
        <v>0.57012688068848594</v>
      </c>
      <c r="W183" s="127">
        <f t="shared" si="191"/>
        <v>0.59613566857599098</v>
      </c>
      <c r="X183" s="127">
        <f t="shared" ref="X183:Y183" si="192">IF(X91=0,0,X91/X$89)</f>
        <v>0.54116256688418884</v>
      </c>
      <c r="Y183" s="127">
        <f t="shared" si="192"/>
        <v>0.54553730087302499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33.051344042609536</v>
      </c>
      <c r="C186" s="32">
        <f t="shared" si="193"/>
        <v>34.683604932203679</v>
      </c>
      <c r="D186" s="32">
        <f t="shared" si="193"/>
        <v>33.589173599985457</v>
      </c>
      <c r="E186" s="32">
        <f t="shared" si="193"/>
        <v>33.8113672417403</v>
      </c>
      <c r="F186" s="32">
        <f t="shared" si="193"/>
        <v>38.162399999837177</v>
      </c>
      <c r="G186" s="32">
        <f t="shared" si="193"/>
        <v>35.646182966683412</v>
      </c>
      <c r="H186" s="32">
        <f t="shared" si="193"/>
        <v>35.590659016054012</v>
      </c>
      <c r="I186" s="32">
        <f t="shared" si="193"/>
        <v>35.365654270075368</v>
      </c>
      <c r="J186" s="32">
        <f t="shared" si="193"/>
        <v>37.329708922712285</v>
      </c>
      <c r="K186" s="32">
        <f t="shared" si="193"/>
        <v>38.696658237039891</v>
      </c>
      <c r="L186" s="32">
        <f t="shared" si="193"/>
        <v>38.899687078501827</v>
      </c>
      <c r="M186" s="32">
        <f t="shared" si="193"/>
        <v>38.803529838133798</v>
      </c>
      <c r="N186" s="32">
        <f t="shared" si="193"/>
        <v>37.297459701413125</v>
      </c>
      <c r="O186" s="32">
        <f t="shared" si="193"/>
        <v>36.999084360390164</v>
      </c>
      <c r="P186" s="32">
        <f t="shared" si="193"/>
        <v>37.45281175763575</v>
      </c>
      <c r="Q186" s="32">
        <f t="shared" si="193"/>
        <v>37.83171019598214</v>
      </c>
      <c r="R186" s="32">
        <f t="shared" si="193"/>
        <v>38.734920545470246</v>
      </c>
      <c r="S186" s="32">
        <f t="shared" si="193"/>
        <v>37.862759825436335</v>
      </c>
      <c r="T186" s="32">
        <f t="shared" si="193"/>
        <v>37.569322980629039</v>
      </c>
      <c r="U186" s="32">
        <f t="shared" si="193"/>
        <v>37.252385297575458</v>
      </c>
      <c r="V186" s="32">
        <f t="shared" si="193"/>
        <v>41.372100597907597</v>
      </c>
      <c r="W186" s="32">
        <f t="shared" si="193"/>
        <v>46.25890499943722</v>
      </c>
      <c r="X186" s="32">
        <f t="shared" si="193"/>
        <v>40.160978860294165</v>
      </c>
      <c r="Y186" s="32">
        <f t="shared" si="193"/>
        <v>37.870122099148553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33.521249059970785</v>
      </c>
      <c r="C187" s="141">
        <f t="shared" si="194"/>
        <v>35.36680515991997</v>
      </c>
      <c r="D187" s="141">
        <f t="shared" si="194"/>
        <v>34.19843876906284</v>
      </c>
      <c r="E187" s="141">
        <f t="shared" si="194"/>
        <v>34.154120535730762</v>
      </c>
      <c r="F187" s="141">
        <f t="shared" si="194"/>
        <v>39.115410504479279</v>
      </c>
      <c r="G187" s="141">
        <f t="shared" si="194"/>
        <v>37.806099977175272</v>
      </c>
      <c r="H187" s="141">
        <f t="shared" si="194"/>
        <v>38.203172496298023</v>
      </c>
      <c r="I187" s="141">
        <f t="shared" si="194"/>
        <v>37.887451761038974</v>
      </c>
      <c r="J187" s="141">
        <f t="shared" si="194"/>
        <v>40.130781567325727</v>
      </c>
      <c r="K187" s="141">
        <f t="shared" si="194"/>
        <v>41.002919937392299</v>
      </c>
      <c r="L187" s="141">
        <f t="shared" si="194"/>
        <v>41.93171093847976</v>
      </c>
      <c r="M187" s="141">
        <f t="shared" si="194"/>
        <v>42.069646638339059</v>
      </c>
      <c r="N187" s="141">
        <f t="shared" si="194"/>
        <v>39.206570481386287</v>
      </c>
      <c r="O187" s="141">
        <f t="shared" si="194"/>
        <v>38.877428640816674</v>
      </c>
      <c r="P187" s="141">
        <f t="shared" si="194"/>
        <v>39.79169011886588</v>
      </c>
      <c r="Q187" s="141">
        <f t="shared" si="194"/>
        <v>40.205830422187375</v>
      </c>
      <c r="R187" s="141">
        <f t="shared" si="194"/>
        <v>40.60820830170772</v>
      </c>
      <c r="S187" s="141">
        <f t="shared" si="194"/>
        <v>39.47009082382192</v>
      </c>
      <c r="T187" s="141">
        <f t="shared" si="194"/>
        <v>39.736428973199892</v>
      </c>
      <c r="U187" s="141">
        <f t="shared" si="194"/>
        <v>40.011621742109696</v>
      </c>
      <c r="V187" s="141">
        <f t="shared" si="194"/>
        <v>42.152297759174097</v>
      </c>
      <c r="W187" s="141">
        <f t="shared" si="194"/>
        <v>47.010978539743114</v>
      </c>
      <c r="X187" s="141">
        <f t="shared" si="194"/>
        <v>44.659181731401844</v>
      </c>
      <c r="Y187" s="141">
        <f t="shared" si="194"/>
        <v>42.801828358038769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44.278722008995913</v>
      </c>
      <c r="C188" s="97">
        <f t="shared" si="195"/>
        <v>44.116534208868906</v>
      </c>
      <c r="D188" s="97">
        <f t="shared" si="195"/>
        <v>43.853873186688752</v>
      </c>
      <c r="E188" s="97">
        <f t="shared" si="195"/>
        <v>43.558403704848544</v>
      </c>
      <c r="F188" s="97">
        <f t="shared" si="195"/>
        <v>43.21045546057325</v>
      </c>
      <c r="G188" s="97">
        <f t="shared" si="195"/>
        <v>42.893366939563535</v>
      </c>
      <c r="H188" s="97">
        <f t="shared" si="195"/>
        <v>42.34887747380845</v>
      </c>
      <c r="I188" s="97">
        <f t="shared" si="195"/>
        <v>41.440841081073465</v>
      </c>
      <c r="J188" s="97">
        <f t="shared" si="195"/>
        <v>40.584779717511239</v>
      </c>
      <c r="K188" s="97">
        <f t="shared" si="195"/>
        <v>40.207658862606053</v>
      </c>
      <c r="L188" s="97">
        <f t="shared" si="195"/>
        <v>39.933947124813024</v>
      </c>
      <c r="M188" s="97">
        <f t="shared" si="195"/>
        <v>38.778961326638793</v>
      </c>
      <c r="N188" s="97">
        <f t="shared" si="195"/>
        <v>37.715193855087982</v>
      </c>
      <c r="O188" s="97">
        <f t="shared" si="195"/>
        <v>36.550541279318281</v>
      </c>
      <c r="P188" s="97">
        <f t="shared" si="195"/>
        <v>35.189431306720614</v>
      </c>
      <c r="Q188" s="97">
        <f t="shared" si="195"/>
        <v>33.94661224900009</v>
      </c>
      <c r="R188" s="97">
        <f t="shared" si="195"/>
        <v>32.788481085711673</v>
      </c>
      <c r="S188" s="97">
        <f t="shared" si="195"/>
        <v>31.807410376062947</v>
      </c>
      <c r="T188" s="97">
        <f t="shared" si="195"/>
        <v>31.021332577519477</v>
      </c>
      <c r="U188" s="97">
        <f t="shared" si="195"/>
        <v>30.203528607741614</v>
      </c>
      <c r="V188" s="97">
        <f t="shared" si="195"/>
        <v>29.724043885001194</v>
      </c>
      <c r="W188" s="97">
        <f t="shared" si="195"/>
        <v>30.542271355016112</v>
      </c>
      <c r="X188" s="97">
        <f t="shared" si="195"/>
        <v>30.147001682133329</v>
      </c>
      <c r="Y188" s="97">
        <f t="shared" si="195"/>
        <v>30.291255794345208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33.281733957745324</v>
      </c>
      <c r="C189" s="97">
        <f t="shared" si="196"/>
        <v>34.685148063451216</v>
      </c>
      <c r="D189" s="97">
        <f t="shared" si="196"/>
        <v>33.620589522513569</v>
      </c>
      <c r="E189" s="97">
        <f t="shared" si="196"/>
        <v>33.688328012210256</v>
      </c>
      <c r="F189" s="97">
        <f t="shared" si="196"/>
        <v>40.000157248836572</v>
      </c>
      <c r="G189" s="97">
        <f t="shared" si="196"/>
        <v>39.100561880678377</v>
      </c>
      <c r="H189" s="97">
        <f t="shared" si="196"/>
        <v>39.191105157094995</v>
      </c>
      <c r="I189" s="97">
        <f t="shared" si="196"/>
        <v>38.398096476186957</v>
      </c>
      <c r="J189" s="97">
        <f t="shared" si="196"/>
        <v>41.189301097836406</v>
      </c>
      <c r="K189" s="97">
        <f t="shared" si="196"/>
        <v>41.564090402169214</v>
      </c>
      <c r="L189" s="97">
        <f t="shared" si="196"/>
        <v>42.793049907795606</v>
      </c>
      <c r="M189" s="97">
        <f t="shared" si="196"/>
        <v>44.168473071139701</v>
      </c>
      <c r="N189" s="97">
        <f t="shared" si="196"/>
        <v>42.010219375775776</v>
      </c>
      <c r="O189" s="97">
        <f t="shared" si="196"/>
        <v>41.587810491207684</v>
      </c>
      <c r="P189" s="97">
        <f t="shared" si="196"/>
        <v>42.700936820456405</v>
      </c>
      <c r="Q189" s="97">
        <f t="shared" si="196"/>
        <v>42.816733301746666</v>
      </c>
      <c r="R189" s="97">
        <f t="shared" si="196"/>
        <v>43.04564078832481</v>
      </c>
      <c r="S189" s="97">
        <f t="shared" si="196"/>
        <v>41.322107598271188</v>
      </c>
      <c r="T189" s="97">
        <f t="shared" si="196"/>
        <v>41.819854939803143</v>
      </c>
      <c r="U189" s="97">
        <f t="shared" si="196"/>
        <v>42.401258185822073</v>
      </c>
      <c r="V189" s="97">
        <f t="shared" si="196"/>
        <v>43.329129792018314</v>
      </c>
      <c r="W189" s="97">
        <f t="shared" si="196"/>
        <v>48.376159744739994</v>
      </c>
      <c r="X189" s="97">
        <f t="shared" si="196"/>
        <v>46.995980600775212</v>
      </c>
      <c r="Y189" s="97">
        <f t="shared" si="196"/>
        <v>45.165968095270067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34.395709795140299</v>
      </c>
      <c r="C190" s="97">
        <f t="shared" si="197"/>
        <v>38.666466476631435</v>
      </c>
      <c r="D190" s="97">
        <f t="shared" si="197"/>
        <v>36.989739308620216</v>
      </c>
      <c r="E190" s="97">
        <f t="shared" si="197"/>
        <v>36.287191088543587</v>
      </c>
      <c r="F190" s="97">
        <f t="shared" si="197"/>
        <v>35.180570513082543</v>
      </c>
      <c r="G190" s="97">
        <f t="shared" si="197"/>
        <v>32.269350848636883</v>
      </c>
      <c r="H190" s="97">
        <f t="shared" si="197"/>
        <v>33.126187875394024</v>
      </c>
      <c r="I190" s="97">
        <f t="shared" si="197"/>
        <v>34.723171996385759</v>
      </c>
      <c r="J190" s="97">
        <f t="shared" si="197"/>
        <v>34.126272662382028</v>
      </c>
      <c r="K190" s="97">
        <f t="shared" si="197"/>
        <v>37.697542950610433</v>
      </c>
      <c r="L190" s="97">
        <f t="shared" si="197"/>
        <v>37.392467471670393</v>
      </c>
      <c r="M190" s="97">
        <f t="shared" si="197"/>
        <v>32.271921048284419</v>
      </c>
      <c r="N190" s="97">
        <f t="shared" si="197"/>
        <v>27.479029528492109</v>
      </c>
      <c r="O190" s="97">
        <f t="shared" si="197"/>
        <v>27.286571732403043</v>
      </c>
      <c r="P190" s="97">
        <f t="shared" si="197"/>
        <v>26.405311188703795</v>
      </c>
      <c r="Q190" s="97">
        <f t="shared" si="197"/>
        <v>27.057284027146963</v>
      </c>
      <c r="R190" s="97">
        <f t="shared" si="197"/>
        <v>27.745696515458153</v>
      </c>
      <c r="S190" s="97">
        <f t="shared" si="197"/>
        <v>28.762068682764767</v>
      </c>
      <c r="T190" s="97">
        <f t="shared" si="197"/>
        <v>27.599259191444894</v>
      </c>
      <c r="U190" s="97">
        <f t="shared" si="197"/>
        <v>25.925347541762637</v>
      </c>
      <c r="V190" s="97">
        <f t="shared" si="197"/>
        <v>32.289484395422164</v>
      </c>
      <c r="W190" s="97">
        <f t="shared" si="197"/>
        <v>34.687617375790985</v>
      </c>
      <c r="X190" s="97">
        <f t="shared" si="197"/>
        <v>28.452974890339711</v>
      </c>
      <c r="Y190" s="97">
        <f t="shared" si="197"/>
        <v>26.652045712139504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15.911560422423518</v>
      </c>
      <c r="C191" s="130">
        <f t="shared" si="198"/>
        <v>15.197818058859356</v>
      </c>
      <c r="D191" s="130">
        <f t="shared" si="198"/>
        <v>15.072116175331727</v>
      </c>
      <c r="E191" s="130">
        <f t="shared" si="198"/>
        <v>15.206605706979134</v>
      </c>
      <c r="F191" s="130">
        <f t="shared" si="198"/>
        <v>14.362011646921331</v>
      </c>
      <c r="G191" s="130">
        <f t="shared" si="198"/>
        <v>13.331321006695287</v>
      </c>
      <c r="H191" s="130">
        <f t="shared" si="198"/>
        <v>11.775061132476125</v>
      </c>
      <c r="I191" s="130">
        <f t="shared" si="198"/>
        <v>11.884535629107287</v>
      </c>
      <c r="J191" s="130">
        <f t="shared" si="198"/>
        <v>12.133007067375862</v>
      </c>
      <c r="K191" s="130">
        <f t="shared" si="198"/>
        <v>13.625459580549681</v>
      </c>
      <c r="L191" s="130">
        <f t="shared" si="198"/>
        <v>9.9329425524233308</v>
      </c>
      <c r="M191" s="130">
        <f t="shared" si="198"/>
        <v>9.8659658755384925</v>
      </c>
      <c r="N191" s="130">
        <f t="shared" si="198"/>
        <v>9.8447616028887239</v>
      </c>
      <c r="O191" s="130">
        <f t="shared" si="198"/>
        <v>9.3262063978735235</v>
      </c>
      <c r="P191" s="130">
        <f t="shared" si="198"/>
        <v>9.1511373632211193</v>
      </c>
      <c r="Q191" s="130">
        <f t="shared" si="198"/>
        <v>11.662111922438724</v>
      </c>
      <c r="R191" s="130">
        <f t="shared" si="198"/>
        <v>11.736657890352712</v>
      </c>
      <c r="S191" s="130">
        <f t="shared" si="198"/>
        <v>11.073409797942348</v>
      </c>
      <c r="T191" s="130">
        <f t="shared" si="198"/>
        <v>10.06534771780197</v>
      </c>
      <c r="U191" s="130">
        <f t="shared" si="198"/>
        <v>9.6161002090702841</v>
      </c>
      <c r="V191" s="130">
        <f t="shared" si="198"/>
        <v>11.825696009188341</v>
      </c>
      <c r="W191" s="130">
        <f t="shared" si="198"/>
        <v>19.810218655251571</v>
      </c>
      <c r="X191" s="130">
        <f t="shared" si="198"/>
        <v>13.587734199243199</v>
      </c>
      <c r="Y191" s="130">
        <f t="shared" si="198"/>
        <v>12.906357205915967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5.1653540516788956</v>
      </c>
      <c r="C192" s="97">
        <f t="shared" si="199"/>
        <v>5.006440961944266</v>
      </c>
      <c r="D192" s="97">
        <f t="shared" si="199"/>
        <v>4.7742848541407827</v>
      </c>
      <c r="E192" s="97">
        <f t="shared" si="199"/>
        <v>4.7187557555581376</v>
      </c>
      <c r="F192" s="97">
        <f t="shared" si="199"/>
        <v>4.613853968954075</v>
      </c>
      <c r="G192" s="97">
        <f t="shared" si="199"/>
        <v>4.4839166879182732</v>
      </c>
      <c r="H192" s="97">
        <f t="shared" si="199"/>
        <v>4.3002691243410585</v>
      </c>
      <c r="I192" s="97">
        <f t="shared" si="199"/>
        <v>4.293183500933015</v>
      </c>
      <c r="J192" s="97">
        <f t="shared" si="199"/>
        <v>4.3296649340363098</v>
      </c>
      <c r="K192" s="97">
        <f t="shared" si="199"/>
        <v>4.4607855266041714</v>
      </c>
      <c r="L192" s="97">
        <f t="shared" si="199"/>
        <v>4.3065997389386856</v>
      </c>
      <c r="M192" s="97">
        <f t="shared" si="199"/>
        <v>4.3198485177360801</v>
      </c>
      <c r="N192" s="97">
        <f t="shared" si="199"/>
        <v>4.2947932527205612</v>
      </c>
      <c r="O192" s="97">
        <f t="shared" si="199"/>
        <v>4.2452870968445566</v>
      </c>
      <c r="P192" s="97">
        <f t="shared" si="199"/>
        <v>4.3122459463607763</v>
      </c>
      <c r="Q192" s="97">
        <f t="shared" si="199"/>
        <v>4.3554745080963544</v>
      </c>
      <c r="R192" s="97">
        <f t="shared" si="199"/>
        <v>4.3214266067520191</v>
      </c>
      <c r="S192" s="97">
        <f t="shared" si="199"/>
        <v>4.2794317163480686</v>
      </c>
      <c r="T192" s="97">
        <f t="shared" si="199"/>
        <v>4.2179976602945537</v>
      </c>
      <c r="U192" s="97">
        <f t="shared" si="199"/>
        <v>4.1746276667447821</v>
      </c>
      <c r="V192" s="97">
        <f t="shared" si="199"/>
        <v>6.3264621444075955</v>
      </c>
      <c r="W192" s="97">
        <f t="shared" si="199"/>
        <v>7.3161046113831727</v>
      </c>
      <c r="X192" s="97">
        <f t="shared" si="199"/>
        <v>4.9720859423111481</v>
      </c>
      <c r="Y192" s="97">
        <f t="shared" si="199"/>
        <v>4.4229903896493763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19.919970547007559</v>
      </c>
      <c r="C193" s="97">
        <f t="shared" si="200"/>
        <v>18.961121187989338</v>
      </c>
      <c r="D193" s="97">
        <f t="shared" si="200"/>
        <v>18.734490056497215</v>
      </c>
      <c r="E193" s="97">
        <f t="shared" si="200"/>
        <v>18.699802974263449</v>
      </c>
      <c r="F193" s="97">
        <f t="shared" si="200"/>
        <v>17.551328247020546</v>
      </c>
      <c r="G193" s="97">
        <f t="shared" si="200"/>
        <v>16.045254817415753</v>
      </c>
      <c r="H193" s="97">
        <f t="shared" si="200"/>
        <v>13.892413473117223</v>
      </c>
      <c r="I193" s="97">
        <f t="shared" si="200"/>
        <v>14.061501839402183</v>
      </c>
      <c r="J193" s="97">
        <f t="shared" si="200"/>
        <v>14.27498716625111</v>
      </c>
      <c r="K193" s="97">
        <f t="shared" si="200"/>
        <v>15.720592285395515</v>
      </c>
      <c r="L193" s="97">
        <f t="shared" si="200"/>
        <v>12.700571713288083</v>
      </c>
      <c r="M193" s="97">
        <f t="shared" si="200"/>
        <v>12.708165646411866</v>
      </c>
      <c r="N193" s="97">
        <f t="shared" si="200"/>
        <v>12.572311738851704</v>
      </c>
      <c r="O193" s="97">
        <f t="shared" si="200"/>
        <v>11.982998663951649</v>
      </c>
      <c r="P193" s="97">
        <f t="shared" si="200"/>
        <v>12.041773880271347</v>
      </c>
      <c r="Q193" s="97">
        <f t="shared" si="200"/>
        <v>16.067023552790314</v>
      </c>
      <c r="R193" s="97">
        <f t="shared" si="200"/>
        <v>16.023766238578148</v>
      </c>
      <c r="S193" s="97">
        <f t="shared" si="200"/>
        <v>14.967852545958772</v>
      </c>
      <c r="T193" s="97">
        <f t="shared" si="200"/>
        <v>13.403144447022704</v>
      </c>
      <c r="U193" s="97">
        <f t="shared" si="200"/>
        <v>12.461499516035518</v>
      </c>
      <c r="V193" s="97">
        <f t="shared" si="200"/>
        <v>14.510826768195823</v>
      </c>
      <c r="W193" s="97">
        <f t="shared" si="200"/>
        <v>21.835303422384062</v>
      </c>
      <c r="X193" s="97">
        <f t="shared" si="200"/>
        <v>14.767329516047186</v>
      </c>
      <c r="Y193" s="97">
        <f t="shared" si="200"/>
        <v>14.059263390299177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53.921187528908128</v>
      </c>
      <c r="C195" s="130">
        <f t="shared" si="202"/>
        <v>52.479988458186476</v>
      </c>
      <c r="D195" s="130">
        <f t="shared" si="202"/>
        <v>51.457694187491157</v>
      </c>
      <c r="E195" s="130">
        <f t="shared" si="202"/>
        <v>51.118055168577897</v>
      </c>
      <c r="F195" s="130">
        <f t="shared" si="202"/>
        <v>50.663727600757333</v>
      </c>
      <c r="G195" s="130">
        <f t="shared" si="202"/>
        <v>32.02033398252307</v>
      </c>
      <c r="H195" s="130">
        <f t="shared" si="202"/>
        <v>29.366490259843452</v>
      </c>
      <c r="I195" s="130">
        <f t="shared" si="202"/>
        <v>28.995773244086063</v>
      </c>
      <c r="J195" s="130">
        <f t="shared" si="202"/>
        <v>31.760022105798125</v>
      </c>
      <c r="K195" s="130">
        <f t="shared" si="202"/>
        <v>34.799244965936154</v>
      </c>
      <c r="L195" s="130">
        <f t="shared" si="202"/>
        <v>35.130820053964158</v>
      </c>
      <c r="M195" s="130">
        <f t="shared" si="202"/>
        <v>34.892301463879427</v>
      </c>
      <c r="N195" s="130">
        <f t="shared" si="202"/>
        <v>37.957091664080863</v>
      </c>
      <c r="O195" s="130">
        <f t="shared" si="202"/>
        <v>38.004453715517499</v>
      </c>
      <c r="P195" s="130">
        <f t="shared" si="202"/>
        <v>35.164238150598941</v>
      </c>
      <c r="Q195" s="130">
        <f t="shared" si="202"/>
        <v>33.445474666170519</v>
      </c>
      <c r="R195" s="130">
        <f t="shared" si="202"/>
        <v>36.868291647929652</v>
      </c>
      <c r="S195" s="130">
        <f t="shared" si="202"/>
        <v>37.018312831303817</v>
      </c>
      <c r="T195" s="130">
        <f t="shared" si="202"/>
        <v>34.853455208754688</v>
      </c>
      <c r="U195" s="130">
        <f t="shared" si="202"/>
        <v>32.431052379786024</v>
      </c>
      <c r="V195" s="130">
        <f t="shared" si="202"/>
        <v>45.611204603020752</v>
      </c>
      <c r="W195" s="130">
        <f t="shared" si="202"/>
        <v>46.194186062711651</v>
      </c>
      <c r="X195" s="130">
        <f t="shared" si="202"/>
        <v>27.318073862424477</v>
      </c>
      <c r="Y195" s="130">
        <f t="shared" si="202"/>
        <v>26.207808888058402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64.606727167674876</v>
      </c>
      <c r="C197" s="97">
        <f t="shared" si="204"/>
        <v>62.800366665334671</v>
      </c>
      <c r="D197" s="97">
        <f t="shared" si="204"/>
        <v>61.737370606294817</v>
      </c>
      <c r="E197" s="97">
        <f t="shared" si="204"/>
        <v>61.727781831334262</v>
      </c>
      <c r="F197" s="97">
        <f t="shared" si="204"/>
        <v>61.530980847793508</v>
      </c>
      <c r="G197" s="97">
        <f t="shared" si="204"/>
        <v>39.804211010703881</v>
      </c>
      <c r="H197" s="97">
        <f t="shared" si="204"/>
        <v>37.153331505207724</v>
      </c>
      <c r="I197" s="97">
        <f t="shared" si="204"/>
        <v>39.610585890970846</v>
      </c>
      <c r="J197" s="97">
        <f t="shared" si="204"/>
        <v>44.749674528999648</v>
      </c>
      <c r="K197" s="97">
        <f t="shared" si="204"/>
        <v>45.289465509226837</v>
      </c>
      <c r="L197" s="97">
        <f t="shared" si="204"/>
        <v>45.334112266856806</v>
      </c>
      <c r="M197" s="97">
        <f t="shared" si="204"/>
        <v>44.217678744523866</v>
      </c>
      <c r="N197" s="97">
        <f t="shared" si="204"/>
        <v>48.030388317694914</v>
      </c>
      <c r="O197" s="97">
        <f t="shared" si="204"/>
        <v>48.90132066403438</v>
      </c>
      <c r="P197" s="97">
        <f t="shared" si="204"/>
        <v>42.834287914288829</v>
      </c>
      <c r="Q197" s="97">
        <f t="shared" si="204"/>
        <v>39.195933993055462</v>
      </c>
      <c r="R197" s="97">
        <f t="shared" si="204"/>
        <v>43.741731189515598</v>
      </c>
      <c r="S197" s="97">
        <f t="shared" si="204"/>
        <v>44.475483792351994</v>
      </c>
      <c r="T197" s="97">
        <f t="shared" si="204"/>
        <v>42.392880465224749</v>
      </c>
      <c r="U197" s="97">
        <f t="shared" si="204"/>
        <v>40.507646629243453</v>
      </c>
      <c r="V197" s="97">
        <f t="shared" si="204"/>
        <v>49.468563736539593</v>
      </c>
      <c r="W197" s="97">
        <f t="shared" si="204"/>
        <v>54.058590747419508</v>
      </c>
      <c r="X197" s="97">
        <f t="shared" si="204"/>
        <v>31.156324784809669</v>
      </c>
      <c r="Y197" s="97">
        <f t="shared" si="204"/>
        <v>31.318925031228932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24.868809317444654</v>
      </c>
      <c r="C198" s="97">
        <f t="shared" si="205"/>
        <v>24.294332391770588</v>
      </c>
      <c r="D198" s="97">
        <f t="shared" si="205"/>
        <v>23.654112653263258</v>
      </c>
      <c r="E198" s="97">
        <f t="shared" si="205"/>
        <v>23.095943103889034</v>
      </c>
      <c r="F198" s="97">
        <f t="shared" si="205"/>
        <v>22.557970377299668</v>
      </c>
      <c r="G198" s="97">
        <f t="shared" si="205"/>
        <v>12.16406407450129</v>
      </c>
      <c r="H198" s="97">
        <f t="shared" si="205"/>
        <v>9.5385056454406882</v>
      </c>
      <c r="I198" s="97">
        <f t="shared" si="205"/>
        <v>7.6355381433318934</v>
      </c>
      <c r="J198" s="97">
        <f t="shared" si="205"/>
        <v>8.0206560098879081</v>
      </c>
      <c r="K198" s="97">
        <f t="shared" si="205"/>
        <v>10.448882605854569</v>
      </c>
      <c r="L198" s="97">
        <f t="shared" si="205"/>
        <v>10.072551425864459</v>
      </c>
      <c r="M198" s="97">
        <f t="shared" si="205"/>
        <v>10.495003219150831</v>
      </c>
      <c r="N198" s="97">
        <f t="shared" si="205"/>
        <v>11.894878322873891</v>
      </c>
      <c r="O198" s="97">
        <f t="shared" si="205"/>
        <v>11.248360445059403</v>
      </c>
      <c r="P198" s="97">
        <f t="shared" si="205"/>
        <v>12.057782745716091</v>
      </c>
      <c r="Q198" s="97">
        <f t="shared" si="205"/>
        <v>12.523307714304122</v>
      </c>
      <c r="R198" s="97">
        <f t="shared" si="205"/>
        <v>12.838520328578332</v>
      </c>
      <c r="S198" s="97">
        <f t="shared" si="205"/>
        <v>11.837837551893015</v>
      </c>
      <c r="T198" s="97">
        <f t="shared" si="205"/>
        <v>10.520814080876043</v>
      </c>
      <c r="U198" s="97">
        <f t="shared" si="205"/>
        <v>9.0756315824896507</v>
      </c>
      <c r="V198" s="97">
        <f t="shared" si="205"/>
        <v>28.012597473886277</v>
      </c>
      <c r="W198" s="97">
        <f t="shared" si="205"/>
        <v>19.777923687015381</v>
      </c>
      <c r="X198" s="97">
        <f t="shared" si="205"/>
        <v>10.884583394433157</v>
      </c>
      <c r="Y198" s="97">
        <f t="shared" si="205"/>
        <v>8.9029710183969719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14.804046257957301</v>
      </c>
      <c r="C199" s="32">
        <f t="shared" si="206"/>
        <v>19.014020354340587</v>
      </c>
      <c r="D199" s="32">
        <f t="shared" si="206"/>
        <v>18.905801643371252</v>
      </c>
      <c r="E199" s="32">
        <f t="shared" si="206"/>
        <v>17.049869342702308</v>
      </c>
      <c r="F199" s="32">
        <f t="shared" si="206"/>
        <v>17.390485849790238</v>
      </c>
      <c r="G199" s="32">
        <f t="shared" si="206"/>
        <v>17.545059149045407</v>
      </c>
      <c r="H199" s="32">
        <f t="shared" si="206"/>
        <v>21.228108268171844</v>
      </c>
      <c r="I199" s="32">
        <f t="shared" si="206"/>
        <v>22.880307808606613</v>
      </c>
      <c r="J199" s="32">
        <f t="shared" si="206"/>
        <v>20.594574329375323</v>
      </c>
      <c r="K199" s="32">
        <f t="shared" si="206"/>
        <v>18.672845416170052</v>
      </c>
      <c r="L199" s="32">
        <f t="shared" si="206"/>
        <v>21.602636958337833</v>
      </c>
      <c r="M199" s="32">
        <f t="shared" si="206"/>
        <v>14.496759215279909</v>
      </c>
      <c r="N199" s="32">
        <f t="shared" si="206"/>
        <v>13.572462333176382</v>
      </c>
      <c r="O199" s="32">
        <f t="shared" si="206"/>
        <v>14.968675309019376</v>
      </c>
      <c r="P199" s="32">
        <f t="shared" si="206"/>
        <v>14.811500443717334</v>
      </c>
      <c r="Q199" s="32">
        <f t="shared" si="206"/>
        <v>15.646177855862836</v>
      </c>
      <c r="R199" s="32">
        <f t="shared" si="206"/>
        <v>16.823576304849816</v>
      </c>
      <c r="S199" s="32">
        <f t="shared" si="206"/>
        <v>18.355392732011381</v>
      </c>
      <c r="T199" s="32">
        <f t="shared" si="206"/>
        <v>16.399563799836482</v>
      </c>
      <c r="U199" s="32">
        <f t="shared" si="206"/>
        <v>17.731152036470075</v>
      </c>
      <c r="V199" s="32">
        <f t="shared" si="206"/>
        <v>24.017024568956746</v>
      </c>
      <c r="W199" s="32">
        <f t="shared" si="206"/>
        <v>26.566880406932906</v>
      </c>
      <c r="X199" s="32">
        <f t="shared" si="206"/>
        <v>25.914727633279259</v>
      </c>
      <c r="Y199" s="32">
        <f t="shared" si="206"/>
        <v>29.735374396426252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77.845670153656854</v>
      </c>
      <c r="C200" s="141">
        <f t="shared" si="207"/>
        <v>104.35572107381803</v>
      </c>
      <c r="D200" s="141">
        <f t="shared" si="207"/>
        <v>96.854901147959808</v>
      </c>
      <c r="E200" s="141">
        <f t="shared" si="207"/>
        <v>89.077302808052167</v>
      </c>
      <c r="F200" s="141">
        <f t="shared" si="207"/>
        <v>90.213790720137823</v>
      </c>
      <c r="G200" s="141">
        <f t="shared" si="207"/>
        <v>89.165220791677029</v>
      </c>
      <c r="H200" s="141">
        <f t="shared" si="207"/>
        <v>93.79387104728238</v>
      </c>
      <c r="I200" s="141">
        <f t="shared" si="207"/>
        <v>99.978147720632137</v>
      </c>
      <c r="J200" s="141">
        <f t="shared" si="207"/>
        <v>103.25112391911652</v>
      </c>
      <c r="K200" s="141">
        <f t="shared" si="207"/>
        <v>102.40225662750865</v>
      </c>
      <c r="L200" s="141">
        <f t="shared" si="207"/>
        <v>100.92146089707836</v>
      </c>
      <c r="M200" s="141">
        <f t="shared" si="207"/>
        <v>71.469339592241653</v>
      </c>
      <c r="N200" s="141">
        <f t="shared" si="207"/>
        <v>64.356031160255355</v>
      </c>
      <c r="O200" s="141">
        <f t="shared" si="207"/>
        <v>61.065568176303614</v>
      </c>
      <c r="P200" s="141">
        <f t="shared" si="207"/>
        <v>61.541225454193707</v>
      </c>
      <c r="Q200" s="141">
        <f t="shared" si="207"/>
        <v>61.805666480718408</v>
      </c>
      <c r="R200" s="141">
        <f t="shared" si="207"/>
        <v>58.544806195994248</v>
      </c>
      <c r="S200" s="141">
        <f t="shared" si="207"/>
        <v>59.001008156629936</v>
      </c>
      <c r="T200" s="141">
        <f t="shared" si="207"/>
        <v>56.424058690603424</v>
      </c>
      <c r="U200" s="141">
        <f t="shared" si="207"/>
        <v>57.527433641292866</v>
      </c>
      <c r="V200" s="141">
        <f t="shared" si="207"/>
        <v>49.715394581450553</v>
      </c>
      <c r="W200" s="141">
        <f t="shared" si="207"/>
        <v>52.106974715331205</v>
      </c>
      <c r="X200" s="141">
        <f t="shared" si="207"/>
        <v>50.838898928780516</v>
      </c>
      <c r="Y200" s="141">
        <f t="shared" si="207"/>
        <v>49.284144621683481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565.84616982275691</v>
      </c>
      <c r="C201" s="97">
        <f t="shared" si="208"/>
        <v>578.04123691368886</v>
      </c>
      <c r="D201" s="97">
        <f t="shared" si="208"/>
        <v>543.98700854079641</v>
      </c>
      <c r="E201" s="97">
        <f t="shared" si="208"/>
        <v>530.03965053144066</v>
      </c>
      <c r="F201" s="97">
        <f t="shared" si="208"/>
        <v>523.7558347494205</v>
      </c>
      <c r="G201" s="97">
        <f t="shared" si="208"/>
        <v>522.31558709834064</v>
      </c>
      <c r="H201" s="97">
        <f t="shared" si="208"/>
        <v>521.15691354561091</v>
      </c>
      <c r="I201" s="97">
        <f t="shared" si="208"/>
        <v>530.75012636131498</v>
      </c>
      <c r="J201" s="97">
        <f t="shared" si="208"/>
        <v>516.16919462696967</v>
      </c>
      <c r="K201" s="97">
        <f t="shared" si="208"/>
        <v>491.56993837340866</v>
      </c>
      <c r="L201" s="97">
        <f t="shared" si="208"/>
        <v>528.3120473658031</v>
      </c>
      <c r="M201" s="97">
        <f t="shared" si="208"/>
        <v>487.274349415968</v>
      </c>
      <c r="N201" s="97">
        <f t="shared" si="208"/>
        <v>479.30093029364997</v>
      </c>
      <c r="O201" s="97">
        <f t="shared" si="208"/>
        <v>469.93574598906264</v>
      </c>
      <c r="P201" s="97">
        <f t="shared" si="208"/>
        <v>458.19265258090479</v>
      </c>
      <c r="Q201" s="97">
        <f t="shared" si="208"/>
        <v>452.66593325758828</v>
      </c>
      <c r="R201" s="97">
        <f t="shared" si="208"/>
        <v>441.76341567199268</v>
      </c>
      <c r="S201" s="97">
        <f t="shared" si="208"/>
        <v>440.11780555927476</v>
      </c>
      <c r="T201" s="97">
        <f t="shared" si="208"/>
        <v>434.81578906246943</v>
      </c>
      <c r="U201" s="97">
        <f t="shared" si="208"/>
        <v>425.99189341284551</v>
      </c>
      <c r="V201" s="97">
        <f t="shared" si="208"/>
        <v>420.47559327904634</v>
      </c>
      <c r="W201" s="97">
        <f t="shared" si="208"/>
        <v>422.70901567284562</v>
      </c>
      <c r="X201" s="97">
        <f t="shared" si="208"/>
        <v>418.20040266765176</v>
      </c>
      <c r="Y201" s="97">
        <f t="shared" si="208"/>
        <v>414.37209128110482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63.54465654037979</v>
      </c>
      <c r="C202" s="97">
        <f t="shared" si="209"/>
        <v>89.543257218657601</v>
      </c>
      <c r="D202" s="97">
        <f t="shared" si="209"/>
        <v>81.138238607637533</v>
      </c>
      <c r="E202" s="97">
        <f t="shared" si="209"/>
        <v>76.560108181412375</v>
      </c>
      <c r="F202" s="97">
        <f t="shared" si="209"/>
        <v>74.832778616601971</v>
      </c>
      <c r="G202" s="97">
        <f t="shared" si="209"/>
        <v>76.203381549477911</v>
      </c>
      <c r="H202" s="97">
        <f t="shared" si="209"/>
        <v>80.371771378479508</v>
      </c>
      <c r="I202" s="97">
        <f t="shared" si="209"/>
        <v>86.619933994835648</v>
      </c>
      <c r="J202" s="97">
        <f t="shared" si="209"/>
        <v>88.389270869725024</v>
      </c>
      <c r="K202" s="97">
        <f t="shared" si="209"/>
        <v>86.153586106534064</v>
      </c>
      <c r="L202" s="97">
        <f t="shared" si="209"/>
        <v>87.783580966263997</v>
      </c>
      <c r="M202" s="97">
        <f t="shared" si="209"/>
        <v>59.043361442244468</v>
      </c>
      <c r="N202" s="97">
        <f t="shared" si="209"/>
        <v>51.168969697869464</v>
      </c>
      <c r="O202" s="97">
        <f t="shared" si="209"/>
        <v>47.295706363461306</v>
      </c>
      <c r="P202" s="97">
        <f t="shared" si="209"/>
        <v>46.694593028719346</v>
      </c>
      <c r="Q202" s="97">
        <f t="shared" si="209"/>
        <v>47.318528661134998</v>
      </c>
      <c r="R202" s="97">
        <f t="shared" si="209"/>
        <v>44.484906436455184</v>
      </c>
      <c r="S202" s="97">
        <f t="shared" si="209"/>
        <v>45.561203872625462</v>
      </c>
      <c r="T202" s="97">
        <f t="shared" si="209"/>
        <v>43.763077465974831</v>
      </c>
      <c r="U202" s="97">
        <f t="shared" si="209"/>
        <v>44.07564452418989</v>
      </c>
      <c r="V202" s="97">
        <f t="shared" si="209"/>
        <v>37.479866468595226</v>
      </c>
      <c r="W202" s="97">
        <f t="shared" si="209"/>
        <v>39.999230327338331</v>
      </c>
      <c r="X202" s="97">
        <f t="shared" si="209"/>
        <v>38.703883214817388</v>
      </c>
      <c r="Y202" s="97">
        <f t="shared" si="209"/>
        <v>37.013962663095782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4.0280033940330133</v>
      </c>
      <c r="C203" s="130">
        <f t="shared" si="210"/>
        <v>3.9834311326761962</v>
      </c>
      <c r="D203" s="130">
        <f t="shared" si="210"/>
        <v>3.9179506485778623</v>
      </c>
      <c r="E203" s="130">
        <f t="shared" si="210"/>
        <v>3.843443044425586</v>
      </c>
      <c r="F203" s="130">
        <f t="shared" si="210"/>
        <v>3.8200986532378884</v>
      </c>
      <c r="G203" s="130">
        <f t="shared" si="210"/>
        <v>3.5982918255113319</v>
      </c>
      <c r="H203" s="130">
        <f t="shared" si="210"/>
        <v>3.6554012834165879</v>
      </c>
      <c r="I203" s="130">
        <f t="shared" si="210"/>
        <v>3.6914689784283072</v>
      </c>
      <c r="J203" s="130">
        <f t="shared" si="210"/>
        <v>3.4883321851527151</v>
      </c>
      <c r="K203" s="130">
        <f t="shared" si="210"/>
        <v>3.4714075483476274</v>
      </c>
      <c r="L203" s="130">
        <f t="shared" si="210"/>
        <v>3.4599787279337821</v>
      </c>
      <c r="M203" s="130">
        <f t="shared" si="210"/>
        <v>3.2404500922871255</v>
      </c>
      <c r="N203" s="130">
        <f t="shared" si="210"/>
        <v>3.4235292171103722</v>
      </c>
      <c r="O203" s="130">
        <f t="shared" si="210"/>
        <v>3.3819576781228253</v>
      </c>
      <c r="P203" s="130">
        <f t="shared" si="210"/>
        <v>3.3338196947247805</v>
      </c>
      <c r="Q203" s="130">
        <f t="shared" si="210"/>
        <v>3.2999561085244271</v>
      </c>
      <c r="R203" s="130">
        <f t="shared" si="210"/>
        <v>3.3044900091295326</v>
      </c>
      <c r="S203" s="130">
        <f t="shared" si="210"/>
        <v>3.2196967430841159</v>
      </c>
      <c r="T203" s="130">
        <f t="shared" si="210"/>
        <v>2.8703087404420029</v>
      </c>
      <c r="U203" s="130">
        <f t="shared" si="210"/>
        <v>2.7688256427549409</v>
      </c>
      <c r="V203" s="130">
        <f t="shared" si="210"/>
        <v>3.1352450046459466</v>
      </c>
      <c r="W203" s="130">
        <f t="shared" si="210"/>
        <v>3.0718830104401444</v>
      </c>
      <c r="X203" s="130">
        <f t="shared" si="210"/>
        <v>2.8458248625490565</v>
      </c>
      <c r="Y203" s="130">
        <f t="shared" si="210"/>
        <v>3.6002856537608436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86.038098138753</v>
      </c>
      <c r="C204" s="130">
        <f t="shared" si="211"/>
        <v>72.822908135181834</v>
      </c>
      <c r="D204" s="130">
        <f t="shared" si="211"/>
        <v>77.971859017580627</v>
      </c>
      <c r="E204" s="130">
        <f t="shared" si="211"/>
        <v>77.466741800537946</v>
      </c>
      <c r="F204" s="130">
        <f t="shared" si="211"/>
        <v>83.483189272582322</v>
      </c>
      <c r="G204" s="130">
        <f t="shared" si="211"/>
        <v>71.85939810266926</v>
      </c>
      <c r="H204" s="130">
        <f t="shared" si="211"/>
        <v>64.351925916674901</v>
      </c>
      <c r="I204" s="130">
        <f t="shared" si="211"/>
        <v>51.43061992831035</v>
      </c>
      <c r="J204" s="130">
        <f t="shared" si="211"/>
        <v>58.116844686788859</v>
      </c>
      <c r="K204" s="130">
        <f t="shared" si="211"/>
        <v>81.701307026621038</v>
      </c>
      <c r="L204" s="130">
        <f t="shared" si="211"/>
        <v>64.278223277903933</v>
      </c>
      <c r="M204" s="130">
        <f t="shared" si="211"/>
        <v>63.671138499018298</v>
      </c>
      <c r="N204" s="130">
        <f t="shared" si="211"/>
        <v>30.64184391080763</v>
      </c>
      <c r="O204" s="130">
        <f t="shared" si="211"/>
        <v>27.475387960199225</v>
      </c>
      <c r="P204" s="130">
        <f t="shared" si="211"/>
        <v>26.617736127987691</v>
      </c>
      <c r="Q204" s="130">
        <f t="shared" si="211"/>
        <v>40.608569871647333</v>
      </c>
      <c r="R204" s="130">
        <f t="shared" si="211"/>
        <v>44.35704978059762</v>
      </c>
      <c r="S204" s="130">
        <f t="shared" si="211"/>
        <v>50.27075473924225</v>
      </c>
      <c r="T204" s="130">
        <f t="shared" si="211"/>
        <v>54.937133457865087</v>
      </c>
      <c r="U204" s="130">
        <f t="shared" si="211"/>
        <v>38.971405153739227</v>
      </c>
      <c r="V204" s="130">
        <f t="shared" si="211"/>
        <v>107.25087691342331</v>
      </c>
      <c r="W204" s="130">
        <f t="shared" si="211"/>
        <v>131.53783046493245</v>
      </c>
      <c r="X204" s="130">
        <f t="shared" si="211"/>
        <v>111.35080768239787</v>
      </c>
      <c r="Y204" s="130">
        <f t="shared" si="211"/>
        <v>120.65184272427402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199.26992885489949</v>
      </c>
      <c r="C206" s="97">
        <f t="shared" si="213"/>
        <v>187.07497743730892</v>
      </c>
      <c r="D206" s="97">
        <f t="shared" si="213"/>
        <v>198.55784470401562</v>
      </c>
      <c r="E206" s="97">
        <f t="shared" si="213"/>
        <v>194.14699633041687</v>
      </c>
      <c r="F206" s="97">
        <f t="shared" si="213"/>
        <v>214.28166521925169</v>
      </c>
      <c r="G206" s="97">
        <f t="shared" si="213"/>
        <v>191.98419495742965</v>
      </c>
      <c r="H206" s="97">
        <f t="shared" si="213"/>
        <v>185.26781529130585</v>
      </c>
      <c r="I206" s="97">
        <f t="shared" si="213"/>
        <v>175.52818285554048</v>
      </c>
      <c r="J206" s="97">
        <f t="shared" si="213"/>
        <v>199.16773160459718</v>
      </c>
      <c r="K206" s="97">
        <f t="shared" si="213"/>
        <v>214.90380706521415</v>
      </c>
      <c r="L206" s="97">
        <f t="shared" si="213"/>
        <v>178.54962422397517</v>
      </c>
      <c r="M206" s="97">
        <f t="shared" si="213"/>
        <v>183.06385956446377</v>
      </c>
      <c r="N206" s="97">
        <f t="shared" si="213"/>
        <v>199.89206134923862</v>
      </c>
      <c r="O206" s="97">
        <f t="shared" si="213"/>
        <v>203.81708529200827</v>
      </c>
      <c r="P206" s="97">
        <f t="shared" si="213"/>
        <v>159.88600654088947</v>
      </c>
      <c r="Q206" s="97">
        <f t="shared" si="213"/>
        <v>148.28856342470905</v>
      </c>
      <c r="R206" s="97">
        <f t="shared" si="213"/>
        <v>160.58853847725271</v>
      </c>
      <c r="S206" s="97">
        <f t="shared" si="213"/>
        <v>192.42875405848557</v>
      </c>
      <c r="T206" s="97">
        <f t="shared" si="213"/>
        <v>197.37293126190966</v>
      </c>
      <c r="U206" s="97">
        <f t="shared" si="213"/>
        <v>165.73642570729237</v>
      </c>
      <c r="V206" s="97">
        <f t="shared" si="213"/>
        <v>185.99108553975904</v>
      </c>
      <c r="W206" s="97">
        <f t="shared" si="213"/>
        <v>197.84138825216493</v>
      </c>
      <c r="X206" s="97">
        <f t="shared" si="213"/>
        <v>158.398263685991</v>
      </c>
      <c r="Y206" s="97">
        <f t="shared" si="213"/>
        <v>166.59560218302789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16.778320855104564</v>
      </c>
      <c r="C207" s="97">
        <f t="shared" si="214"/>
        <v>16.005670404637179</v>
      </c>
      <c r="D207" s="97">
        <f t="shared" si="214"/>
        <v>16.922226982240911</v>
      </c>
      <c r="E207" s="97">
        <f t="shared" si="214"/>
        <v>18.672618067879906</v>
      </c>
      <c r="F207" s="97">
        <f t="shared" si="214"/>
        <v>19.221744935847617</v>
      </c>
      <c r="G207" s="97">
        <f t="shared" si="214"/>
        <v>13.396300437555775</v>
      </c>
      <c r="H207" s="97">
        <f t="shared" si="214"/>
        <v>12.237361875787595</v>
      </c>
      <c r="I207" s="97">
        <f t="shared" si="214"/>
        <v>13.263502533702864</v>
      </c>
      <c r="J207" s="97">
        <f t="shared" si="214"/>
        <v>17.513014042654913</v>
      </c>
      <c r="K207" s="97">
        <f t="shared" si="214"/>
        <v>20.167056631092688</v>
      </c>
      <c r="L207" s="97">
        <f t="shared" si="214"/>
        <v>19.618968968090538</v>
      </c>
      <c r="M207" s="97">
        <f t="shared" si="214"/>
        <v>21.11877252243022</v>
      </c>
      <c r="N207" s="97">
        <f t="shared" si="214"/>
        <v>23.165766839271484</v>
      </c>
      <c r="O207" s="97">
        <f t="shared" si="214"/>
        <v>22.081105839240784</v>
      </c>
      <c r="P207" s="97">
        <f t="shared" si="214"/>
        <v>17.779826268592725</v>
      </c>
      <c r="Q207" s="97">
        <f t="shared" si="214"/>
        <v>17.566900610690269</v>
      </c>
      <c r="R207" s="97">
        <f t="shared" si="214"/>
        <v>15.247917122478455</v>
      </c>
      <c r="S207" s="97">
        <f t="shared" si="214"/>
        <v>14.370279159669987</v>
      </c>
      <c r="T207" s="97">
        <f t="shared" si="214"/>
        <v>13.074687641317494</v>
      </c>
      <c r="U207" s="97">
        <f t="shared" si="214"/>
        <v>15.04138031046503</v>
      </c>
      <c r="V207" s="97">
        <f t="shared" si="214"/>
        <v>41.521264332295793</v>
      </c>
      <c r="W207" s="97">
        <f t="shared" si="214"/>
        <v>27.476274016714324</v>
      </c>
      <c r="X207" s="97">
        <f t="shared" si="214"/>
        <v>28.163092792958455</v>
      </c>
      <c r="Y207" s="97">
        <f t="shared" si="214"/>
        <v>20.491344424386114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0</v>
      </c>
      <c r="C208" s="130">
        <f t="shared" si="215"/>
        <v>0</v>
      </c>
      <c r="D208" s="130">
        <f t="shared" si="215"/>
        <v>0</v>
      </c>
      <c r="E208" s="130">
        <f t="shared" si="215"/>
        <v>0</v>
      </c>
      <c r="F208" s="130">
        <f t="shared" si="215"/>
        <v>0</v>
      </c>
      <c r="G208" s="130">
        <f t="shared" si="215"/>
        <v>0</v>
      </c>
      <c r="H208" s="130">
        <f t="shared" si="215"/>
        <v>0</v>
      </c>
      <c r="I208" s="130">
        <f t="shared" si="215"/>
        <v>160.22660600599306</v>
      </c>
      <c r="J208" s="130">
        <f t="shared" si="215"/>
        <v>257.25610201317124</v>
      </c>
      <c r="K208" s="130">
        <f t="shared" si="215"/>
        <v>310.89954087807723</v>
      </c>
      <c r="L208" s="130">
        <f t="shared" si="215"/>
        <v>589.21163814294209</v>
      </c>
      <c r="M208" s="130">
        <f t="shared" si="215"/>
        <v>493.65605873013106</v>
      </c>
      <c r="N208" s="130">
        <f t="shared" si="215"/>
        <v>317.66298655959423</v>
      </c>
      <c r="O208" s="130">
        <f t="shared" si="215"/>
        <v>361.70500804108133</v>
      </c>
      <c r="P208" s="130">
        <f t="shared" si="215"/>
        <v>500.42101889115565</v>
      </c>
      <c r="Q208" s="130">
        <f t="shared" si="215"/>
        <v>415.12680430912121</v>
      </c>
      <c r="R208" s="130">
        <f t="shared" si="215"/>
        <v>272.62695132606143</v>
      </c>
      <c r="S208" s="130">
        <f t="shared" si="215"/>
        <v>254.17011643585158</v>
      </c>
      <c r="T208" s="130">
        <f t="shared" si="215"/>
        <v>767.36834164001209</v>
      </c>
      <c r="U208" s="130">
        <f t="shared" si="215"/>
        <v>425.46165147367151</v>
      </c>
      <c r="V208" s="130">
        <f t="shared" si="215"/>
        <v>1183.7059329320721</v>
      </c>
      <c r="W208" s="130">
        <f t="shared" si="215"/>
        <v>1278.2459157351677</v>
      </c>
      <c r="X208" s="130">
        <f t="shared" si="215"/>
        <v>1278.3281077374259</v>
      </c>
      <c r="Y208" s="130">
        <f t="shared" si="215"/>
        <v>1277.858930754599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160.22660600599306</v>
      </c>
      <c r="J209" s="97">
        <f t="shared" si="216"/>
        <v>257.25610201317124</v>
      </c>
      <c r="K209" s="97">
        <f t="shared" si="216"/>
        <v>310.89954087807723</v>
      </c>
      <c r="L209" s="97">
        <f t="shared" si="216"/>
        <v>589.21163814294209</v>
      </c>
      <c r="M209" s="97">
        <f t="shared" si="216"/>
        <v>493.65605873013106</v>
      </c>
      <c r="N209" s="97">
        <f t="shared" si="216"/>
        <v>317.66298655959423</v>
      </c>
      <c r="O209" s="97">
        <f t="shared" si="216"/>
        <v>361.70500804108133</v>
      </c>
      <c r="P209" s="97">
        <f t="shared" si="216"/>
        <v>500.42101889115565</v>
      </c>
      <c r="Q209" s="97">
        <f t="shared" si="216"/>
        <v>415.12680430912121</v>
      </c>
      <c r="R209" s="97">
        <f t="shared" si="216"/>
        <v>272.62695132606143</v>
      </c>
      <c r="S209" s="97">
        <f t="shared" si="216"/>
        <v>254.17011643585158</v>
      </c>
      <c r="T209" s="97">
        <f t="shared" si="216"/>
        <v>767.36834164001209</v>
      </c>
      <c r="U209" s="97">
        <f t="shared" si="216"/>
        <v>425.46165147367151</v>
      </c>
      <c r="V209" s="97">
        <f t="shared" si="216"/>
        <v>1183.7059329320721</v>
      </c>
      <c r="W209" s="97">
        <f t="shared" si="216"/>
        <v>1278.2459157351677</v>
      </c>
      <c r="X209" s="97">
        <f t="shared" si="216"/>
        <v>1278.3281077374259</v>
      </c>
      <c r="Y209" s="97">
        <f t="shared" si="216"/>
        <v>1277.858930754599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1.8931665188611444</v>
      </c>
      <c r="C211" s="32">
        <f t="shared" si="218"/>
        <v>1.917413688516614</v>
      </c>
      <c r="D211" s="32">
        <f t="shared" si="218"/>
        <v>1.9114419275038217</v>
      </c>
      <c r="E211" s="32">
        <f t="shared" si="218"/>
        <v>1.9088967166084008</v>
      </c>
      <c r="F211" s="32">
        <f t="shared" si="218"/>
        <v>1.9100073960035109</v>
      </c>
      <c r="G211" s="32">
        <f t="shared" si="218"/>
        <v>2.1684540130148653</v>
      </c>
      <c r="H211" s="32">
        <f t="shared" si="218"/>
        <v>1.9681621477186797</v>
      </c>
      <c r="I211" s="32">
        <f t="shared" si="218"/>
        <v>1.5779395502652991</v>
      </c>
      <c r="J211" s="32">
        <f t="shared" si="218"/>
        <v>1.8537497456182499</v>
      </c>
      <c r="K211" s="32">
        <f t="shared" si="218"/>
        <v>2.6977828435075684</v>
      </c>
      <c r="L211" s="32">
        <f t="shared" si="218"/>
        <v>2.3368961941832942</v>
      </c>
      <c r="M211" s="32">
        <f t="shared" si="218"/>
        <v>1.7030994256607834</v>
      </c>
      <c r="N211" s="32">
        <f t="shared" si="218"/>
        <v>1.829517279866357</v>
      </c>
      <c r="O211" s="32">
        <f t="shared" si="218"/>
        <v>2.0156608524745763</v>
      </c>
      <c r="P211" s="32">
        <f t="shared" si="218"/>
        <v>1.7264600617044448</v>
      </c>
      <c r="Q211" s="32">
        <f t="shared" si="218"/>
        <v>2.12538633806524</v>
      </c>
      <c r="R211" s="32">
        <f t="shared" si="218"/>
        <v>2.6947244447198897</v>
      </c>
      <c r="S211" s="32">
        <f t="shared" si="218"/>
        <v>1.9916873030054105</v>
      </c>
      <c r="T211" s="32">
        <f t="shared" si="218"/>
        <v>0.27097726300640762</v>
      </c>
      <c r="U211" s="32">
        <f t="shared" si="218"/>
        <v>2.1288033156888195</v>
      </c>
      <c r="V211" s="32">
        <f t="shared" si="218"/>
        <v>2.4857930222522486</v>
      </c>
      <c r="W211" s="32">
        <f t="shared" si="218"/>
        <v>2.5529140988385812</v>
      </c>
      <c r="X211" s="32">
        <f t="shared" si="218"/>
        <v>1.0150420517223493</v>
      </c>
      <c r="Y211" s="32">
        <f t="shared" si="218"/>
        <v>0.44065497631404144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2.9987530688443726</v>
      </c>
      <c r="C212" s="97">
        <f t="shared" si="219"/>
        <v>3.0774925266586717</v>
      </c>
      <c r="D212" s="97">
        <f t="shared" si="219"/>
        <v>3.0570199506233151</v>
      </c>
      <c r="E212" s="97">
        <f t="shared" si="219"/>
        <v>3.0476631670677277</v>
      </c>
      <c r="F212" s="97">
        <f t="shared" si="219"/>
        <v>3.0519518068341549</v>
      </c>
      <c r="G212" s="97">
        <f t="shared" si="219"/>
        <v>3.6264672136411957</v>
      </c>
      <c r="H212" s="97">
        <f t="shared" si="219"/>
        <v>3.0828458130659109</v>
      </c>
      <c r="I212" s="97">
        <f t="shared" si="219"/>
        <v>2.5590548246558305</v>
      </c>
      <c r="J212" s="97">
        <f t="shared" si="219"/>
        <v>3.0811727920080925</v>
      </c>
      <c r="K212" s="97">
        <f t="shared" si="219"/>
        <v>4.4231575694836094</v>
      </c>
      <c r="L212" s="97">
        <f t="shared" si="219"/>
        <v>3.8026156862566456</v>
      </c>
      <c r="M212" s="97">
        <f t="shared" si="219"/>
        <v>2.8470432531427599</v>
      </c>
      <c r="N212" s="97">
        <f t="shared" si="219"/>
        <v>2.6951288321864775</v>
      </c>
      <c r="O212" s="97">
        <f t="shared" si="219"/>
        <v>2.7652276579437109</v>
      </c>
      <c r="P212" s="97">
        <f t="shared" si="219"/>
        <v>2.6048570322066031</v>
      </c>
      <c r="Q212" s="97">
        <f t="shared" si="219"/>
        <v>3.0749091311487136</v>
      </c>
      <c r="R212" s="97">
        <f t="shared" si="219"/>
        <v>4.0563045248913525</v>
      </c>
      <c r="S212" s="97">
        <f t="shared" si="219"/>
        <v>3.3265932163627463</v>
      </c>
      <c r="T212" s="97">
        <f t="shared" si="219"/>
        <v>0.48597362943893352</v>
      </c>
      <c r="U212" s="97">
        <f t="shared" si="219"/>
        <v>4.2491521302935542</v>
      </c>
      <c r="V212" s="97">
        <f t="shared" si="219"/>
        <v>4.4186913861255865</v>
      </c>
      <c r="W212" s="97">
        <f t="shared" si="219"/>
        <v>5.0495030810832908</v>
      </c>
      <c r="X212" s="97">
        <f t="shared" si="219"/>
        <v>2.1897246511504291</v>
      </c>
      <c r="Y212" s="97">
        <f t="shared" si="219"/>
        <v>0.98848039226804174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1.3739740496323902</v>
      </c>
      <c r="C213" s="98">
        <f t="shared" si="220"/>
        <v>1.3852133471521235</v>
      </c>
      <c r="D213" s="98">
        <f t="shared" si="220"/>
        <v>1.3857561978419848</v>
      </c>
      <c r="E213" s="98">
        <f t="shared" si="220"/>
        <v>1.3846773663679137</v>
      </c>
      <c r="F213" s="98">
        <f t="shared" si="220"/>
        <v>1.3846865690833678</v>
      </c>
      <c r="G213" s="98">
        <f t="shared" si="220"/>
        <v>1.5925667341621144</v>
      </c>
      <c r="H213" s="98">
        <f t="shared" si="220"/>
        <v>1.5001351640691538</v>
      </c>
      <c r="I213" s="98">
        <f t="shared" si="220"/>
        <v>1.1653207880356728</v>
      </c>
      <c r="J213" s="98">
        <f t="shared" si="220"/>
        <v>1.3511449019297732</v>
      </c>
      <c r="K213" s="98">
        <f t="shared" si="220"/>
        <v>1.9416330370300245</v>
      </c>
      <c r="L213" s="98">
        <f t="shared" si="220"/>
        <v>1.6205493418633217</v>
      </c>
      <c r="M213" s="98">
        <f t="shared" si="220"/>
        <v>1.2116445203907269</v>
      </c>
      <c r="N213" s="98">
        <f t="shared" si="220"/>
        <v>1.3406202629739437</v>
      </c>
      <c r="O213" s="98">
        <f t="shared" si="220"/>
        <v>1.5201270147365415</v>
      </c>
      <c r="P213" s="98">
        <f t="shared" si="220"/>
        <v>1.2397073318929668</v>
      </c>
      <c r="Q213" s="98">
        <f t="shared" si="220"/>
        <v>1.5216168118827449</v>
      </c>
      <c r="R213" s="98">
        <f t="shared" si="220"/>
        <v>1.8773862764797</v>
      </c>
      <c r="S213" s="98">
        <f t="shared" si="220"/>
        <v>1.3324353539587535</v>
      </c>
      <c r="T213" s="98">
        <f t="shared" si="220"/>
        <v>0.18216937063926314</v>
      </c>
      <c r="U213" s="98">
        <f t="shared" si="220"/>
        <v>1.4450468062259429</v>
      </c>
      <c r="V213" s="98">
        <f t="shared" si="220"/>
        <v>1.8687269613054032</v>
      </c>
      <c r="W213" s="98">
        <f t="shared" si="220"/>
        <v>1.9105420293619646</v>
      </c>
      <c r="X213" s="98">
        <f t="shared" si="220"/>
        <v>0.69380224450796268</v>
      </c>
      <c r="Y213" s="98">
        <f t="shared" si="220"/>
        <v>0.30077949505751805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96.644226901906038</v>
      </c>
      <c r="C216" s="32">
        <f t="shared" si="221"/>
        <v>101.59465615140498</v>
      </c>
      <c r="D216" s="32">
        <f t="shared" si="221"/>
        <v>98.570543820265854</v>
      </c>
      <c r="E216" s="32">
        <f t="shared" si="221"/>
        <v>99.39840990078487</v>
      </c>
      <c r="F216" s="32">
        <f t="shared" si="221"/>
        <v>112.36294396949449</v>
      </c>
      <c r="G216" s="32">
        <f t="shared" si="221"/>
        <v>104.88217090919933</v>
      </c>
      <c r="H216" s="32">
        <f t="shared" si="221"/>
        <v>104.77028673285778</v>
      </c>
      <c r="I216" s="32">
        <f t="shared" si="221"/>
        <v>104.42175093671965</v>
      </c>
      <c r="J216" s="32">
        <f t="shared" si="221"/>
        <v>110.28562951071717</v>
      </c>
      <c r="K216" s="32">
        <f t="shared" si="221"/>
        <v>113.99480579745806</v>
      </c>
      <c r="L216" s="32">
        <f t="shared" si="221"/>
        <v>112.59174223034395</v>
      </c>
      <c r="M216" s="32">
        <f t="shared" si="221"/>
        <v>112.25653568061017</v>
      </c>
      <c r="N216" s="32">
        <f t="shared" si="221"/>
        <v>108.18608927737857</v>
      </c>
      <c r="O216" s="32">
        <f t="shared" si="221"/>
        <v>107.32767014394638</v>
      </c>
      <c r="P216" s="32">
        <f t="shared" si="221"/>
        <v>108.65241815519123</v>
      </c>
      <c r="Q216" s="32">
        <f t="shared" si="221"/>
        <v>109.64292862730953</v>
      </c>
      <c r="R216" s="32">
        <f t="shared" si="221"/>
        <v>113.49285528207037</v>
      </c>
      <c r="S216" s="32">
        <f t="shared" si="221"/>
        <v>111.47615681370839</v>
      </c>
      <c r="T216" s="32">
        <f t="shared" si="221"/>
        <v>108.6767778663199</v>
      </c>
      <c r="U216" s="32">
        <f t="shared" si="221"/>
        <v>108.25501420051965</v>
      </c>
      <c r="V216" s="32">
        <f t="shared" si="221"/>
        <v>118.19473198934757</v>
      </c>
      <c r="W216" s="32">
        <f t="shared" si="221"/>
        <v>132.26200765111494</v>
      </c>
      <c r="X216" s="32">
        <f t="shared" si="221"/>
        <v>117.74744108303341</v>
      </c>
      <c r="Y216" s="32">
        <f t="shared" si="221"/>
        <v>111.47038596751295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98.38182412283345</v>
      </c>
      <c r="C217" s="141">
        <f t="shared" si="222"/>
        <v>103.95545566461483</v>
      </c>
      <c r="D217" s="141">
        <f t="shared" si="222"/>
        <v>100.67309611671429</v>
      </c>
      <c r="E217" s="141">
        <f t="shared" si="222"/>
        <v>100.71363409233707</v>
      </c>
      <c r="F217" s="141">
        <f t="shared" si="222"/>
        <v>115.48708432672427</v>
      </c>
      <c r="G217" s="141">
        <f t="shared" si="222"/>
        <v>111.51707786295516</v>
      </c>
      <c r="H217" s="141">
        <f t="shared" si="222"/>
        <v>112.67843671875217</v>
      </c>
      <c r="I217" s="141">
        <f t="shared" si="222"/>
        <v>112.05782714959263</v>
      </c>
      <c r="J217" s="141">
        <f t="shared" si="222"/>
        <v>118.79389940885706</v>
      </c>
      <c r="K217" s="141">
        <f t="shared" si="222"/>
        <v>120.93557057955296</v>
      </c>
      <c r="L217" s="141">
        <f t="shared" si="222"/>
        <v>121.01982432945437</v>
      </c>
      <c r="M217" s="141">
        <f t="shared" si="222"/>
        <v>121.36143015713374</v>
      </c>
      <c r="N217" s="141">
        <f t="shared" si="222"/>
        <v>113.47289734406402</v>
      </c>
      <c r="O217" s="141">
        <f t="shared" si="222"/>
        <v>112.48271911830004</v>
      </c>
      <c r="P217" s="141">
        <f t="shared" si="222"/>
        <v>115.28138252459817</v>
      </c>
      <c r="Q217" s="141">
        <f t="shared" si="222"/>
        <v>116.7635686624721</v>
      </c>
      <c r="R217" s="141">
        <f t="shared" si="222"/>
        <v>119.37223334924886</v>
      </c>
      <c r="S217" s="141">
        <f t="shared" si="222"/>
        <v>116.60232673928559</v>
      </c>
      <c r="T217" s="141">
        <f t="shared" si="222"/>
        <v>114.8727709346164</v>
      </c>
      <c r="U217" s="141">
        <f t="shared" si="222"/>
        <v>116.29306340900135</v>
      </c>
      <c r="V217" s="141">
        <f t="shared" si="222"/>
        <v>120.81655145680301</v>
      </c>
      <c r="W217" s="141">
        <f t="shared" si="222"/>
        <v>134.69429141168837</v>
      </c>
      <c r="X217" s="141">
        <f t="shared" si="222"/>
        <v>131.48319307635779</v>
      </c>
      <c r="Y217" s="141">
        <f t="shared" si="222"/>
        <v>126.43745841793772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128.47260424193402</v>
      </c>
      <c r="C218" s="97">
        <f t="shared" si="223"/>
        <v>128.00202406000477</v>
      </c>
      <c r="D218" s="97">
        <f t="shared" si="223"/>
        <v>127.23992560681371</v>
      </c>
      <c r="E218" s="97">
        <f t="shared" si="223"/>
        <v>126.3826349696017</v>
      </c>
      <c r="F218" s="97">
        <f t="shared" si="223"/>
        <v>125.37307970117337</v>
      </c>
      <c r="G218" s="97">
        <f t="shared" si="223"/>
        <v>124.45306245087725</v>
      </c>
      <c r="H218" s="97">
        <f t="shared" si="223"/>
        <v>122.47084073005988</v>
      </c>
      <c r="I218" s="97">
        <f t="shared" si="223"/>
        <v>120.23862781269922</v>
      </c>
      <c r="J218" s="97">
        <f t="shared" si="223"/>
        <v>117.75480651484429</v>
      </c>
      <c r="K218" s="97">
        <f t="shared" si="223"/>
        <v>115.74734902089898</v>
      </c>
      <c r="L218" s="97">
        <f t="shared" si="223"/>
        <v>112.67782438028364</v>
      </c>
      <c r="M218" s="97">
        <f t="shared" si="223"/>
        <v>109.43674911685483</v>
      </c>
      <c r="N218" s="97">
        <f t="shared" si="223"/>
        <v>106.49186659971565</v>
      </c>
      <c r="O218" s="97">
        <f t="shared" si="223"/>
        <v>102.91335682393199</v>
      </c>
      <c r="P218" s="97">
        <f t="shared" si="223"/>
        <v>99.021189406861211</v>
      </c>
      <c r="Q218" s="97">
        <f t="shared" si="223"/>
        <v>94.933710114743036</v>
      </c>
      <c r="R218" s="97">
        <f t="shared" si="223"/>
        <v>91.325648212970563</v>
      </c>
      <c r="S218" s="97">
        <f t="shared" si="223"/>
        <v>88.631293590227301</v>
      </c>
      <c r="T218" s="97">
        <f t="shared" si="223"/>
        <v>86.048340385784982</v>
      </c>
      <c r="U218" s="97">
        <f t="shared" si="223"/>
        <v>84.112544797778199</v>
      </c>
      <c r="V218" s="97">
        <f t="shared" si="223"/>
        <v>80.144049962578336</v>
      </c>
      <c r="W218" s="97">
        <f t="shared" si="223"/>
        <v>82.765561732562929</v>
      </c>
      <c r="X218" s="97">
        <f t="shared" si="223"/>
        <v>81.648903097271756</v>
      </c>
      <c r="Y218" s="97">
        <f t="shared" si="223"/>
        <v>83.00567202011743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96.704711599571255</v>
      </c>
      <c r="C219" s="97">
        <f t="shared" si="224"/>
        <v>101.0313069918078</v>
      </c>
      <c r="D219" s="97">
        <f t="shared" si="224"/>
        <v>98.095840422542494</v>
      </c>
      <c r="E219" s="97">
        <f t="shared" si="224"/>
        <v>98.466232019436916</v>
      </c>
      <c r="F219" s="97">
        <f t="shared" si="224"/>
        <v>117.12953418824698</v>
      </c>
      <c r="G219" s="97">
        <f t="shared" si="224"/>
        <v>114.61797789970008</v>
      </c>
      <c r="H219" s="97">
        <f t="shared" si="224"/>
        <v>114.95055534841424</v>
      </c>
      <c r="I219" s="97">
        <f t="shared" si="224"/>
        <v>113.12149439948111</v>
      </c>
      <c r="J219" s="97">
        <f t="shared" si="224"/>
        <v>121.6562363194557</v>
      </c>
      <c r="K219" s="97">
        <f t="shared" si="224"/>
        <v>122.50701677532123</v>
      </c>
      <c r="L219" s="97">
        <f t="shared" si="224"/>
        <v>123.68568743438436</v>
      </c>
      <c r="M219" s="97">
        <f t="shared" si="224"/>
        <v>127.6453710067147</v>
      </c>
      <c r="N219" s="97">
        <f t="shared" si="224"/>
        <v>121.74924396581305</v>
      </c>
      <c r="O219" s="97">
        <f t="shared" si="224"/>
        <v>120.4674283789515</v>
      </c>
      <c r="P219" s="97">
        <f t="shared" si="224"/>
        <v>123.91708764847188</v>
      </c>
      <c r="Q219" s="97">
        <f t="shared" si="224"/>
        <v>124.58081979245908</v>
      </c>
      <c r="R219" s="97">
        <f t="shared" si="224"/>
        <v>126.76251415597712</v>
      </c>
      <c r="S219" s="97">
        <f t="shared" si="224"/>
        <v>122.22190628221168</v>
      </c>
      <c r="T219" s="97">
        <f t="shared" si="224"/>
        <v>121.22364925331078</v>
      </c>
      <c r="U219" s="97">
        <f t="shared" si="224"/>
        <v>123.65499000654073</v>
      </c>
      <c r="V219" s="97">
        <f t="shared" si="224"/>
        <v>124.63183282598537</v>
      </c>
      <c r="W219" s="97">
        <f t="shared" si="224"/>
        <v>139.36770939880699</v>
      </c>
      <c r="X219" s="97">
        <f t="shared" si="224"/>
        <v>139.05577465175259</v>
      </c>
      <c r="Y219" s="97">
        <f t="shared" si="224"/>
        <v>134.26492821822558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105.76062617901302</v>
      </c>
      <c r="C220" s="97">
        <f t="shared" si="225"/>
        <v>118.49420820859473</v>
      </c>
      <c r="D220" s="97">
        <f t="shared" si="225"/>
        <v>113.58050910542156</v>
      </c>
      <c r="E220" s="97">
        <f t="shared" si="225"/>
        <v>111.51164518056184</v>
      </c>
      <c r="F220" s="97">
        <f t="shared" si="225"/>
        <v>108.12638510488486</v>
      </c>
      <c r="G220" s="97">
        <f t="shared" si="225"/>
        <v>98.236968020976676</v>
      </c>
      <c r="H220" s="97">
        <f t="shared" si="225"/>
        <v>100.99612552044358</v>
      </c>
      <c r="I220" s="97">
        <f t="shared" si="225"/>
        <v>105.44859780840261</v>
      </c>
      <c r="J220" s="97">
        <f t="shared" si="225"/>
        <v>102.61030003043311</v>
      </c>
      <c r="K220" s="97">
        <f t="shared" si="225"/>
        <v>111.75860196353301</v>
      </c>
      <c r="L220" s="97">
        <f t="shared" si="225"/>
        <v>107.02449716904782</v>
      </c>
      <c r="M220" s="97">
        <f t="shared" si="225"/>
        <v>92.076223706222805</v>
      </c>
      <c r="N220" s="97">
        <f t="shared" si="225"/>
        <v>78.903051306535545</v>
      </c>
      <c r="O220" s="97">
        <f t="shared" si="225"/>
        <v>78.391867737980249</v>
      </c>
      <c r="P220" s="97">
        <f t="shared" si="225"/>
        <v>75.610892835955937</v>
      </c>
      <c r="Q220" s="97">
        <f t="shared" si="225"/>
        <v>77.498114569907514</v>
      </c>
      <c r="R220" s="97">
        <f t="shared" si="225"/>
        <v>80.521963760850113</v>
      </c>
      <c r="S220" s="97">
        <f t="shared" si="225"/>
        <v>84.268502048543468</v>
      </c>
      <c r="T220" s="97">
        <f t="shared" si="225"/>
        <v>77.946933981499384</v>
      </c>
      <c r="U220" s="97">
        <f t="shared" si="225"/>
        <v>72.963068872760346</v>
      </c>
      <c r="V220" s="97">
        <f t="shared" si="225"/>
        <v>88.859433188648396</v>
      </c>
      <c r="W220" s="97">
        <f t="shared" si="225"/>
        <v>92.238791400924924</v>
      </c>
      <c r="X220" s="97">
        <f t="shared" si="225"/>
        <v>79.101990659882901</v>
      </c>
      <c r="Y220" s="97">
        <f t="shared" si="225"/>
        <v>73.065772808460437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39.038481266325327</v>
      </c>
      <c r="C221" s="130">
        <f t="shared" si="226"/>
        <v>36.939879572263827</v>
      </c>
      <c r="D221" s="130">
        <f t="shared" si="226"/>
        <v>37.503026691161203</v>
      </c>
      <c r="E221" s="130">
        <f t="shared" si="226"/>
        <v>37.198050923908013</v>
      </c>
      <c r="F221" s="130">
        <f t="shared" si="226"/>
        <v>35.080598385053641</v>
      </c>
      <c r="G221" s="130">
        <f t="shared" si="226"/>
        <v>32.174181240226751</v>
      </c>
      <c r="H221" s="130">
        <f t="shared" si="226"/>
        <v>28.308899630455812</v>
      </c>
      <c r="I221" s="130">
        <f t="shared" si="226"/>
        <v>28.578410782228914</v>
      </c>
      <c r="J221" s="130">
        <f t="shared" si="226"/>
        <v>28.077189946779992</v>
      </c>
      <c r="K221" s="130">
        <f t="shared" si="226"/>
        <v>30.661000568519171</v>
      </c>
      <c r="L221" s="130">
        <f t="shared" si="226"/>
        <v>21.164062055135261</v>
      </c>
      <c r="M221" s="130">
        <f t="shared" si="226"/>
        <v>20.49852803474705</v>
      </c>
      <c r="N221" s="130">
        <f t="shared" si="226"/>
        <v>20.118456529403247</v>
      </c>
      <c r="O221" s="130">
        <f t="shared" si="226"/>
        <v>19.221769313463071</v>
      </c>
      <c r="P221" s="130">
        <f t="shared" si="226"/>
        <v>17.565733096259052</v>
      </c>
      <c r="Q221" s="130">
        <f t="shared" si="226"/>
        <v>17.102762358545096</v>
      </c>
      <c r="R221" s="130">
        <f t="shared" si="226"/>
        <v>16.774870846612412</v>
      </c>
      <c r="S221" s="130">
        <f t="shared" si="226"/>
        <v>15.454019222130654</v>
      </c>
      <c r="T221" s="130">
        <f t="shared" si="226"/>
        <v>12.233784470597676</v>
      </c>
      <c r="U221" s="130">
        <f t="shared" si="226"/>
        <v>11.072035826341502</v>
      </c>
      <c r="V221" s="130">
        <f t="shared" si="226"/>
        <v>9.0587529183316953</v>
      </c>
      <c r="W221" s="130">
        <f t="shared" si="226"/>
        <v>19.048549088691257</v>
      </c>
      <c r="X221" s="130">
        <f t="shared" si="226"/>
        <v>13.602926006184926</v>
      </c>
      <c r="Y221" s="130">
        <f t="shared" si="226"/>
        <v>15.375490743481402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53.600107775037166</v>
      </c>
      <c r="C223" s="97">
        <f t="shared" si="228"/>
        <v>50.580427170690434</v>
      </c>
      <c r="D223" s="97">
        <f t="shared" si="228"/>
        <v>50.840796667614512</v>
      </c>
      <c r="E223" s="97">
        <f t="shared" si="228"/>
        <v>49.587637963918326</v>
      </c>
      <c r="F223" s="97">
        <f t="shared" si="228"/>
        <v>46.557960412520934</v>
      </c>
      <c r="G223" s="97">
        <f t="shared" si="228"/>
        <v>42.043584192093839</v>
      </c>
      <c r="H223" s="97">
        <f t="shared" si="228"/>
        <v>36.327840468981478</v>
      </c>
      <c r="I223" s="97">
        <f t="shared" si="228"/>
        <v>36.773819658855786</v>
      </c>
      <c r="J223" s="97">
        <f t="shared" si="228"/>
        <v>35.784244317931183</v>
      </c>
      <c r="K223" s="97">
        <f t="shared" si="228"/>
        <v>37.670400431108447</v>
      </c>
      <c r="L223" s="97">
        <f t="shared" si="228"/>
        <v>31.574781282154039</v>
      </c>
      <c r="M223" s="97">
        <f t="shared" si="228"/>
        <v>31.003338503937105</v>
      </c>
      <c r="N223" s="97">
        <f t="shared" si="228"/>
        <v>30.005737929931669</v>
      </c>
      <c r="O223" s="97">
        <f t="shared" si="228"/>
        <v>29.27275517383767</v>
      </c>
      <c r="P223" s="97">
        <f t="shared" si="228"/>
        <v>28.05907654262834</v>
      </c>
      <c r="Q223" s="97">
        <f t="shared" si="228"/>
        <v>27.4134090421229</v>
      </c>
      <c r="R223" s="97">
        <f t="shared" si="228"/>
        <v>26.473245192125031</v>
      </c>
      <c r="S223" s="97">
        <f t="shared" si="228"/>
        <v>24.312569009092893</v>
      </c>
      <c r="T223" s="97">
        <f t="shared" si="228"/>
        <v>19.217099201263697</v>
      </c>
      <c r="U223" s="97">
        <f t="shared" si="228"/>
        <v>16.861711841779496</v>
      </c>
      <c r="V223" s="97">
        <f t="shared" si="228"/>
        <v>13.481902887464905</v>
      </c>
      <c r="W223" s="97">
        <f t="shared" si="228"/>
        <v>22.135997022977971</v>
      </c>
      <c r="X223" s="97">
        <f t="shared" si="228"/>
        <v>15.465345099120446</v>
      </c>
      <c r="Y223" s="97">
        <f t="shared" si="228"/>
        <v>17.465050083541591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162.31944689319744</v>
      </c>
      <c r="C225" s="130">
        <f t="shared" si="230"/>
        <v>157.98099207157259</v>
      </c>
      <c r="D225" s="130">
        <f t="shared" si="230"/>
        <v>154.9035702233912</v>
      </c>
      <c r="E225" s="130">
        <f t="shared" si="230"/>
        <v>153.88115176007767</v>
      </c>
      <c r="F225" s="130">
        <f t="shared" si="230"/>
        <v>152.51348530285378</v>
      </c>
      <c r="G225" s="130">
        <f t="shared" si="230"/>
        <v>96.391105974661812</v>
      </c>
      <c r="H225" s="130">
        <f t="shared" si="230"/>
        <v>88.402215800917176</v>
      </c>
      <c r="I225" s="130">
        <f t="shared" si="230"/>
        <v>87.286242957786143</v>
      </c>
      <c r="J225" s="130">
        <f t="shared" si="230"/>
        <v>95.607486737287473</v>
      </c>
      <c r="K225" s="130">
        <f t="shared" si="230"/>
        <v>104.75648727401135</v>
      </c>
      <c r="L225" s="130">
        <f t="shared" si="230"/>
        <v>105.7546308119928</v>
      </c>
      <c r="M225" s="130">
        <f t="shared" si="230"/>
        <v>105.03661610588973</v>
      </c>
      <c r="N225" s="130">
        <f t="shared" si="230"/>
        <v>114.26258224162596</v>
      </c>
      <c r="O225" s="130">
        <f t="shared" si="230"/>
        <v>114.40515666079655</v>
      </c>
      <c r="P225" s="130">
        <f t="shared" si="230"/>
        <v>105.85522961573896</v>
      </c>
      <c r="Q225" s="130">
        <f t="shared" si="230"/>
        <v>100.68122008594003</v>
      </c>
      <c r="R225" s="130">
        <f t="shared" si="230"/>
        <v>110.98495753604581</v>
      </c>
      <c r="S225" s="130">
        <f t="shared" si="230"/>
        <v>111.43650073205342</v>
      </c>
      <c r="T225" s="130">
        <f t="shared" si="230"/>
        <v>104.91967686670216</v>
      </c>
      <c r="U225" s="130">
        <f t="shared" si="230"/>
        <v>97.627478376802401</v>
      </c>
      <c r="V225" s="130">
        <f t="shared" si="230"/>
        <v>137.30382883955576</v>
      </c>
      <c r="W225" s="130">
        <f t="shared" si="230"/>
        <v>139.05878329109274</v>
      </c>
      <c r="X225" s="130">
        <f t="shared" si="230"/>
        <v>82.235849074335945</v>
      </c>
      <c r="Y225" s="130">
        <f t="shared" si="230"/>
        <v>78.893542275307851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194.48622517474169</v>
      </c>
      <c r="C227" s="97">
        <f t="shared" si="232"/>
        <v>189.04852153603034</v>
      </c>
      <c r="D227" s="97">
        <f t="shared" si="232"/>
        <v>185.84857471993891</v>
      </c>
      <c r="E227" s="97">
        <f t="shared" si="232"/>
        <v>185.81970954245841</v>
      </c>
      <c r="F227" s="97">
        <f t="shared" si="232"/>
        <v>185.22727773113661</v>
      </c>
      <c r="G227" s="97">
        <f t="shared" si="232"/>
        <v>119.82298260426317</v>
      </c>
      <c r="H227" s="97">
        <f t="shared" si="232"/>
        <v>111.84301564077673</v>
      </c>
      <c r="I227" s="97">
        <f t="shared" si="232"/>
        <v>119.24011112497978</v>
      </c>
      <c r="J227" s="97">
        <f t="shared" si="232"/>
        <v>134.71035693165331</v>
      </c>
      <c r="K227" s="97">
        <f t="shared" si="232"/>
        <v>136.33529468550825</v>
      </c>
      <c r="L227" s="97">
        <f t="shared" si="232"/>
        <v>136.46969523075185</v>
      </c>
      <c r="M227" s="97">
        <f t="shared" si="232"/>
        <v>133.10888512728468</v>
      </c>
      <c r="N227" s="97">
        <f t="shared" si="232"/>
        <v>144.58631983232956</v>
      </c>
      <c r="O227" s="97">
        <f t="shared" si="232"/>
        <v>147.20809548709286</v>
      </c>
      <c r="P227" s="97">
        <f t="shared" si="232"/>
        <v>128.94445098383244</v>
      </c>
      <c r="Q227" s="97">
        <f t="shared" si="232"/>
        <v>117.99188070188755</v>
      </c>
      <c r="R227" s="97">
        <f t="shared" si="232"/>
        <v>131.67613582372576</v>
      </c>
      <c r="S227" s="97">
        <f t="shared" si="232"/>
        <v>133.88487759479287</v>
      </c>
      <c r="T227" s="97">
        <f t="shared" si="232"/>
        <v>127.61567807896634</v>
      </c>
      <c r="U227" s="97">
        <f t="shared" si="232"/>
        <v>121.94052012498122</v>
      </c>
      <c r="V227" s="97">
        <f t="shared" si="232"/>
        <v>148.91567252689157</v>
      </c>
      <c r="W227" s="97">
        <f t="shared" si="232"/>
        <v>162.73307306599187</v>
      </c>
      <c r="X227" s="97">
        <f t="shared" si="232"/>
        <v>93.790171137900543</v>
      </c>
      <c r="Y227" s="97">
        <f t="shared" si="232"/>
        <v>94.279569365079837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74.862805481349369</v>
      </c>
      <c r="C228" s="97">
        <f t="shared" si="233"/>
        <v>73.133452306805012</v>
      </c>
      <c r="D228" s="97">
        <f t="shared" si="233"/>
        <v>71.20619293795481</v>
      </c>
      <c r="E228" s="97">
        <f t="shared" si="233"/>
        <v>69.525930008313736</v>
      </c>
      <c r="F228" s="97">
        <f t="shared" si="233"/>
        <v>67.906465760112667</v>
      </c>
      <c r="G228" s="97">
        <f t="shared" si="233"/>
        <v>36.617593992860719</v>
      </c>
      <c r="H228" s="97">
        <f t="shared" si="233"/>
        <v>28.713851298722052</v>
      </c>
      <c r="I228" s="97">
        <f t="shared" si="233"/>
        <v>22.985330719822926</v>
      </c>
      <c r="J228" s="97">
        <f t="shared" si="233"/>
        <v>24.14465457660086</v>
      </c>
      <c r="K228" s="97">
        <f t="shared" si="233"/>
        <v>31.454367438123992</v>
      </c>
      <c r="L228" s="97">
        <f t="shared" si="233"/>
        <v>30.3214942247529</v>
      </c>
      <c r="M228" s="97">
        <f t="shared" si="233"/>
        <v>31.593204744639372</v>
      </c>
      <c r="N228" s="97">
        <f t="shared" si="233"/>
        <v>35.807261648227851</v>
      </c>
      <c r="O228" s="97">
        <f t="shared" si="233"/>
        <v>33.861042932678423</v>
      </c>
      <c r="P228" s="97">
        <f t="shared" si="233"/>
        <v>36.297654331030408</v>
      </c>
      <c r="Q228" s="97">
        <f t="shared" si="233"/>
        <v>37.699028426800666</v>
      </c>
      <c r="R228" s="97">
        <f t="shared" si="233"/>
        <v>38.647915859506391</v>
      </c>
      <c r="S228" s="97">
        <f t="shared" si="233"/>
        <v>35.635529880279357</v>
      </c>
      <c r="T228" s="97">
        <f t="shared" si="233"/>
        <v>31.670903419150701</v>
      </c>
      <c r="U228" s="97">
        <f t="shared" si="233"/>
        <v>27.320452500258309</v>
      </c>
      <c r="V228" s="97">
        <f t="shared" si="233"/>
        <v>84.326579891536639</v>
      </c>
      <c r="W228" s="97">
        <f t="shared" si="233"/>
        <v>59.537665631920348</v>
      </c>
      <c r="X228" s="97">
        <f t="shared" si="233"/>
        <v>32.765961530429365</v>
      </c>
      <c r="Y228" s="97">
        <f t="shared" si="233"/>
        <v>26.800673166377717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45.748615299866458</v>
      </c>
      <c r="C229" s="32">
        <f t="shared" si="234"/>
        <v>58.820802223170922</v>
      </c>
      <c r="D229" s="32">
        <f t="shared" si="234"/>
        <v>58.50607559853399</v>
      </c>
      <c r="E229" s="32">
        <f t="shared" si="234"/>
        <v>52.773922886770208</v>
      </c>
      <c r="F229" s="32">
        <f t="shared" si="234"/>
        <v>53.839095861648552</v>
      </c>
      <c r="G229" s="32">
        <f t="shared" si="234"/>
        <v>54.109214336791169</v>
      </c>
      <c r="H229" s="32">
        <f t="shared" si="234"/>
        <v>65.572259582848403</v>
      </c>
      <c r="I229" s="32">
        <f t="shared" si="234"/>
        <v>70.728881364836283</v>
      </c>
      <c r="J229" s="32">
        <f t="shared" si="234"/>
        <v>63.66874054292164</v>
      </c>
      <c r="K229" s="32">
        <f t="shared" si="234"/>
        <v>57.710093733782927</v>
      </c>
      <c r="L229" s="32">
        <f t="shared" si="234"/>
        <v>65.396684420882011</v>
      </c>
      <c r="M229" s="32">
        <f t="shared" si="234"/>
        <v>43.792141363868801</v>
      </c>
      <c r="N229" s="32">
        <f t="shared" si="234"/>
        <v>41.196191755606854</v>
      </c>
      <c r="O229" s="32">
        <f t="shared" si="234"/>
        <v>45.560288061530187</v>
      </c>
      <c r="P229" s="32">
        <f t="shared" si="234"/>
        <v>44.872091195049123</v>
      </c>
      <c r="Q229" s="32">
        <f t="shared" si="234"/>
        <v>47.522980101577822</v>
      </c>
      <c r="R229" s="32">
        <f t="shared" si="234"/>
        <v>51.863845616928316</v>
      </c>
      <c r="S229" s="32">
        <f t="shared" si="234"/>
        <v>56.767971038805804</v>
      </c>
      <c r="T229" s="32">
        <f t="shared" si="234"/>
        <v>49.120707170855475</v>
      </c>
      <c r="U229" s="32">
        <f t="shared" si="234"/>
        <v>53.233945554255676</v>
      </c>
      <c r="V229" s="32">
        <f t="shared" si="234"/>
        <v>71.522622116644541</v>
      </c>
      <c r="W229" s="32">
        <f t="shared" si="234"/>
        <v>79.010187617859529</v>
      </c>
      <c r="X229" s="32">
        <f t="shared" si="234"/>
        <v>79.680784875346362</v>
      </c>
      <c r="Y229" s="32">
        <f t="shared" si="234"/>
        <v>91.736423525902865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240.28688469235854</v>
      </c>
      <c r="C230" s="141">
        <f t="shared" si="235"/>
        <v>322.63646721707914</v>
      </c>
      <c r="D230" s="141">
        <f t="shared" si="235"/>
        <v>299.57657161208124</v>
      </c>
      <c r="E230" s="141">
        <f t="shared" si="235"/>
        <v>275.57432135090647</v>
      </c>
      <c r="F230" s="141">
        <f t="shared" si="235"/>
        <v>279.16521307958169</v>
      </c>
      <c r="G230" s="141">
        <f t="shared" si="235"/>
        <v>274.65329365614423</v>
      </c>
      <c r="H230" s="141">
        <f t="shared" si="235"/>
        <v>289.52664169957416</v>
      </c>
      <c r="I230" s="141">
        <f t="shared" si="235"/>
        <v>308.89600212694626</v>
      </c>
      <c r="J230" s="141">
        <f t="shared" si="235"/>
        <v>319.02442800387388</v>
      </c>
      <c r="K230" s="141">
        <f t="shared" si="235"/>
        <v>316.26288896479372</v>
      </c>
      <c r="L230" s="141">
        <f t="shared" si="235"/>
        <v>304.26330220542297</v>
      </c>
      <c r="M230" s="141">
        <f t="shared" si="235"/>
        <v>215.63283489959395</v>
      </c>
      <c r="N230" s="141">
        <f t="shared" si="235"/>
        <v>195.29811153128776</v>
      </c>
      <c r="O230" s="141">
        <f t="shared" si="235"/>
        <v>185.50725015481507</v>
      </c>
      <c r="P230" s="141">
        <f t="shared" si="235"/>
        <v>186.45950731402641</v>
      </c>
      <c r="Q230" s="141">
        <f t="shared" si="235"/>
        <v>187.89794535090238</v>
      </c>
      <c r="R230" s="141">
        <f t="shared" si="235"/>
        <v>181.27837614467035</v>
      </c>
      <c r="S230" s="141">
        <f t="shared" si="235"/>
        <v>182.76888317251291</v>
      </c>
      <c r="T230" s="141">
        <f t="shared" si="235"/>
        <v>168.88559314069983</v>
      </c>
      <c r="U230" s="141">
        <f t="shared" si="235"/>
        <v>172.61381708588553</v>
      </c>
      <c r="V230" s="141">
        <f t="shared" si="235"/>
        <v>147.97366465898381</v>
      </c>
      <c r="W230" s="141">
        <f t="shared" si="235"/>
        <v>154.85856462147007</v>
      </c>
      <c r="X230" s="141">
        <f t="shared" si="235"/>
        <v>156.60341480108394</v>
      </c>
      <c r="Y230" s="141">
        <f t="shared" si="235"/>
        <v>152.31846173966804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1712.5362620579904</v>
      </c>
      <c r="C231" s="97">
        <f t="shared" si="236"/>
        <v>1756.4331009673733</v>
      </c>
      <c r="D231" s="97">
        <f t="shared" si="236"/>
        <v>1660.9384278350083</v>
      </c>
      <c r="E231" s="97">
        <f t="shared" si="236"/>
        <v>1616.1185554034146</v>
      </c>
      <c r="F231" s="97">
        <f t="shared" si="236"/>
        <v>1604.0195511613795</v>
      </c>
      <c r="G231" s="97">
        <f t="shared" si="236"/>
        <v>1592.0349440284178</v>
      </c>
      <c r="H231" s="97">
        <f t="shared" si="236"/>
        <v>1592.1949948566207</v>
      </c>
      <c r="I231" s="97">
        <f t="shared" si="236"/>
        <v>1625.9258723820185</v>
      </c>
      <c r="J231" s="97">
        <f t="shared" si="236"/>
        <v>1583.8535275137374</v>
      </c>
      <c r="K231" s="97">
        <f t="shared" si="236"/>
        <v>1508.2105325172674</v>
      </c>
      <c r="L231" s="97">
        <f t="shared" si="236"/>
        <v>1587.8898547194667</v>
      </c>
      <c r="M231" s="97">
        <f t="shared" si="236"/>
        <v>1466.0927000499883</v>
      </c>
      <c r="N231" s="97">
        <f t="shared" si="236"/>
        <v>1450.6073284184104</v>
      </c>
      <c r="O231" s="97">
        <f t="shared" si="236"/>
        <v>1424.5996504690224</v>
      </c>
      <c r="P231" s="97">
        <f t="shared" si="236"/>
        <v>1386.2776441238861</v>
      </c>
      <c r="Q231" s="97">
        <f t="shared" si="236"/>
        <v>1374.163188291493</v>
      </c>
      <c r="R231" s="97">
        <f t="shared" si="236"/>
        <v>1365.4078219891255</v>
      </c>
      <c r="S231" s="97">
        <f t="shared" si="236"/>
        <v>1360.8196333309872</v>
      </c>
      <c r="T231" s="97">
        <f t="shared" si="236"/>
        <v>1299.6100360114053</v>
      </c>
      <c r="U231" s="97">
        <f t="shared" si="236"/>
        <v>1276.4271552192063</v>
      </c>
      <c r="V231" s="97">
        <f t="shared" si="236"/>
        <v>1249.4308855926972</v>
      </c>
      <c r="W231" s="97">
        <f t="shared" si="236"/>
        <v>1254.1924573422834</v>
      </c>
      <c r="X231" s="97">
        <f t="shared" si="236"/>
        <v>1285.375722739871</v>
      </c>
      <c r="Y231" s="97">
        <f t="shared" si="236"/>
        <v>1277.7770389422999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197.14213709041724</v>
      </c>
      <c r="C232" s="97">
        <f t="shared" si="237"/>
        <v>277.80068460839914</v>
      </c>
      <c r="D232" s="97">
        <f t="shared" si="237"/>
        <v>251.72479685522055</v>
      </c>
      <c r="E232" s="97">
        <f t="shared" si="237"/>
        <v>237.52151895204761</v>
      </c>
      <c r="F232" s="97">
        <f t="shared" si="237"/>
        <v>232.16261923638396</v>
      </c>
      <c r="G232" s="97">
        <f t="shared" si="237"/>
        <v>235.2312118549734</v>
      </c>
      <c r="H232" s="97">
        <f t="shared" si="237"/>
        <v>248.61401535440399</v>
      </c>
      <c r="I232" s="97">
        <f t="shared" si="237"/>
        <v>268.05498329921016</v>
      </c>
      <c r="J232" s="97">
        <f t="shared" si="237"/>
        <v>273.5003748247882</v>
      </c>
      <c r="K232" s="97">
        <f t="shared" si="237"/>
        <v>266.49625764677506</v>
      </c>
      <c r="L232" s="97">
        <f t="shared" si="237"/>
        <v>264.80494243603022</v>
      </c>
      <c r="M232" s="97">
        <f t="shared" si="237"/>
        <v>178.26390813174578</v>
      </c>
      <c r="N232" s="97">
        <f t="shared" si="237"/>
        <v>155.40404407326525</v>
      </c>
      <c r="O232" s="97">
        <f t="shared" si="237"/>
        <v>143.77730248060914</v>
      </c>
      <c r="P232" s="97">
        <f t="shared" si="237"/>
        <v>141.55040668713517</v>
      </c>
      <c r="Q232" s="97">
        <f t="shared" si="237"/>
        <v>143.92932145679688</v>
      </c>
      <c r="R232" s="97">
        <f t="shared" si="237"/>
        <v>137.83387501865101</v>
      </c>
      <c r="S232" s="97">
        <f t="shared" si="237"/>
        <v>141.2257876525654</v>
      </c>
      <c r="T232" s="97">
        <f t="shared" si="237"/>
        <v>131.05157143164863</v>
      </c>
      <c r="U232" s="97">
        <f t="shared" si="237"/>
        <v>132.31613340040656</v>
      </c>
      <c r="V232" s="97">
        <f t="shared" si="237"/>
        <v>111.62426459073608</v>
      </c>
      <c r="W232" s="97">
        <f t="shared" si="237"/>
        <v>118.94280512988466</v>
      </c>
      <c r="X232" s="97">
        <f t="shared" si="237"/>
        <v>119.31679234632554</v>
      </c>
      <c r="Y232" s="97">
        <f t="shared" si="237"/>
        <v>114.49310580697265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12.49655345611183</v>
      </c>
      <c r="C233" s="130">
        <f t="shared" si="238"/>
        <v>12.358271634519927</v>
      </c>
      <c r="D233" s="130">
        <f t="shared" si="238"/>
        <v>12.155123749620154</v>
      </c>
      <c r="E233" s="130">
        <f t="shared" si="238"/>
        <v>11.923969957755174</v>
      </c>
      <c r="F233" s="130">
        <f t="shared" si="238"/>
        <v>11.851545879659906</v>
      </c>
      <c r="G233" s="130">
        <f t="shared" si="238"/>
        <v>11.163408207352676</v>
      </c>
      <c r="H233" s="130">
        <f t="shared" si="238"/>
        <v>11.340585663215752</v>
      </c>
      <c r="I233" s="130">
        <f t="shared" si="238"/>
        <v>11.452482758292776</v>
      </c>
      <c r="J233" s="130">
        <f t="shared" si="238"/>
        <v>10.822267351862864</v>
      </c>
      <c r="K233" s="130">
        <f t="shared" si="238"/>
        <v>10.769760040455589</v>
      </c>
      <c r="L233" s="130">
        <f t="shared" si="238"/>
        <v>10.734303053141851</v>
      </c>
      <c r="M233" s="130">
        <f t="shared" si="238"/>
        <v>9.8208471479035069</v>
      </c>
      <c r="N233" s="130">
        <f t="shared" si="238"/>
        <v>10.390907684832806</v>
      </c>
      <c r="O233" s="130">
        <f t="shared" si="238"/>
        <v>10.364449275018586</v>
      </c>
      <c r="P233" s="130">
        <f t="shared" si="238"/>
        <v>10.083256846178047</v>
      </c>
      <c r="Q233" s="130">
        <f t="shared" si="238"/>
        <v>9.9692844718685851</v>
      </c>
      <c r="R233" s="130">
        <f t="shared" si="238"/>
        <v>9.9355937181250535</v>
      </c>
      <c r="S233" s="130">
        <f t="shared" si="238"/>
        <v>9.8569085060996855</v>
      </c>
      <c r="T233" s="130">
        <f t="shared" si="238"/>
        <v>8.6030693173420385</v>
      </c>
      <c r="U233" s="130">
        <f t="shared" si="238"/>
        <v>8.3385354181860141</v>
      </c>
      <c r="V233" s="130">
        <f t="shared" si="238"/>
        <v>9.3597090045716254</v>
      </c>
      <c r="W233" s="130">
        <f t="shared" si="238"/>
        <v>9.1860701119458312</v>
      </c>
      <c r="X233" s="130">
        <f t="shared" si="238"/>
        <v>8.500379711386751</v>
      </c>
      <c r="Y233" s="130">
        <f t="shared" si="238"/>
        <v>10.775168381597483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259.00127837759101</v>
      </c>
      <c r="C234" s="130">
        <f t="shared" si="239"/>
        <v>219.21947033009272</v>
      </c>
      <c r="D234" s="130">
        <f t="shared" si="239"/>
        <v>234.71940454172596</v>
      </c>
      <c r="E234" s="130">
        <f t="shared" si="239"/>
        <v>233.198845536184</v>
      </c>
      <c r="F234" s="130">
        <f t="shared" si="239"/>
        <v>251.3102127125959</v>
      </c>
      <c r="G234" s="130">
        <f t="shared" si="239"/>
        <v>216.31900721492781</v>
      </c>
      <c r="H234" s="130">
        <f t="shared" si="239"/>
        <v>193.71919462468492</v>
      </c>
      <c r="I234" s="130">
        <f t="shared" si="239"/>
        <v>154.82206833189602</v>
      </c>
      <c r="J234" s="130">
        <f t="shared" si="239"/>
        <v>174.94967223561162</v>
      </c>
      <c r="K234" s="130">
        <f t="shared" si="239"/>
        <v>245.94619619426197</v>
      </c>
      <c r="L234" s="130">
        <f t="shared" si="239"/>
        <v>193.49732689312839</v>
      </c>
      <c r="M234" s="130">
        <f t="shared" si="239"/>
        <v>191.66981399806897</v>
      </c>
      <c r="N234" s="130">
        <f t="shared" si="239"/>
        <v>92.241424629668217</v>
      </c>
      <c r="O234" s="130">
        <f t="shared" si="239"/>
        <v>82.709413150156976</v>
      </c>
      <c r="P234" s="130">
        <f t="shared" si="239"/>
        <v>80.127615949253723</v>
      </c>
      <c r="Q234" s="130">
        <f t="shared" si="239"/>
        <v>122.24435148346275</v>
      </c>
      <c r="R234" s="130">
        <f t="shared" si="239"/>
        <v>133.52843503939098</v>
      </c>
      <c r="S234" s="130">
        <f t="shared" si="239"/>
        <v>151.3304245611979</v>
      </c>
      <c r="T234" s="130">
        <f t="shared" si="239"/>
        <v>165.37775826983912</v>
      </c>
      <c r="U234" s="130">
        <f t="shared" si="239"/>
        <v>117.31595908160239</v>
      </c>
      <c r="V234" s="130">
        <f t="shared" si="239"/>
        <v>322.85830148054583</v>
      </c>
      <c r="W234" s="130">
        <f t="shared" si="239"/>
        <v>395.96954119662672</v>
      </c>
      <c r="X234" s="130">
        <f t="shared" si="239"/>
        <v>335.20036079375296</v>
      </c>
      <c r="Y234" s="130">
        <f t="shared" si="239"/>
        <v>363.19904862014192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599.86410011524936</v>
      </c>
      <c r="C236" s="97">
        <f t="shared" si="241"/>
        <v>563.15352566932359</v>
      </c>
      <c r="D236" s="97">
        <f t="shared" si="241"/>
        <v>597.72050664466974</v>
      </c>
      <c r="E236" s="97">
        <f t="shared" si="241"/>
        <v>584.44248920582038</v>
      </c>
      <c r="F236" s="97">
        <f t="shared" si="241"/>
        <v>645.0540682008334</v>
      </c>
      <c r="G236" s="97">
        <f t="shared" si="241"/>
        <v>577.93178833494403</v>
      </c>
      <c r="H236" s="97">
        <f t="shared" si="241"/>
        <v>557.71340883531889</v>
      </c>
      <c r="I236" s="97">
        <f t="shared" si="241"/>
        <v>528.3941037093158</v>
      </c>
      <c r="J236" s="97">
        <f t="shared" si="241"/>
        <v>599.55645479244981</v>
      </c>
      <c r="K236" s="97">
        <f t="shared" si="241"/>
        <v>646.92690752343901</v>
      </c>
      <c r="L236" s="97">
        <f t="shared" si="241"/>
        <v>537.48957645797543</v>
      </c>
      <c r="M236" s="97">
        <f t="shared" si="241"/>
        <v>551.07882063441343</v>
      </c>
      <c r="N236" s="97">
        <f t="shared" si="241"/>
        <v>601.73691128657765</v>
      </c>
      <c r="O236" s="97">
        <f t="shared" si="241"/>
        <v>613.55244697171736</v>
      </c>
      <c r="P236" s="97">
        <f t="shared" si="241"/>
        <v>481.30631644129971</v>
      </c>
      <c r="Q236" s="97">
        <f t="shared" si="241"/>
        <v>446.3944267321852</v>
      </c>
      <c r="R236" s="97">
        <f t="shared" si="241"/>
        <v>483.42115479262782</v>
      </c>
      <c r="S236" s="97">
        <f t="shared" si="241"/>
        <v>579.26970065402872</v>
      </c>
      <c r="T236" s="97">
        <f t="shared" si="241"/>
        <v>594.15355080869449</v>
      </c>
      <c r="U236" s="97">
        <f t="shared" si="241"/>
        <v>498.9178003693865</v>
      </c>
      <c r="V236" s="97">
        <f t="shared" si="241"/>
        <v>559.89067591832361</v>
      </c>
      <c r="W236" s="97">
        <f t="shared" si="241"/>
        <v>595.56375119626421</v>
      </c>
      <c r="X236" s="97">
        <f t="shared" si="241"/>
        <v>476.82775043796454</v>
      </c>
      <c r="Y236" s="97">
        <f t="shared" si="241"/>
        <v>501.50385481847138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50.507933630673143</v>
      </c>
      <c r="C237" s="97">
        <f t="shared" si="242"/>
        <v>48.182016871247036</v>
      </c>
      <c r="D237" s="97">
        <f t="shared" si="242"/>
        <v>50.941135569128079</v>
      </c>
      <c r="E237" s="97">
        <f t="shared" si="242"/>
        <v>56.21035395782512</v>
      </c>
      <c r="F237" s="97">
        <f t="shared" si="242"/>
        <v>57.863395620435504</v>
      </c>
      <c r="G237" s="97">
        <f t="shared" si="242"/>
        <v>40.327006453138175</v>
      </c>
      <c r="H237" s="97">
        <f t="shared" si="242"/>
        <v>36.838243038412671</v>
      </c>
      <c r="I237" s="97">
        <f t="shared" si="242"/>
        <v>39.927243701429056</v>
      </c>
      <c r="J237" s="97">
        <f t="shared" si="242"/>
        <v>52.719587292333273</v>
      </c>
      <c r="K237" s="97">
        <f t="shared" si="242"/>
        <v>60.709076113499329</v>
      </c>
      <c r="L237" s="97">
        <f t="shared" si="242"/>
        <v>59.059162779157454</v>
      </c>
      <c r="M237" s="97">
        <f t="shared" si="242"/>
        <v>63.574035216978906</v>
      </c>
      <c r="N237" s="97">
        <f t="shared" si="242"/>
        <v>69.736121041313879</v>
      </c>
      <c r="O237" s="97">
        <f t="shared" si="242"/>
        <v>66.470956054040272</v>
      </c>
      <c r="P237" s="97">
        <f t="shared" si="242"/>
        <v>53.522774590746359</v>
      </c>
      <c r="Q237" s="97">
        <f t="shared" si="242"/>
        <v>52.881802523846524</v>
      </c>
      <c r="R237" s="97">
        <f t="shared" si="242"/>
        <v>45.900945194634431</v>
      </c>
      <c r="S237" s="97">
        <f t="shared" si="242"/>
        <v>43.258957570378683</v>
      </c>
      <c r="T237" s="97">
        <f t="shared" si="242"/>
        <v>39.358852493784362</v>
      </c>
      <c r="U237" s="97">
        <f t="shared" si="242"/>
        <v>45.279197659723771</v>
      </c>
      <c r="V237" s="97">
        <f t="shared" si="242"/>
        <v>124.99184401514189</v>
      </c>
      <c r="W237" s="97">
        <f t="shared" si="242"/>
        <v>82.712080454236116</v>
      </c>
      <c r="X237" s="97">
        <f t="shared" si="242"/>
        <v>84.779617335096532</v>
      </c>
      <c r="Y237" s="97">
        <f t="shared" si="242"/>
        <v>61.68523109002907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0</v>
      </c>
      <c r="C238" s="130">
        <f t="shared" si="243"/>
        <v>0</v>
      </c>
      <c r="D238" s="130">
        <f t="shared" si="243"/>
        <v>0</v>
      </c>
      <c r="E238" s="130">
        <f t="shared" si="243"/>
        <v>0</v>
      </c>
      <c r="F238" s="130">
        <f t="shared" si="243"/>
        <v>0</v>
      </c>
      <c r="G238" s="130">
        <f t="shared" si="243"/>
        <v>0</v>
      </c>
      <c r="H238" s="130">
        <f t="shared" si="243"/>
        <v>0</v>
      </c>
      <c r="I238" s="130">
        <f t="shared" si="243"/>
        <v>497.0900347331858</v>
      </c>
      <c r="J238" s="130">
        <f t="shared" si="243"/>
        <v>798.11616730038031</v>
      </c>
      <c r="K238" s="130">
        <f t="shared" si="243"/>
        <v>964.54058053151539</v>
      </c>
      <c r="L238" s="130">
        <f t="shared" si="243"/>
        <v>1827.9812633534607</v>
      </c>
      <c r="M238" s="130">
        <f t="shared" si="243"/>
        <v>1531.5278373382628</v>
      </c>
      <c r="N238" s="130">
        <f t="shared" si="243"/>
        <v>985.52362156663241</v>
      </c>
      <c r="O238" s="130">
        <f t="shared" si="243"/>
        <v>1122.160417000802</v>
      </c>
      <c r="P238" s="130">
        <f t="shared" si="243"/>
        <v>1552.5155769230764</v>
      </c>
      <c r="Q238" s="130">
        <f t="shared" si="243"/>
        <v>1287.8972020725387</v>
      </c>
      <c r="R238" s="130">
        <f t="shared" si="243"/>
        <v>845.80297918065787</v>
      </c>
      <c r="S238" s="130">
        <f t="shared" si="243"/>
        <v>787.08537293656502</v>
      </c>
      <c r="T238" s="130">
        <f t="shared" si="243"/>
        <v>2378.5015241844771</v>
      </c>
      <c r="U238" s="130">
        <f t="shared" si="243"/>
        <v>1315.4437177280552</v>
      </c>
      <c r="V238" s="130">
        <f t="shared" si="243"/>
        <v>3661.05906</v>
      </c>
      <c r="W238" s="130">
        <f t="shared" si="243"/>
        <v>3944.2356000000009</v>
      </c>
      <c r="X238" s="130">
        <f t="shared" si="243"/>
        <v>3944.0811279826466</v>
      </c>
      <c r="Y238" s="130">
        <f t="shared" si="243"/>
        <v>3934.1531893265569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497.0900347331858</v>
      </c>
      <c r="J239" s="97">
        <f t="shared" si="244"/>
        <v>798.11616730038031</v>
      </c>
      <c r="K239" s="97">
        <f t="shared" si="244"/>
        <v>964.54058053151539</v>
      </c>
      <c r="L239" s="97">
        <f t="shared" si="244"/>
        <v>1827.9812633534607</v>
      </c>
      <c r="M239" s="97">
        <f t="shared" si="244"/>
        <v>1531.5278373382628</v>
      </c>
      <c r="N239" s="97">
        <f t="shared" si="244"/>
        <v>985.52362156663241</v>
      </c>
      <c r="O239" s="97">
        <f t="shared" si="244"/>
        <v>1122.160417000802</v>
      </c>
      <c r="P239" s="97">
        <f t="shared" si="244"/>
        <v>1552.5155769230764</v>
      </c>
      <c r="Q239" s="97">
        <f t="shared" si="244"/>
        <v>1287.8972020725387</v>
      </c>
      <c r="R239" s="97">
        <f t="shared" si="244"/>
        <v>845.80297918065787</v>
      </c>
      <c r="S239" s="97">
        <f t="shared" si="244"/>
        <v>787.08537293656502</v>
      </c>
      <c r="T239" s="97">
        <f t="shared" si="244"/>
        <v>2378.5015241844771</v>
      </c>
      <c r="U239" s="97">
        <f t="shared" si="244"/>
        <v>1315.4437177280552</v>
      </c>
      <c r="V239" s="97">
        <f t="shared" si="244"/>
        <v>3661.05906</v>
      </c>
      <c r="W239" s="97">
        <f t="shared" si="244"/>
        <v>3944.2356000000009</v>
      </c>
      <c r="X239" s="97">
        <f t="shared" si="244"/>
        <v>3944.0811279826466</v>
      </c>
      <c r="Y239" s="97">
        <f t="shared" si="244"/>
        <v>3934.1531893265569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5.8733953996453678</v>
      </c>
      <c r="C241" s="32">
        <f t="shared" si="246"/>
        <v>6.0760510169738717</v>
      </c>
      <c r="D241" s="32">
        <f t="shared" si="246"/>
        <v>6.0833484537102054</v>
      </c>
      <c r="E241" s="32">
        <f t="shared" si="246"/>
        <v>6.0817525706091562</v>
      </c>
      <c r="F241" s="32">
        <f t="shared" si="246"/>
        <v>6.0901885405232656</v>
      </c>
      <c r="G241" s="32">
        <f t="shared" si="246"/>
        <v>6.9218333895877491</v>
      </c>
      <c r="H241" s="32">
        <f t="shared" si="246"/>
        <v>6.2868802868273423</v>
      </c>
      <c r="I241" s="32">
        <f t="shared" si="246"/>
        <v>5.0401821811340843</v>
      </c>
      <c r="J241" s="32">
        <f t="shared" si="246"/>
        <v>5.9503593364189404</v>
      </c>
      <c r="K241" s="32">
        <f t="shared" si="246"/>
        <v>8.6579608252316795</v>
      </c>
      <c r="L241" s="32">
        <f t="shared" si="246"/>
        <v>7.482958789448972</v>
      </c>
      <c r="M241" s="32">
        <f t="shared" si="246"/>
        <v>5.4356478347899699</v>
      </c>
      <c r="N241" s="32">
        <f t="shared" si="246"/>
        <v>5.8359188747231974</v>
      </c>
      <c r="O241" s="32">
        <f t="shared" si="246"/>
        <v>6.4377936786413885</v>
      </c>
      <c r="P241" s="32">
        <f t="shared" si="246"/>
        <v>5.5227296786762503</v>
      </c>
      <c r="Q241" s="32">
        <f t="shared" si="246"/>
        <v>6.7436123613744297</v>
      </c>
      <c r="R241" s="32">
        <f t="shared" si="246"/>
        <v>8.5356355439935552</v>
      </c>
      <c r="S241" s="32">
        <f t="shared" si="246"/>
        <v>6.3082643186573311</v>
      </c>
      <c r="T241" s="32">
        <f t="shared" si="246"/>
        <v>0.8423728763366517</v>
      </c>
      <c r="U241" s="32">
        <f t="shared" si="246"/>
        <v>6.6458996402509767</v>
      </c>
      <c r="V241" s="32">
        <f t="shared" si="246"/>
        <v>7.7170505307965485</v>
      </c>
      <c r="W241" s="32">
        <f t="shared" si="246"/>
        <v>7.9380583820075294</v>
      </c>
      <c r="X241" s="32">
        <f t="shared" si="246"/>
        <v>3.1794454546719684</v>
      </c>
      <c r="Y241" s="32">
        <f t="shared" si="246"/>
        <v>1.3724996481249332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9.3033878973404764</v>
      </c>
      <c r="C242" s="97">
        <f t="shared" si="247"/>
        <v>9.606892859144029</v>
      </c>
      <c r="D242" s="97">
        <f t="shared" si="247"/>
        <v>9.6118843755180929</v>
      </c>
      <c r="E242" s="97">
        <f t="shared" si="247"/>
        <v>9.599807933909668</v>
      </c>
      <c r="F242" s="97">
        <f t="shared" si="247"/>
        <v>9.6263807158286117</v>
      </c>
      <c r="G242" s="97">
        <f t="shared" si="247"/>
        <v>11.44744436938916</v>
      </c>
      <c r="H242" s="97">
        <f t="shared" si="247"/>
        <v>9.7397942288366739</v>
      </c>
      <c r="I242" s="97">
        <f t="shared" si="247"/>
        <v>8.0890025391595124</v>
      </c>
      <c r="J242" s="97">
        <f t="shared" si="247"/>
        <v>9.8232934985429115</v>
      </c>
      <c r="K242" s="97">
        <f t="shared" si="247"/>
        <v>14.102237439856227</v>
      </c>
      <c r="L242" s="97">
        <f t="shared" si="247"/>
        <v>12.088621109199529</v>
      </c>
      <c r="M242" s="97">
        <f t="shared" si="247"/>
        <v>8.9937494769796</v>
      </c>
      <c r="N242" s="97">
        <f t="shared" si="247"/>
        <v>8.5145558715099252</v>
      </c>
      <c r="O242" s="97">
        <f t="shared" si="247"/>
        <v>8.7577194286604545</v>
      </c>
      <c r="P242" s="97">
        <f t="shared" si="247"/>
        <v>8.2683623900817356</v>
      </c>
      <c r="Q242" s="97">
        <f t="shared" si="247"/>
        <v>9.6431430933400311</v>
      </c>
      <c r="R242" s="97">
        <f t="shared" si="247"/>
        <v>12.689094932101343</v>
      </c>
      <c r="S242" s="97">
        <f t="shared" si="247"/>
        <v>10.399049177487425</v>
      </c>
      <c r="T242" s="97">
        <f t="shared" si="247"/>
        <v>1.5076937242755812</v>
      </c>
      <c r="U242" s="97">
        <f t="shared" si="247"/>
        <v>13.182649453082774</v>
      </c>
      <c r="V242" s="97">
        <f t="shared" si="247"/>
        <v>13.708631227714079</v>
      </c>
      <c r="W242" s="97">
        <f t="shared" si="247"/>
        <v>15.665673289410723</v>
      </c>
      <c r="X242" s="97">
        <f t="shared" si="247"/>
        <v>6.7934429245525338</v>
      </c>
      <c r="Y242" s="97">
        <f t="shared" si="247"/>
        <v>3.0666801524037477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4.2626429222916604</v>
      </c>
      <c r="C243" s="98">
        <f t="shared" si="248"/>
        <v>4.4562341804591146</v>
      </c>
      <c r="D243" s="98">
        <f t="shared" si="248"/>
        <v>4.464164999367612</v>
      </c>
      <c r="E243" s="98">
        <f t="shared" si="248"/>
        <v>4.462252192884141</v>
      </c>
      <c r="F243" s="98">
        <f t="shared" si="248"/>
        <v>4.4634583949387627</v>
      </c>
      <c r="G243" s="98">
        <f t="shared" si="248"/>
        <v>5.1343037628433654</v>
      </c>
      <c r="H243" s="98">
        <f t="shared" si="248"/>
        <v>4.8370905865569904</v>
      </c>
      <c r="I243" s="98">
        <f t="shared" si="248"/>
        <v>3.7579674249012767</v>
      </c>
      <c r="J243" s="98">
        <f t="shared" si="248"/>
        <v>4.3644713453995561</v>
      </c>
      <c r="K243" s="98">
        <f t="shared" si="248"/>
        <v>6.2719929270235024</v>
      </c>
      <c r="L243" s="98">
        <f t="shared" si="248"/>
        <v>5.2320153289543461</v>
      </c>
      <c r="M243" s="98">
        <f t="shared" si="248"/>
        <v>3.9070356219397833</v>
      </c>
      <c r="N243" s="98">
        <f t="shared" si="248"/>
        <v>4.3230258991655219</v>
      </c>
      <c r="O243" s="98">
        <f t="shared" si="248"/>
        <v>4.9041055513306659</v>
      </c>
      <c r="P243" s="98">
        <f t="shared" si="248"/>
        <v>4.0012715427581611</v>
      </c>
      <c r="Q243" s="98">
        <f t="shared" si="248"/>
        <v>4.8998985411875404</v>
      </c>
      <c r="R243" s="98">
        <f t="shared" si="248"/>
        <v>6.0423698612960433</v>
      </c>
      <c r="S243" s="98">
        <f t="shared" si="248"/>
        <v>4.2880036663304564</v>
      </c>
      <c r="T243" s="98">
        <f t="shared" si="248"/>
        <v>0.5675508259280877</v>
      </c>
      <c r="U243" s="98">
        <f t="shared" si="248"/>
        <v>4.5379704144234934</v>
      </c>
      <c r="V243" s="98">
        <f t="shared" si="248"/>
        <v>5.8042747901811795</v>
      </c>
      <c r="W243" s="98">
        <f t="shared" si="248"/>
        <v>5.9497439195589479</v>
      </c>
      <c r="X243" s="98">
        <f t="shared" si="248"/>
        <v>2.19112754559342</v>
      </c>
      <c r="Y243" s="98">
        <f t="shared" si="248"/>
        <v>0.93992695896128031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13913.181653045962</v>
      </c>
      <c r="C4" s="29">
        <f t="shared" si="0"/>
        <v>14370.620983163366</v>
      </c>
      <c r="D4" s="29">
        <f t="shared" si="0"/>
        <v>14926.543918647065</v>
      </c>
      <c r="E4" s="29">
        <f t="shared" si="0"/>
        <v>15615.499186383147</v>
      </c>
      <c r="F4" s="29">
        <f t="shared" si="0"/>
        <v>14226.539758109042</v>
      </c>
      <c r="G4" s="29">
        <f t="shared" si="0"/>
        <v>15067.145002662166</v>
      </c>
      <c r="H4" s="29">
        <f t="shared" si="0"/>
        <v>16863.183037440933</v>
      </c>
      <c r="I4" s="29">
        <f t="shared" si="0"/>
        <v>18662.520567367974</v>
      </c>
      <c r="J4" s="29">
        <f t="shared" si="0"/>
        <v>16828.529546990081</v>
      </c>
      <c r="K4" s="29">
        <f t="shared" si="0"/>
        <v>14903.919934233187</v>
      </c>
      <c r="L4" s="29">
        <f t="shared" ref="L4" si="1">L5+L6+L13</f>
        <v>14680.857606878166</v>
      </c>
      <c r="M4" s="29">
        <f t="shared" ref="M4:V4" si="2">M5+M6+M13</f>
        <v>13819.443030857099</v>
      </c>
      <c r="N4" s="29">
        <f t="shared" si="2"/>
        <v>14330.244191138874</v>
      </c>
      <c r="O4" s="29">
        <f t="shared" si="2"/>
        <v>14521.759128932594</v>
      </c>
      <c r="P4" s="29">
        <f t="shared" si="2"/>
        <v>15414.510663122062</v>
      </c>
      <c r="Q4" s="29">
        <f t="shared" si="2"/>
        <v>16277.702903989071</v>
      </c>
      <c r="R4" s="29">
        <f t="shared" si="2"/>
        <v>16567.30772122254</v>
      </c>
      <c r="S4" s="29">
        <f t="shared" si="2"/>
        <v>17592.553532027661</v>
      </c>
      <c r="T4" s="29">
        <f t="shared" si="2"/>
        <v>17897.722914299033</v>
      </c>
      <c r="U4" s="29">
        <f t="shared" si="2"/>
        <v>18155.92638634067</v>
      </c>
      <c r="V4" s="29">
        <f t="shared" si="2"/>
        <v>16516.289292884649</v>
      </c>
      <c r="W4" s="29">
        <f t="shared" ref="W4:Y4" si="3">W5+W6+W13</f>
        <v>14895.872560831549</v>
      </c>
      <c r="X4" s="29">
        <f t="shared" si="3"/>
        <v>14533.387139603312</v>
      </c>
      <c r="Y4" s="29">
        <f t="shared" si="3"/>
        <v>15385.880499290937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65.181653045962747</v>
      </c>
      <c r="C5" s="152">
        <f t="shared" si="4"/>
        <v>65.620983163366731</v>
      </c>
      <c r="D5" s="152">
        <f t="shared" si="4"/>
        <v>65.543918647064814</v>
      </c>
      <c r="E5" s="152">
        <f t="shared" si="4"/>
        <v>65.499186383147645</v>
      </c>
      <c r="F5" s="152">
        <f t="shared" si="4"/>
        <v>65.139758109043115</v>
      </c>
      <c r="G5" s="152">
        <f t="shared" si="4"/>
        <v>64.645002662167045</v>
      </c>
      <c r="H5" s="152">
        <f t="shared" si="4"/>
        <v>63.583037440929928</v>
      </c>
      <c r="I5" s="152">
        <f t="shared" si="4"/>
        <v>61.320567367973617</v>
      </c>
      <c r="J5" s="152">
        <f t="shared" si="4"/>
        <v>59.02954699008022</v>
      </c>
      <c r="K5" s="152">
        <f t="shared" si="4"/>
        <v>57.229934233188516</v>
      </c>
      <c r="L5" s="152">
        <f t="shared" ref="L5:L7" si="5">IF(L32=0,0,L32*L142)</f>
        <v>57.517606878163882</v>
      </c>
      <c r="M5" s="152">
        <f t="shared" ref="M5:V5" si="6">IF(M32=0,0,M32*M142)</f>
        <v>57.543030857099929</v>
      </c>
      <c r="N5" s="152">
        <f t="shared" si="6"/>
        <v>53.044191138874375</v>
      </c>
      <c r="O5" s="152">
        <f t="shared" si="6"/>
        <v>55.859128932591723</v>
      </c>
      <c r="P5" s="152">
        <f t="shared" si="6"/>
        <v>68.21066312206149</v>
      </c>
      <c r="Q5" s="152">
        <f t="shared" si="6"/>
        <v>87.702903989070165</v>
      </c>
      <c r="R5" s="152">
        <f t="shared" si="6"/>
        <v>88.507721222543736</v>
      </c>
      <c r="S5" s="152">
        <f t="shared" si="6"/>
        <v>84.453532027662547</v>
      </c>
      <c r="T5" s="152">
        <f t="shared" si="6"/>
        <v>81.322914299032959</v>
      </c>
      <c r="U5" s="152">
        <f t="shared" si="6"/>
        <v>87.126386340672369</v>
      </c>
      <c r="V5" s="152">
        <f t="shared" si="6"/>
        <v>78.989292884649601</v>
      </c>
      <c r="W5" s="152">
        <f t="shared" ref="W5:Y5" si="7">IF(W32=0,0,W32*W142)</f>
        <v>83.272560831547082</v>
      </c>
      <c r="X5" s="152">
        <f t="shared" si="7"/>
        <v>85.187139603308424</v>
      </c>
      <c r="Y5" s="152">
        <f t="shared" si="7"/>
        <v>92.980499290939704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11500</v>
      </c>
      <c r="C6" s="116">
        <f t="shared" si="8"/>
        <v>12000</v>
      </c>
      <c r="D6" s="116">
        <f t="shared" si="8"/>
        <v>12500</v>
      </c>
      <c r="E6" s="116">
        <f t="shared" si="8"/>
        <v>13000</v>
      </c>
      <c r="F6" s="116">
        <f t="shared" si="8"/>
        <v>11506.4</v>
      </c>
      <c r="G6" s="116">
        <f t="shared" si="8"/>
        <v>12111.499999999998</v>
      </c>
      <c r="H6" s="116">
        <f t="shared" si="8"/>
        <v>14019.6</v>
      </c>
      <c r="I6" s="116">
        <f t="shared" si="8"/>
        <v>15957.2</v>
      </c>
      <c r="J6" s="116">
        <f t="shared" si="8"/>
        <v>14252.5</v>
      </c>
      <c r="K6" s="116">
        <f t="shared" si="8"/>
        <v>12703.689999999999</v>
      </c>
      <c r="L6" s="116">
        <f t="shared" ref="L6" si="9">SUM(L7:L12)</f>
        <v>12312.340000000002</v>
      </c>
      <c r="M6" s="116">
        <f t="shared" ref="M6:V6" si="10">SUM(M7:M12)</f>
        <v>11349.9</v>
      </c>
      <c r="N6" s="116">
        <f t="shared" si="10"/>
        <v>11528</v>
      </c>
      <c r="O6" s="116">
        <f t="shared" si="10"/>
        <v>11733.400000000001</v>
      </c>
      <c r="P6" s="116">
        <f t="shared" si="10"/>
        <v>12625.800000000001</v>
      </c>
      <c r="Q6" s="116">
        <f t="shared" si="10"/>
        <v>13542.600000000002</v>
      </c>
      <c r="R6" s="116">
        <f t="shared" si="10"/>
        <v>13898.799999999997</v>
      </c>
      <c r="S6" s="116">
        <f t="shared" si="10"/>
        <v>14978</v>
      </c>
      <c r="T6" s="116">
        <f t="shared" si="10"/>
        <v>15256.000000000002</v>
      </c>
      <c r="U6" s="116">
        <f t="shared" si="10"/>
        <v>15499.999999999998</v>
      </c>
      <c r="V6" s="116">
        <f t="shared" si="10"/>
        <v>14773.999999999998</v>
      </c>
      <c r="W6" s="116">
        <f t="shared" ref="W6:Y6" si="11">SUM(W7:W12)</f>
        <v>13435.500000000002</v>
      </c>
      <c r="X6" s="116">
        <f t="shared" si="11"/>
        <v>12694.100000000002</v>
      </c>
      <c r="Y6" s="116">
        <f t="shared" si="11"/>
        <v>13402.899999999998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9685.964532766342</v>
      </c>
      <c r="C7" s="87">
        <f t="shared" si="12"/>
        <v>9788.9184162546462</v>
      </c>
      <c r="D7" s="87">
        <f t="shared" si="12"/>
        <v>9885.1877612500248</v>
      </c>
      <c r="E7" s="87">
        <f t="shared" si="12"/>
        <v>9816.213636599492</v>
      </c>
      <c r="F7" s="87">
        <f t="shared" si="12"/>
        <v>8225.9088536027321</v>
      </c>
      <c r="G7" s="87">
        <f t="shared" si="12"/>
        <v>8182.9261992380107</v>
      </c>
      <c r="H7" s="87">
        <f t="shared" si="12"/>
        <v>9049.2314627377582</v>
      </c>
      <c r="I7" s="87">
        <f t="shared" si="12"/>
        <v>10182.688293157837</v>
      </c>
      <c r="J7" s="87">
        <f t="shared" si="12"/>
        <v>8634.7793648532097</v>
      </c>
      <c r="K7" s="87">
        <f t="shared" si="12"/>
        <v>7081.6765476017026</v>
      </c>
      <c r="L7" s="87">
        <f t="shared" si="5"/>
        <v>6590.4189475543853</v>
      </c>
      <c r="M7" s="87">
        <f t="shared" ref="M7:V7" si="13">IF(M34=0,0,M34*M144)</f>
        <v>5681.8007746532612</v>
      </c>
      <c r="N7" s="87">
        <f t="shared" si="13"/>
        <v>5054.4086069275891</v>
      </c>
      <c r="O7" s="87">
        <f t="shared" si="13"/>
        <v>4749.755240130844</v>
      </c>
      <c r="P7" s="87">
        <f t="shared" si="13"/>
        <v>4411.1360039401598</v>
      </c>
      <c r="Q7" s="87">
        <f t="shared" si="13"/>
        <v>4457.6876526430815</v>
      </c>
      <c r="R7" s="87">
        <f t="shared" si="13"/>
        <v>4024.8465850597263</v>
      </c>
      <c r="S7" s="87">
        <f t="shared" si="13"/>
        <v>4034.6880721198577</v>
      </c>
      <c r="T7" s="87">
        <f t="shared" si="13"/>
        <v>3858.311980446058</v>
      </c>
      <c r="U7" s="87">
        <f t="shared" si="13"/>
        <v>3590.20861219364</v>
      </c>
      <c r="V7" s="87">
        <f t="shared" si="13"/>
        <v>3382.1171834099023</v>
      </c>
      <c r="W7" s="87">
        <f t="shared" ref="W7:Y7" si="14">IF(W34=0,0,W34*W144)</f>
        <v>3064.26641476349</v>
      </c>
      <c r="X7" s="87">
        <f t="shared" si="14"/>
        <v>2805.8754867434709</v>
      </c>
      <c r="Y7" s="87">
        <f t="shared" si="14"/>
        <v>3010.3358832709796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1258.428044629436</v>
      </c>
      <c r="C8" s="87">
        <f t="shared" si="15"/>
        <v>1613.8176196712957</v>
      </c>
      <c r="D8" s="87">
        <f t="shared" si="15"/>
        <v>2043.8667934292098</v>
      </c>
      <c r="E8" s="87">
        <f t="shared" si="15"/>
        <v>2580.6097703461255</v>
      </c>
      <c r="F8" s="87">
        <f t="shared" si="15"/>
        <v>2652.1504983421601</v>
      </c>
      <c r="G8" s="87">
        <f t="shared" si="15"/>
        <v>3267.9606709064224</v>
      </c>
      <c r="H8" s="87">
        <f t="shared" si="15"/>
        <v>4251.3626457234423</v>
      </c>
      <c r="I8" s="87">
        <f t="shared" si="15"/>
        <v>5051.6378066233556</v>
      </c>
      <c r="J8" s="87">
        <f t="shared" si="15"/>
        <v>5020.5972927420808</v>
      </c>
      <c r="K8" s="87">
        <f t="shared" si="15"/>
        <v>5065.5302501008246</v>
      </c>
      <c r="L8" s="87">
        <f t="shared" ref="L8" si="16">IF(L35=0,0,L35*L145)</f>
        <v>5127.3261100382115</v>
      </c>
      <c r="M8" s="87">
        <f t="shared" ref="M8:V8" si="17">IF(M35=0,0,M35*M145)</f>
        <v>5005.2857840719262</v>
      </c>
      <c r="N8" s="87">
        <f t="shared" si="17"/>
        <v>5407.1647049968606</v>
      </c>
      <c r="O8" s="87">
        <f t="shared" si="17"/>
        <v>5799.0881557719422</v>
      </c>
      <c r="P8" s="87">
        <f t="shared" si="17"/>
        <v>6901.0161667506045</v>
      </c>
      <c r="Q8" s="87">
        <f t="shared" si="17"/>
        <v>7927.8088040546236</v>
      </c>
      <c r="R8" s="87">
        <f t="shared" si="17"/>
        <v>8612.6677960762536</v>
      </c>
      <c r="S8" s="87">
        <f t="shared" si="17"/>
        <v>9737.6912991359277</v>
      </c>
      <c r="T8" s="87">
        <f t="shared" si="17"/>
        <v>10293.679627446536</v>
      </c>
      <c r="U8" s="87">
        <f t="shared" si="17"/>
        <v>10941.353666731457</v>
      </c>
      <c r="V8" s="87">
        <f t="shared" si="17"/>
        <v>10565.24371519096</v>
      </c>
      <c r="W8" s="87">
        <f t="shared" ref="W8:Y8" si="18">IF(W35=0,0,W35*W145)</f>
        <v>9701.4637527347495</v>
      </c>
      <c r="X8" s="87">
        <f t="shared" si="18"/>
        <v>9255.6855385410072</v>
      </c>
      <c r="Y8" s="87">
        <f t="shared" si="18"/>
        <v>9712.9715485501256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552.44973480136946</v>
      </c>
      <c r="C9" s="87">
        <f t="shared" si="19"/>
        <v>594.64764232880259</v>
      </c>
      <c r="D9" s="87">
        <f t="shared" si="19"/>
        <v>568.52271571103608</v>
      </c>
      <c r="E9" s="87">
        <f t="shared" si="19"/>
        <v>600.96540718282586</v>
      </c>
      <c r="F9" s="87">
        <f t="shared" si="19"/>
        <v>626.69900907083468</v>
      </c>
      <c r="G9" s="87">
        <f t="shared" si="19"/>
        <v>658.98170572362881</v>
      </c>
      <c r="H9" s="87">
        <f t="shared" si="19"/>
        <v>717.75909219911944</v>
      </c>
      <c r="I9" s="87">
        <f t="shared" si="19"/>
        <v>721.71363659810606</v>
      </c>
      <c r="J9" s="87">
        <f t="shared" si="19"/>
        <v>596.19004758219728</v>
      </c>
      <c r="K9" s="87">
        <f t="shared" si="19"/>
        <v>555.64483361099406</v>
      </c>
      <c r="L9" s="87">
        <f t="shared" ref="L9" si="20">IF(L36=0,0,L36*L146)</f>
        <v>594.59494240740355</v>
      </c>
      <c r="M9" s="87">
        <f t="shared" ref="M9:V9" si="21">IF(M36=0,0,M36*M146)</f>
        <v>662.8134412748127</v>
      </c>
      <c r="N9" s="87">
        <f t="shared" si="21"/>
        <v>1066.205977219267</v>
      </c>
      <c r="O9" s="87">
        <f t="shared" si="21"/>
        <v>1184.2037317649567</v>
      </c>
      <c r="P9" s="87">
        <f t="shared" si="21"/>
        <v>1310.2991100805616</v>
      </c>
      <c r="Q9" s="87">
        <f t="shared" si="21"/>
        <v>1153.1702845693937</v>
      </c>
      <c r="R9" s="87">
        <f t="shared" si="21"/>
        <v>1256.8683810203459</v>
      </c>
      <c r="S9" s="87">
        <f t="shared" si="21"/>
        <v>1199.5582337056803</v>
      </c>
      <c r="T9" s="87">
        <f t="shared" si="21"/>
        <v>1093.0389831762384</v>
      </c>
      <c r="U9" s="87">
        <f t="shared" si="21"/>
        <v>953.77082730476752</v>
      </c>
      <c r="V9" s="87">
        <f t="shared" si="21"/>
        <v>802.72706655053923</v>
      </c>
      <c r="W9" s="87">
        <f t="shared" ref="W9:Y9" si="22">IF(W36=0,0,W36*W146)</f>
        <v>634.94564003324842</v>
      </c>
      <c r="X9" s="87">
        <f t="shared" si="22"/>
        <v>572.88099559357318</v>
      </c>
      <c r="Y9" s="87">
        <f t="shared" si="22"/>
        <v>581.69174843034523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3.1576878028519118</v>
      </c>
      <c r="C10" s="87">
        <f t="shared" si="23"/>
        <v>2.6163217452551804</v>
      </c>
      <c r="D10" s="87">
        <f t="shared" si="23"/>
        <v>2.4227296097287967</v>
      </c>
      <c r="E10" s="87">
        <f t="shared" si="23"/>
        <v>2.2111858715570007</v>
      </c>
      <c r="F10" s="87">
        <f t="shared" si="23"/>
        <v>1.6416389842719383</v>
      </c>
      <c r="G10" s="87">
        <f t="shared" si="23"/>
        <v>1.6314241319362373</v>
      </c>
      <c r="H10" s="87">
        <f t="shared" si="23"/>
        <v>1.2467993396799641</v>
      </c>
      <c r="I10" s="87">
        <f t="shared" si="23"/>
        <v>1.1602636207035151</v>
      </c>
      <c r="J10" s="87">
        <f t="shared" si="23"/>
        <v>0.93329482251263796</v>
      </c>
      <c r="K10" s="87">
        <f t="shared" si="23"/>
        <v>0.83836868647874752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2.3574594775338786</v>
      </c>
      <c r="U10" s="87">
        <f t="shared" si="25"/>
        <v>2.5582414058495098</v>
      </c>
      <c r="V10" s="87">
        <f t="shared" si="25"/>
        <v>2.8237394027928362</v>
      </c>
      <c r="W10" s="87">
        <f t="shared" ref="W10:Y10" si="26">IF(W37=0,0,W37*W147)</f>
        <v>2.7390346929872176</v>
      </c>
      <c r="X10" s="87">
        <f t="shared" si="26"/>
        <v>2.7966746695576461</v>
      </c>
      <c r="Y10" s="87">
        <f t="shared" si="26"/>
        <v>3.1392733584785519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4.4309925210617329E-2</v>
      </c>
      <c r="O11" s="87">
        <f t="shared" si="29"/>
        <v>8.5634226861688839E-2</v>
      </c>
      <c r="P11" s="87">
        <f t="shared" si="29"/>
        <v>0.13407335028854417</v>
      </c>
      <c r="Q11" s="87">
        <f t="shared" si="29"/>
        <v>0.35837614752677327</v>
      </c>
      <c r="R11" s="87">
        <f t="shared" si="29"/>
        <v>0.40740152745813946</v>
      </c>
      <c r="S11" s="87">
        <f t="shared" si="29"/>
        <v>0.79468576405245028</v>
      </c>
      <c r="T11" s="87">
        <f t="shared" si="29"/>
        <v>1.4427220054325378</v>
      </c>
      <c r="U11" s="87">
        <f t="shared" si="29"/>
        <v>1.9470905905366189</v>
      </c>
      <c r="V11" s="87">
        <f t="shared" si="29"/>
        <v>2.9904450825005076</v>
      </c>
      <c r="W11" s="87">
        <f t="shared" ref="W11:Y11" si="30">IF(W38=0,0,W38*W148)</f>
        <v>4.7492298128537156</v>
      </c>
      <c r="X11" s="87">
        <f t="shared" si="30"/>
        <v>7.3555467561722159</v>
      </c>
      <c r="Y11" s="87">
        <f t="shared" si="30"/>
        <v>11.875627764586998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0.17640093107314289</v>
      </c>
      <c r="O12" s="87">
        <f t="shared" si="33"/>
        <v>0.26723810539578835</v>
      </c>
      <c r="P12" s="87">
        <f t="shared" si="33"/>
        <v>3.2146458783855829</v>
      </c>
      <c r="Q12" s="87">
        <f t="shared" si="33"/>
        <v>3.5748825853754376</v>
      </c>
      <c r="R12" s="87">
        <f t="shared" si="33"/>
        <v>4.0098363162150976</v>
      </c>
      <c r="S12" s="87">
        <f t="shared" si="33"/>
        <v>5.2677092744807776</v>
      </c>
      <c r="T12" s="87">
        <f t="shared" si="33"/>
        <v>7.1692274482012941</v>
      </c>
      <c r="U12" s="87">
        <f t="shared" si="33"/>
        <v>10.161561773748828</v>
      </c>
      <c r="V12" s="87">
        <f t="shared" si="33"/>
        <v>18.097850363304829</v>
      </c>
      <c r="W12" s="87">
        <f t="shared" ref="W12:Y12" si="34">IF(W39=0,0,W39*W149)</f>
        <v>27.335927962671349</v>
      </c>
      <c r="X12" s="87">
        <f t="shared" si="34"/>
        <v>49.505757696218971</v>
      </c>
      <c r="Y12" s="87">
        <f t="shared" si="34"/>
        <v>82.885918625483583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2348</v>
      </c>
      <c r="C13" s="116">
        <f t="shared" si="35"/>
        <v>2305.0000000000005</v>
      </c>
      <c r="D13" s="116">
        <f t="shared" si="35"/>
        <v>2361</v>
      </c>
      <c r="E13" s="116">
        <f t="shared" si="35"/>
        <v>2550</v>
      </c>
      <c r="F13" s="116">
        <f t="shared" si="35"/>
        <v>2655</v>
      </c>
      <c r="G13" s="116">
        <f t="shared" si="35"/>
        <v>2891</v>
      </c>
      <c r="H13" s="116">
        <f t="shared" si="35"/>
        <v>2780</v>
      </c>
      <c r="I13" s="116">
        <f t="shared" si="35"/>
        <v>2644</v>
      </c>
      <c r="J13" s="116">
        <f t="shared" si="35"/>
        <v>2517</v>
      </c>
      <c r="K13" s="116">
        <f t="shared" si="35"/>
        <v>2143</v>
      </c>
      <c r="L13" s="116">
        <f t="shared" ref="L13" si="36">SUM(L14:L18)</f>
        <v>2311</v>
      </c>
      <c r="M13" s="116">
        <f t="shared" ref="M13:V13" si="37">SUM(M14:M18)</f>
        <v>2412</v>
      </c>
      <c r="N13" s="116">
        <f t="shared" si="37"/>
        <v>2749.1999999999994</v>
      </c>
      <c r="O13" s="116">
        <f t="shared" si="37"/>
        <v>2732.5</v>
      </c>
      <c r="P13" s="116">
        <f t="shared" si="37"/>
        <v>2720.5</v>
      </c>
      <c r="Q13" s="116">
        <f t="shared" si="37"/>
        <v>2647.3999999999996</v>
      </c>
      <c r="R13" s="116">
        <f t="shared" si="37"/>
        <v>2580</v>
      </c>
      <c r="S13" s="116">
        <f t="shared" si="37"/>
        <v>2530.1000000000004</v>
      </c>
      <c r="T13" s="116">
        <f t="shared" si="37"/>
        <v>2560.3999999999996</v>
      </c>
      <c r="U13" s="116">
        <f t="shared" si="37"/>
        <v>2568.7999999999997</v>
      </c>
      <c r="V13" s="116">
        <f t="shared" si="37"/>
        <v>1663.3</v>
      </c>
      <c r="W13" s="116">
        <f t="shared" ref="W13:Y13" si="38">SUM(W14:W18)</f>
        <v>1377.1000000000001</v>
      </c>
      <c r="X13" s="116">
        <f t="shared" si="38"/>
        <v>1754.1</v>
      </c>
      <c r="Y13" s="116">
        <f t="shared" si="38"/>
        <v>1890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89.547050201354722</v>
      </c>
      <c r="C14" s="101">
        <f t="shared" si="39"/>
        <v>89.115791198972858</v>
      </c>
      <c r="D14" s="101">
        <f t="shared" si="39"/>
        <v>88.523485780045178</v>
      </c>
      <c r="E14" s="101">
        <f t="shared" si="39"/>
        <v>86.189443459663579</v>
      </c>
      <c r="F14" s="101">
        <f t="shared" si="39"/>
        <v>83.349164976655459</v>
      </c>
      <c r="G14" s="101">
        <f t="shared" si="39"/>
        <v>84.467050881646372</v>
      </c>
      <c r="H14" s="101">
        <f t="shared" si="39"/>
        <v>77.018509919029938</v>
      </c>
      <c r="I14" s="101">
        <f t="shared" si="39"/>
        <v>69.219066065039556</v>
      </c>
      <c r="J14" s="101">
        <f t="shared" si="39"/>
        <v>63.295494723223051</v>
      </c>
      <c r="K14" s="101">
        <f t="shared" si="39"/>
        <v>54.98033249328504</v>
      </c>
      <c r="L14" s="101">
        <f t="shared" ref="L14" si="40">IF(L41=0,0,L41*L151)</f>
        <v>48.535399453243784</v>
      </c>
      <c r="M14" s="101">
        <f t="shared" ref="M14:V14" si="41">IF(M41=0,0,M41*M151)</f>
        <v>30.908163418177995</v>
      </c>
      <c r="N14" s="101">
        <f t="shared" si="41"/>
        <v>27.915827759715416</v>
      </c>
      <c r="O14" s="101">
        <f t="shared" si="41"/>
        <v>20.368143234642176</v>
      </c>
      <c r="P14" s="101">
        <f t="shared" si="41"/>
        <v>13.563836473355506</v>
      </c>
      <c r="Q14" s="101">
        <f t="shared" si="41"/>
        <v>11.080250523755002</v>
      </c>
      <c r="R14" s="101">
        <f t="shared" si="41"/>
        <v>8.0923859793633621</v>
      </c>
      <c r="S14" s="101">
        <f t="shared" si="41"/>
        <v>7.1729046683384219</v>
      </c>
      <c r="T14" s="101">
        <f t="shared" si="41"/>
        <v>6.4344043546986782</v>
      </c>
      <c r="U14" s="101">
        <f t="shared" si="41"/>
        <v>6.0938442812430189</v>
      </c>
      <c r="V14" s="101">
        <f t="shared" si="41"/>
        <v>3.6362183994585942</v>
      </c>
      <c r="W14" s="101">
        <f t="shared" ref="W14:Y14" si="42">IF(W41=0,0,W41*W151)</f>
        <v>2.5316322741338984</v>
      </c>
      <c r="X14" s="101">
        <f t="shared" si="42"/>
        <v>2.8019567810437698</v>
      </c>
      <c r="Y14" s="101">
        <f t="shared" si="42"/>
        <v>3.2733019638012371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2191.1495613704742</v>
      </c>
      <c r="C15" s="101">
        <f t="shared" si="43"/>
        <v>2128.6086137054358</v>
      </c>
      <c r="D15" s="101">
        <f t="shared" si="43"/>
        <v>2199.7020261590806</v>
      </c>
      <c r="E15" s="101">
        <f t="shared" si="43"/>
        <v>2391.9514761605137</v>
      </c>
      <c r="F15" s="101">
        <f t="shared" si="43"/>
        <v>2497.1053576024178</v>
      </c>
      <c r="G15" s="101">
        <f t="shared" si="43"/>
        <v>2700.0477219649324</v>
      </c>
      <c r="H15" s="101">
        <f t="shared" si="43"/>
        <v>2600.4771461679852</v>
      </c>
      <c r="I15" s="101">
        <f t="shared" si="43"/>
        <v>2459.1073582570643</v>
      </c>
      <c r="J15" s="101">
        <f t="shared" si="43"/>
        <v>2328.5320394620135</v>
      </c>
      <c r="K15" s="101">
        <f t="shared" si="43"/>
        <v>1950.8726233250477</v>
      </c>
      <c r="L15" s="101">
        <f t="shared" ref="L15" si="44">IF(L42=0,0,L42*L152)</f>
        <v>2063.9128977825985</v>
      </c>
      <c r="M15" s="101">
        <f t="shared" ref="M15:V15" si="45">IF(M42=0,0,M42*M152)</f>
        <v>2173.5685730843356</v>
      </c>
      <c r="N15" s="101">
        <f t="shared" si="45"/>
        <v>2488.767446122587</v>
      </c>
      <c r="O15" s="101">
        <f t="shared" si="45"/>
        <v>2480.5433752442173</v>
      </c>
      <c r="P15" s="101">
        <f t="shared" si="45"/>
        <v>2476.4376992661937</v>
      </c>
      <c r="Q15" s="101">
        <f t="shared" si="45"/>
        <v>2399.8957159614852</v>
      </c>
      <c r="R15" s="101">
        <f t="shared" si="45"/>
        <v>2320.7546088794488</v>
      </c>
      <c r="S15" s="101">
        <f t="shared" si="45"/>
        <v>2307.9393408872425</v>
      </c>
      <c r="T15" s="101">
        <f t="shared" si="45"/>
        <v>2329.2484610613965</v>
      </c>
      <c r="U15" s="101">
        <f t="shared" si="45"/>
        <v>2315.8293794009828</v>
      </c>
      <c r="V15" s="101">
        <f t="shared" si="45"/>
        <v>1459.670956686937</v>
      </c>
      <c r="W15" s="101">
        <f t="shared" ref="W15:Y15" si="46">IF(W42=0,0,W42*W152)</f>
        <v>1134.884872190421</v>
      </c>
      <c r="X15" s="101">
        <f t="shared" si="46"/>
        <v>1443.8714921146038</v>
      </c>
      <c r="Y15" s="101">
        <f t="shared" si="46"/>
        <v>1509.5694322638547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6.2251748471305781</v>
      </c>
      <c r="S16" s="101">
        <f t="shared" si="49"/>
        <v>4.5882433408437269</v>
      </c>
      <c r="T16" s="101">
        <f t="shared" si="49"/>
        <v>3.6230236627296986</v>
      </c>
      <c r="U16" s="101">
        <f t="shared" si="49"/>
        <v>2.5944841488794461</v>
      </c>
      <c r="V16" s="101">
        <f t="shared" si="49"/>
        <v>1.41080540068188</v>
      </c>
      <c r="W16" s="101">
        <f t="shared" ref="W16:Y16" si="50">IF(W43=0,0,W43*W153)</f>
        <v>1.1333333979011306</v>
      </c>
      <c r="X16" s="101">
        <f t="shared" si="50"/>
        <v>1.3695203579743631</v>
      </c>
      <c r="Y16" s="101">
        <f t="shared" si="50"/>
        <v>1.4496360302258215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60.417416549018263</v>
      </c>
      <c r="C17" s="101">
        <f t="shared" si="51"/>
        <v>71.101546925340969</v>
      </c>
      <c r="D17" s="101">
        <f t="shared" si="51"/>
        <v>56.883760500277653</v>
      </c>
      <c r="E17" s="101">
        <f t="shared" si="51"/>
        <v>56.779843295351846</v>
      </c>
      <c r="F17" s="101">
        <f t="shared" si="51"/>
        <v>58.995992072983718</v>
      </c>
      <c r="G17" s="101">
        <f t="shared" si="51"/>
        <v>66.082553208522654</v>
      </c>
      <c r="H17" s="101">
        <f t="shared" si="51"/>
        <v>61.141269296275624</v>
      </c>
      <c r="I17" s="101">
        <f t="shared" si="51"/>
        <v>55.010484303020512</v>
      </c>
      <c r="J17" s="101">
        <f t="shared" si="51"/>
        <v>19.751768197039624</v>
      </c>
      <c r="K17" s="101">
        <f t="shared" si="51"/>
        <v>0.72193413261465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4.743456454157462</v>
      </c>
      <c r="V17" s="101">
        <f t="shared" si="53"/>
        <v>15.353299720749645</v>
      </c>
      <c r="W17" s="101">
        <f t="shared" ref="W17:Y17" si="54">IF(W44=0,0,W44*W154)</f>
        <v>34.260192663120719</v>
      </c>
      <c r="X17" s="101">
        <f t="shared" si="54"/>
        <v>78.090123730820963</v>
      </c>
      <c r="Y17" s="101">
        <f t="shared" si="54"/>
        <v>98.402766224166967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6.8859718791530025</v>
      </c>
      <c r="C18" s="101">
        <f t="shared" si="55"/>
        <v>16.174048170250565</v>
      </c>
      <c r="D18" s="101">
        <f t="shared" si="55"/>
        <v>15.890727560596526</v>
      </c>
      <c r="E18" s="101">
        <f t="shared" si="55"/>
        <v>15.079237084470966</v>
      </c>
      <c r="F18" s="101">
        <f t="shared" si="55"/>
        <v>15.549485347942783</v>
      </c>
      <c r="G18" s="101">
        <f t="shared" si="55"/>
        <v>40.402673944898623</v>
      </c>
      <c r="H18" s="101">
        <f t="shared" si="55"/>
        <v>41.363074616709191</v>
      </c>
      <c r="I18" s="101">
        <f t="shared" si="55"/>
        <v>60.663091374875691</v>
      </c>
      <c r="J18" s="101">
        <f t="shared" si="55"/>
        <v>105.42069761772393</v>
      </c>
      <c r="K18" s="101">
        <f t="shared" si="55"/>
        <v>136.42511004905259</v>
      </c>
      <c r="L18" s="101">
        <f t="shared" ref="L18" si="56">IF(L45=0,0,L45*L155)</f>
        <v>198.55170276415771</v>
      </c>
      <c r="M18" s="101">
        <f t="shared" ref="M18:V18" si="57">IF(M45=0,0,M45*M155)</f>
        <v>207.52326349748651</v>
      </c>
      <c r="N18" s="101">
        <f t="shared" si="57"/>
        <v>232.51672611769729</v>
      </c>
      <c r="O18" s="101">
        <f t="shared" si="57"/>
        <v>231.58848152114064</v>
      </c>
      <c r="P18" s="101">
        <f t="shared" si="57"/>
        <v>230.49846426045076</v>
      </c>
      <c r="Q18" s="101">
        <f t="shared" si="57"/>
        <v>236.42403351475991</v>
      </c>
      <c r="R18" s="101">
        <f t="shared" si="57"/>
        <v>244.9278302940572</v>
      </c>
      <c r="S18" s="101">
        <f t="shared" si="57"/>
        <v>210.39951110357552</v>
      </c>
      <c r="T18" s="101">
        <f t="shared" si="57"/>
        <v>221.094110921175</v>
      </c>
      <c r="U18" s="101">
        <f t="shared" si="57"/>
        <v>239.53883571473736</v>
      </c>
      <c r="V18" s="101">
        <f t="shared" si="57"/>
        <v>183.22871979217283</v>
      </c>
      <c r="W18" s="101">
        <f t="shared" ref="W18:Y18" si="58">IF(W45=0,0,W45*W155)</f>
        <v>204.28996947442326</v>
      </c>
      <c r="X18" s="101">
        <f t="shared" si="58"/>
        <v>227.96690701555701</v>
      </c>
      <c r="Y18" s="101">
        <f t="shared" si="58"/>
        <v>277.30486351795139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2271.9251329923277</v>
      </c>
      <c r="C19" s="29">
        <f t="shared" si="59"/>
        <v>2495.4143487136403</v>
      </c>
      <c r="D19" s="29">
        <f t="shared" si="59"/>
        <v>2885.435761335174</v>
      </c>
      <c r="E19" s="29">
        <f t="shared" si="59"/>
        <v>3289.516395466715</v>
      </c>
      <c r="F19" s="29">
        <f t="shared" si="59"/>
        <v>3466.4167190555445</v>
      </c>
      <c r="G19" s="29">
        <f t="shared" si="59"/>
        <v>3847.8177994427474</v>
      </c>
      <c r="H19" s="29">
        <f t="shared" si="59"/>
        <v>4072.4365010334432</v>
      </c>
      <c r="I19" s="29">
        <f t="shared" si="59"/>
        <v>4543.979143211187</v>
      </c>
      <c r="J19" s="29">
        <f t="shared" si="59"/>
        <v>4025.6470931445001</v>
      </c>
      <c r="K19" s="29">
        <f t="shared" si="59"/>
        <v>3344.8865592298348</v>
      </c>
      <c r="L19" s="29">
        <f t="shared" ref="L19" si="60">L20+L26</f>
        <v>3857.4301076160195</v>
      </c>
      <c r="M19" s="29">
        <f t="shared" ref="M19:V19" si="61">M20+M26</f>
        <v>4127.4411964883157</v>
      </c>
      <c r="N19" s="29">
        <f t="shared" si="61"/>
        <v>4253.4818797285025</v>
      </c>
      <c r="O19" s="29">
        <f t="shared" si="61"/>
        <v>4688.1033768269244</v>
      </c>
      <c r="P19" s="29">
        <f t="shared" si="61"/>
        <v>4664.3113953444645</v>
      </c>
      <c r="Q19" s="29">
        <f t="shared" si="61"/>
        <v>4975.0713169161381</v>
      </c>
      <c r="R19" s="29">
        <f t="shared" si="61"/>
        <v>5032.8850649307496</v>
      </c>
      <c r="S19" s="29">
        <f t="shared" si="61"/>
        <v>5462.7907371832871</v>
      </c>
      <c r="T19" s="29">
        <f t="shared" si="61"/>
        <v>5877.2869287172362</v>
      </c>
      <c r="U19" s="29">
        <f t="shared" si="61"/>
        <v>5578.4844291173558</v>
      </c>
      <c r="V19" s="29">
        <f t="shared" si="61"/>
        <v>6351.9243231345672</v>
      </c>
      <c r="W19" s="29">
        <f t="shared" ref="W19:Y19" si="62">W20+W26</f>
        <v>6626.6464324292729</v>
      </c>
      <c r="X19" s="29">
        <f t="shared" si="62"/>
        <v>6738.4736048730019</v>
      </c>
      <c r="Y19" s="29">
        <f t="shared" si="62"/>
        <v>6823.885553965345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64.683922696056712</v>
      </c>
      <c r="C20" s="152">
        <f t="shared" si="63"/>
        <v>75.667119170166401</v>
      </c>
      <c r="D20" s="152">
        <f t="shared" si="63"/>
        <v>97.978914687905132</v>
      </c>
      <c r="E20" s="152">
        <f t="shared" si="63"/>
        <v>90.799061708934147</v>
      </c>
      <c r="F20" s="152">
        <f t="shared" si="63"/>
        <v>118.76644958043323</v>
      </c>
      <c r="G20" s="152">
        <f t="shared" si="63"/>
        <v>111.79876974737134</v>
      </c>
      <c r="H20" s="152">
        <f t="shared" si="63"/>
        <v>124.00746618409428</v>
      </c>
      <c r="I20" s="152">
        <f t="shared" si="63"/>
        <v>136.67038540466925</v>
      </c>
      <c r="J20" s="152">
        <f t="shared" si="63"/>
        <v>139.85830611577504</v>
      </c>
      <c r="K20" s="152">
        <f t="shared" si="63"/>
        <v>134.05961384405344</v>
      </c>
      <c r="L20" s="152">
        <f t="shared" ref="L20" si="64">SUM(L21:L25)</f>
        <v>115.04013352318664</v>
      </c>
      <c r="M20" s="152">
        <f t="shared" ref="M20:V20" si="65">SUM(M21:M25)</f>
        <v>119.76595707293625</v>
      </c>
      <c r="N20" s="152">
        <f t="shared" si="65"/>
        <v>131.01317383329516</v>
      </c>
      <c r="O20" s="152">
        <f t="shared" si="65"/>
        <v>152.74117360109145</v>
      </c>
      <c r="P20" s="152">
        <f t="shared" si="65"/>
        <v>168.28588907561689</v>
      </c>
      <c r="Q20" s="152">
        <f t="shared" si="65"/>
        <v>177.80931372232368</v>
      </c>
      <c r="R20" s="152">
        <f t="shared" si="65"/>
        <v>178.1165048428393</v>
      </c>
      <c r="S20" s="152">
        <f t="shared" si="65"/>
        <v>186.07935601220535</v>
      </c>
      <c r="T20" s="152">
        <f t="shared" si="65"/>
        <v>190.2869287172359</v>
      </c>
      <c r="U20" s="152">
        <f t="shared" si="65"/>
        <v>196.48442911735546</v>
      </c>
      <c r="V20" s="152">
        <f t="shared" si="65"/>
        <v>202.92432313456737</v>
      </c>
      <c r="W20" s="152">
        <f t="shared" ref="W20:Y20" si="66">SUM(W21:W25)</f>
        <v>209.64643242927303</v>
      </c>
      <c r="X20" s="152">
        <f t="shared" si="66"/>
        <v>215.47360487300227</v>
      </c>
      <c r="Y20" s="152">
        <f t="shared" si="66"/>
        <v>221.88555396534491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22.407054675299097</v>
      </c>
      <c r="C21" s="87">
        <f t="shared" si="67"/>
        <v>22.855583163217478</v>
      </c>
      <c r="D21" s="87">
        <f t="shared" si="67"/>
        <v>21.600423017272444</v>
      </c>
      <c r="E21" s="87">
        <f t="shared" si="67"/>
        <v>21.498615534065156</v>
      </c>
      <c r="F21" s="87">
        <f t="shared" si="67"/>
        <v>20.95400659357426</v>
      </c>
      <c r="G21" s="87">
        <f t="shared" si="67"/>
        <v>20.955087631139161</v>
      </c>
      <c r="H21" s="87">
        <f t="shared" si="67"/>
        <v>21.276686698510183</v>
      </c>
      <c r="I21" s="87">
        <f t="shared" si="67"/>
        <v>20.553893623383548</v>
      </c>
      <c r="J21" s="87">
        <f t="shared" si="67"/>
        <v>17.195168871330175</v>
      </c>
      <c r="K21" s="87">
        <f t="shared" si="67"/>
        <v>13.941453300360656</v>
      </c>
      <c r="L21" s="87">
        <f t="shared" ref="L21" si="68">IF(L48=0,0,L48*L158)</f>
        <v>6.3645953547655489</v>
      </c>
      <c r="M21" s="87">
        <f t="shared" ref="M21:V21" si="69">IF(M48=0,0,M48*M158)</f>
        <v>5.7586967768594022</v>
      </c>
      <c r="N21" s="87">
        <f t="shared" si="69"/>
        <v>5.7708808707956809</v>
      </c>
      <c r="O21" s="87">
        <f t="shared" si="69"/>
        <v>5.029469315079945</v>
      </c>
      <c r="P21" s="87">
        <f t="shared" si="69"/>
        <v>3.8353628535554041</v>
      </c>
      <c r="Q21" s="87">
        <f t="shared" si="69"/>
        <v>3.6681859424707257</v>
      </c>
      <c r="R21" s="87">
        <f t="shared" si="69"/>
        <v>3.1200681812068209</v>
      </c>
      <c r="S21" s="87">
        <f t="shared" si="69"/>
        <v>2.9425313164852769</v>
      </c>
      <c r="T21" s="87">
        <f t="shared" si="69"/>
        <v>2.7677067710128234</v>
      </c>
      <c r="U21" s="87">
        <f t="shared" si="69"/>
        <v>2.5357355418246033</v>
      </c>
      <c r="V21" s="87">
        <f t="shared" si="69"/>
        <v>2.4873468433926682</v>
      </c>
      <c r="W21" s="87">
        <f t="shared" ref="W21:Y21" si="70">IF(W48=0,0,W48*W158)</f>
        <v>2.432258646935197</v>
      </c>
      <c r="X21" s="87">
        <f t="shared" si="70"/>
        <v>2.4139453541222342</v>
      </c>
      <c r="Y21" s="87">
        <f t="shared" si="70"/>
        <v>2.4608967838907279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42.276868020757611</v>
      </c>
      <c r="C22" s="87">
        <f t="shared" si="71"/>
        <v>52.811536006948927</v>
      </c>
      <c r="D22" s="87">
        <f t="shared" si="71"/>
        <v>76.378491670632684</v>
      </c>
      <c r="E22" s="87">
        <f t="shared" si="71"/>
        <v>69.300446174868995</v>
      </c>
      <c r="F22" s="87">
        <f t="shared" si="71"/>
        <v>97.812442986858969</v>
      </c>
      <c r="G22" s="87">
        <f t="shared" si="71"/>
        <v>90.843682116232173</v>
      </c>
      <c r="H22" s="87">
        <f t="shared" si="71"/>
        <v>102.73077948558409</v>
      </c>
      <c r="I22" s="87">
        <f t="shared" si="71"/>
        <v>116.11649178128569</v>
      </c>
      <c r="J22" s="87">
        <f t="shared" si="71"/>
        <v>122.66313724444485</v>
      </c>
      <c r="K22" s="87">
        <f t="shared" si="71"/>
        <v>120.11816054369278</v>
      </c>
      <c r="L22" s="87">
        <f t="shared" ref="L22" si="72">IF(L49=0,0,L49*L159)</f>
        <v>108.67553816842108</v>
      </c>
      <c r="M22" s="87">
        <f t="shared" ref="M22:V22" si="73">IF(M49=0,0,M49*M159)</f>
        <v>114.00328096199792</v>
      </c>
      <c r="N22" s="87">
        <f t="shared" si="73"/>
        <v>125.20384873564038</v>
      </c>
      <c r="O22" s="87">
        <f t="shared" si="73"/>
        <v>147.65586297382256</v>
      </c>
      <c r="P22" s="87">
        <f t="shared" si="73"/>
        <v>164.37661693622445</v>
      </c>
      <c r="Q22" s="87">
        <f t="shared" si="73"/>
        <v>174.06259231771998</v>
      </c>
      <c r="R22" s="87">
        <f t="shared" si="73"/>
        <v>174.66804594171029</v>
      </c>
      <c r="S22" s="87">
        <f t="shared" si="73"/>
        <v>182.56147964588135</v>
      </c>
      <c r="T22" s="87">
        <f t="shared" si="73"/>
        <v>186.7896734692803</v>
      </c>
      <c r="U22" s="87">
        <f t="shared" si="73"/>
        <v>193.05612180405376</v>
      </c>
      <c r="V22" s="87">
        <f t="shared" si="73"/>
        <v>199.41759658106099</v>
      </c>
      <c r="W22" s="87">
        <f t="shared" ref="W22:Y22" si="74">IF(W49=0,0,W49*W159)</f>
        <v>206.09253416651765</v>
      </c>
      <c r="X22" s="87">
        <f t="shared" si="74"/>
        <v>211.82388754900472</v>
      </c>
      <c r="Y22" s="87">
        <f t="shared" si="74"/>
        <v>218.0521508263538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3.4464013272130757E-2</v>
      </c>
      <c r="O23" s="87">
        <f t="shared" si="77"/>
        <v>3.1957166196407691E-2</v>
      </c>
      <c r="P23" s="87">
        <f t="shared" si="77"/>
        <v>4.6038150115990502E-2</v>
      </c>
      <c r="Q23" s="87">
        <f t="shared" si="77"/>
        <v>4.86655409569893E-2</v>
      </c>
      <c r="R23" s="87">
        <f t="shared" si="77"/>
        <v>0.30649470040315813</v>
      </c>
      <c r="S23" s="87">
        <f t="shared" si="77"/>
        <v>0.55145856026637996</v>
      </c>
      <c r="T23" s="87">
        <f t="shared" si="77"/>
        <v>0.70567024316076055</v>
      </c>
      <c r="U23" s="87">
        <f t="shared" si="77"/>
        <v>0.86472297680359922</v>
      </c>
      <c r="V23" s="87">
        <f t="shared" si="77"/>
        <v>0.9501573878738232</v>
      </c>
      <c r="W23" s="87">
        <f t="shared" ref="W23:Y23" si="78">IF(W50=0,0,W50*W160)</f>
        <v>0.98638199198956955</v>
      </c>
      <c r="X23" s="87">
        <f t="shared" si="78"/>
        <v>1.0190089040501387</v>
      </c>
      <c r="Y23" s="87">
        <f t="shared" si="78"/>
        <v>1.072318846465939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:Y24" si="82">IF(W51=0,0,W51*W161)</f>
        <v>0</v>
      </c>
      <c r="X24" s="87">
        <f t="shared" si="82"/>
        <v>0</v>
      </c>
      <c r="Y24" s="87">
        <f t="shared" si="82"/>
        <v>0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3.9793340789192203E-3</v>
      </c>
      <c r="N25" s="87">
        <f t="shared" si="85"/>
        <v>3.9802135869807399E-3</v>
      </c>
      <c r="O25" s="87">
        <f t="shared" si="85"/>
        <v>2.3884145992537402E-2</v>
      </c>
      <c r="P25" s="87">
        <f t="shared" si="85"/>
        <v>2.787113572101424E-2</v>
      </c>
      <c r="Q25" s="87">
        <f t="shared" si="85"/>
        <v>2.9869921175998907E-2</v>
      </c>
      <c r="R25" s="87">
        <f t="shared" si="85"/>
        <v>2.1896019519034551E-2</v>
      </c>
      <c r="S25" s="87">
        <f t="shared" si="85"/>
        <v>2.3886489572340536E-2</v>
      </c>
      <c r="T25" s="87">
        <f t="shared" si="85"/>
        <v>2.3878233782000994E-2</v>
      </c>
      <c r="U25" s="87">
        <f t="shared" si="85"/>
        <v>2.7848794673507715E-2</v>
      </c>
      <c r="V25" s="87">
        <f t="shared" si="85"/>
        <v>6.9222322239909317E-2</v>
      </c>
      <c r="W25" s="87">
        <f t="shared" ref="W25:Y25" si="86">IF(W52=0,0,W52*W162)</f>
        <v>0.13525762383062803</v>
      </c>
      <c r="X25" s="87">
        <f t="shared" si="86"/>
        <v>0.21676306582517599</v>
      </c>
      <c r="Y25" s="87">
        <f t="shared" si="86"/>
        <v>0.30018750863446064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2207.2412102962708</v>
      </c>
      <c r="C26" s="116">
        <f t="shared" si="87"/>
        <v>2419.7472295434741</v>
      </c>
      <c r="D26" s="116">
        <f t="shared" si="87"/>
        <v>2787.4568466472688</v>
      </c>
      <c r="E26" s="116">
        <f t="shared" si="87"/>
        <v>3198.717333757781</v>
      </c>
      <c r="F26" s="116">
        <f t="shared" si="87"/>
        <v>3347.6502694751111</v>
      </c>
      <c r="G26" s="116">
        <f t="shared" si="87"/>
        <v>3736.019029695376</v>
      </c>
      <c r="H26" s="116">
        <f t="shared" si="87"/>
        <v>3948.4290348493487</v>
      </c>
      <c r="I26" s="116">
        <f t="shared" si="87"/>
        <v>4407.3087578065179</v>
      </c>
      <c r="J26" s="116">
        <f t="shared" si="87"/>
        <v>3885.788787028725</v>
      </c>
      <c r="K26" s="116">
        <f t="shared" si="87"/>
        <v>3210.8269453857815</v>
      </c>
      <c r="L26" s="116">
        <f t="shared" ref="L26" si="88">SUM(L27:L28)</f>
        <v>3742.3899740928327</v>
      </c>
      <c r="M26" s="116">
        <f t="shared" ref="M26:V26" si="89">SUM(M27:M28)</f>
        <v>4007.6752394153791</v>
      </c>
      <c r="N26" s="116">
        <f t="shared" si="89"/>
        <v>4122.4687058952077</v>
      </c>
      <c r="O26" s="116">
        <f t="shared" si="89"/>
        <v>4535.3622032258327</v>
      </c>
      <c r="P26" s="116">
        <f t="shared" si="89"/>
        <v>4496.0255062688475</v>
      </c>
      <c r="Q26" s="116">
        <f t="shared" si="89"/>
        <v>4797.2620031938141</v>
      </c>
      <c r="R26" s="116">
        <f t="shared" si="89"/>
        <v>4854.7685600879104</v>
      </c>
      <c r="S26" s="116">
        <f t="shared" si="89"/>
        <v>5276.7113811710815</v>
      </c>
      <c r="T26" s="116">
        <f t="shared" si="89"/>
        <v>5687</v>
      </c>
      <c r="U26" s="116">
        <f t="shared" si="89"/>
        <v>5382</v>
      </c>
      <c r="V26" s="116">
        <f t="shared" si="89"/>
        <v>6149</v>
      </c>
      <c r="W26" s="116">
        <f t="shared" ref="W26:Y26" si="90">SUM(W27:W28)</f>
        <v>6417</v>
      </c>
      <c r="X26" s="116">
        <f t="shared" si="90"/>
        <v>6523</v>
      </c>
      <c r="Y26" s="116">
        <f t="shared" si="90"/>
        <v>6602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1484</v>
      </c>
      <c r="C27" s="101">
        <f t="shared" si="91"/>
        <v>1645</v>
      </c>
      <c r="D27" s="101">
        <f t="shared" si="91"/>
        <v>1967</v>
      </c>
      <c r="E27" s="101">
        <f t="shared" si="91"/>
        <v>2365</v>
      </c>
      <c r="F27" s="101">
        <f t="shared" si="91"/>
        <v>2380</v>
      </c>
      <c r="G27" s="101">
        <f t="shared" si="91"/>
        <v>2734</v>
      </c>
      <c r="H27" s="101">
        <f t="shared" si="91"/>
        <v>2718</v>
      </c>
      <c r="I27" s="101">
        <f t="shared" si="91"/>
        <v>3006</v>
      </c>
      <c r="J27" s="101">
        <f t="shared" si="91"/>
        <v>2536</v>
      </c>
      <c r="K27" s="101">
        <f t="shared" si="91"/>
        <v>2149</v>
      </c>
      <c r="L27" s="101">
        <f t="shared" ref="L27:V27" si="92">IF(L54=0,0,L54*L164)</f>
        <v>2561</v>
      </c>
      <c r="M27" s="101">
        <f t="shared" si="92"/>
        <v>2646</v>
      </c>
      <c r="N27" s="101">
        <f t="shared" si="92"/>
        <v>2615.9999999999995</v>
      </c>
      <c r="O27" s="101">
        <f t="shared" si="92"/>
        <v>2803</v>
      </c>
      <c r="P27" s="101">
        <f t="shared" si="92"/>
        <v>2740</v>
      </c>
      <c r="Q27" s="101">
        <f t="shared" si="92"/>
        <v>2753</v>
      </c>
      <c r="R27" s="101">
        <f t="shared" si="92"/>
        <v>2807</v>
      </c>
      <c r="S27" s="101">
        <f t="shared" si="92"/>
        <v>3240</v>
      </c>
      <c r="T27" s="101">
        <f t="shared" si="92"/>
        <v>3459</v>
      </c>
      <c r="U27" s="101">
        <f t="shared" si="92"/>
        <v>3349.9999999999995</v>
      </c>
      <c r="V27" s="101">
        <f t="shared" si="92"/>
        <v>3716</v>
      </c>
      <c r="W27" s="101">
        <f t="shared" ref="W27:Y27" si="93">IF(W54=0,0,W54*W164)</f>
        <v>4064</v>
      </c>
      <c r="X27" s="101">
        <f t="shared" si="93"/>
        <v>3989</v>
      </c>
      <c r="Y27" s="101">
        <f t="shared" si="93"/>
        <v>4057.9999999999995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723.24121029627076</v>
      </c>
      <c r="C28" s="88">
        <f t="shared" si="94"/>
        <v>774.74722954347408</v>
      </c>
      <c r="D28" s="88">
        <f t="shared" si="94"/>
        <v>820.45684664726878</v>
      </c>
      <c r="E28" s="88">
        <f t="shared" si="94"/>
        <v>833.71733375778103</v>
      </c>
      <c r="F28" s="88">
        <f t="shared" si="94"/>
        <v>967.65026947511114</v>
      </c>
      <c r="G28" s="88">
        <f t="shared" si="94"/>
        <v>1002.019029695376</v>
      </c>
      <c r="H28" s="88">
        <f t="shared" si="94"/>
        <v>1230.4290348493487</v>
      </c>
      <c r="I28" s="88">
        <f t="shared" si="94"/>
        <v>1401.3087578065179</v>
      </c>
      <c r="J28" s="88">
        <f t="shared" si="94"/>
        <v>1349.788787028725</v>
      </c>
      <c r="K28" s="88">
        <f t="shared" si="94"/>
        <v>1061.8269453857815</v>
      </c>
      <c r="L28" s="88">
        <f t="shared" ref="L28:V28" si="95">IF(L55=0,0,L55*L165)</f>
        <v>1181.3899740928327</v>
      </c>
      <c r="M28" s="88">
        <f t="shared" si="95"/>
        <v>1361.6752394153791</v>
      </c>
      <c r="N28" s="88">
        <f t="shared" si="95"/>
        <v>1506.4687058952077</v>
      </c>
      <c r="O28" s="88">
        <f t="shared" si="95"/>
        <v>1732.3622032258327</v>
      </c>
      <c r="P28" s="88">
        <f t="shared" si="95"/>
        <v>1756.0255062688475</v>
      </c>
      <c r="Q28" s="88">
        <f t="shared" si="95"/>
        <v>2044.2620031938141</v>
      </c>
      <c r="R28" s="88">
        <f t="shared" si="95"/>
        <v>2047.7685600879104</v>
      </c>
      <c r="S28" s="88">
        <f t="shared" si="95"/>
        <v>2036.7113811710815</v>
      </c>
      <c r="T28" s="88">
        <f t="shared" si="95"/>
        <v>2228</v>
      </c>
      <c r="U28" s="88">
        <f t="shared" si="95"/>
        <v>2032</v>
      </c>
      <c r="V28" s="88">
        <f t="shared" si="95"/>
        <v>2433</v>
      </c>
      <c r="W28" s="88">
        <f t="shared" ref="W28:Y28" si="96">IF(W55=0,0,W55*W165)</f>
        <v>2353</v>
      </c>
      <c r="X28" s="88">
        <f t="shared" si="96"/>
        <v>2534</v>
      </c>
      <c r="Y28" s="88">
        <f t="shared" si="96"/>
        <v>2544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5074.4826594327242</v>
      </c>
      <c r="C30" s="62">
        <f t="shared" ref="C30:V30" si="98">C31+C46</f>
        <v>5883.7240692721371</v>
      </c>
      <c r="D30" s="62">
        <f t="shared" si="98"/>
        <v>6148.1124658267163</v>
      </c>
      <c r="E30" s="62">
        <f t="shared" si="98"/>
        <v>6443.7942887122827</v>
      </c>
      <c r="F30" s="62">
        <f t="shared" si="98"/>
        <v>6947.5464368765897</v>
      </c>
      <c r="G30" s="62">
        <f t="shared" si="98"/>
        <v>7220.0567051941853</v>
      </c>
      <c r="H30" s="62">
        <f t="shared" si="98"/>
        <v>8366.0700130636906</v>
      </c>
      <c r="I30" s="62">
        <f t="shared" si="98"/>
        <v>9418.4926766481349</v>
      </c>
      <c r="J30" s="62">
        <f t="shared" si="98"/>
        <v>9159.8801480306684</v>
      </c>
      <c r="K30" s="62">
        <f t="shared" si="98"/>
        <v>8316.1111092446499</v>
      </c>
      <c r="L30" s="62">
        <f t="shared" si="98"/>
        <v>8121.7678225585796</v>
      </c>
      <c r="M30" s="62">
        <f t="shared" si="98"/>
        <v>7911.2247049529469</v>
      </c>
      <c r="N30" s="62">
        <f t="shared" si="98"/>
        <v>7828.4708669739357</v>
      </c>
      <c r="O30" s="62">
        <f t="shared" si="98"/>
        <v>8028.8818413593535</v>
      </c>
      <c r="P30" s="62">
        <f t="shared" si="98"/>
        <v>8944.3454208549228</v>
      </c>
      <c r="Q30" s="62">
        <f t="shared" si="98"/>
        <v>9671.3819331491359</v>
      </c>
      <c r="R30" s="62">
        <f t="shared" si="98"/>
        <v>10034.693901383205</v>
      </c>
      <c r="S30" s="62">
        <f t="shared" si="98"/>
        <v>10628.607139889176</v>
      </c>
      <c r="T30" s="62">
        <f t="shared" si="98"/>
        <v>11188.434214511348</v>
      </c>
      <c r="U30" s="62">
        <f t="shared" si="98"/>
        <v>11838.433233065316</v>
      </c>
      <c r="V30" s="62">
        <f t="shared" si="98"/>
        <v>11648.780705345082</v>
      </c>
      <c r="W30" s="62">
        <f t="shared" ref="W30:Y30" si="99">W31+W46</f>
        <v>12230.62493379182</v>
      </c>
      <c r="X30" s="62">
        <f t="shared" si="99"/>
        <v>11761.354368656988</v>
      </c>
      <c r="Y30" s="62">
        <f t="shared" si="99"/>
        <v>12252.285413619102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4395.6010272636813</v>
      </c>
      <c r="C31" s="29">
        <f t="shared" ref="C31:V31" si="101">C32+C33+C40</f>
        <v>5084.092752765192</v>
      </c>
      <c r="D31" s="29">
        <f t="shared" si="101"/>
        <v>5173.1448375452201</v>
      </c>
      <c r="E31" s="29">
        <f t="shared" si="101"/>
        <v>5448.1883208406707</v>
      </c>
      <c r="F31" s="29">
        <f t="shared" si="101"/>
        <v>5830.3056284911609</v>
      </c>
      <c r="G31" s="29">
        <f t="shared" si="101"/>
        <v>6079.343322549712</v>
      </c>
      <c r="H31" s="29">
        <f t="shared" si="101"/>
        <v>7151.3356784050584</v>
      </c>
      <c r="I31" s="29">
        <f t="shared" si="101"/>
        <v>8035.4262897633407</v>
      </c>
      <c r="J31" s="29">
        <f t="shared" si="101"/>
        <v>7808.585210511379</v>
      </c>
      <c r="K31" s="29">
        <f t="shared" si="101"/>
        <v>7047.4927887927315</v>
      </c>
      <c r="L31" s="29">
        <f t="shared" si="101"/>
        <v>7028.6982583449926</v>
      </c>
      <c r="M31" s="29">
        <f t="shared" si="101"/>
        <v>6867.3883413406511</v>
      </c>
      <c r="N31" s="29">
        <f t="shared" si="101"/>
        <v>6782.6907141453103</v>
      </c>
      <c r="O31" s="29">
        <f t="shared" si="101"/>
        <v>6844.6908144521149</v>
      </c>
      <c r="P31" s="29">
        <f t="shared" si="101"/>
        <v>7692.1438655342399</v>
      </c>
      <c r="Q31" s="29">
        <f t="shared" si="101"/>
        <v>8351.0025944996032</v>
      </c>
      <c r="R31" s="29">
        <f t="shared" si="101"/>
        <v>8706.1792426869233</v>
      </c>
      <c r="S31" s="29">
        <f t="shared" si="101"/>
        <v>9221.5989130430025</v>
      </c>
      <c r="T31" s="29">
        <f t="shared" si="101"/>
        <v>9739.8753165405742</v>
      </c>
      <c r="U31" s="29">
        <f t="shared" si="101"/>
        <v>10373.057173206411</v>
      </c>
      <c r="V31" s="29">
        <f t="shared" si="101"/>
        <v>10114.709980147416</v>
      </c>
      <c r="W31" s="29">
        <f t="shared" ref="W31:Y31" si="102">W32+W33+W40</f>
        <v>10625.22262401051</v>
      </c>
      <c r="X31" s="29">
        <f t="shared" si="102"/>
        <v>10129.397059888155</v>
      </c>
      <c r="Y31" s="29">
        <f t="shared" si="102"/>
        <v>10591.723721911038</v>
      </c>
      <c r="DA31" s="173" t="s">
        <v>475</v>
      </c>
    </row>
    <row r="32" spans="1:105" ht="11.45" customHeight="1" x14ac:dyDescent="0.25">
      <c r="A32" s="136" t="s">
        <v>173</v>
      </c>
      <c r="B32" s="152">
        <v>56.436908263596187</v>
      </c>
      <c r="C32" s="152">
        <v>56.81838781590595</v>
      </c>
      <c r="D32" s="152">
        <v>56.761524025653941</v>
      </c>
      <c r="E32" s="152">
        <v>56.698973708848236</v>
      </c>
      <c r="F32" s="152">
        <v>56.380286455185647</v>
      </c>
      <c r="G32" s="152">
        <v>56.002773749752244</v>
      </c>
      <c r="H32" s="152">
        <v>55.067419232047136</v>
      </c>
      <c r="I32" s="152">
        <v>53.022854422979634</v>
      </c>
      <c r="J32" s="152">
        <v>51.015000000000001</v>
      </c>
      <c r="K32" s="152">
        <v>49.435999999999993</v>
      </c>
      <c r="L32" s="152">
        <v>49.769999999999996</v>
      </c>
      <c r="M32" s="152">
        <v>49.8356555196006</v>
      </c>
      <c r="N32" s="152">
        <v>46.224684616506174</v>
      </c>
      <c r="O32" s="152">
        <v>48.70278084782786</v>
      </c>
      <c r="P32" s="152">
        <v>59.343057759837833</v>
      </c>
      <c r="Q32" s="152">
        <v>76.169598872851637</v>
      </c>
      <c r="R32" s="152">
        <v>76.861557758532513</v>
      </c>
      <c r="S32" s="152">
        <v>73.375229674934531</v>
      </c>
      <c r="T32" s="152">
        <v>70.681968926192241</v>
      </c>
      <c r="U32" s="152">
        <v>75.673886451433376</v>
      </c>
      <c r="V32" s="152">
        <v>68.673689129021099</v>
      </c>
      <c r="W32" s="152">
        <v>72.359363115777654</v>
      </c>
      <c r="X32" s="152">
        <v>74.016335275357079</v>
      </c>
      <c r="Y32" s="152">
        <v>80.685547128103721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4201.5028085519007</v>
      </c>
      <c r="C33" s="116">
        <f t="shared" ref="C33:V33" si="104">SUM(C34:C39)</f>
        <v>4886.8811248057973</v>
      </c>
      <c r="D33" s="116">
        <f t="shared" si="104"/>
        <v>4970.3563617708587</v>
      </c>
      <c r="E33" s="116">
        <f t="shared" si="104"/>
        <v>5233.6276083917546</v>
      </c>
      <c r="F33" s="116">
        <f t="shared" si="104"/>
        <v>5614.6179487681029</v>
      </c>
      <c r="G33" s="116">
        <f t="shared" si="104"/>
        <v>5864.3615177555112</v>
      </c>
      <c r="H33" s="116">
        <f t="shared" si="104"/>
        <v>6941.2316492035325</v>
      </c>
      <c r="I33" s="116">
        <f t="shared" si="104"/>
        <v>7829.9213803934526</v>
      </c>
      <c r="J33" s="116">
        <f t="shared" si="104"/>
        <v>7610.8132105113791</v>
      </c>
      <c r="K33" s="116">
        <f t="shared" si="104"/>
        <v>6852.5627442402247</v>
      </c>
      <c r="L33" s="116">
        <f t="shared" si="104"/>
        <v>6835.0271138796861</v>
      </c>
      <c r="M33" s="116">
        <f t="shared" si="104"/>
        <v>6678.7086608182217</v>
      </c>
      <c r="N33" s="116">
        <f t="shared" si="104"/>
        <v>6600.8384370097865</v>
      </c>
      <c r="O33" s="116">
        <f t="shared" si="104"/>
        <v>6661.6286477347712</v>
      </c>
      <c r="P33" s="116">
        <f t="shared" si="104"/>
        <v>7502.3737939335469</v>
      </c>
      <c r="Q33" s="116">
        <f t="shared" si="104"/>
        <v>8145.4593447288908</v>
      </c>
      <c r="R33" s="116">
        <f t="shared" si="104"/>
        <v>8498.4713042041967</v>
      </c>
      <c r="S33" s="116">
        <f t="shared" si="104"/>
        <v>9017.0374419147211</v>
      </c>
      <c r="T33" s="116">
        <f t="shared" si="104"/>
        <v>9541.5190003622902</v>
      </c>
      <c r="U33" s="116">
        <f t="shared" si="104"/>
        <v>10175.259998079064</v>
      </c>
      <c r="V33" s="116">
        <f t="shared" si="104"/>
        <v>9945.7207324631818</v>
      </c>
      <c r="W33" s="116">
        <f t="shared" ref="W33:Y33" si="105">SUM(W34:W39)</f>
        <v>10462.403663484976</v>
      </c>
      <c r="X33" s="116">
        <f t="shared" si="105"/>
        <v>9959.1434948074275</v>
      </c>
      <c r="Y33" s="116">
        <f t="shared" si="105"/>
        <v>10411.28905077631</v>
      </c>
      <c r="DA33" s="176" t="s">
        <v>477</v>
      </c>
    </row>
    <row r="34" spans="1:105" ht="11.45" customHeight="1" x14ac:dyDescent="0.25">
      <c r="A34" s="111" t="s">
        <v>110</v>
      </c>
      <c r="B34" s="87">
        <v>3559.2686029073056</v>
      </c>
      <c r="C34" s="87">
        <v>4016.1702988713623</v>
      </c>
      <c r="D34" s="87">
        <v>3968.0823391088165</v>
      </c>
      <c r="E34" s="87">
        <v>3998.8930045075558</v>
      </c>
      <c r="F34" s="87">
        <v>4069.8289443378817</v>
      </c>
      <c r="G34" s="87">
        <v>4028.2039768681971</v>
      </c>
      <c r="H34" s="87">
        <v>4565.6693698326226</v>
      </c>
      <c r="I34" s="87">
        <v>5096.6010371459715</v>
      </c>
      <c r="J34" s="87">
        <v>4714.9503929749344</v>
      </c>
      <c r="K34" s="87">
        <v>3918.4512353762889</v>
      </c>
      <c r="L34" s="87">
        <v>3757.3643882522751</v>
      </c>
      <c r="M34" s="87">
        <v>3439.3820633436035</v>
      </c>
      <c r="N34" s="87">
        <v>2982.9981681961435</v>
      </c>
      <c r="O34" s="87">
        <v>2784.610804546639</v>
      </c>
      <c r="P34" s="87">
        <v>2716.9388700540285</v>
      </c>
      <c r="Q34" s="87">
        <v>2786.6456515132222</v>
      </c>
      <c r="R34" s="87">
        <v>2564.3465584776604</v>
      </c>
      <c r="S34" s="87">
        <v>2536.1803659493075</v>
      </c>
      <c r="T34" s="87">
        <v>2523.7272911751907</v>
      </c>
      <c r="U34" s="87">
        <v>2469.8886868874233</v>
      </c>
      <c r="V34" s="87">
        <v>2386.9639595300805</v>
      </c>
      <c r="W34" s="87">
        <v>2502.1015360030024</v>
      </c>
      <c r="X34" s="87">
        <v>2308.431984221329</v>
      </c>
      <c r="Y34" s="87">
        <v>2450.136246276883</v>
      </c>
      <c r="DA34" s="171" t="s">
        <v>478</v>
      </c>
    </row>
    <row r="35" spans="1:105" ht="11.45" customHeight="1" x14ac:dyDescent="0.25">
      <c r="A35" s="111" t="s">
        <v>111</v>
      </c>
      <c r="B35" s="87">
        <v>433.03100153222869</v>
      </c>
      <c r="C35" s="87">
        <v>620.01839705174928</v>
      </c>
      <c r="D35" s="87">
        <v>768.28269728739372</v>
      </c>
      <c r="E35" s="87">
        <v>984.44358176512799</v>
      </c>
      <c r="F35" s="87">
        <v>1228.7488942882735</v>
      </c>
      <c r="G35" s="87">
        <v>1506.4417832491831</v>
      </c>
      <c r="H35" s="87">
        <v>2008.6007745029026</v>
      </c>
      <c r="I35" s="87">
        <v>2367.680545369667</v>
      </c>
      <c r="J35" s="87">
        <v>2567.1661787859352</v>
      </c>
      <c r="K35" s="87">
        <v>2624.6777222514611</v>
      </c>
      <c r="L35" s="87">
        <v>2737.3727792247723</v>
      </c>
      <c r="M35" s="87">
        <v>2837.2395932338959</v>
      </c>
      <c r="N35" s="87">
        <v>2988.3051915134151</v>
      </c>
      <c r="O35" s="87">
        <v>3183.6527819822513</v>
      </c>
      <c r="P35" s="87">
        <v>3980.2942196354074</v>
      </c>
      <c r="Q35" s="87">
        <v>4640.8549300607247</v>
      </c>
      <c r="R35" s="87">
        <v>5138.5169655030977</v>
      </c>
      <c r="S35" s="87">
        <v>5731.9037143280511</v>
      </c>
      <c r="T35" s="87">
        <v>6305.0486544462929</v>
      </c>
      <c r="U35" s="87">
        <v>7048.5772687928265</v>
      </c>
      <c r="V35" s="87">
        <v>6982.4758539929262</v>
      </c>
      <c r="W35" s="87">
        <v>7418.0265912342711</v>
      </c>
      <c r="X35" s="87">
        <v>7130.6643036733421</v>
      </c>
      <c r="Y35" s="87">
        <v>7402.8697529709543</v>
      </c>
      <c r="DA35" s="171" t="s">
        <v>479</v>
      </c>
    </row>
    <row r="36" spans="1:105" ht="11.45" customHeight="1" x14ac:dyDescent="0.25">
      <c r="A36" s="111" t="s">
        <v>112</v>
      </c>
      <c r="B36" s="87">
        <v>208.07880881682709</v>
      </c>
      <c r="C36" s="87">
        <v>249.65398103152012</v>
      </c>
      <c r="D36" s="87">
        <v>233.05241211097677</v>
      </c>
      <c r="E36" s="87">
        <v>249.42340576688576</v>
      </c>
      <c r="F36" s="87">
        <v>315.25937916436038</v>
      </c>
      <c r="G36" s="87">
        <v>328.9458605160159</v>
      </c>
      <c r="H36" s="87">
        <v>366.35985961892851</v>
      </c>
      <c r="I36" s="87">
        <v>365.0849161791956</v>
      </c>
      <c r="J36" s="87">
        <v>328.21090097154195</v>
      </c>
      <c r="K36" s="87">
        <v>308.99302760683037</v>
      </c>
      <c r="L36" s="87">
        <v>340.28994640263875</v>
      </c>
      <c r="M36" s="87">
        <v>402.08700424072231</v>
      </c>
      <c r="N36" s="87">
        <v>629.38228358371884</v>
      </c>
      <c r="O36" s="87">
        <v>693.12447418848353</v>
      </c>
      <c r="P36" s="87">
        <v>802.6727228049366</v>
      </c>
      <c r="Q36" s="87">
        <v>715.04806828802168</v>
      </c>
      <c r="R36" s="87">
        <v>792.28525471330431</v>
      </c>
      <c r="S36" s="87">
        <v>744.49133692172643</v>
      </c>
      <c r="T36" s="87">
        <v>704.75920416052327</v>
      </c>
      <c r="U36" s="87">
        <v>645.48494488919005</v>
      </c>
      <c r="V36" s="87">
        <v>557.10151354643983</v>
      </c>
      <c r="W36" s="87">
        <v>509.73264707613509</v>
      </c>
      <c r="X36" s="87">
        <v>463.35382860017984</v>
      </c>
      <c r="Y36" s="87">
        <v>465.82940092744809</v>
      </c>
      <c r="DA36" s="171" t="s">
        <v>480</v>
      </c>
    </row>
    <row r="37" spans="1:105" ht="11.45" customHeight="1" x14ac:dyDescent="0.25">
      <c r="A37" s="111" t="s">
        <v>113</v>
      </c>
      <c r="B37" s="87">
        <v>1.1243952955393</v>
      </c>
      <c r="C37" s="87">
        <v>1.0384478511664026</v>
      </c>
      <c r="D37" s="87">
        <v>0.93891326367182248</v>
      </c>
      <c r="E37" s="87">
        <v>0.86761635218465916</v>
      </c>
      <c r="F37" s="87">
        <v>0.78073097758738264</v>
      </c>
      <c r="G37" s="87">
        <v>0.76989712211473482</v>
      </c>
      <c r="H37" s="87">
        <v>0.60164524907881856</v>
      </c>
      <c r="I37" s="87">
        <v>0.55488169861835213</v>
      </c>
      <c r="J37" s="87">
        <v>0.48573777896793791</v>
      </c>
      <c r="K37" s="87">
        <v>0.44075900564309589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1.4370242210612196</v>
      </c>
      <c r="U37" s="87">
        <v>1.6368103149265598</v>
      </c>
      <c r="V37" s="87">
        <v>1.852702946767055</v>
      </c>
      <c r="W37" s="87">
        <v>2.0788262127960269</v>
      </c>
      <c r="X37" s="87">
        <v>2.1384792273311635</v>
      </c>
      <c r="Y37" s="87">
        <v>2.3767191946512778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2.6730708613027083E-2</v>
      </c>
      <c r="O38" s="87">
        <v>5.1223381343619249E-2</v>
      </c>
      <c r="P38" s="87">
        <v>8.3935672470152475E-2</v>
      </c>
      <c r="Q38" s="87">
        <v>0.2270999012379617</v>
      </c>
      <c r="R38" s="87">
        <v>0.26245235811341261</v>
      </c>
      <c r="S38" s="87">
        <v>0.50404556691546787</v>
      </c>
      <c r="T38" s="87">
        <v>0.95065692245029132</v>
      </c>
      <c r="U38" s="87">
        <v>1.3466796409064778</v>
      </c>
      <c r="V38" s="87">
        <v>2.1209885137272342</v>
      </c>
      <c r="W38" s="87">
        <v>3.896414436226479</v>
      </c>
      <c r="X38" s="87">
        <v>6.0799408568088777</v>
      </c>
      <c r="Y38" s="87">
        <v>9.7191128025524893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0.12606300789580493</v>
      </c>
      <c r="O39" s="87">
        <v>0.18936363605410328</v>
      </c>
      <c r="P39" s="87">
        <v>2.3840457667036916</v>
      </c>
      <c r="Q39" s="87">
        <v>2.6835949656841809</v>
      </c>
      <c r="R39" s="87">
        <v>3.060073152021233</v>
      </c>
      <c r="S39" s="87">
        <v>3.9579791487212002</v>
      </c>
      <c r="T39" s="87">
        <v>5.59616943677121</v>
      </c>
      <c r="U39" s="87">
        <v>8.3256075537891157</v>
      </c>
      <c r="V39" s="87">
        <v>15.205713933238576</v>
      </c>
      <c r="W39" s="87">
        <v>26.567648522545944</v>
      </c>
      <c r="X39" s="87">
        <v>48.474958228436925</v>
      </c>
      <c r="Y39" s="87">
        <v>80.357818603817975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137.66131044818471</v>
      </c>
      <c r="C40" s="116">
        <f t="shared" ref="C40:V40" si="107">SUM(C41:C45)</f>
        <v>140.39324014348833</v>
      </c>
      <c r="D40" s="116">
        <f t="shared" si="107"/>
        <v>146.02695174870797</v>
      </c>
      <c r="E40" s="116">
        <f t="shared" si="107"/>
        <v>157.8617387400684</v>
      </c>
      <c r="F40" s="116">
        <f t="shared" si="107"/>
        <v>159.30739326787301</v>
      </c>
      <c r="G40" s="116">
        <f t="shared" si="107"/>
        <v>158.97903104444907</v>
      </c>
      <c r="H40" s="116">
        <f t="shared" si="107"/>
        <v>155.03660996947809</v>
      </c>
      <c r="I40" s="116">
        <f t="shared" si="107"/>
        <v>152.48205494690848</v>
      </c>
      <c r="J40" s="116">
        <f t="shared" si="107"/>
        <v>146.75700000000001</v>
      </c>
      <c r="K40" s="116">
        <f t="shared" si="107"/>
        <v>145.49404455250689</v>
      </c>
      <c r="L40" s="116">
        <f t="shared" si="107"/>
        <v>143.90114446530592</v>
      </c>
      <c r="M40" s="116">
        <f t="shared" si="107"/>
        <v>138.84402500282914</v>
      </c>
      <c r="N40" s="116">
        <f t="shared" si="107"/>
        <v>135.62759251901707</v>
      </c>
      <c r="O40" s="116">
        <f t="shared" si="107"/>
        <v>134.35938586951605</v>
      </c>
      <c r="P40" s="116">
        <f t="shared" si="107"/>
        <v>130.42701384085589</v>
      </c>
      <c r="Q40" s="116">
        <f t="shared" si="107"/>
        <v>129.37365089786044</v>
      </c>
      <c r="R40" s="116">
        <f t="shared" si="107"/>
        <v>130.84638072419335</v>
      </c>
      <c r="S40" s="116">
        <f t="shared" si="107"/>
        <v>131.18624145334707</v>
      </c>
      <c r="T40" s="116">
        <f t="shared" si="107"/>
        <v>127.67434725209171</v>
      </c>
      <c r="U40" s="116">
        <f t="shared" si="107"/>
        <v>122.1232886759138</v>
      </c>
      <c r="V40" s="116">
        <f t="shared" si="107"/>
        <v>100.31555855521491</v>
      </c>
      <c r="W40" s="116">
        <f t="shared" ref="W40:Y40" si="108">SUM(W41:W45)</f>
        <v>90.459597409756185</v>
      </c>
      <c r="X40" s="116">
        <f t="shared" si="108"/>
        <v>96.237229805369921</v>
      </c>
      <c r="Y40" s="116">
        <f t="shared" si="108"/>
        <v>99.749124006625365</v>
      </c>
      <c r="DA40" s="176" t="s">
        <v>484</v>
      </c>
    </row>
    <row r="41" spans="1:105" ht="11.45" customHeight="1" x14ac:dyDescent="0.25">
      <c r="A41" s="111" t="s">
        <v>110</v>
      </c>
      <c r="B41" s="101">
        <v>13.45355576743605</v>
      </c>
      <c r="C41" s="101">
        <v>13.43832021397971</v>
      </c>
      <c r="D41" s="101">
        <v>13.368380373980221</v>
      </c>
      <c r="E41" s="101">
        <v>13.017029255096432</v>
      </c>
      <c r="F41" s="101">
        <v>12.550702685990675</v>
      </c>
      <c r="G41" s="101">
        <v>12.076815548703019</v>
      </c>
      <c r="H41" s="101">
        <v>11.167550566597937</v>
      </c>
      <c r="I41" s="101">
        <v>10.379020473248081</v>
      </c>
      <c r="J41" s="101">
        <v>9.5043329856307306</v>
      </c>
      <c r="K41" s="101">
        <v>8.3728458342399055</v>
      </c>
      <c r="L41" s="101">
        <v>7.3342035071447134</v>
      </c>
      <c r="M41" s="101">
        <v>4.6259021216853604</v>
      </c>
      <c r="N41" s="101">
        <v>3.5806805368059593</v>
      </c>
      <c r="O41" s="101">
        <v>2.6039499221969029</v>
      </c>
      <c r="P41" s="101">
        <v>1.6907317725999467</v>
      </c>
      <c r="Q41" s="101">
        <v>1.4078266994465884</v>
      </c>
      <c r="R41" s="101">
        <v>1.0670676293564134</v>
      </c>
      <c r="S41" s="101">
        <v>0.96698337999701978</v>
      </c>
      <c r="T41" s="101">
        <v>0.83421409836339722</v>
      </c>
      <c r="U41" s="101">
        <v>0.75323917439707233</v>
      </c>
      <c r="V41" s="101">
        <v>0.54781148935037405</v>
      </c>
      <c r="W41" s="101">
        <v>0.38442438548861901</v>
      </c>
      <c r="X41" s="101">
        <v>0.39969024141683024</v>
      </c>
      <c r="Y41" s="101">
        <v>0.44916582491835122</v>
      </c>
      <c r="DA41" s="175" t="s">
        <v>485</v>
      </c>
    </row>
    <row r="42" spans="1:105" ht="11.45" customHeight="1" x14ac:dyDescent="0.25">
      <c r="A42" s="111" t="s">
        <v>111</v>
      </c>
      <c r="B42" s="101">
        <v>120.5062816171567</v>
      </c>
      <c r="C42" s="101">
        <v>121.95462878471264</v>
      </c>
      <c r="D42" s="101">
        <v>128.41027241178043</v>
      </c>
      <c r="E42" s="101">
        <v>140.6201932802488</v>
      </c>
      <c r="F42" s="101">
        <v>142.50259534657707</v>
      </c>
      <c r="G42" s="101">
        <v>141.32846451187842</v>
      </c>
      <c r="H42" s="101">
        <v>138.41315687539793</v>
      </c>
      <c r="I42" s="101">
        <v>135.71897053423754</v>
      </c>
      <c r="J42" s="101">
        <v>130.25090509361047</v>
      </c>
      <c r="K42" s="101">
        <v>128.11469011515928</v>
      </c>
      <c r="L42" s="101">
        <v>124.58195844750347</v>
      </c>
      <c r="M42" s="101">
        <v>122.52038722354455</v>
      </c>
      <c r="N42" s="101">
        <v>120.76432856763914</v>
      </c>
      <c r="O42" s="101">
        <v>120.50486150821826</v>
      </c>
      <c r="P42" s="101">
        <v>117.77425211307812</v>
      </c>
      <c r="Q42" s="101">
        <v>116.48990352716741</v>
      </c>
      <c r="R42" s="101">
        <v>117.10604897320202</v>
      </c>
      <c r="S42" s="101">
        <v>119.12280351054883</v>
      </c>
      <c r="T42" s="101">
        <v>115.67978263015559</v>
      </c>
      <c r="U42" s="101">
        <v>109.67793782667691</v>
      </c>
      <c r="V42" s="101">
        <v>87.745532812489571</v>
      </c>
      <c r="W42" s="101">
        <v>74.368764497542216</v>
      </c>
      <c r="X42" s="101">
        <v>79.014015796223163</v>
      </c>
      <c r="Y42" s="101">
        <v>79.449865024016304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0.31412439200834397</v>
      </c>
      <c r="S43" s="101">
        <v>0.23681922668721236</v>
      </c>
      <c r="T43" s="101">
        <v>0.17993382705832098</v>
      </c>
      <c r="U43" s="101">
        <v>0.1228750588036425</v>
      </c>
      <c r="V43" s="101">
        <v>8.4808066510101615E-2</v>
      </c>
      <c r="W43" s="101">
        <v>7.4267096717072545E-2</v>
      </c>
      <c r="X43" s="101">
        <v>7.4945245327723731E-2</v>
      </c>
      <c r="Y43" s="101">
        <v>7.629552140749854E-2</v>
      </c>
      <c r="DA43" s="175" t="s">
        <v>487</v>
      </c>
    </row>
    <row r="44" spans="1:105" ht="11.45" customHeight="1" x14ac:dyDescent="0.25">
      <c r="A44" s="111" t="s">
        <v>113</v>
      </c>
      <c r="B44" s="101">
        <v>3.322766433471247</v>
      </c>
      <c r="C44" s="101">
        <v>4.073629461737549</v>
      </c>
      <c r="D44" s="101">
        <v>3.3206584777309631</v>
      </c>
      <c r="E44" s="101">
        <v>3.3380244616964032</v>
      </c>
      <c r="F44" s="101">
        <v>3.3667309870810906</v>
      </c>
      <c r="G44" s="101">
        <v>3.4589558177099167</v>
      </c>
      <c r="H44" s="101">
        <v>3.2543089683125688</v>
      </c>
      <c r="I44" s="101">
        <v>3.0360473173840661</v>
      </c>
      <c r="J44" s="101">
        <v>1.1048530324100663</v>
      </c>
      <c r="K44" s="101">
        <v>4.7409741967593212E-2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0.22465062698064617</v>
      </c>
      <c r="V44" s="101">
        <v>0.92293640443786829</v>
      </c>
      <c r="W44" s="101">
        <v>2.2450631444988911</v>
      </c>
      <c r="X44" s="101">
        <v>4.2733818789922902</v>
      </c>
      <c r="Y44" s="101">
        <v>5.1790174916137204</v>
      </c>
      <c r="DA44" s="175" t="s">
        <v>488</v>
      </c>
    </row>
    <row r="45" spans="1:105" ht="11.45" customHeight="1" x14ac:dyDescent="0.25">
      <c r="A45" s="111" t="s">
        <v>115</v>
      </c>
      <c r="B45" s="101">
        <v>0.37870663012068684</v>
      </c>
      <c r="C45" s="101">
        <v>0.92666168305843843</v>
      </c>
      <c r="D45" s="101">
        <v>0.92764048521634501</v>
      </c>
      <c r="E45" s="101">
        <v>0.88649174302677569</v>
      </c>
      <c r="F45" s="101">
        <v>0.88736424822417115</v>
      </c>
      <c r="G45" s="101">
        <v>2.1147951661577191</v>
      </c>
      <c r="H45" s="101">
        <v>2.2015935591696696</v>
      </c>
      <c r="I45" s="101">
        <v>3.3480166220387755</v>
      </c>
      <c r="J45" s="101">
        <v>5.8969088883487402</v>
      </c>
      <c r="K45" s="101">
        <v>8.9590988611401201</v>
      </c>
      <c r="L45" s="101">
        <v>11.984982510657732</v>
      </c>
      <c r="M45" s="101">
        <v>11.697735657599232</v>
      </c>
      <c r="N45" s="101">
        <v>11.282583414571976</v>
      </c>
      <c r="O45" s="101">
        <v>11.25057443910088</v>
      </c>
      <c r="P45" s="101">
        <v>10.962029955177819</v>
      </c>
      <c r="Q45" s="101">
        <v>11.475920671246437</v>
      </c>
      <c r="R45" s="101">
        <v>12.359139729626575</v>
      </c>
      <c r="S45" s="101">
        <v>10.859635336114005</v>
      </c>
      <c r="T45" s="101">
        <v>10.9804166965144</v>
      </c>
      <c r="U45" s="101">
        <v>11.344585989055526</v>
      </c>
      <c r="V45" s="101">
        <v>11.014469782426987</v>
      </c>
      <c r="W45" s="101">
        <v>13.387078285509382</v>
      </c>
      <c r="X45" s="101">
        <v>12.475196643409904</v>
      </c>
      <c r="Y45" s="101">
        <v>14.594780144669489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678.88163216904286</v>
      </c>
      <c r="C46" s="29">
        <f t="shared" ref="C46:V46" si="110">C47+C53</f>
        <v>799.6313165069455</v>
      </c>
      <c r="D46" s="29">
        <f t="shared" si="110"/>
        <v>974.96762828149576</v>
      </c>
      <c r="E46" s="29">
        <f t="shared" si="110"/>
        <v>995.60596787161171</v>
      </c>
      <c r="F46" s="29">
        <f t="shared" si="110"/>
        <v>1117.2408083854284</v>
      </c>
      <c r="G46" s="29">
        <f t="shared" si="110"/>
        <v>1140.7133826444729</v>
      </c>
      <c r="H46" s="29">
        <f t="shared" si="110"/>
        <v>1214.7343346586317</v>
      </c>
      <c r="I46" s="29">
        <f t="shared" si="110"/>
        <v>1383.0663868847942</v>
      </c>
      <c r="J46" s="29">
        <f t="shared" si="110"/>
        <v>1351.2949375192893</v>
      </c>
      <c r="K46" s="29">
        <f t="shared" si="110"/>
        <v>1268.618320451918</v>
      </c>
      <c r="L46" s="29">
        <f t="shared" si="110"/>
        <v>1093.0695642135872</v>
      </c>
      <c r="M46" s="29">
        <f t="shared" si="110"/>
        <v>1043.8363636122958</v>
      </c>
      <c r="N46" s="29">
        <f t="shared" si="110"/>
        <v>1045.780152828625</v>
      </c>
      <c r="O46" s="29">
        <f t="shared" si="110"/>
        <v>1184.1910269072387</v>
      </c>
      <c r="P46" s="29">
        <f t="shared" si="110"/>
        <v>1252.2015553206836</v>
      </c>
      <c r="Q46" s="29">
        <f t="shared" si="110"/>
        <v>1320.3793386495327</v>
      </c>
      <c r="R46" s="29">
        <f t="shared" si="110"/>
        <v>1328.5146586962826</v>
      </c>
      <c r="S46" s="29">
        <f t="shared" si="110"/>
        <v>1407.0082268461733</v>
      </c>
      <c r="T46" s="29">
        <f t="shared" si="110"/>
        <v>1448.5588979707743</v>
      </c>
      <c r="U46" s="29">
        <f t="shared" si="110"/>
        <v>1465.3760598589056</v>
      </c>
      <c r="V46" s="29">
        <f t="shared" si="110"/>
        <v>1534.0707251976664</v>
      </c>
      <c r="W46" s="29">
        <f t="shared" ref="W46:Y46" si="111">W47+W53</f>
        <v>1605.4023097813088</v>
      </c>
      <c r="X46" s="29">
        <f t="shared" si="111"/>
        <v>1631.9573087688332</v>
      </c>
      <c r="Y46" s="29">
        <f t="shared" si="111"/>
        <v>1660.561691708064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352.60268244137558</v>
      </c>
      <c r="C47" s="152">
        <f t="shared" ref="C47:V47" si="113">SUM(C48:C52)</f>
        <v>406.54316191333601</v>
      </c>
      <c r="D47" s="152">
        <f t="shared" si="113"/>
        <v>512.74749273652401</v>
      </c>
      <c r="E47" s="152">
        <f t="shared" si="113"/>
        <v>476.11653231261846</v>
      </c>
      <c r="F47" s="152">
        <f t="shared" si="113"/>
        <v>611.08903727814936</v>
      </c>
      <c r="G47" s="152">
        <f t="shared" si="113"/>
        <v>578.13754626301045</v>
      </c>
      <c r="H47" s="152">
        <f t="shared" si="113"/>
        <v>632.40079664523284</v>
      </c>
      <c r="I47" s="152">
        <f t="shared" si="113"/>
        <v>696.79024523896169</v>
      </c>
      <c r="J47" s="152">
        <f t="shared" si="113"/>
        <v>705.29563244740973</v>
      </c>
      <c r="K47" s="152">
        <f t="shared" si="113"/>
        <v>670.29219968986604</v>
      </c>
      <c r="L47" s="152">
        <f t="shared" si="113"/>
        <v>563.74810604972788</v>
      </c>
      <c r="M47" s="152">
        <f t="shared" si="113"/>
        <v>584.49053352553756</v>
      </c>
      <c r="N47" s="152">
        <f t="shared" si="113"/>
        <v>637.83544687081746</v>
      </c>
      <c r="O47" s="152">
        <f t="shared" si="113"/>
        <v>740.37345991504981</v>
      </c>
      <c r="P47" s="152">
        <f t="shared" si="113"/>
        <v>811.9973377383202</v>
      </c>
      <c r="Q47" s="152">
        <f t="shared" si="113"/>
        <v>854.41855302871386</v>
      </c>
      <c r="R47" s="152">
        <f t="shared" si="113"/>
        <v>855.54507809366237</v>
      </c>
      <c r="S47" s="152">
        <f t="shared" si="113"/>
        <v>893.65382767766823</v>
      </c>
      <c r="T47" s="152">
        <f t="shared" si="113"/>
        <v>912.06360186047209</v>
      </c>
      <c r="U47" s="152">
        <f t="shared" si="113"/>
        <v>939.87353115971905</v>
      </c>
      <c r="V47" s="152">
        <f t="shared" si="113"/>
        <v>972.55379948467305</v>
      </c>
      <c r="W47" s="152">
        <f t="shared" ref="W47:Y47" si="114">SUM(W48:W52)</f>
        <v>1002.8849225518732</v>
      </c>
      <c r="X47" s="152">
        <f t="shared" si="114"/>
        <v>1028.8723714321663</v>
      </c>
      <c r="Y47" s="152">
        <f t="shared" si="114"/>
        <v>1057.7108454383674</v>
      </c>
      <c r="DA47" s="174" t="s">
        <v>491</v>
      </c>
    </row>
    <row r="48" spans="1:105" ht="11.45" customHeight="1" x14ac:dyDescent="0.25">
      <c r="A48" s="111" t="s">
        <v>110</v>
      </c>
      <c r="B48" s="87">
        <v>146.41397069888683</v>
      </c>
      <c r="C48" s="87">
        <v>149.20745848356336</v>
      </c>
      <c r="D48" s="87">
        <v>140.69016663415053</v>
      </c>
      <c r="E48" s="87">
        <v>139.39422487330725</v>
      </c>
      <c r="F48" s="87">
        <v>135.85580560767778</v>
      </c>
      <c r="G48" s="87">
        <v>136.07465507694724</v>
      </c>
      <c r="H48" s="87">
        <v>138.03905505494492</v>
      </c>
      <c r="I48" s="87">
        <v>133.13994448138746</v>
      </c>
      <c r="J48" s="87">
        <v>111.14444826603916</v>
      </c>
      <c r="K48" s="87">
        <v>90.047787583171896</v>
      </c>
      <c r="L48" s="87">
        <v>41.016046809041192</v>
      </c>
      <c r="M48" s="87">
        <v>37.048031386275603</v>
      </c>
      <c r="N48" s="87">
        <v>37.083366731711706</v>
      </c>
      <c r="O48" s="87">
        <v>32.298752095004794</v>
      </c>
      <c r="P48" s="87">
        <v>24.601109912500217</v>
      </c>
      <c r="Q48" s="87">
        <v>23.449054132595037</v>
      </c>
      <c r="R48" s="87">
        <v>20.026109410157765</v>
      </c>
      <c r="S48" s="87">
        <v>18.886271428357404</v>
      </c>
      <c r="T48" s="87">
        <v>17.731971733040481</v>
      </c>
      <c r="U48" s="87">
        <v>16.217814690158022</v>
      </c>
      <c r="V48" s="87">
        <v>15.94042187622188</v>
      </c>
      <c r="W48" s="87">
        <v>15.560808087222052</v>
      </c>
      <c r="X48" s="87">
        <v>15.416578991534285</v>
      </c>
      <c r="Y48" s="87">
        <v>15.689265355097037</v>
      </c>
      <c r="DA48" s="171" t="s">
        <v>492</v>
      </c>
    </row>
    <row r="49" spans="1:105" ht="11.45" customHeight="1" x14ac:dyDescent="0.25">
      <c r="A49" s="111" t="s">
        <v>111</v>
      </c>
      <c r="B49" s="87">
        <v>206.18871174248878</v>
      </c>
      <c r="C49" s="87">
        <v>257.33570342977265</v>
      </c>
      <c r="D49" s="87">
        <v>372.05732610237351</v>
      </c>
      <c r="E49" s="87">
        <v>336.72230743931118</v>
      </c>
      <c r="F49" s="87">
        <v>475.23323167047153</v>
      </c>
      <c r="G49" s="87">
        <v>442.06289118606321</v>
      </c>
      <c r="H49" s="87">
        <v>494.36174159028792</v>
      </c>
      <c r="I49" s="87">
        <v>563.6503007575742</v>
      </c>
      <c r="J49" s="87">
        <v>594.15118418137058</v>
      </c>
      <c r="K49" s="87">
        <v>580.24441210669409</v>
      </c>
      <c r="L49" s="87">
        <v>522.73205924068668</v>
      </c>
      <c r="M49" s="87">
        <v>547.42245623080612</v>
      </c>
      <c r="N49" s="87">
        <v>600.50836333452241</v>
      </c>
      <c r="O49" s="87">
        <v>707.74793454818484</v>
      </c>
      <c r="P49" s="87">
        <v>786.95992272325043</v>
      </c>
      <c r="Q49" s="87">
        <v>830.50790087705957</v>
      </c>
      <c r="R49" s="87">
        <v>833.43754354690611</v>
      </c>
      <c r="S49" s="87">
        <v>871.08669165345668</v>
      </c>
      <c r="T49" s="87">
        <v>889.64535452054361</v>
      </c>
      <c r="U49" s="87">
        <v>917.9077819518584</v>
      </c>
      <c r="V49" s="87">
        <v>950.06657339456353</v>
      </c>
      <c r="W49" s="87">
        <v>980.1933422407476</v>
      </c>
      <c r="X49" s="87">
        <v>1005.6864774580133</v>
      </c>
      <c r="Y49" s="87">
        <v>1033.4671648074009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0.22366535781853025</v>
      </c>
      <c r="O50" s="87">
        <v>0.2064465527790402</v>
      </c>
      <c r="P50" s="87">
        <v>0.29588426346754498</v>
      </c>
      <c r="Q50" s="87">
        <v>0.31109679885088598</v>
      </c>
      <c r="R50" s="87">
        <v>1.9711116698019224</v>
      </c>
      <c r="S50" s="87">
        <v>3.5605231180956216</v>
      </c>
      <c r="T50" s="87">
        <v>4.5659861183030754</v>
      </c>
      <c r="U50" s="87">
        <v>5.6076543633159632</v>
      </c>
      <c r="V50" s="87">
        <v>6.1986185104498457</v>
      </c>
      <c r="W50" s="87">
        <v>6.4494615327814584</v>
      </c>
      <c r="X50" s="87">
        <v>6.6775096233372713</v>
      </c>
      <c r="Y50" s="87">
        <v>7.0425371838669442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2.0045908455850327E-2</v>
      </c>
      <c r="N52" s="87">
        <v>2.0051446764772159E-2</v>
      </c>
      <c r="O52" s="87">
        <v>0.12032671908100659</v>
      </c>
      <c r="P52" s="87">
        <v>0.1404208391020913</v>
      </c>
      <c r="Q52" s="87">
        <v>0.15050122020828224</v>
      </c>
      <c r="R52" s="87">
        <v>0.1103134667966148</v>
      </c>
      <c r="S52" s="87">
        <v>0.12034147775855099</v>
      </c>
      <c r="T52" s="87">
        <v>0.12028948858493357</v>
      </c>
      <c r="U52" s="87">
        <v>0.14028015438664862</v>
      </c>
      <c r="V52" s="87">
        <v>0.3481857034378566</v>
      </c>
      <c r="W52" s="87">
        <v>0.6813106911219966</v>
      </c>
      <c r="X52" s="87">
        <v>1.0918053592816246</v>
      </c>
      <c r="Y52" s="87">
        <v>1.5118780920027248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326.27894972766728</v>
      </c>
      <c r="C53" s="116">
        <f t="shared" ref="C53:V53" si="116">SUM(C54:C55)</f>
        <v>393.08815459360943</v>
      </c>
      <c r="D53" s="116">
        <f t="shared" si="116"/>
        <v>462.22013554497181</v>
      </c>
      <c r="E53" s="116">
        <f t="shared" si="116"/>
        <v>519.48943555899325</v>
      </c>
      <c r="F53" s="116">
        <f t="shared" si="116"/>
        <v>506.15177110727893</v>
      </c>
      <c r="G53" s="116">
        <f t="shared" si="116"/>
        <v>562.5758363814623</v>
      </c>
      <c r="H53" s="116">
        <f t="shared" si="116"/>
        <v>582.33353801339877</v>
      </c>
      <c r="I53" s="116">
        <f t="shared" si="116"/>
        <v>686.27614164583258</v>
      </c>
      <c r="J53" s="116">
        <f t="shared" si="116"/>
        <v>645.99930507187946</v>
      </c>
      <c r="K53" s="116">
        <f t="shared" si="116"/>
        <v>598.32612076205191</v>
      </c>
      <c r="L53" s="116">
        <f t="shared" si="116"/>
        <v>529.32145816385935</v>
      </c>
      <c r="M53" s="116">
        <f t="shared" si="116"/>
        <v>459.34583008675816</v>
      </c>
      <c r="N53" s="116">
        <f t="shared" si="116"/>
        <v>407.94470595780746</v>
      </c>
      <c r="O53" s="116">
        <f t="shared" si="116"/>
        <v>443.81756699218897</v>
      </c>
      <c r="P53" s="116">
        <f t="shared" si="116"/>
        <v>440.20421758236347</v>
      </c>
      <c r="Q53" s="116">
        <f t="shared" si="116"/>
        <v>465.96078562081874</v>
      </c>
      <c r="R53" s="116">
        <f t="shared" si="116"/>
        <v>472.96958060262023</v>
      </c>
      <c r="S53" s="116">
        <f t="shared" si="116"/>
        <v>513.3543991685051</v>
      </c>
      <c r="T53" s="116">
        <f t="shared" si="116"/>
        <v>536.49529611030221</v>
      </c>
      <c r="U53" s="116">
        <f t="shared" si="116"/>
        <v>525.50252869918643</v>
      </c>
      <c r="V53" s="116">
        <f t="shared" si="116"/>
        <v>561.5169257129935</v>
      </c>
      <c r="W53" s="116">
        <f t="shared" ref="W53:Y53" si="117">SUM(W54:W55)</f>
        <v>602.51738722943549</v>
      </c>
      <c r="X53" s="116">
        <f t="shared" si="117"/>
        <v>603.08493733666683</v>
      </c>
      <c r="Y53" s="116">
        <f t="shared" si="117"/>
        <v>602.8508462696966</v>
      </c>
      <c r="DA53" s="176" t="s">
        <v>497</v>
      </c>
    </row>
    <row r="54" spans="1:105" ht="11.45" customHeight="1" x14ac:dyDescent="0.25">
      <c r="A54" s="128" t="s">
        <v>27</v>
      </c>
      <c r="B54" s="101">
        <v>275.55160142348757</v>
      </c>
      <c r="C54" s="101">
        <v>338.70106761565836</v>
      </c>
      <c r="D54" s="101">
        <v>405</v>
      </c>
      <c r="E54" s="101">
        <v>461</v>
      </c>
      <c r="F54" s="101">
        <v>437</v>
      </c>
      <c r="G54" s="101">
        <v>491</v>
      </c>
      <c r="H54" s="101">
        <v>495</v>
      </c>
      <c r="I54" s="101">
        <v>587</v>
      </c>
      <c r="J54" s="101">
        <v>549</v>
      </c>
      <c r="K54" s="101">
        <v>521</v>
      </c>
      <c r="L54" s="101">
        <v>446</v>
      </c>
      <c r="M54" s="101">
        <v>363</v>
      </c>
      <c r="N54" s="101">
        <v>301</v>
      </c>
      <c r="O54" s="101">
        <v>321</v>
      </c>
      <c r="P54" s="101">
        <v>316</v>
      </c>
      <c r="Q54" s="101">
        <v>320</v>
      </c>
      <c r="R54" s="101">
        <v>326</v>
      </c>
      <c r="S54" s="101">
        <v>368</v>
      </c>
      <c r="T54" s="101">
        <v>379</v>
      </c>
      <c r="U54" s="101">
        <v>381</v>
      </c>
      <c r="V54" s="101">
        <v>386</v>
      </c>
      <c r="W54" s="101">
        <v>435</v>
      </c>
      <c r="X54" s="101">
        <v>422</v>
      </c>
      <c r="Y54" s="101">
        <v>419</v>
      </c>
      <c r="DA54" s="175" t="s">
        <v>498</v>
      </c>
    </row>
    <row r="55" spans="1:105" ht="11.45" customHeight="1" x14ac:dyDescent="0.25">
      <c r="A55" s="138" t="s">
        <v>116</v>
      </c>
      <c r="B55" s="88">
        <v>50.727348304179685</v>
      </c>
      <c r="C55" s="88">
        <v>54.387086977951078</v>
      </c>
      <c r="D55" s="88">
        <v>57.220135544971797</v>
      </c>
      <c r="E55" s="88">
        <v>58.48943555899325</v>
      </c>
      <c r="F55" s="88">
        <v>69.151771107278904</v>
      </c>
      <c r="G55" s="88">
        <v>71.575836381462338</v>
      </c>
      <c r="H55" s="88">
        <v>87.333538013398808</v>
      </c>
      <c r="I55" s="88">
        <v>99.276141645832595</v>
      </c>
      <c r="J55" s="88">
        <v>96.999305071879462</v>
      </c>
      <c r="K55" s="88">
        <v>77.326120762051886</v>
      </c>
      <c r="L55" s="88">
        <v>83.32145816385939</v>
      </c>
      <c r="M55" s="88">
        <v>96.345830086758184</v>
      </c>
      <c r="N55" s="88">
        <v>106.94470595780744</v>
      </c>
      <c r="O55" s="88">
        <v>122.817566992189</v>
      </c>
      <c r="P55" s="88">
        <v>124.20421758236346</v>
      </c>
      <c r="Q55" s="88">
        <v>145.96078562081874</v>
      </c>
      <c r="R55" s="88">
        <v>146.96958060262023</v>
      </c>
      <c r="S55" s="88">
        <v>145.35439916850513</v>
      </c>
      <c r="T55" s="88">
        <v>157.49529611030221</v>
      </c>
      <c r="U55" s="88">
        <v>144.50252869918643</v>
      </c>
      <c r="V55" s="88">
        <v>175.5169257129935</v>
      </c>
      <c r="W55" s="88">
        <v>167.51738722943546</v>
      </c>
      <c r="X55" s="88">
        <v>181.08493733666677</v>
      </c>
      <c r="Y55" s="88">
        <v>183.85084626969658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688610</v>
      </c>
      <c r="C57" s="54">
        <f t="shared" si="118"/>
        <v>696395</v>
      </c>
      <c r="D57" s="54">
        <f t="shared" si="118"/>
        <v>711167</v>
      </c>
      <c r="E57" s="54">
        <f t="shared" si="118"/>
        <v>725191</v>
      </c>
      <c r="F57" s="54">
        <f t="shared" si="118"/>
        <v>759852</v>
      </c>
      <c r="G57" s="54">
        <f t="shared" si="118"/>
        <v>776766</v>
      </c>
      <c r="H57" s="54">
        <f t="shared" si="118"/>
        <v>804829</v>
      </c>
      <c r="I57" s="54">
        <f t="shared" si="118"/>
        <v>819156</v>
      </c>
      <c r="J57" s="54">
        <f t="shared" si="118"/>
        <v>816064</v>
      </c>
      <c r="K57" s="54">
        <f t="shared" si="118"/>
        <v>795288</v>
      </c>
      <c r="L57" s="54">
        <f t="shared" ref="L57" si="119">L58+L73</f>
        <v>745191</v>
      </c>
      <c r="M57" s="54">
        <f t="shared" ref="M57:V57" si="120">M58+M73</f>
        <v>722412</v>
      </c>
      <c r="N57" s="54">
        <f t="shared" si="120"/>
        <v>733955</v>
      </c>
      <c r="O57" s="54">
        <f t="shared" si="120"/>
        <v>756759</v>
      </c>
      <c r="P57" s="54">
        <f t="shared" si="120"/>
        <v>783466</v>
      </c>
      <c r="Q57" s="54">
        <f t="shared" si="120"/>
        <v>809442</v>
      </c>
      <c r="R57" s="54">
        <f t="shared" si="120"/>
        <v>793540</v>
      </c>
      <c r="S57" s="54">
        <f t="shared" si="120"/>
        <v>824445</v>
      </c>
      <c r="T57" s="54">
        <f t="shared" si="120"/>
        <v>847657</v>
      </c>
      <c r="U57" s="54">
        <f t="shared" si="120"/>
        <v>873446</v>
      </c>
      <c r="V57" s="54">
        <f t="shared" si="120"/>
        <v>891802</v>
      </c>
      <c r="W57" s="54">
        <f t="shared" ref="W57:Y57" si="121">W58+W73</f>
        <v>917174</v>
      </c>
      <c r="X57" s="54">
        <f t="shared" si="121"/>
        <v>935951</v>
      </c>
      <c r="Y57" s="54">
        <f t="shared" si="121"/>
        <v>955450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609255</v>
      </c>
      <c r="C58" s="28">
        <f t="shared" si="122"/>
        <v>612490</v>
      </c>
      <c r="D58" s="28">
        <f t="shared" si="122"/>
        <v>620514</v>
      </c>
      <c r="E58" s="28">
        <f t="shared" si="122"/>
        <v>635593</v>
      </c>
      <c r="F58" s="28">
        <f t="shared" si="122"/>
        <v>662960</v>
      </c>
      <c r="G58" s="28">
        <f t="shared" si="122"/>
        <v>684512</v>
      </c>
      <c r="H58" s="28">
        <f t="shared" si="122"/>
        <v>709611</v>
      </c>
      <c r="I58" s="28">
        <f t="shared" si="122"/>
        <v>723845</v>
      </c>
      <c r="J58" s="28">
        <f t="shared" si="122"/>
        <v>723130</v>
      </c>
      <c r="K58" s="28">
        <f t="shared" si="122"/>
        <v>704678</v>
      </c>
      <c r="L58" s="28">
        <f t="shared" ref="L58" si="123">L59+L60+L67</f>
        <v>677013</v>
      </c>
      <c r="M58" s="28">
        <f t="shared" ref="M58:V58" si="124">M59+M60+M67</f>
        <v>654431</v>
      </c>
      <c r="N58" s="28">
        <f t="shared" si="124"/>
        <v>662704</v>
      </c>
      <c r="O58" s="28">
        <f t="shared" si="124"/>
        <v>681436</v>
      </c>
      <c r="P58" s="28">
        <f t="shared" si="124"/>
        <v>707323</v>
      </c>
      <c r="Q58" s="28">
        <f t="shared" si="124"/>
        <v>731402</v>
      </c>
      <c r="R58" s="28">
        <f t="shared" si="124"/>
        <v>716796</v>
      </c>
      <c r="S58" s="28">
        <f t="shared" si="124"/>
        <v>745338</v>
      </c>
      <c r="T58" s="28">
        <f t="shared" si="124"/>
        <v>766698</v>
      </c>
      <c r="U58" s="28">
        <f t="shared" si="124"/>
        <v>790506</v>
      </c>
      <c r="V58" s="28">
        <f t="shared" si="124"/>
        <v>806285</v>
      </c>
      <c r="W58" s="28">
        <f t="shared" ref="W58:Y58" si="125">W59+W60+W67</f>
        <v>830580</v>
      </c>
      <c r="X58" s="28">
        <f t="shared" si="125"/>
        <v>845906</v>
      </c>
      <c r="Y58" s="28">
        <f t="shared" si="125"/>
        <v>861938</v>
      </c>
      <c r="DA58" s="173" t="s">
        <v>501</v>
      </c>
    </row>
    <row r="59" spans="1:105" ht="11.45" customHeight="1" x14ac:dyDescent="0.25">
      <c r="A59" s="136" t="s">
        <v>173</v>
      </c>
      <c r="B59" s="137">
        <v>32648.000000000004</v>
      </c>
      <c r="C59" s="137">
        <v>32485</v>
      </c>
      <c r="D59" s="137">
        <v>32539</v>
      </c>
      <c r="E59" s="137">
        <v>32598.999999999996</v>
      </c>
      <c r="F59" s="137">
        <v>32809</v>
      </c>
      <c r="G59" s="137">
        <v>33046</v>
      </c>
      <c r="H59" s="137">
        <v>33655</v>
      </c>
      <c r="I59" s="137">
        <v>35017</v>
      </c>
      <c r="J59" s="137">
        <v>36411</v>
      </c>
      <c r="K59" s="137">
        <v>36578</v>
      </c>
      <c r="L59" s="137">
        <v>36674</v>
      </c>
      <c r="M59" s="137">
        <v>38623</v>
      </c>
      <c r="N59" s="137">
        <v>41088</v>
      </c>
      <c r="O59" s="137">
        <v>43588</v>
      </c>
      <c r="P59" s="137">
        <v>46422</v>
      </c>
      <c r="Q59" s="137">
        <v>49288</v>
      </c>
      <c r="R59" s="137">
        <v>49581</v>
      </c>
      <c r="S59" s="137">
        <v>52800</v>
      </c>
      <c r="T59" s="137">
        <v>55898</v>
      </c>
      <c r="U59" s="137">
        <v>60416</v>
      </c>
      <c r="V59" s="137">
        <v>64421</v>
      </c>
      <c r="W59" s="137">
        <v>69115</v>
      </c>
      <c r="X59" s="137">
        <v>73282</v>
      </c>
      <c r="Y59" s="137">
        <v>77320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572800</v>
      </c>
      <c r="C60" s="110">
        <f t="shared" si="126"/>
        <v>576200</v>
      </c>
      <c r="D60" s="110">
        <f t="shared" si="126"/>
        <v>584100</v>
      </c>
      <c r="E60" s="110">
        <f t="shared" si="126"/>
        <v>598900</v>
      </c>
      <c r="F60" s="110">
        <f t="shared" si="126"/>
        <v>626100</v>
      </c>
      <c r="G60" s="110">
        <f t="shared" si="126"/>
        <v>647500</v>
      </c>
      <c r="H60" s="110">
        <f t="shared" si="126"/>
        <v>672010</v>
      </c>
      <c r="I60" s="110">
        <f t="shared" si="126"/>
        <v>684870</v>
      </c>
      <c r="J60" s="110">
        <f t="shared" si="126"/>
        <v>682830</v>
      </c>
      <c r="K60" s="110">
        <f t="shared" si="126"/>
        <v>664310</v>
      </c>
      <c r="L60" s="110">
        <f t="shared" ref="L60" si="127">SUM(L61:L66)</f>
        <v>636660</v>
      </c>
      <c r="M60" s="110">
        <f t="shared" ref="M60:V60" si="128">SUM(M61:M66)</f>
        <v>612320</v>
      </c>
      <c r="N60" s="110">
        <f t="shared" si="128"/>
        <v>618270</v>
      </c>
      <c r="O60" s="110">
        <f t="shared" si="128"/>
        <v>634595</v>
      </c>
      <c r="P60" s="110">
        <f t="shared" si="128"/>
        <v>657799</v>
      </c>
      <c r="Q60" s="110">
        <f t="shared" si="128"/>
        <v>679048</v>
      </c>
      <c r="R60" s="110">
        <f t="shared" si="128"/>
        <v>664177</v>
      </c>
      <c r="S60" s="110">
        <f t="shared" si="128"/>
        <v>689536</v>
      </c>
      <c r="T60" s="110">
        <f t="shared" si="128"/>
        <v>707841</v>
      </c>
      <c r="U60" s="110">
        <f t="shared" si="128"/>
        <v>727164</v>
      </c>
      <c r="V60" s="110">
        <f t="shared" si="128"/>
        <v>739124</v>
      </c>
      <c r="W60" s="110">
        <f t="shared" ref="W60:Y60" si="129">SUM(W61:W66)</f>
        <v>758688</v>
      </c>
      <c r="X60" s="110">
        <f t="shared" si="129"/>
        <v>769723</v>
      </c>
      <c r="Y60" s="110">
        <f t="shared" si="129"/>
        <v>781690</v>
      </c>
      <c r="DA60" s="176" t="s">
        <v>503</v>
      </c>
    </row>
    <row r="61" spans="1:105" ht="11.45" customHeight="1" x14ac:dyDescent="0.25">
      <c r="A61" s="111" t="s">
        <v>110</v>
      </c>
      <c r="B61" s="84">
        <v>506900</v>
      </c>
      <c r="C61" s="84">
        <v>500712</v>
      </c>
      <c r="D61" s="84">
        <v>495101</v>
      </c>
      <c r="E61" s="84">
        <v>492319</v>
      </c>
      <c r="F61" s="84">
        <v>496648</v>
      </c>
      <c r="G61" s="84">
        <v>493840</v>
      </c>
      <c r="H61" s="84">
        <v>491907</v>
      </c>
      <c r="I61" s="84">
        <v>485255</v>
      </c>
      <c r="J61" s="84">
        <v>465836</v>
      </c>
      <c r="K61" s="84">
        <v>438195</v>
      </c>
      <c r="L61" s="84">
        <v>411064</v>
      </c>
      <c r="M61" s="84">
        <v>374564</v>
      </c>
      <c r="N61" s="84">
        <v>347845</v>
      </c>
      <c r="O61" s="84">
        <v>334080</v>
      </c>
      <c r="P61" s="84">
        <v>297946</v>
      </c>
      <c r="Q61" s="84">
        <v>288127</v>
      </c>
      <c r="R61" s="84">
        <v>256498</v>
      </c>
      <c r="S61" s="84">
        <v>249098</v>
      </c>
      <c r="T61" s="84">
        <v>238356</v>
      </c>
      <c r="U61" s="84">
        <v>230298</v>
      </c>
      <c r="V61" s="84">
        <v>223367</v>
      </c>
      <c r="W61" s="84">
        <v>219792</v>
      </c>
      <c r="X61" s="84">
        <v>216218</v>
      </c>
      <c r="Y61" s="84">
        <v>215844</v>
      </c>
      <c r="DA61" s="171" t="s">
        <v>504</v>
      </c>
    </row>
    <row r="62" spans="1:105" ht="11.45" customHeight="1" x14ac:dyDescent="0.25">
      <c r="A62" s="111" t="s">
        <v>111</v>
      </c>
      <c r="B62" s="84">
        <v>49700</v>
      </c>
      <c r="C62" s="84">
        <v>59329</v>
      </c>
      <c r="D62" s="84">
        <v>72862</v>
      </c>
      <c r="E62" s="84">
        <v>88588</v>
      </c>
      <c r="F62" s="84">
        <v>105614</v>
      </c>
      <c r="G62" s="84">
        <v>126869</v>
      </c>
      <c r="H62" s="84">
        <v>150870</v>
      </c>
      <c r="I62" s="84">
        <v>171651</v>
      </c>
      <c r="J62" s="84">
        <v>190342</v>
      </c>
      <c r="K62" s="84">
        <v>200974</v>
      </c>
      <c r="L62" s="84">
        <v>202425</v>
      </c>
      <c r="M62" s="84">
        <v>211665</v>
      </c>
      <c r="N62" s="84">
        <v>227340</v>
      </c>
      <c r="O62" s="84">
        <v>252126</v>
      </c>
      <c r="P62" s="84">
        <v>303288</v>
      </c>
      <c r="Q62" s="84">
        <v>338304</v>
      </c>
      <c r="R62" s="84">
        <v>355033</v>
      </c>
      <c r="S62" s="84">
        <v>388034</v>
      </c>
      <c r="T62" s="84">
        <v>418192</v>
      </c>
      <c r="U62" s="84">
        <v>446705</v>
      </c>
      <c r="V62" s="84">
        <v>466314</v>
      </c>
      <c r="W62" s="84">
        <v>488293</v>
      </c>
      <c r="X62" s="84">
        <v>500829</v>
      </c>
      <c r="Y62" s="84">
        <v>510228</v>
      </c>
      <c r="DA62" s="171" t="s">
        <v>505</v>
      </c>
    </row>
    <row r="63" spans="1:105" ht="11.45" customHeight="1" x14ac:dyDescent="0.25">
      <c r="A63" s="111" t="s">
        <v>112</v>
      </c>
      <c r="B63" s="84">
        <v>16000</v>
      </c>
      <c r="C63" s="84">
        <v>16005</v>
      </c>
      <c r="D63" s="84">
        <v>15999</v>
      </c>
      <c r="E63" s="84">
        <v>17872</v>
      </c>
      <c r="F63" s="84">
        <v>23734</v>
      </c>
      <c r="G63" s="84">
        <v>26691</v>
      </c>
      <c r="H63" s="84">
        <v>29164</v>
      </c>
      <c r="I63" s="84">
        <v>27909</v>
      </c>
      <c r="J63" s="84">
        <v>26602</v>
      </c>
      <c r="K63" s="84">
        <v>25091</v>
      </c>
      <c r="L63" s="84">
        <v>23171</v>
      </c>
      <c r="M63" s="84">
        <v>26091</v>
      </c>
      <c r="N63" s="84">
        <v>43072</v>
      </c>
      <c r="O63" s="84">
        <v>48368</v>
      </c>
      <c r="P63" s="84">
        <v>56368</v>
      </c>
      <c r="Q63" s="84">
        <v>52383</v>
      </c>
      <c r="R63" s="84">
        <v>52379</v>
      </c>
      <c r="S63" s="84">
        <v>52043</v>
      </c>
      <c r="T63" s="84">
        <v>50611</v>
      </c>
      <c r="U63" s="84">
        <v>49213</v>
      </c>
      <c r="V63" s="84">
        <v>47842</v>
      </c>
      <c r="W63" s="84">
        <v>47940</v>
      </c>
      <c r="X63" s="84">
        <v>48038</v>
      </c>
      <c r="Y63" s="84">
        <v>48136</v>
      </c>
      <c r="DA63" s="171" t="s">
        <v>506</v>
      </c>
    </row>
    <row r="64" spans="1:105" ht="11.45" customHeight="1" x14ac:dyDescent="0.25">
      <c r="A64" s="111" t="s">
        <v>113</v>
      </c>
      <c r="B64" s="84">
        <v>200</v>
      </c>
      <c r="C64" s="84">
        <v>154</v>
      </c>
      <c r="D64" s="84">
        <v>138</v>
      </c>
      <c r="E64" s="84">
        <v>121</v>
      </c>
      <c r="F64" s="84">
        <v>104</v>
      </c>
      <c r="G64" s="84">
        <v>100</v>
      </c>
      <c r="H64" s="84">
        <v>69</v>
      </c>
      <c r="I64" s="84">
        <v>55</v>
      </c>
      <c r="J64" s="84">
        <v>50</v>
      </c>
      <c r="K64" s="84">
        <v>50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151</v>
      </c>
      <c r="U64" s="84">
        <v>166</v>
      </c>
      <c r="V64" s="84">
        <v>200</v>
      </c>
      <c r="W64" s="84">
        <v>219</v>
      </c>
      <c r="X64" s="84">
        <v>238</v>
      </c>
      <c r="Y64" s="84">
        <v>257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3</v>
      </c>
      <c r="O65" s="84">
        <v>6</v>
      </c>
      <c r="P65" s="84">
        <v>9</v>
      </c>
      <c r="Q65" s="84">
        <v>23</v>
      </c>
      <c r="R65" s="84">
        <v>26</v>
      </c>
      <c r="S65" s="84">
        <v>49</v>
      </c>
      <c r="T65" s="84">
        <v>89</v>
      </c>
      <c r="U65" s="84">
        <v>124</v>
      </c>
      <c r="V65" s="84">
        <v>196</v>
      </c>
      <c r="W65" s="84">
        <v>338</v>
      </c>
      <c r="X65" s="84">
        <v>568</v>
      </c>
      <c r="Y65" s="84">
        <v>856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10</v>
      </c>
      <c r="O66" s="84">
        <v>15</v>
      </c>
      <c r="P66" s="84">
        <v>188</v>
      </c>
      <c r="Q66" s="84">
        <v>211</v>
      </c>
      <c r="R66" s="84">
        <v>241</v>
      </c>
      <c r="S66" s="84">
        <v>312</v>
      </c>
      <c r="T66" s="84">
        <v>442</v>
      </c>
      <c r="U66" s="84">
        <v>658</v>
      </c>
      <c r="V66" s="84">
        <v>1205</v>
      </c>
      <c r="W66" s="84">
        <v>2106</v>
      </c>
      <c r="X66" s="84">
        <v>3832</v>
      </c>
      <c r="Y66" s="84">
        <v>6369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3807</v>
      </c>
      <c r="C67" s="110">
        <f t="shared" si="130"/>
        <v>3805</v>
      </c>
      <c r="D67" s="110">
        <f t="shared" si="130"/>
        <v>3875</v>
      </c>
      <c r="E67" s="110">
        <f t="shared" si="130"/>
        <v>4094</v>
      </c>
      <c r="F67" s="110">
        <f t="shared" si="130"/>
        <v>4051</v>
      </c>
      <c r="G67" s="110">
        <f t="shared" si="130"/>
        <v>3966</v>
      </c>
      <c r="H67" s="110">
        <f t="shared" si="130"/>
        <v>3946</v>
      </c>
      <c r="I67" s="110">
        <f t="shared" si="130"/>
        <v>3958</v>
      </c>
      <c r="J67" s="110">
        <f t="shared" si="130"/>
        <v>3889</v>
      </c>
      <c r="K67" s="110">
        <f t="shared" si="130"/>
        <v>3790</v>
      </c>
      <c r="L67" s="110">
        <f t="shared" ref="L67" si="131">SUM(L68:L72)</f>
        <v>3679</v>
      </c>
      <c r="M67" s="110">
        <f t="shared" ref="M67:V67" si="132">SUM(M68:M72)</f>
        <v>3488</v>
      </c>
      <c r="N67" s="110">
        <f t="shared" si="132"/>
        <v>3346</v>
      </c>
      <c r="O67" s="110">
        <f t="shared" si="132"/>
        <v>3253</v>
      </c>
      <c r="P67" s="110">
        <f t="shared" si="132"/>
        <v>3102</v>
      </c>
      <c r="Q67" s="110">
        <f t="shared" si="132"/>
        <v>3066</v>
      </c>
      <c r="R67" s="110">
        <f t="shared" si="132"/>
        <v>3038</v>
      </c>
      <c r="S67" s="110">
        <f t="shared" si="132"/>
        <v>3002</v>
      </c>
      <c r="T67" s="110">
        <f t="shared" si="132"/>
        <v>2959</v>
      </c>
      <c r="U67" s="110">
        <f t="shared" si="132"/>
        <v>2926</v>
      </c>
      <c r="V67" s="110">
        <f t="shared" si="132"/>
        <v>2740</v>
      </c>
      <c r="W67" s="110">
        <f t="shared" ref="W67:Y67" si="133">SUM(W68:W72)</f>
        <v>2777</v>
      </c>
      <c r="X67" s="110">
        <f t="shared" si="133"/>
        <v>2901</v>
      </c>
      <c r="Y67" s="110">
        <f t="shared" si="133"/>
        <v>2928</v>
      </c>
      <c r="DA67" s="176" t="s">
        <v>510</v>
      </c>
    </row>
    <row r="68" spans="1:105" ht="11.45" customHeight="1" x14ac:dyDescent="0.25">
      <c r="A68" s="111" t="s">
        <v>110</v>
      </c>
      <c r="B68" s="102">
        <v>398</v>
      </c>
      <c r="C68" s="102">
        <v>397</v>
      </c>
      <c r="D68" s="102">
        <v>394</v>
      </c>
      <c r="E68" s="102">
        <v>382</v>
      </c>
      <c r="F68" s="102">
        <v>368</v>
      </c>
      <c r="G68" s="102">
        <v>354</v>
      </c>
      <c r="H68" s="102">
        <v>341</v>
      </c>
      <c r="I68" s="102">
        <v>330</v>
      </c>
      <c r="J68" s="102">
        <v>315</v>
      </c>
      <c r="K68" s="102">
        <v>278</v>
      </c>
      <c r="L68" s="102">
        <v>234</v>
      </c>
      <c r="M68" s="102">
        <v>142</v>
      </c>
      <c r="N68" s="102">
        <v>110</v>
      </c>
      <c r="O68" s="102">
        <v>80</v>
      </c>
      <c r="P68" s="102">
        <v>52</v>
      </c>
      <c r="Q68" s="102">
        <v>44</v>
      </c>
      <c r="R68" s="102">
        <v>32</v>
      </c>
      <c r="S68" s="102">
        <v>28</v>
      </c>
      <c r="T68" s="102">
        <v>24</v>
      </c>
      <c r="U68" s="102">
        <v>22</v>
      </c>
      <c r="V68" s="102">
        <v>18</v>
      </c>
      <c r="W68" s="102">
        <v>14</v>
      </c>
      <c r="X68" s="102">
        <v>14</v>
      </c>
      <c r="Y68" s="102">
        <v>15</v>
      </c>
      <c r="DA68" s="175" t="s">
        <v>511</v>
      </c>
    </row>
    <row r="69" spans="1:105" ht="11.45" customHeight="1" x14ac:dyDescent="0.25">
      <c r="A69" s="111" t="s">
        <v>111</v>
      </c>
      <c r="B69" s="102">
        <v>3300</v>
      </c>
      <c r="C69" s="102">
        <v>3266</v>
      </c>
      <c r="D69" s="102">
        <v>3357</v>
      </c>
      <c r="E69" s="102">
        <v>3593</v>
      </c>
      <c r="F69" s="102">
        <v>3562</v>
      </c>
      <c r="G69" s="102">
        <v>3457</v>
      </c>
      <c r="H69" s="102">
        <v>3448</v>
      </c>
      <c r="I69" s="102">
        <v>3439</v>
      </c>
      <c r="J69" s="102">
        <v>3390</v>
      </c>
      <c r="K69" s="102">
        <v>3299</v>
      </c>
      <c r="L69" s="102">
        <v>3163</v>
      </c>
      <c r="M69" s="102">
        <v>3071</v>
      </c>
      <c r="N69" s="102">
        <v>2971</v>
      </c>
      <c r="O69" s="102">
        <v>2909</v>
      </c>
      <c r="P69" s="102">
        <v>2793</v>
      </c>
      <c r="Q69" s="102">
        <v>2753</v>
      </c>
      <c r="R69" s="102">
        <v>2704</v>
      </c>
      <c r="S69" s="102">
        <v>2710</v>
      </c>
      <c r="T69" s="102">
        <v>2670</v>
      </c>
      <c r="U69" s="102">
        <v>2618</v>
      </c>
      <c r="V69" s="102">
        <v>2372</v>
      </c>
      <c r="W69" s="102">
        <v>2290</v>
      </c>
      <c r="X69" s="102">
        <v>2306</v>
      </c>
      <c r="Y69" s="102">
        <v>2262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12</v>
      </c>
      <c r="S70" s="102">
        <v>9</v>
      </c>
      <c r="T70" s="102">
        <v>7</v>
      </c>
      <c r="U70" s="102">
        <v>5</v>
      </c>
      <c r="V70" s="102">
        <v>4</v>
      </c>
      <c r="W70" s="102">
        <v>4</v>
      </c>
      <c r="X70" s="102">
        <v>4</v>
      </c>
      <c r="Y70" s="102">
        <v>4</v>
      </c>
      <c r="DA70" s="175" t="s">
        <v>513</v>
      </c>
    </row>
    <row r="71" spans="1:105" ht="11.45" customHeight="1" x14ac:dyDescent="0.25">
      <c r="A71" s="111" t="s">
        <v>113</v>
      </c>
      <c r="B71" s="102">
        <v>100</v>
      </c>
      <c r="C71" s="102">
        <v>120</v>
      </c>
      <c r="D71" s="102">
        <v>102</v>
      </c>
      <c r="E71" s="102">
        <v>98</v>
      </c>
      <c r="F71" s="102">
        <v>100</v>
      </c>
      <c r="G71" s="102">
        <v>105</v>
      </c>
      <c r="H71" s="102">
        <v>105</v>
      </c>
      <c r="I71" s="102">
        <v>110</v>
      </c>
      <c r="J71" s="102">
        <v>45</v>
      </c>
      <c r="K71" s="102">
        <v>2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14</v>
      </c>
      <c r="V71" s="102">
        <v>60</v>
      </c>
      <c r="W71" s="102">
        <v>150</v>
      </c>
      <c r="X71" s="102">
        <v>280</v>
      </c>
      <c r="Y71" s="102">
        <v>300</v>
      </c>
      <c r="DA71" s="175" t="s">
        <v>514</v>
      </c>
    </row>
    <row r="72" spans="1:105" ht="11.45" customHeight="1" x14ac:dyDescent="0.25">
      <c r="A72" s="111" t="s">
        <v>115</v>
      </c>
      <c r="B72" s="102">
        <v>9</v>
      </c>
      <c r="C72" s="102">
        <v>22</v>
      </c>
      <c r="D72" s="102">
        <v>22</v>
      </c>
      <c r="E72" s="102">
        <v>21</v>
      </c>
      <c r="F72" s="102">
        <v>21</v>
      </c>
      <c r="G72" s="102">
        <v>50</v>
      </c>
      <c r="H72" s="102">
        <v>52</v>
      </c>
      <c r="I72" s="102">
        <v>79</v>
      </c>
      <c r="J72" s="102">
        <v>139</v>
      </c>
      <c r="K72" s="102">
        <v>211</v>
      </c>
      <c r="L72" s="102">
        <v>282</v>
      </c>
      <c r="M72" s="102">
        <v>275</v>
      </c>
      <c r="N72" s="102">
        <v>265</v>
      </c>
      <c r="O72" s="102">
        <v>264</v>
      </c>
      <c r="P72" s="102">
        <v>257</v>
      </c>
      <c r="Q72" s="102">
        <v>269</v>
      </c>
      <c r="R72" s="102">
        <v>290</v>
      </c>
      <c r="S72" s="102">
        <v>255</v>
      </c>
      <c r="T72" s="102">
        <v>258</v>
      </c>
      <c r="U72" s="102">
        <v>267</v>
      </c>
      <c r="V72" s="102">
        <v>286</v>
      </c>
      <c r="W72" s="102">
        <v>319</v>
      </c>
      <c r="X72" s="102">
        <v>297</v>
      </c>
      <c r="Y72" s="102">
        <v>347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79355</v>
      </c>
      <c r="C73" s="28">
        <f t="shared" si="134"/>
        <v>83905</v>
      </c>
      <c r="D73" s="28">
        <f t="shared" si="134"/>
        <v>90653</v>
      </c>
      <c r="E73" s="28">
        <f t="shared" si="134"/>
        <v>89598</v>
      </c>
      <c r="F73" s="28">
        <f t="shared" si="134"/>
        <v>96892</v>
      </c>
      <c r="G73" s="28">
        <f t="shared" si="134"/>
        <v>92254</v>
      </c>
      <c r="H73" s="28">
        <f t="shared" si="134"/>
        <v>95218</v>
      </c>
      <c r="I73" s="28">
        <f t="shared" si="134"/>
        <v>95311</v>
      </c>
      <c r="J73" s="28">
        <f t="shared" si="134"/>
        <v>92934</v>
      </c>
      <c r="K73" s="28">
        <f t="shared" si="134"/>
        <v>90610</v>
      </c>
      <c r="L73" s="28">
        <f t="shared" ref="L73" si="135">L74+L80</f>
        <v>68178</v>
      </c>
      <c r="M73" s="28">
        <f t="shared" ref="M73:V73" si="136">M74+M80</f>
        <v>67981</v>
      </c>
      <c r="N73" s="28">
        <f t="shared" si="136"/>
        <v>71251</v>
      </c>
      <c r="O73" s="28">
        <f t="shared" si="136"/>
        <v>75323</v>
      </c>
      <c r="P73" s="28">
        <f t="shared" si="136"/>
        <v>76143</v>
      </c>
      <c r="Q73" s="28">
        <f t="shared" si="136"/>
        <v>78040</v>
      </c>
      <c r="R73" s="28">
        <f t="shared" si="136"/>
        <v>76744</v>
      </c>
      <c r="S73" s="28">
        <f t="shared" si="136"/>
        <v>79107</v>
      </c>
      <c r="T73" s="28">
        <f t="shared" si="136"/>
        <v>80959</v>
      </c>
      <c r="U73" s="28">
        <f t="shared" si="136"/>
        <v>82940</v>
      </c>
      <c r="V73" s="28">
        <f t="shared" si="136"/>
        <v>85517</v>
      </c>
      <c r="W73" s="28">
        <f t="shared" ref="W73:Y73" si="137">W74+W80</f>
        <v>86594</v>
      </c>
      <c r="X73" s="28">
        <f t="shared" si="137"/>
        <v>90045</v>
      </c>
      <c r="Y73" s="28">
        <f t="shared" si="137"/>
        <v>93512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26899</v>
      </c>
      <c r="C74" s="137">
        <f t="shared" si="138"/>
        <v>30126</v>
      </c>
      <c r="D74" s="137">
        <f t="shared" si="138"/>
        <v>35707</v>
      </c>
      <c r="E74" s="137">
        <f t="shared" si="138"/>
        <v>34209</v>
      </c>
      <c r="F74" s="137">
        <f t="shared" si="138"/>
        <v>41530</v>
      </c>
      <c r="G74" s="137">
        <f t="shared" si="138"/>
        <v>39401</v>
      </c>
      <c r="H74" s="137">
        <f t="shared" si="138"/>
        <v>44138</v>
      </c>
      <c r="I74" s="137">
        <f t="shared" si="138"/>
        <v>46358</v>
      </c>
      <c r="J74" s="137">
        <f t="shared" si="138"/>
        <v>46100</v>
      </c>
      <c r="K74" s="137">
        <f t="shared" si="138"/>
        <v>43420</v>
      </c>
      <c r="L74" s="137">
        <f t="shared" ref="L74" si="139">SUM(L75:L79)</f>
        <v>35274</v>
      </c>
      <c r="M74" s="137">
        <f t="shared" ref="M74:V74" si="140">SUM(M75:M79)</f>
        <v>36577</v>
      </c>
      <c r="N74" s="137">
        <f t="shared" si="140"/>
        <v>39962</v>
      </c>
      <c r="O74" s="137">
        <f t="shared" si="140"/>
        <v>45923</v>
      </c>
      <c r="P74" s="137">
        <f t="shared" si="140"/>
        <v>50047</v>
      </c>
      <c r="Q74" s="137">
        <f t="shared" si="140"/>
        <v>53421</v>
      </c>
      <c r="R74" s="137">
        <f t="shared" si="140"/>
        <v>53266</v>
      </c>
      <c r="S74" s="137">
        <f t="shared" si="140"/>
        <v>55559</v>
      </c>
      <c r="T74" s="137">
        <f t="shared" si="140"/>
        <v>57146</v>
      </c>
      <c r="U74" s="137">
        <f t="shared" si="140"/>
        <v>59291</v>
      </c>
      <c r="V74" s="137">
        <f t="shared" si="140"/>
        <v>60696</v>
      </c>
      <c r="W74" s="137">
        <f t="shared" ref="W74:Y74" si="141">SUM(W75:W79)</f>
        <v>63078</v>
      </c>
      <c r="X74" s="137">
        <f t="shared" si="141"/>
        <v>65256</v>
      </c>
      <c r="Y74" s="137">
        <f t="shared" si="141"/>
        <v>67664</v>
      </c>
      <c r="DA74" s="174" t="s">
        <v>517</v>
      </c>
    </row>
    <row r="75" spans="1:105" ht="11.45" customHeight="1" x14ac:dyDescent="0.25">
      <c r="A75" s="111" t="s">
        <v>110</v>
      </c>
      <c r="B75" s="84">
        <v>15645</v>
      </c>
      <c r="C75" s="84">
        <v>16017</v>
      </c>
      <c r="D75" s="84">
        <v>15277</v>
      </c>
      <c r="E75" s="84">
        <v>15483</v>
      </c>
      <c r="F75" s="84">
        <v>15094</v>
      </c>
      <c r="G75" s="84">
        <v>15001</v>
      </c>
      <c r="H75" s="84">
        <v>15286</v>
      </c>
      <c r="I75" s="84">
        <v>14860</v>
      </c>
      <c r="J75" s="84">
        <v>12539</v>
      </c>
      <c r="K75" s="84">
        <v>10196</v>
      </c>
      <c r="L75" s="84">
        <v>4697</v>
      </c>
      <c r="M75" s="84">
        <v>4279</v>
      </c>
      <c r="N75" s="84">
        <v>4308</v>
      </c>
      <c r="O75" s="84">
        <v>3764</v>
      </c>
      <c r="P75" s="84">
        <v>2884</v>
      </c>
      <c r="Q75" s="84">
        <v>2796</v>
      </c>
      <c r="R75" s="84">
        <v>2340</v>
      </c>
      <c r="S75" s="84">
        <v>2207</v>
      </c>
      <c r="T75" s="84">
        <v>2091</v>
      </c>
      <c r="U75" s="84">
        <v>1929</v>
      </c>
      <c r="V75" s="84">
        <v>1877</v>
      </c>
      <c r="W75" s="84">
        <v>1848</v>
      </c>
      <c r="X75" s="84">
        <v>1847</v>
      </c>
      <c r="Y75" s="84">
        <v>1896</v>
      </c>
      <c r="DA75" s="171" t="s">
        <v>518</v>
      </c>
    </row>
    <row r="76" spans="1:105" ht="11.45" customHeight="1" x14ac:dyDescent="0.25">
      <c r="A76" s="111" t="s">
        <v>111</v>
      </c>
      <c r="B76" s="84">
        <v>11254</v>
      </c>
      <c r="C76" s="84">
        <v>14109</v>
      </c>
      <c r="D76" s="84">
        <v>20430</v>
      </c>
      <c r="E76" s="84">
        <v>18726</v>
      </c>
      <c r="F76" s="84">
        <v>26436</v>
      </c>
      <c r="G76" s="84">
        <v>24400</v>
      </c>
      <c r="H76" s="84">
        <v>28852</v>
      </c>
      <c r="I76" s="84">
        <v>31498</v>
      </c>
      <c r="J76" s="84">
        <v>33561</v>
      </c>
      <c r="K76" s="84">
        <v>33224</v>
      </c>
      <c r="L76" s="84">
        <v>30577</v>
      </c>
      <c r="M76" s="84">
        <v>32296</v>
      </c>
      <c r="N76" s="84">
        <v>35634</v>
      </c>
      <c r="O76" s="84">
        <v>42130</v>
      </c>
      <c r="P76" s="84">
        <v>47124</v>
      </c>
      <c r="Q76" s="84">
        <v>50583</v>
      </c>
      <c r="R76" s="84">
        <v>50749</v>
      </c>
      <c r="S76" s="84">
        <v>53046</v>
      </c>
      <c r="T76" s="84">
        <v>54670</v>
      </c>
      <c r="U76" s="84">
        <v>56895</v>
      </c>
      <c r="V76" s="84">
        <v>58298</v>
      </c>
      <c r="W76" s="84">
        <v>60662</v>
      </c>
      <c r="X76" s="84">
        <v>62788</v>
      </c>
      <c r="Y76" s="84">
        <v>65083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18</v>
      </c>
      <c r="O77" s="84">
        <v>17</v>
      </c>
      <c r="P77" s="84">
        <v>25</v>
      </c>
      <c r="Q77" s="84">
        <v>27</v>
      </c>
      <c r="R77" s="84">
        <v>166</v>
      </c>
      <c r="S77" s="84">
        <v>294</v>
      </c>
      <c r="T77" s="84">
        <v>373</v>
      </c>
      <c r="U77" s="84">
        <v>453</v>
      </c>
      <c r="V77" s="84">
        <v>486</v>
      </c>
      <c r="W77" s="84">
        <v>500</v>
      </c>
      <c r="X77" s="84">
        <v>512</v>
      </c>
      <c r="Y77" s="84">
        <v>534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</v>
      </c>
      <c r="N79" s="84">
        <v>2</v>
      </c>
      <c r="O79" s="84">
        <v>12</v>
      </c>
      <c r="P79" s="84">
        <v>14</v>
      </c>
      <c r="Q79" s="84">
        <v>15</v>
      </c>
      <c r="R79" s="84">
        <v>11</v>
      </c>
      <c r="S79" s="84">
        <v>12</v>
      </c>
      <c r="T79" s="84">
        <v>12</v>
      </c>
      <c r="U79" s="84">
        <v>14</v>
      </c>
      <c r="V79" s="84">
        <v>35</v>
      </c>
      <c r="W79" s="84">
        <v>68</v>
      </c>
      <c r="X79" s="84">
        <v>109</v>
      </c>
      <c r="Y79" s="84">
        <v>151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52456</v>
      </c>
      <c r="C80" s="110">
        <f t="shared" si="142"/>
        <v>53779</v>
      </c>
      <c r="D80" s="110">
        <f t="shared" si="142"/>
        <v>54946</v>
      </c>
      <c r="E80" s="110">
        <f t="shared" si="142"/>
        <v>55389</v>
      </c>
      <c r="F80" s="110">
        <f t="shared" si="142"/>
        <v>55362</v>
      </c>
      <c r="G80" s="110">
        <f t="shared" si="142"/>
        <v>52853</v>
      </c>
      <c r="H80" s="110">
        <f t="shared" si="142"/>
        <v>51080</v>
      </c>
      <c r="I80" s="110">
        <f t="shared" si="142"/>
        <v>48953</v>
      </c>
      <c r="J80" s="110">
        <f t="shared" si="142"/>
        <v>46834</v>
      </c>
      <c r="K80" s="110">
        <f t="shared" si="142"/>
        <v>47190</v>
      </c>
      <c r="L80" s="110">
        <f t="shared" ref="L80" si="143">SUM(L81:L82)</f>
        <v>32904</v>
      </c>
      <c r="M80" s="110">
        <f t="shared" ref="M80:V80" si="144">SUM(M81:M82)</f>
        <v>31404</v>
      </c>
      <c r="N80" s="110">
        <f t="shared" si="144"/>
        <v>31289</v>
      </c>
      <c r="O80" s="110">
        <f t="shared" si="144"/>
        <v>29400</v>
      </c>
      <c r="P80" s="110">
        <f t="shared" si="144"/>
        <v>26096</v>
      </c>
      <c r="Q80" s="110">
        <f t="shared" si="144"/>
        <v>24619</v>
      </c>
      <c r="R80" s="110">
        <f t="shared" si="144"/>
        <v>23478</v>
      </c>
      <c r="S80" s="110">
        <f t="shared" si="144"/>
        <v>23548</v>
      </c>
      <c r="T80" s="110">
        <f t="shared" si="144"/>
        <v>23813</v>
      </c>
      <c r="U80" s="110">
        <f t="shared" si="144"/>
        <v>23649</v>
      </c>
      <c r="V80" s="110">
        <f t="shared" si="144"/>
        <v>24821</v>
      </c>
      <c r="W80" s="110">
        <f t="shared" ref="W80:Y80" si="145">SUM(W81:W82)</f>
        <v>23516</v>
      </c>
      <c r="X80" s="110">
        <f t="shared" si="145"/>
        <v>24789</v>
      </c>
      <c r="Y80" s="110">
        <f t="shared" si="145"/>
        <v>25848</v>
      </c>
      <c r="DA80" s="176" t="s">
        <v>523</v>
      </c>
    </row>
    <row r="81" spans="1:105" ht="11.45" customHeight="1" x14ac:dyDescent="0.25">
      <c r="A81" s="128" t="s">
        <v>27</v>
      </c>
      <c r="B81" s="102">
        <v>51859</v>
      </c>
      <c r="C81" s="102">
        <v>53139</v>
      </c>
      <c r="D81" s="102">
        <v>54273</v>
      </c>
      <c r="E81" s="102">
        <v>54701</v>
      </c>
      <c r="F81" s="102">
        <v>54548</v>
      </c>
      <c r="G81" s="102">
        <v>52011</v>
      </c>
      <c r="H81" s="102">
        <v>50053</v>
      </c>
      <c r="I81" s="102">
        <v>47785</v>
      </c>
      <c r="J81" s="102">
        <v>45693</v>
      </c>
      <c r="K81" s="102">
        <v>46280</v>
      </c>
      <c r="L81" s="102">
        <v>31924</v>
      </c>
      <c r="M81" s="102">
        <v>30271</v>
      </c>
      <c r="N81" s="102">
        <v>30031</v>
      </c>
      <c r="O81" s="102">
        <v>27955</v>
      </c>
      <c r="P81" s="102">
        <v>24635</v>
      </c>
      <c r="Q81" s="102">
        <v>22902</v>
      </c>
      <c r="R81" s="102">
        <v>21749</v>
      </c>
      <c r="S81" s="102">
        <v>21838</v>
      </c>
      <c r="T81" s="102">
        <v>21960</v>
      </c>
      <c r="U81" s="102">
        <v>21949</v>
      </c>
      <c r="V81" s="102">
        <v>22756</v>
      </c>
      <c r="W81" s="102">
        <v>21545</v>
      </c>
      <c r="X81" s="102">
        <v>22659</v>
      </c>
      <c r="Y81" s="102">
        <v>23685</v>
      </c>
      <c r="DA81" s="175" t="s">
        <v>524</v>
      </c>
    </row>
    <row r="82" spans="1:105" ht="11.45" customHeight="1" x14ac:dyDescent="0.25">
      <c r="A82" s="138" t="s">
        <v>116</v>
      </c>
      <c r="B82" s="86">
        <v>597</v>
      </c>
      <c r="C82" s="86">
        <v>640</v>
      </c>
      <c r="D82" s="86">
        <v>673</v>
      </c>
      <c r="E82" s="86">
        <v>688</v>
      </c>
      <c r="F82" s="86">
        <v>814</v>
      </c>
      <c r="G82" s="86">
        <v>842</v>
      </c>
      <c r="H82" s="86">
        <v>1027</v>
      </c>
      <c r="I82" s="86">
        <v>1168</v>
      </c>
      <c r="J82" s="86">
        <v>1141</v>
      </c>
      <c r="K82" s="86">
        <v>910</v>
      </c>
      <c r="L82" s="86">
        <v>980</v>
      </c>
      <c r="M82" s="86">
        <v>1133</v>
      </c>
      <c r="N82" s="86">
        <v>1258</v>
      </c>
      <c r="O82" s="86">
        <v>1445</v>
      </c>
      <c r="P82" s="86">
        <v>1461</v>
      </c>
      <c r="Q82" s="86">
        <v>1717</v>
      </c>
      <c r="R82" s="86">
        <v>1729</v>
      </c>
      <c r="S82" s="86">
        <v>1710</v>
      </c>
      <c r="T82" s="86">
        <v>1853</v>
      </c>
      <c r="U82" s="86">
        <v>1700</v>
      </c>
      <c r="V82" s="86">
        <v>2065</v>
      </c>
      <c r="W82" s="86">
        <v>1971</v>
      </c>
      <c r="X82" s="86">
        <v>2130</v>
      </c>
      <c r="Y82" s="86">
        <v>2163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688610</v>
      </c>
      <c r="C84" s="54">
        <f t="shared" si="146"/>
        <v>696395</v>
      </c>
      <c r="D84" s="54">
        <f t="shared" ref="D84:V84" si="147">D85+D100</f>
        <v>711167</v>
      </c>
      <c r="E84" s="54">
        <f t="shared" si="147"/>
        <v>725191</v>
      </c>
      <c r="F84" s="54">
        <f t="shared" si="147"/>
        <v>759852</v>
      </c>
      <c r="G84" s="54">
        <f t="shared" si="147"/>
        <v>776766</v>
      </c>
      <c r="H84" s="54">
        <f t="shared" si="147"/>
        <v>804829</v>
      </c>
      <c r="I84" s="54">
        <f t="shared" si="147"/>
        <v>819156</v>
      </c>
      <c r="J84" s="54">
        <f t="shared" si="147"/>
        <v>816064</v>
      </c>
      <c r="K84" s="54">
        <f t="shared" si="147"/>
        <v>795288</v>
      </c>
      <c r="L84" s="54">
        <f t="shared" si="147"/>
        <v>745191</v>
      </c>
      <c r="M84" s="54">
        <f t="shared" si="147"/>
        <v>722412</v>
      </c>
      <c r="N84" s="54">
        <f t="shared" si="147"/>
        <v>733955</v>
      </c>
      <c r="O84" s="54">
        <f t="shared" si="147"/>
        <v>756759</v>
      </c>
      <c r="P84" s="54">
        <f t="shared" si="147"/>
        <v>783466</v>
      </c>
      <c r="Q84" s="54">
        <f t="shared" si="147"/>
        <v>809442</v>
      </c>
      <c r="R84" s="54">
        <f t="shared" si="147"/>
        <v>793540</v>
      </c>
      <c r="S84" s="54">
        <f t="shared" si="147"/>
        <v>824445</v>
      </c>
      <c r="T84" s="54">
        <f t="shared" si="147"/>
        <v>847657</v>
      </c>
      <c r="U84" s="54">
        <f t="shared" si="147"/>
        <v>873446</v>
      </c>
      <c r="V84" s="54">
        <f t="shared" si="147"/>
        <v>891802</v>
      </c>
      <c r="W84" s="54">
        <f t="shared" ref="W84:Y84" si="148">W85+W100</f>
        <v>917174</v>
      </c>
      <c r="X84" s="54">
        <f t="shared" si="148"/>
        <v>935951</v>
      </c>
      <c r="Y84" s="54">
        <f t="shared" si="148"/>
        <v>955450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609255</v>
      </c>
      <c r="C85" s="28">
        <f t="shared" si="149"/>
        <v>612490</v>
      </c>
      <c r="D85" s="28">
        <f t="shared" ref="D85:V85" si="150">D86+D87+D94</f>
        <v>620514</v>
      </c>
      <c r="E85" s="28">
        <f t="shared" si="150"/>
        <v>635593</v>
      </c>
      <c r="F85" s="28">
        <f t="shared" si="150"/>
        <v>662960</v>
      </c>
      <c r="G85" s="28">
        <f t="shared" si="150"/>
        <v>684512</v>
      </c>
      <c r="H85" s="28">
        <f t="shared" si="150"/>
        <v>709611</v>
      </c>
      <c r="I85" s="28">
        <f t="shared" si="150"/>
        <v>723845</v>
      </c>
      <c r="J85" s="28">
        <f t="shared" si="150"/>
        <v>723130</v>
      </c>
      <c r="K85" s="28">
        <f t="shared" si="150"/>
        <v>704678</v>
      </c>
      <c r="L85" s="28">
        <f t="shared" si="150"/>
        <v>677013</v>
      </c>
      <c r="M85" s="28">
        <f t="shared" si="150"/>
        <v>654431</v>
      </c>
      <c r="N85" s="28">
        <f t="shared" si="150"/>
        <v>662704</v>
      </c>
      <c r="O85" s="28">
        <f t="shared" si="150"/>
        <v>681436</v>
      </c>
      <c r="P85" s="28">
        <f t="shared" si="150"/>
        <v>707323</v>
      </c>
      <c r="Q85" s="28">
        <f t="shared" si="150"/>
        <v>731402</v>
      </c>
      <c r="R85" s="28">
        <f t="shared" si="150"/>
        <v>716796</v>
      </c>
      <c r="S85" s="28">
        <f t="shared" si="150"/>
        <v>745338</v>
      </c>
      <c r="T85" s="28">
        <f t="shared" si="150"/>
        <v>766698</v>
      </c>
      <c r="U85" s="28">
        <f t="shared" si="150"/>
        <v>790506</v>
      </c>
      <c r="V85" s="28">
        <f t="shared" si="150"/>
        <v>806285</v>
      </c>
      <c r="W85" s="28">
        <f t="shared" ref="W85:Y85" si="151">W86+W87+W94</f>
        <v>830580</v>
      </c>
      <c r="X85" s="28">
        <f t="shared" si="151"/>
        <v>845906</v>
      </c>
      <c r="Y85" s="28">
        <f t="shared" si="151"/>
        <v>861938</v>
      </c>
      <c r="DA85" s="173"/>
    </row>
    <row r="86" spans="1:105" ht="11.45" hidden="1" customHeight="1" x14ac:dyDescent="0.25">
      <c r="A86" s="136" t="s">
        <v>173</v>
      </c>
      <c r="B86" s="137">
        <v>32648.000000000004</v>
      </c>
      <c r="C86" s="137">
        <v>32485</v>
      </c>
      <c r="D86" s="137">
        <v>32539</v>
      </c>
      <c r="E86" s="137">
        <v>32598.999999999996</v>
      </c>
      <c r="F86" s="137">
        <v>32809</v>
      </c>
      <c r="G86" s="137">
        <v>33046</v>
      </c>
      <c r="H86" s="137">
        <v>33655</v>
      </c>
      <c r="I86" s="137">
        <v>35017</v>
      </c>
      <c r="J86" s="137">
        <v>36411</v>
      </c>
      <c r="K86" s="137">
        <v>36578</v>
      </c>
      <c r="L86" s="137">
        <v>36674</v>
      </c>
      <c r="M86" s="137">
        <v>38623</v>
      </c>
      <c r="N86" s="137">
        <v>41088</v>
      </c>
      <c r="O86" s="137">
        <v>43588</v>
      </c>
      <c r="P86" s="137">
        <v>46422</v>
      </c>
      <c r="Q86" s="137">
        <v>49288</v>
      </c>
      <c r="R86" s="137">
        <v>49581</v>
      </c>
      <c r="S86" s="137">
        <v>52800</v>
      </c>
      <c r="T86" s="137">
        <v>55898</v>
      </c>
      <c r="U86" s="137">
        <v>60416</v>
      </c>
      <c r="V86" s="137">
        <v>64421</v>
      </c>
      <c r="W86" s="137">
        <v>69115</v>
      </c>
      <c r="X86" s="137">
        <v>73282</v>
      </c>
      <c r="Y86" s="137">
        <v>77320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572800</v>
      </c>
      <c r="C87" s="110">
        <f t="shared" si="152"/>
        <v>576200</v>
      </c>
      <c r="D87" s="110">
        <f t="shared" ref="D87:V87" si="153">SUM(D88:D93)</f>
        <v>584100</v>
      </c>
      <c r="E87" s="110">
        <f t="shared" si="153"/>
        <v>598900</v>
      </c>
      <c r="F87" s="110">
        <f t="shared" si="153"/>
        <v>626100</v>
      </c>
      <c r="G87" s="110">
        <f t="shared" si="153"/>
        <v>647500</v>
      </c>
      <c r="H87" s="110">
        <f t="shared" si="153"/>
        <v>672010</v>
      </c>
      <c r="I87" s="110">
        <f t="shared" si="153"/>
        <v>684870</v>
      </c>
      <c r="J87" s="110">
        <f t="shared" si="153"/>
        <v>682830</v>
      </c>
      <c r="K87" s="110">
        <f t="shared" si="153"/>
        <v>664310</v>
      </c>
      <c r="L87" s="110">
        <f t="shared" si="153"/>
        <v>636660</v>
      </c>
      <c r="M87" s="110">
        <f t="shared" si="153"/>
        <v>612320</v>
      </c>
      <c r="N87" s="110">
        <f t="shared" si="153"/>
        <v>618270</v>
      </c>
      <c r="O87" s="110">
        <f t="shared" si="153"/>
        <v>634595</v>
      </c>
      <c r="P87" s="110">
        <f t="shared" si="153"/>
        <v>657799</v>
      </c>
      <c r="Q87" s="110">
        <f t="shared" si="153"/>
        <v>679048</v>
      </c>
      <c r="R87" s="110">
        <f t="shared" si="153"/>
        <v>664177</v>
      </c>
      <c r="S87" s="110">
        <f t="shared" si="153"/>
        <v>689536</v>
      </c>
      <c r="T87" s="110">
        <f t="shared" si="153"/>
        <v>707841</v>
      </c>
      <c r="U87" s="110">
        <f t="shared" si="153"/>
        <v>727164</v>
      </c>
      <c r="V87" s="110">
        <f t="shared" si="153"/>
        <v>739124</v>
      </c>
      <c r="W87" s="110">
        <f t="shared" ref="W87:Y87" si="154">SUM(W88:W93)</f>
        <v>758688</v>
      </c>
      <c r="X87" s="110">
        <f t="shared" si="154"/>
        <v>769723</v>
      </c>
      <c r="Y87" s="110">
        <f t="shared" si="154"/>
        <v>781690</v>
      </c>
      <c r="DA87" s="176"/>
    </row>
    <row r="88" spans="1:105" ht="11.45" hidden="1" customHeight="1" x14ac:dyDescent="0.25">
      <c r="A88" s="111" t="s">
        <v>110</v>
      </c>
      <c r="B88" s="84">
        <v>506900</v>
      </c>
      <c r="C88" s="84">
        <v>500712</v>
      </c>
      <c r="D88" s="84">
        <v>495101</v>
      </c>
      <c r="E88" s="84">
        <v>492319</v>
      </c>
      <c r="F88" s="84">
        <v>496648</v>
      </c>
      <c r="G88" s="84">
        <v>493840</v>
      </c>
      <c r="H88" s="84">
        <v>491907</v>
      </c>
      <c r="I88" s="84">
        <v>485255</v>
      </c>
      <c r="J88" s="84">
        <v>465836</v>
      </c>
      <c r="K88" s="84">
        <v>438195</v>
      </c>
      <c r="L88" s="84">
        <v>411064</v>
      </c>
      <c r="M88" s="84">
        <v>374564</v>
      </c>
      <c r="N88" s="84">
        <v>347845</v>
      </c>
      <c r="O88" s="84">
        <v>334080</v>
      </c>
      <c r="P88" s="84">
        <v>297946</v>
      </c>
      <c r="Q88" s="84">
        <v>288127</v>
      </c>
      <c r="R88" s="84">
        <v>256498</v>
      </c>
      <c r="S88" s="84">
        <v>249098</v>
      </c>
      <c r="T88" s="84">
        <v>238356</v>
      </c>
      <c r="U88" s="84">
        <v>230298</v>
      </c>
      <c r="V88" s="84">
        <v>223367</v>
      </c>
      <c r="W88" s="84">
        <v>219792</v>
      </c>
      <c r="X88" s="84">
        <v>216218</v>
      </c>
      <c r="Y88" s="84">
        <v>215844</v>
      </c>
      <c r="DA88" s="171"/>
    </row>
    <row r="89" spans="1:105" ht="11.45" hidden="1" customHeight="1" x14ac:dyDescent="0.25">
      <c r="A89" s="111" t="s">
        <v>111</v>
      </c>
      <c r="B89" s="84">
        <v>49700</v>
      </c>
      <c r="C89" s="84">
        <v>59329</v>
      </c>
      <c r="D89" s="84">
        <v>72862</v>
      </c>
      <c r="E89" s="84">
        <v>88588</v>
      </c>
      <c r="F89" s="84">
        <v>105614</v>
      </c>
      <c r="G89" s="84">
        <v>126869</v>
      </c>
      <c r="H89" s="84">
        <v>150870</v>
      </c>
      <c r="I89" s="84">
        <v>171651</v>
      </c>
      <c r="J89" s="84">
        <v>190342</v>
      </c>
      <c r="K89" s="84">
        <v>200974</v>
      </c>
      <c r="L89" s="84">
        <v>202425</v>
      </c>
      <c r="M89" s="84">
        <v>211665</v>
      </c>
      <c r="N89" s="84">
        <v>227340</v>
      </c>
      <c r="O89" s="84">
        <v>252126</v>
      </c>
      <c r="P89" s="84">
        <v>303288</v>
      </c>
      <c r="Q89" s="84">
        <v>338304</v>
      </c>
      <c r="R89" s="84">
        <v>355033</v>
      </c>
      <c r="S89" s="84">
        <v>388034</v>
      </c>
      <c r="T89" s="84">
        <v>418192</v>
      </c>
      <c r="U89" s="84">
        <v>446705</v>
      </c>
      <c r="V89" s="84">
        <v>466314</v>
      </c>
      <c r="W89" s="84">
        <v>488293</v>
      </c>
      <c r="X89" s="84">
        <v>500829</v>
      </c>
      <c r="Y89" s="84">
        <v>510228</v>
      </c>
      <c r="DA89" s="171"/>
    </row>
    <row r="90" spans="1:105" ht="11.45" hidden="1" customHeight="1" x14ac:dyDescent="0.25">
      <c r="A90" s="111" t="s">
        <v>112</v>
      </c>
      <c r="B90" s="84">
        <v>16000</v>
      </c>
      <c r="C90" s="84">
        <v>16005</v>
      </c>
      <c r="D90" s="84">
        <v>15999</v>
      </c>
      <c r="E90" s="84">
        <v>17872</v>
      </c>
      <c r="F90" s="84">
        <v>23734</v>
      </c>
      <c r="G90" s="84">
        <v>26691</v>
      </c>
      <c r="H90" s="84">
        <v>29164</v>
      </c>
      <c r="I90" s="84">
        <v>27909</v>
      </c>
      <c r="J90" s="84">
        <v>26602</v>
      </c>
      <c r="K90" s="84">
        <v>25091</v>
      </c>
      <c r="L90" s="84">
        <v>23171</v>
      </c>
      <c r="M90" s="84">
        <v>26091</v>
      </c>
      <c r="N90" s="84">
        <v>43072</v>
      </c>
      <c r="O90" s="84">
        <v>48368</v>
      </c>
      <c r="P90" s="84">
        <v>56368</v>
      </c>
      <c r="Q90" s="84">
        <v>52383</v>
      </c>
      <c r="R90" s="84">
        <v>52379</v>
      </c>
      <c r="S90" s="84">
        <v>52043</v>
      </c>
      <c r="T90" s="84">
        <v>50611</v>
      </c>
      <c r="U90" s="84">
        <v>49213</v>
      </c>
      <c r="V90" s="84">
        <v>47842</v>
      </c>
      <c r="W90" s="84">
        <v>47940</v>
      </c>
      <c r="X90" s="84">
        <v>48038</v>
      </c>
      <c r="Y90" s="84">
        <v>48136</v>
      </c>
      <c r="DA90" s="171"/>
    </row>
    <row r="91" spans="1:105" ht="11.45" hidden="1" customHeight="1" x14ac:dyDescent="0.25">
      <c r="A91" s="111" t="s">
        <v>113</v>
      </c>
      <c r="B91" s="84">
        <v>200</v>
      </c>
      <c r="C91" s="84">
        <v>154</v>
      </c>
      <c r="D91" s="84">
        <v>138</v>
      </c>
      <c r="E91" s="84">
        <v>121</v>
      </c>
      <c r="F91" s="84">
        <v>104</v>
      </c>
      <c r="G91" s="84">
        <v>100</v>
      </c>
      <c r="H91" s="84">
        <v>69</v>
      </c>
      <c r="I91" s="84">
        <v>55</v>
      </c>
      <c r="J91" s="84">
        <v>50</v>
      </c>
      <c r="K91" s="84">
        <v>50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151</v>
      </c>
      <c r="U91" s="84">
        <v>166</v>
      </c>
      <c r="V91" s="84">
        <v>200</v>
      </c>
      <c r="W91" s="84">
        <v>219</v>
      </c>
      <c r="X91" s="84">
        <v>238</v>
      </c>
      <c r="Y91" s="84">
        <v>257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3</v>
      </c>
      <c r="O92" s="84">
        <v>6</v>
      </c>
      <c r="P92" s="84">
        <v>9</v>
      </c>
      <c r="Q92" s="84">
        <v>23</v>
      </c>
      <c r="R92" s="84">
        <v>26</v>
      </c>
      <c r="S92" s="84">
        <v>49</v>
      </c>
      <c r="T92" s="84">
        <v>89</v>
      </c>
      <c r="U92" s="84">
        <v>124</v>
      </c>
      <c r="V92" s="84">
        <v>196</v>
      </c>
      <c r="W92" s="84">
        <v>338</v>
      </c>
      <c r="X92" s="84">
        <v>568</v>
      </c>
      <c r="Y92" s="84">
        <v>856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10</v>
      </c>
      <c r="O93" s="84">
        <v>15</v>
      </c>
      <c r="P93" s="84">
        <v>188</v>
      </c>
      <c r="Q93" s="84">
        <v>211</v>
      </c>
      <c r="R93" s="84">
        <v>241</v>
      </c>
      <c r="S93" s="84">
        <v>312</v>
      </c>
      <c r="T93" s="84">
        <v>442</v>
      </c>
      <c r="U93" s="84">
        <v>658</v>
      </c>
      <c r="V93" s="84">
        <v>1205</v>
      </c>
      <c r="W93" s="84">
        <v>2106</v>
      </c>
      <c r="X93" s="84">
        <v>3832</v>
      </c>
      <c r="Y93" s="84">
        <v>6369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3807</v>
      </c>
      <c r="C94" s="110">
        <f t="shared" si="155"/>
        <v>3805</v>
      </c>
      <c r="D94" s="110">
        <f t="shared" ref="D94:V94" si="156">SUM(D95:D99)</f>
        <v>3875</v>
      </c>
      <c r="E94" s="110">
        <f t="shared" si="156"/>
        <v>4094</v>
      </c>
      <c r="F94" s="110">
        <f t="shared" si="156"/>
        <v>4051</v>
      </c>
      <c r="G94" s="110">
        <f t="shared" si="156"/>
        <v>3966</v>
      </c>
      <c r="H94" s="110">
        <f t="shared" si="156"/>
        <v>3946</v>
      </c>
      <c r="I94" s="110">
        <f t="shared" si="156"/>
        <v>3958</v>
      </c>
      <c r="J94" s="110">
        <f t="shared" si="156"/>
        <v>3889</v>
      </c>
      <c r="K94" s="110">
        <f t="shared" si="156"/>
        <v>3790</v>
      </c>
      <c r="L94" s="110">
        <f t="shared" si="156"/>
        <v>3679</v>
      </c>
      <c r="M94" s="110">
        <f t="shared" si="156"/>
        <v>3488</v>
      </c>
      <c r="N94" s="110">
        <f t="shared" si="156"/>
        <v>3346</v>
      </c>
      <c r="O94" s="110">
        <f t="shared" si="156"/>
        <v>3253</v>
      </c>
      <c r="P94" s="110">
        <f t="shared" si="156"/>
        <v>3102</v>
      </c>
      <c r="Q94" s="110">
        <f t="shared" si="156"/>
        <v>3066</v>
      </c>
      <c r="R94" s="110">
        <f t="shared" si="156"/>
        <v>3038</v>
      </c>
      <c r="S94" s="110">
        <f t="shared" si="156"/>
        <v>3002</v>
      </c>
      <c r="T94" s="110">
        <f t="shared" si="156"/>
        <v>2959</v>
      </c>
      <c r="U94" s="110">
        <f t="shared" si="156"/>
        <v>2926</v>
      </c>
      <c r="V94" s="110">
        <f t="shared" si="156"/>
        <v>2740</v>
      </c>
      <c r="W94" s="110">
        <f t="shared" ref="W94:Y94" si="157">SUM(W95:W99)</f>
        <v>2777</v>
      </c>
      <c r="X94" s="110">
        <f t="shared" si="157"/>
        <v>2901</v>
      </c>
      <c r="Y94" s="110">
        <f t="shared" si="157"/>
        <v>2928</v>
      </c>
      <c r="DA94" s="176"/>
    </row>
    <row r="95" spans="1:105" ht="11.45" hidden="1" customHeight="1" x14ac:dyDescent="0.25">
      <c r="A95" s="111" t="s">
        <v>110</v>
      </c>
      <c r="B95" s="102">
        <v>398</v>
      </c>
      <c r="C95" s="102">
        <v>397</v>
      </c>
      <c r="D95" s="102">
        <v>394</v>
      </c>
      <c r="E95" s="102">
        <v>382</v>
      </c>
      <c r="F95" s="102">
        <v>368</v>
      </c>
      <c r="G95" s="102">
        <v>354</v>
      </c>
      <c r="H95" s="102">
        <v>341</v>
      </c>
      <c r="I95" s="102">
        <v>330</v>
      </c>
      <c r="J95" s="102">
        <v>315</v>
      </c>
      <c r="K95" s="102">
        <v>278</v>
      </c>
      <c r="L95" s="102">
        <v>234</v>
      </c>
      <c r="M95" s="102">
        <v>142</v>
      </c>
      <c r="N95" s="102">
        <v>110</v>
      </c>
      <c r="O95" s="102">
        <v>80</v>
      </c>
      <c r="P95" s="102">
        <v>52</v>
      </c>
      <c r="Q95" s="102">
        <v>44</v>
      </c>
      <c r="R95" s="102">
        <v>32</v>
      </c>
      <c r="S95" s="102">
        <v>28</v>
      </c>
      <c r="T95" s="102">
        <v>24</v>
      </c>
      <c r="U95" s="102">
        <v>22</v>
      </c>
      <c r="V95" s="102">
        <v>18</v>
      </c>
      <c r="W95" s="102">
        <v>14</v>
      </c>
      <c r="X95" s="102">
        <v>14</v>
      </c>
      <c r="Y95" s="102">
        <v>15</v>
      </c>
      <c r="DA95" s="175"/>
    </row>
    <row r="96" spans="1:105" ht="11.45" hidden="1" customHeight="1" x14ac:dyDescent="0.25">
      <c r="A96" s="111" t="s">
        <v>111</v>
      </c>
      <c r="B96" s="102">
        <v>3300</v>
      </c>
      <c r="C96" s="102">
        <v>3266</v>
      </c>
      <c r="D96" s="102">
        <v>3357</v>
      </c>
      <c r="E96" s="102">
        <v>3593</v>
      </c>
      <c r="F96" s="102">
        <v>3562</v>
      </c>
      <c r="G96" s="102">
        <v>3457</v>
      </c>
      <c r="H96" s="102">
        <v>3448</v>
      </c>
      <c r="I96" s="102">
        <v>3439</v>
      </c>
      <c r="J96" s="102">
        <v>3390</v>
      </c>
      <c r="K96" s="102">
        <v>3299</v>
      </c>
      <c r="L96" s="102">
        <v>3163</v>
      </c>
      <c r="M96" s="102">
        <v>3071</v>
      </c>
      <c r="N96" s="102">
        <v>2971</v>
      </c>
      <c r="O96" s="102">
        <v>2909</v>
      </c>
      <c r="P96" s="102">
        <v>2793</v>
      </c>
      <c r="Q96" s="102">
        <v>2753</v>
      </c>
      <c r="R96" s="102">
        <v>2704</v>
      </c>
      <c r="S96" s="102">
        <v>2710</v>
      </c>
      <c r="T96" s="102">
        <v>2670</v>
      </c>
      <c r="U96" s="102">
        <v>2618</v>
      </c>
      <c r="V96" s="102">
        <v>2372</v>
      </c>
      <c r="W96" s="102">
        <v>2290</v>
      </c>
      <c r="X96" s="102">
        <v>2306</v>
      </c>
      <c r="Y96" s="102">
        <v>2262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12</v>
      </c>
      <c r="S97" s="102">
        <v>9</v>
      </c>
      <c r="T97" s="102">
        <v>7</v>
      </c>
      <c r="U97" s="102">
        <v>5</v>
      </c>
      <c r="V97" s="102">
        <v>4</v>
      </c>
      <c r="W97" s="102">
        <v>4</v>
      </c>
      <c r="X97" s="102">
        <v>4</v>
      </c>
      <c r="Y97" s="102">
        <v>4</v>
      </c>
      <c r="DA97" s="175"/>
    </row>
    <row r="98" spans="1:105" ht="11.45" hidden="1" customHeight="1" x14ac:dyDescent="0.25">
      <c r="A98" s="111" t="s">
        <v>113</v>
      </c>
      <c r="B98" s="102">
        <v>100</v>
      </c>
      <c r="C98" s="102">
        <v>120</v>
      </c>
      <c r="D98" s="102">
        <v>102</v>
      </c>
      <c r="E98" s="102">
        <v>98</v>
      </c>
      <c r="F98" s="102">
        <v>100</v>
      </c>
      <c r="G98" s="102">
        <v>105</v>
      </c>
      <c r="H98" s="102">
        <v>105</v>
      </c>
      <c r="I98" s="102">
        <v>110</v>
      </c>
      <c r="J98" s="102">
        <v>45</v>
      </c>
      <c r="K98" s="102">
        <v>2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14</v>
      </c>
      <c r="V98" s="102">
        <v>60</v>
      </c>
      <c r="W98" s="102">
        <v>150</v>
      </c>
      <c r="X98" s="102">
        <v>280</v>
      </c>
      <c r="Y98" s="102">
        <v>300</v>
      </c>
      <c r="DA98" s="175"/>
    </row>
    <row r="99" spans="1:105" ht="11.45" hidden="1" customHeight="1" x14ac:dyDescent="0.25">
      <c r="A99" s="111" t="s">
        <v>115</v>
      </c>
      <c r="B99" s="102">
        <v>9</v>
      </c>
      <c r="C99" s="102">
        <v>22</v>
      </c>
      <c r="D99" s="102">
        <v>22</v>
      </c>
      <c r="E99" s="102">
        <v>21</v>
      </c>
      <c r="F99" s="102">
        <v>21</v>
      </c>
      <c r="G99" s="102">
        <v>50</v>
      </c>
      <c r="H99" s="102">
        <v>52</v>
      </c>
      <c r="I99" s="102">
        <v>79</v>
      </c>
      <c r="J99" s="102">
        <v>139</v>
      </c>
      <c r="K99" s="102">
        <v>211</v>
      </c>
      <c r="L99" s="102">
        <v>282</v>
      </c>
      <c r="M99" s="102">
        <v>275</v>
      </c>
      <c r="N99" s="102">
        <v>265</v>
      </c>
      <c r="O99" s="102">
        <v>264</v>
      </c>
      <c r="P99" s="102">
        <v>257</v>
      </c>
      <c r="Q99" s="102">
        <v>269</v>
      </c>
      <c r="R99" s="102">
        <v>290</v>
      </c>
      <c r="S99" s="102">
        <v>255</v>
      </c>
      <c r="T99" s="102">
        <v>258</v>
      </c>
      <c r="U99" s="102">
        <v>267</v>
      </c>
      <c r="V99" s="102">
        <v>286</v>
      </c>
      <c r="W99" s="102">
        <v>319</v>
      </c>
      <c r="X99" s="102">
        <v>297</v>
      </c>
      <c r="Y99" s="102">
        <v>347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79355</v>
      </c>
      <c r="C100" s="28">
        <f t="shared" si="158"/>
        <v>83905</v>
      </c>
      <c r="D100" s="28">
        <f t="shared" ref="D100:V100" si="159">D101+D107</f>
        <v>90653</v>
      </c>
      <c r="E100" s="28">
        <f t="shared" si="159"/>
        <v>89598</v>
      </c>
      <c r="F100" s="28">
        <f t="shared" si="159"/>
        <v>96892</v>
      </c>
      <c r="G100" s="28">
        <f t="shared" si="159"/>
        <v>92254</v>
      </c>
      <c r="H100" s="28">
        <f t="shared" si="159"/>
        <v>95218</v>
      </c>
      <c r="I100" s="28">
        <f t="shared" si="159"/>
        <v>95311</v>
      </c>
      <c r="J100" s="28">
        <f t="shared" si="159"/>
        <v>92934</v>
      </c>
      <c r="K100" s="28">
        <f t="shared" si="159"/>
        <v>90610</v>
      </c>
      <c r="L100" s="28">
        <f t="shared" si="159"/>
        <v>68178</v>
      </c>
      <c r="M100" s="28">
        <f t="shared" si="159"/>
        <v>67981</v>
      </c>
      <c r="N100" s="28">
        <f t="shared" si="159"/>
        <v>71251</v>
      </c>
      <c r="O100" s="28">
        <f t="shared" si="159"/>
        <v>75323</v>
      </c>
      <c r="P100" s="28">
        <f t="shared" si="159"/>
        <v>76143</v>
      </c>
      <c r="Q100" s="28">
        <f t="shared" si="159"/>
        <v>78040</v>
      </c>
      <c r="R100" s="28">
        <f t="shared" si="159"/>
        <v>76744</v>
      </c>
      <c r="S100" s="28">
        <f t="shared" si="159"/>
        <v>79107</v>
      </c>
      <c r="T100" s="28">
        <f t="shared" si="159"/>
        <v>80959</v>
      </c>
      <c r="U100" s="28">
        <f t="shared" si="159"/>
        <v>82940</v>
      </c>
      <c r="V100" s="28">
        <f t="shared" si="159"/>
        <v>85517</v>
      </c>
      <c r="W100" s="28">
        <f t="shared" ref="W100:Y100" si="160">W101+W107</f>
        <v>86594</v>
      </c>
      <c r="X100" s="28">
        <f t="shared" si="160"/>
        <v>90045</v>
      </c>
      <c r="Y100" s="28">
        <f t="shared" si="160"/>
        <v>93512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26899</v>
      </c>
      <c r="C101" s="137">
        <f t="shared" si="161"/>
        <v>30126</v>
      </c>
      <c r="D101" s="137">
        <f t="shared" ref="D101:V101" si="162">SUM(D102:D106)</f>
        <v>35707</v>
      </c>
      <c r="E101" s="137">
        <f t="shared" si="162"/>
        <v>34209</v>
      </c>
      <c r="F101" s="137">
        <f t="shared" si="162"/>
        <v>41530</v>
      </c>
      <c r="G101" s="137">
        <f t="shared" si="162"/>
        <v>39401</v>
      </c>
      <c r="H101" s="137">
        <f t="shared" si="162"/>
        <v>44138</v>
      </c>
      <c r="I101" s="137">
        <f t="shared" si="162"/>
        <v>46358</v>
      </c>
      <c r="J101" s="137">
        <f t="shared" si="162"/>
        <v>46100</v>
      </c>
      <c r="K101" s="137">
        <f t="shared" si="162"/>
        <v>43420</v>
      </c>
      <c r="L101" s="137">
        <f t="shared" si="162"/>
        <v>35274</v>
      </c>
      <c r="M101" s="137">
        <f t="shared" si="162"/>
        <v>36577</v>
      </c>
      <c r="N101" s="137">
        <f t="shared" si="162"/>
        <v>39962</v>
      </c>
      <c r="O101" s="137">
        <f t="shared" si="162"/>
        <v>45923</v>
      </c>
      <c r="P101" s="137">
        <f t="shared" si="162"/>
        <v>50047</v>
      </c>
      <c r="Q101" s="137">
        <f t="shared" si="162"/>
        <v>53421</v>
      </c>
      <c r="R101" s="137">
        <f t="shared" si="162"/>
        <v>53266</v>
      </c>
      <c r="S101" s="137">
        <f t="shared" si="162"/>
        <v>55559</v>
      </c>
      <c r="T101" s="137">
        <f t="shared" si="162"/>
        <v>57146</v>
      </c>
      <c r="U101" s="137">
        <f t="shared" si="162"/>
        <v>59291</v>
      </c>
      <c r="V101" s="137">
        <f t="shared" si="162"/>
        <v>60696</v>
      </c>
      <c r="W101" s="137">
        <f t="shared" ref="W101:Y101" si="163">SUM(W102:W106)</f>
        <v>63078</v>
      </c>
      <c r="X101" s="137">
        <f t="shared" si="163"/>
        <v>65256</v>
      </c>
      <c r="Y101" s="137">
        <f t="shared" si="163"/>
        <v>67664</v>
      </c>
      <c r="DA101" s="174"/>
    </row>
    <row r="102" spans="1:105" ht="11.45" hidden="1" customHeight="1" x14ac:dyDescent="0.25">
      <c r="A102" s="111" t="s">
        <v>110</v>
      </c>
      <c r="B102" s="84">
        <v>15645</v>
      </c>
      <c r="C102" s="84">
        <v>16017</v>
      </c>
      <c r="D102" s="84">
        <v>15277</v>
      </c>
      <c r="E102" s="84">
        <v>15483</v>
      </c>
      <c r="F102" s="84">
        <v>15094</v>
      </c>
      <c r="G102" s="84">
        <v>15001</v>
      </c>
      <c r="H102" s="84">
        <v>15286</v>
      </c>
      <c r="I102" s="84">
        <v>14860</v>
      </c>
      <c r="J102" s="84">
        <v>12539</v>
      </c>
      <c r="K102" s="84">
        <v>10196</v>
      </c>
      <c r="L102" s="84">
        <v>4697</v>
      </c>
      <c r="M102" s="84">
        <v>4279</v>
      </c>
      <c r="N102" s="84">
        <v>4308</v>
      </c>
      <c r="O102" s="84">
        <v>3764</v>
      </c>
      <c r="P102" s="84">
        <v>2884</v>
      </c>
      <c r="Q102" s="84">
        <v>2796</v>
      </c>
      <c r="R102" s="84">
        <v>2340</v>
      </c>
      <c r="S102" s="84">
        <v>2207</v>
      </c>
      <c r="T102" s="84">
        <v>2091</v>
      </c>
      <c r="U102" s="84">
        <v>1929</v>
      </c>
      <c r="V102" s="84">
        <v>1877</v>
      </c>
      <c r="W102" s="84">
        <v>1848</v>
      </c>
      <c r="X102" s="84">
        <v>1847</v>
      </c>
      <c r="Y102" s="84">
        <v>1896</v>
      </c>
      <c r="DA102" s="171"/>
    </row>
    <row r="103" spans="1:105" ht="11.45" hidden="1" customHeight="1" x14ac:dyDescent="0.25">
      <c r="A103" s="111" t="s">
        <v>111</v>
      </c>
      <c r="B103" s="84">
        <v>11254</v>
      </c>
      <c r="C103" s="84">
        <v>14109</v>
      </c>
      <c r="D103" s="84">
        <v>20430</v>
      </c>
      <c r="E103" s="84">
        <v>18726</v>
      </c>
      <c r="F103" s="84">
        <v>26436</v>
      </c>
      <c r="G103" s="84">
        <v>24400</v>
      </c>
      <c r="H103" s="84">
        <v>28852</v>
      </c>
      <c r="I103" s="84">
        <v>31498</v>
      </c>
      <c r="J103" s="84">
        <v>33561</v>
      </c>
      <c r="K103" s="84">
        <v>33224</v>
      </c>
      <c r="L103" s="84">
        <v>30577</v>
      </c>
      <c r="M103" s="84">
        <v>32296</v>
      </c>
      <c r="N103" s="84">
        <v>35634</v>
      </c>
      <c r="O103" s="84">
        <v>42130</v>
      </c>
      <c r="P103" s="84">
        <v>47124</v>
      </c>
      <c r="Q103" s="84">
        <v>50583</v>
      </c>
      <c r="R103" s="84">
        <v>50749</v>
      </c>
      <c r="S103" s="84">
        <v>53046</v>
      </c>
      <c r="T103" s="84">
        <v>54670</v>
      </c>
      <c r="U103" s="84">
        <v>56895</v>
      </c>
      <c r="V103" s="84">
        <v>58298</v>
      </c>
      <c r="W103" s="84">
        <v>60662</v>
      </c>
      <c r="X103" s="84">
        <v>62788</v>
      </c>
      <c r="Y103" s="84">
        <v>65083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18</v>
      </c>
      <c r="O104" s="84">
        <v>17</v>
      </c>
      <c r="P104" s="84">
        <v>25</v>
      </c>
      <c r="Q104" s="84">
        <v>27</v>
      </c>
      <c r="R104" s="84">
        <v>166</v>
      </c>
      <c r="S104" s="84">
        <v>294</v>
      </c>
      <c r="T104" s="84">
        <v>373</v>
      </c>
      <c r="U104" s="84">
        <v>453</v>
      </c>
      <c r="V104" s="84">
        <v>486</v>
      </c>
      <c r="W104" s="84">
        <v>500</v>
      </c>
      <c r="X104" s="84">
        <v>512</v>
      </c>
      <c r="Y104" s="84">
        <v>534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X105" s="84">
        <v>0</v>
      </c>
      <c r="Y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2</v>
      </c>
      <c r="N106" s="84">
        <v>2</v>
      </c>
      <c r="O106" s="84">
        <v>12</v>
      </c>
      <c r="P106" s="84">
        <v>14</v>
      </c>
      <c r="Q106" s="84">
        <v>15</v>
      </c>
      <c r="R106" s="84">
        <v>11</v>
      </c>
      <c r="S106" s="84">
        <v>12</v>
      </c>
      <c r="T106" s="84">
        <v>12</v>
      </c>
      <c r="U106" s="84">
        <v>14</v>
      </c>
      <c r="V106" s="84">
        <v>35</v>
      </c>
      <c r="W106" s="84">
        <v>68</v>
      </c>
      <c r="X106" s="84">
        <v>109</v>
      </c>
      <c r="Y106" s="84">
        <v>151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52456</v>
      </c>
      <c r="C107" s="110">
        <f t="shared" si="164"/>
        <v>53779</v>
      </c>
      <c r="D107" s="110">
        <f t="shared" ref="D107:V107" si="165">SUM(D108:D109)</f>
        <v>54946</v>
      </c>
      <c r="E107" s="110">
        <f t="shared" si="165"/>
        <v>55389</v>
      </c>
      <c r="F107" s="110">
        <f t="shared" si="165"/>
        <v>55362</v>
      </c>
      <c r="G107" s="110">
        <f t="shared" si="165"/>
        <v>52853</v>
      </c>
      <c r="H107" s="110">
        <f t="shared" si="165"/>
        <v>51080</v>
      </c>
      <c r="I107" s="110">
        <f t="shared" si="165"/>
        <v>48953</v>
      </c>
      <c r="J107" s="110">
        <f t="shared" si="165"/>
        <v>46834</v>
      </c>
      <c r="K107" s="110">
        <f t="shared" si="165"/>
        <v>47190</v>
      </c>
      <c r="L107" s="110">
        <f t="shared" si="165"/>
        <v>32904</v>
      </c>
      <c r="M107" s="110">
        <f t="shared" si="165"/>
        <v>31404</v>
      </c>
      <c r="N107" s="110">
        <f t="shared" si="165"/>
        <v>31289</v>
      </c>
      <c r="O107" s="110">
        <f t="shared" si="165"/>
        <v>29400</v>
      </c>
      <c r="P107" s="110">
        <f t="shared" si="165"/>
        <v>26096</v>
      </c>
      <c r="Q107" s="110">
        <f t="shared" si="165"/>
        <v>24619</v>
      </c>
      <c r="R107" s="110">
        <f t="shared" si="165"/>
        <v>23478</v>
      </c>
      <c r="S107" s="110">
        <f t="shared" si="165"/>
        <v>23548</v>
      </c>
      <c r="T107" s="110">
        <f t="shared" si="165"/>
        <v>23813</v>
      </c>
      <c r="U107" s="110">
        <f t="shared" si="165"/>
        <v>23649</v>
      </c>
      <c r="V107" s="110">
        <f t="shared" si="165"/>
        <v>24821</v>
      </c>
      <c r="W107" s="110">
        <f t="shared" ref="W107:Y107" si="166">SUM(W108:W109)</f>
        <v>23516</v>
      </c>
      <c r="X107" s="110">
        <f t="shared" si="166"/>
        <v>24789</v>
      </c>
      <c r="Y107" s="110">
        <f t="shared" si="166"/>
        <v>25848</v>
      </c>
      <c r="DA107" s="176"/>
    </row>
    <row r="108" spans="1:105" ht="11.45" hidden="1" customHeight="1" x14ac:dyDescent="0.25">
      <c r="A108" s="128" t="s">
        <v>27</v>
      </c>
      <c r="B108" s="102">
        <v>51859</v>
      </c>
      <c r="C108" s="102">
        <v>53139</v>
      </c>
      <c r="D108" s="102">
        <v>54273</v>
      </c>
      <c r="E108" s="102">
        <v>54701</v>
      </c>
      <c r="F108" s="102">
        <v>54548</v>
      </c>
      <c r="G108" s="102">
        <v>52011</v>
      </c>
      <c r="H108" s="102">
        <v>50053</v>
      </c>
      <c r="I108" s="102">
        <v>47785</v>
      </c>
      <c r="J108" s="102">
        <v>45693</v>
      </c>
      <c r="K108" s="102">
        <v>46280</v>
      </c>
      <c r="L108" s="102">
        <v>31924</v>
      </c>
      <c r="M108" s="102">
        <v>30271</v>
      </c>
      <c r="N108" s="102">
        <v>30031</v>
      </c>
      <c r="O108" s="102">
        <v>27955</v>
      </c>
      <c r="P108" s="102">
        <v>24635</v>
      </c>
      <c r="Q108" s="102">
        <v>22902</v>
      </c>
      <c r="R108" s="102">
        <v>21749</v>
      </c>
      <c r="S108" s="102">
        <v>21838</v>
      </c>
      <c r="T108" s="102">
        <v>21960</v>
      </c>
      <c r="U108" s="102">
        <v>21949</v>
      </c>
      <c r="V108" s="102">
        <v>22756</v>
      </c>
      <c r="W108" s="102">
        <v>21545</v>
      </c>
      <c r="X108" s="102">
        <v>22659</v>
      </c>
      <c r="Y108" s="102">
        <v>23685</v>
      </c>
      <c r="DA108" s="175"/>
    </row>
    <row r="109" spans="1:105" ht="11.45" hidden="1" customHeight="1" x14ac:dyDescent="0.25">
      <c r="A109" s="138" t="s">
        <v>116</v>
      </c>
      <c r="B109" s="86">
        <v>597</v>
      </c>
      <c r="C109" s="86">
        <v>640</v>
      </c>
      <c r="D109" s="86">
        <v>673</v>
      </c>
      <c r="E109" s="86">
        <v>688</v>
      </c>
      <c r="F109" s="86">
        <v>814</v>
      </c>
      <c r="G109" s="86">
        <v>842</v>
      </c>
      <c r="H109" s="86">
        <v>1027</v>
      </c>
      <c r="I109" s="86">
        <v>1168</v>
      </c>
      <c r="J109" s="86">
        <v>1141</v>
      </c>
      <c r="K109" s="86">
        <v>910</v>
      </c>
      <c r="L109" s="86">
        <v>980</v>
      </c>
      <c r="M109" s="86">
        <v>1133</v>
      </c>
      <c r="N109" s="86">
        <v>1258</v>
      </c>
      <c r="O109" s="86">
        <v>1445</v>
      </c>
      <c r="P109" s="86">
        <v>1461</v>
      </c>
      <c r="Q109" s="86">
        <v>1717</v>
      </c>
      <c r="R109" s="86">
        <v>1729</v>
      </c>
      <c r="S109" s="86">
        <v>1710</v>
      </c>
      <c r="T109" s="86">
        <v>1853</v>
      </c>
      <c r="U109" s="86">
        <v>1700</v>
      </c>
      <c r="V109" s="86">
        <v>2065</v>
      </c>
      <c r="W109" s="86">
        <v>1971</v>
      </c>
      <c r="X109" s="86">
        <v>2130</v>
      </c>
      <c r="Y109" s="86">
        <v>2163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40639</v>
      </c>
      <c r="C111" s="54">
        <f t="shared" si="167"/>
        <v>79416</v>
      </c>
      <c r="D111" s="54">
        <f t="shared" si="167"/>
        <v>71104</v>
      </c>
      <c r="E111" s="54">
        <f t="shared" si="167"/>
        <v>75183</v>
      </c>
      <c r="F111" s="54">
        <f t="shared" si="167"/>
        <v>94155</v>
      </c>
      <c r="G111" s="54">
        <f t="shared" si="167"/>
        <v>89307</v>
      </c>
      <c r="H111" s="54">
        <f t="shared" si="167"/>
        <v>113705</v>
      </c>
      <c r="I111" s="54">
        <f t="shared" si="167"/>
        <v>121801</v>
      </c>
      <c r="J111" s="54">
        <f t="shared" si="167"/>
        <v>64025</v>
      </c>
      <c r="K111" s="54">
        <f t="shared" si="167"/>
        <v>23123</v>
      </c>
      <c r="L111" s="54">
        <f t="shared" ref="L111" si="168">L112+L127</f>
        <v>32977</v>
      </c>
      <c r="M111" s="54">
        <f t="shared" ref="M111:V111" si="169">M112+M127</f>
        <v>58040</v>
      </c>
      <c r="N111" s="54">
        <f t="shared" si="169"/>
        <v>81131</v>
      </c>
      <c r="O111" s="54">
        <f t="shared" si="169"/>
        <v>83322</v>
      </c>
      <c r="P111" s="54">
        <f t="shared" si="169"/>
        <v>77690</v>
      </c>
      <c r="Q111" s="54">
        <f t="shared" si="169"/>
        <v>84811</v>
      </c>
      <c r="R111" s="54">
        <f t="shared" si="169"/>
        <v>61320</v>
      </c>
      <c r="S111" s="54">
        <f t="shared" si="169"/>
        <v>89878</v>
      </c>
      <c r="T111" s="54">
        <f t="shared" si="169"/>
        <v>91894</v>
      </c>
      <c r="U111" s="54">
        <f t="shared" si="169"/>
        <v>95648</v>
      </c>
      <c r="V111" s="54">
        <f t="shared" si="169"/>
        <v>88918</v>
      </c>
      <c r="W111" s="54">
        <f t="shared" ref="W111:Y111" si="170">W112+W127</f>
        <v>97404</v>
      </c>
      <c r="X111" s="54">
        <f t="shared" si="170"/>
        <v>96443</v>
      </c>
      <c r="Y111" s="54">
        <f t="shared" si="170"/>
        <v>88371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35846</v>
      </c>
      <c r="C112" s="28">
        <f t="shared" si="171"/>
        <v>72040</v>
      </c>
      <c r="D112" s="28">
        <f t="shared" si="171"/>
        <v>60663</v>
      </c>
      <c r="E112" s="28">
        <f t="shared" si="171"/>
        <v>68211</v>
      </c>
      <c r="F112" s="28">
        <f t="shared" si="171"/>
        <v>82656</v>
      </c>
      <c r="G112" s="28">
        <f t="shared" si="171"/>
        <v>81370</v>
      </c>
      <c r="H112" s="28">
        <f t="shared" si="171"/>
        <v>103732</v>
      </c>
      <c r="I112" s="28">
        <f t="shared" si="171"/>
        <v>110882</v>
      </c>
      <c r="J112" s="28">
        <f t="shared" si="171"/>
        <v>58725</v>
      </c>
      <c r="K112" s="28">
        <f t="shared" si="171"/>
        <v>21386</v>
      </c>
      <c r="L112" s="28">
        <f t="shared" ref="L112" si="172">L113+L114+L121</f>
        <v>30534</v>
      </c>
      <c r="M112" s="28">
        <f t="shared" ref="M112:V112" si="173">M113+M114+M121</f>
        <v>52613</v>
      </c>
      <c r="N112" s="28">
        <f t="shared" si="173"/>
        <v>74293</v>
      </c>
      <c r="O112" s="28">
        <f t="shared" si="173"/>
        <v>73648</v>
      </c>
      <c r="P112" s="28">
        <f t="shared" si="173"/>
        <v>72208</v>
      </c>
      <c r="Q112" s="28">
        <f t="shared" si="173"/>
        <v>77775</v>
      </c>
      <c r="R112" s="28">
        <f t="shared" si="173"/>
        <v>55915</v>
      </c>
      <c r="S112" s="28">
        <f t="shared" si="173"/>
        <v>81330</v>
      </c>
      <c r="T112" s="28">
        <f t="shared" si="173"/>
        <v>83787</v>
      </c>
      <c r="U112" s="28">
        <f t="shared" si="173"/>
        <v>87583</v>
      </c>
      <c r="V112" s="28">
        <f t="shared" si="173"/>
        <v>81353</v>
      </c>
      <c r="W112" s="28">
        <f t="shared" ref="W112:Y112" si="174">W113+W114+W121</f>
        <v>89269</v>
      </c>
      <c r="X112" s="28">
        <f t="shared" si="174"/>
        <v>87558</v>
      </c>
      <c r="Y112" s="28">
        <f t="shared" si="174"/>
        <v>79310</v>
      </c>
      <c r="DA112" s="173" t="s">
        <v>527</v>
      </c>
    </row>
    <row r="113" spans="1:105" ht="11.45" customHeight="1" x14ac:dyDescent="0.25">
      <c r="A113" s="136" t="s">
        <v>173</v>
      </c>
      <c r="B113" s="137">
        <v>0</v>
      </c>
      <c r="C113" s="137">
        <v>491</v>
      </c>
      <c r="D113" s="137">
        <v>813</v>
      </c>
      <c r="E113" s="137">
        <v>821</v>
      </c>
      <c r="F113" s="137">
        <v>1050</v>
      </c>
      <c r="G113" s="137">
        <v>1094</v>
      </c>
      <c r="H113" s="137">
        <v>1656</v>
      </c>
      <c r="I113" s="137">
        <v>2801</v>
      </c>
      <c r="J113" s="137">
        <v>2879</v>
      </c>
      <c r="K113" s="137">
        <v>1070</v>
      </c>
      <c r="L113" s="137">
        <v>968</v>
      </c>
      <c r="M113" s="137">
        <v>3749</v>
      </c>
      <c r="N113" s="137">
        <v>4566</v>
      </c>
      <c r="O113" s="137">
        <v>4674</v>
      </c>
      <c r="P113" s="137">
        <v>5232</v>
      </c>
      <c r="Q113" s="137">
        <v>5343</v>
      </c>
      <c r="R113" s="137">
        <v>4128</v>
      </c>
      <c r="S113" s="137">
        <v>5945</v>
      </c>
      <c r="T113" s="137">
        <v>5835</v>
      </c>
      <c r="U113" s="137">
        <v>8034</v>
      </c>
      <c r="V113" s="137">
        <v>7367</v>
      </c>
      <c r="W113" s="137">
        <v>8490</v>
      </c>
      <c r="X113" s="137">
        <v>7806</v>
      </c>
      <c r="Y113" s="137">
        <v>7706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35745</v>
      </c>
      <c r="C114" s="110">
        <f t="shared" si="175"/>
        <v>70970</v>
      </c>
      <c r="D114" s="110">
        <f t="shared" si="175"/>
        <v>59230</v>
      </c>
      <c r="E114" s="110">
        <f t="shared" si="175"/>
        <v>66657</v>
      </c>
      <c r="F114" s="110">
        <f t="shared" si="175"/>
        <v>81178</v>
      </c>
      <c r="G114" s="110">
        <f t="shared" si="175"/>
        <v>79930</v>
      </c>
      <c r="H114" s="110">
        <f t="shared" si="175"/>
        <v>101709</v>
      </c>
      <c r="I114" s="110">
        <f t="shared" si="175"/>
        <v>107712</v>
      </c>
      <c r="J114" s="110">
        <f t="shared" si="175"/>
        <v>55534</v>
      </c>
      <c r="K114" s="110">
        <f t="shared" si="175"/>
        <v>20056</v>
      </c>
      <c r="L114" s="110">
        <f t="shared" ref="L114" si="176">SUM(L115:L120)</f>
        <v>29362</v>
      </c>
      <c r="M114" s="110">
        <f t="shared" ref="M114:V114" si="177">SUM(M115:M120)</f>
        <v>48695</v>
      </c>
      <c r="N114" s="110">
        <f t="shared" si="177"/>
        <v>69563</v>
      </c>
      <c r="O114" s="110">
        <f t="shared" si="177"/>
        <v>68761</v>
      </c>
      <c r="P114" s="110">
        <f t="shared" si="177"/>
        <v>66814</v>
      </c>
      <c r="Q114" s="110">
        <f t="shared" si="177"/>
        <v>72165</v>
      </c>
      <c r="R114" s="110">
        <f t="shared" si="177"/>
        <v>51515</v>
      </c>
      <c r="S114" s="110">
        <f t="shared" si="177"/>
        <v>75095</v>
      </c>
      <c r="T114" s="110">
        <f t="shared" si="177"/>
        <v>77705</v>
      </c>
      <c r="U114" s="110">
        <f t="shared" si="177"/>
        <v>79300</v>
      </c>
      <c r="V114" s="110">
        <f t="shared" si="177"/>
        <v>73874</v>
      </c>
      <c r="W114" s="110">
        <f t="shared" ref="W114:Y114" si="178">SUM(W115:W120)</f>
        <v>80478</v>
      </c>
      <c r="X114" s="110">
        <f t="shared" si="178"/>
        <v>79341</v>
      </c>
      <c r="Y114" s="110">
        <f t="shared" si="178"/>
        <v>71341</v>
      </c>
      <c r="DA114" s="176" t="s">
        <v>529</v>
      </c>
    </row>
    <row r="115" spans="1:105" ht="11.45" customHeight="1" x14ac:dyDescent="0.25">
      <c r="A115" s="111" t="s">
        <v>110</v>
      </c>
      <c r="B115" s="84">
        <v>28638</v>
      </c>
      <c r="C115" s="84">
        <v>53375</v>
      </c>
      <c r="D115" s="84">
        <v>41085</v>
      </c>
      <c r="E115" s="84">
        <v>43870</v>
      </c>
      <c r="F115" s="84">
        <v>52238</v>
      </c>
      <c r="G115" s="84">
        <v>49426</v>
      </c>
      <c r="H115" s="84">
        <v>59962</v>
      </c>
      <c r="I115" s="84">
        <v>62475</v>
      </c>
      <c r="J115" s="84">
        <v>31542</v>
      </c>
      <c r="K115" s="84">
        <v>8757</v>
      </c>
      <c r="L115" s="84">
        <v>13425</v>
      </c>
      <c r="M115" s="84">
        <v>14502</v>
      </c>
      <c r="N115" s="84">
        <v>14055</v>
      </c>
      <c r="O115" s="84">
        <v>21330</v>
      </c>
      <c r="P115" s="84">
        <v>6785</v>
      </c>
      <c r="Q115" s="84">
        <v>23628</v>
      </c>
      <c r="R115" s="84">
        <v>9381</v>
      </c>
      <c r="S115" s="84">
        <v>19920</v>
      </c>
      <c r="T115" s="84">
        <v>20808</v>
      </c>
      <c r="U115" s="84">
        <v>21611</v>
      </c>
      <c r="V115" s="84">
        <v>21005</v>
      </c>
      <c r="W115" s="84">
        <v>23380</v>
      </c>
      <c r="X115" s="84">
        <v>25968</v>
      </c>
      <c r="Y115" s="84">
        <v>19531</v>
      </c>
      <c r="DA115" s="171" t="s">
        <v>530</v>
      </c>
    </row>
    <row r="116" spans="1:105" ht="11.45" customHeight="1" x14ac:dyDescent="0.25">
      <c r="A116" s="111" t="s">
        <v>111</v>
      </c>
      <c r="B116" s="84">
        <v>7104</v>
      </c>
      <c r="C116" s="84">
        <v>14514</v>
      </c>
      <c r="D116" s="84">
        <v>16768</v>
      </c>
      <c r="E116" s="84">
        <v>19408</v>
      </c>
      <c r="F116" s="84">
        <v>21470</v>
      </c>
      <c r="G116" s="84">
        <v>25834</v>
      </c>
      <c r="H116" s="84">
        <v>37437</v>
      </c>
      <c r="I116" s="84">
        <v>44528</v>
      </c>
      <c r="J116" s="84">
        <v>23217</v>
      </c>
      <c r="K116" s="84">
        <v>10632</v>
      </c>
      <c r="L116" s="84">
        <v>15609</v>
      </c>
      <c r="M116" s="84">
        <v>28976</v>
      </c>
      <c r="N116" s="84">
        <v>36165</v>
      </c>
      <c r="O116" s="84">
        <v>41502</v>
      </c>
      <c r="P116" s="84">
        <v>51162</v>
      </c>
      <c r="Q116" s="84">
        <v>48474</v>
      </c>
      <c r="R116" s="84">
        <v>41258</v>
      </c>
      <c r="S116" s="84">
        <v>54498</v>
      </c>
      <c r="T116" s="84">
        <v>56518</v>
      </c>
      <c r="U116" s="84">
        <v>57299</v>
      </c>
      <c r="V116" s="84">
        <v>52086</v>
      </c>
      <c r="W116" s="84">
        <v>54872</v>
      </c>
      <c r="X116" s="84">
        <v>50188</v>
      </c>
      <c r="Y116" s="84">
        <v>47738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3081</v>
      </c>
      <c r="D117" s="84">
        <v>1377</v>
      </c>
      <c r="E117" s="84">
        <v>3379</v>
      </c>
      <c r="F117" s="84">
        <v>7470</v>
      </c>
      <c r="G117" s="84">
        <v>4670</v>
      </c>
      <c r="H117" s="84">
        <v>4310</v>
      </c>
      <c r="I117" s="84">
        <v>709</v>
      </c>
      <c r="J117" s="84">
        <v>775</v>
      </c>
      <c r="K117" s="84">
        <v>664</v>
      </c>
      <c r="L117" s="84">
        <v>328</v>
      </c>
      <c r="M117" s="84">
        <v>5217</v>
      </c>
      <c r="N117" s="84">
        <v>19330</v>
      </c>
      <c r="O117" s="84">
        <v>5921</v>
      </c>
      <c r="P117" s="84">
        <v>8690</v>
      </c>
      <c r="Q117" s="84">
        <v>26</v>
      </c>
      <c r="R117" s="84">
        <v>830</v>
      </c>
      <c r="S117" s="84">
        <v>575</v>
      </c>
      <c r="T117" s="84">
        <v>56</v>
      </c>
      <c r="U117" s="84">
        <v>120</v>
      </c>
      <c r="V117" s="84">
        <v>106</v>
      </c>
      <c r="W117" s="84">
        <v>1149</v>
      </c>
      <c r="X117" s="84">
        <v>1122</v>
      </c>
      <c r="Y117" s="84">
        <v>1079</v>
      </c>
      <c r="DA117" s="171" t="s">
        <v>532</v>
      </c>
    </row>
    <row r="118" spans="1:105" ht="11.45" customHeight="1" x14ac:dyDescent="0.25">
      <c r="A118" s="111" t="s">
        <v>113</v>
      </c>
      <c r="B118" s="84">
        <v>3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3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151</v>
      </c>
      <c r="U118" s="84">
        <v>15</v>
      </c>
      <c r="V118" s="84">
        <v>35</v>
      </c>
      <c r="W118" s="84">
        <v>25</v>
      </c>
      <c r="X118" s="84">
        <v>24</v>
      </c>
      <c r="Y118" s="84">
        <v>41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3</v>
      </c>
      <c r="O119" s="84">
        <v>3</v>
      </c>
      <c r="P119" s="84">
        <v>3</v>
      </c>
      <c r="Q119" s="84">
        <v>14</v>
      </c>
      <c r="R119" s="84">
        <v>15</v>
      </c>
      <c r="S119" s="84">
        <v>29</v>
      </c>
      <c r="T119" s="84">
        <v>40</v>
      </c>
      <c r="U119" s="84">
        <v>36</v>
      </c>
      <c r="V119" s="84">
        <v>90</v>
      </c>
      <c r="W119" s="84">
        <v>144</v>
      </c>
      <c r="X119" s="84">
        <v>301</v>
      </c>
      <c r="Y119" s="84">
        <v>396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10</v>
      </c>
      <c r="O120" s="84">
        <v>5</v>
      </c>
      <c r="P120" s="84">
        <v>174</v>
      </c>
      <c r="Q120" s="84">
        <v>23</v>
      </c>
      <c r="R120" s="84">
        <v>31</v>
      </c>
      <c r="S120" s="84">
        <v>73</v>
      </c>
      <c r="T120" s="84">
        <v>132</v>
      </c>
      <c r="U120" s="84">
        <v>219</v>
      </c>
      <c r="V120" s="84">
        <v>552</v>
      </c>
      <c r="W120" s="84">
        <v>908</v>
      </c>
      <c r="X120" s="84">
        <v>1738</v>
      </c>
      <c r="Y120" s="84">
        <v>2556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101</v>
      </c>
      <c r="C121" s="110">
        <f t="shared" si="179"/>
        <v>579</v>
      </c>
      <c r="D121" s="110">
        <f t="shared" si="179"/>
        <v>620</v>
      </c>
      <c r="E121" s="110">
        <f t="shared" si="179"/>
        <v>733</v>
      </c>
      <c r="F121" s="110">
        <f t="shared" si="179"/>
        <v>428</v>
      </c>
      <c r="G121" s="110">
        <f t="shared" si="179"/>
        <v>346</v>
      </c>
      <c r="H121" s="110">
        <f t="shared" si="179"/>
        <v>367</v>
      </c>
      <c r="I121" s="110">
        <f t="shared" si="179"/>
        <v>369</v>
      </c>
      <c r="J121" s="110">
        <f t="shared" si="179"/>
        <v>312</v>
      </c>
      <c r="K121" s="110">
        <f t="shared" si="179"/>
        <v>260</v>
      </c>
      <c r="L121" s="110">
        <f t="shared" ref="L121" si="180">SUM(L122:L126)</f>
        <v>204</v>
      </c>
      <c r="M121" s="110">
        <f t="shared" ref="M121:V121" si="181">SUM(M122:M126)</f>
        <v>169</v>
      </c>
      <c r="N121" s="110">
        <f t="shared" si="181"/>
        <v>164</v>
      </c>
      <c r="O121" s="110">
        <f t="shared" si="181"/>
        <v>213</v>
      </c>
      <c r="P121" s="110">
        <f t="shared" si="181"/>
        <v>162</v>
      </c>
      <c r="Q121" s="110">
        <f t="shared" si="181"/>
        <v>267</v>
      </c>
      <c r="R121" s="110">
        <f t="shared" si="181"/>
        <v>272</v>
      </c>
      <c r="S121" s="110">
        <f t="shared" si="181"/>
        <v>290</v>
      </c>
      <c r="T121" s="110">
        <f t="shared" si="181"/>
        <v>247</v>
      </c>
      <c r="U121" s="110">
        <f t="shared" si="181"/>
        <v>249</v>
      </c>
      <c r="V121" s="110">
        <f t="shared" si="181"/>
        <v>112</v>
      </c>
      <c r="W121" s="110">
        <f t="shared" ref="W121:Y121" si="182">SUM(W122:W126)</f>
        <v>301</v>
      </c>
      <c r="X121" s="110">
        <f t="shared" si="182"/>
        <v>411</v>
      </c>
      <c r="Y121" s="110">
        <f t="shared" si="182"/>
        <v>263</v>
      </c>
      <c r="DA121" s="176" t="s">
        <v>536</v>
      </c>
    </row>
    <row r="122" spans="1:105" ht="11.45" customHeight="1" x14ac:dyDescent="0.25">
      <c r="A122" s="111" t="s">
        <v>110</v>
      </c>
      <c r="B122" s="102">
        <v>92</v>
      </c>
      <c r="C122" s="102">
        <v>21</v>
      </c>
      <c r="D122" s="102">
        <v>12</v>
      </c>
      <c r="E122" s="102">
        <v>7</v>
      </c>
      <c r="F122" s="102">
        <v>4</v>
      </c>
      <c r="G122" s="102">
        <v>5</v>
      </c>
      <c r="H122" s="102">
        <v>5</v>
      </c>
      <c r="I122" s="102">
        <v>14</v>
      </c>
      <c r="J122" s="102">
        <v>7</v>
      </c>
      <c r="K122" s="102">
        <v>2</v>
      </c>
      <c r="L122" s="102">
        <v>1</v>
      </c>
      <c r="M122" s="102">
        <v>0</v>
      </c>
      <c r="N122" s="102">
        <v>0</v>
      </c>
      <c r="O122" s="102">
        <v>4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1</v>
      </c>
      <c r="DA122" s="175" t="s">
        <v>537</v>
      </c>
    </row>
    <row r="123" spans="1:105" ht="11.45" customHeight="1" x14ac:dyDescent="0.25">
      <c r="A123" s="111" t="s">
        <v>111</v>
      </c>
      <c r="B123" s="102">
        <v>0</v>
      </c>
      <c r="C123" s="102">
        <v>509</v>
      </c>
      <c r="D123" s="102">
        <v>608</v>
      </c>
      <c r="E123" s="102">
        <v>717</v>
      </c>
      <c r="F123" s="102">
        <v>409</v>
      </c>
      <c r="G123" s="102">
        <v>293</v>
      </c>
      <c r="H123" s="102">
        <v>348</v>
      </c>
      <c r="I123" s="102">
        <v>312</v>
      </c>
      <c r="J123" s="102">
        <v>243</v>
      </c>
      <c r="K123" s="102">
        <v>182</v>
      </c>
      <c r="L123" s="102">
        <v>127</v>
      </c>
      <c r="M123" s="102">
        <v>169</v>
      </c>
      <c r="N123" s="102">
        <v>164</v>
      </c>
      <c r="O123" s="102">
        <v>209</v>
      </c>
      <c r="P123" s="102">
        <v>162</v>
      </c>
      <c r="Q123" s="102">
        <v>242</v>
      </c>
      <c r="R123" s="102">
        <v>234</v>
      </c>
      <c r="S123" s="102">
        <v>288</v>
      </c>
      <c r="T123" s="102">
        <v>238</v>
      </c>
      <c r="U123" s="102">
        <v>220</v>
      </c>
      <c r="V123" s="102">
        <v>16</v>
      </c>
      <c r="W123" s="102">
        <v>172</v>
      </c>
      <c r="X123" s="102">
        <v>257</v>
      </c>
      <c r="Y123" s="102">
        <v>186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12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36</v>
      </c>
      <c r="D125" s="102">
        <v>0</v>
      </c>
      <c r="E125" s="102">
        <v>9</v>
      </c>
      <c r="F125" s="102">
        <v>15</v>
      </c>
      <c r="G125" s="102">
        <v>18</v>
      </c>
      <c r="H125" s="102">
        <v>11</v>
      </c>
      <c r="I125" s="102">
        <v>14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14</v>
      </c>
      <c r="V125" s="102">
        <v>46</v>
      </c>
      <c r="W125" s="102">
        <v>90</v>
      </c>
      <c r="X125" s="102">
        <v>130</v>
      </c>
      <c r="Y125" s="102">
        <v>20</v>
      </c>
      <c r="DA125" s="175" t="s">
        <v>540</v>
      </c>
    </row>
    <row r="126" spans="1:105" ht="11.45" customHeight="1" x14ac:dyDescent="0.25">
      <c r="A126" s="111" t="s">
        <v>115</v>
      </c>
      <c r="B126" s="102">
        <v>9</v>
      </c>
      <c r="C126" s="102">
        <v>13</v>
      </c>
      <c r="D126" s="102">
        <v>0</v>
      </c>
      <c r="E126" s="102">
        <v>0</v>
      </c>
      <c r="F126" s="102">
        <v>0</v>
      </c>
      <c r="G126" s="102">
        <v>30</v>
      </c>
      <c r="H126" s="102">
        <v>3</v>
      </c>
      <c r="I126" s="102">
        <v>29</v>
      </c>
      <c r="J126" s="102">
        <v>62</v>
      </c>
      <c r="K126" s="102">
        <v>76</v>
      </c>
      <c r="L126" s="102">
        <v>76</v>
      </c>
      <c r="M126" s="102">
        <v>0</v>
      </c>
      <c r="N126" s="102">
        <v>0</v>
      </c>
      <c r="O126" s="102">
        <v>0</v>
      </c>
      <c r="P126" s="102">
        <v>0</v>
      </c>
      <c r="Q126" s="102">
        <v>25</v>
      </c>
      <c r="R126" s="102">
        <v>26</v>
      </c>
      <c r="S126" s="102">
        <v>2</v>
      </c>
      <c r="T126" s="102">
        <v>9</v>
      </c>
      <c r="U126" s="102">
        <v>15</v>
      </c>
      <c r="V126" s="102">
        <v>50</v>
      </c>
      <c r="W126" s="102">
        <v>39</v>
      </c>
      <c r="X126" s="102">
        <v>24</v>
      </c>
      <c r="Y126" s="102">
        <v>56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4793</v>
      </c>
      <c r="C127" s="28">
        <f t="shared" si="183"/>
        <v>7376</v>
      </c>
      <c r="D127" s="28">
        <f t="shared" si="183"/>
        <v>10441</v>
      </c>
      <c r="E127" s="28">
        <f t="shared" si="183"/>
        <v>6972</v>
      </c>
      <c r="F127" s="28">
        <f t="shared" si="183"/>
        <v>11499</v>
      </c>
      <c r="G127" s="28">
        <f t="shared" si="183"/>
        <v>7937</v>
      </c>
      <c r="H127" s="28">
        <f t="shared" si="183"/>
        <v>9973</v>
      </c>
      <c r="I127" s="28">
        <f t="shared" si="183"/>
        <v>10919</v>
      </c>
      <c r="J127" s="28">
        <f t="shared" si="183"/>
        <v>5300</v>
      </c>
      <c r="K127" s="28">
        <f t="shared" si="183"/>
        <v>1737</v>
      </c>
      <c r="L127" s="28">
        <f t="shared" ref="L127" si="184">L128+L134</f>
        <v>2443</v>
      </c>
      <c r="M127" s="28">
        <f t="shared" ref="M127:V127" si="185">M128+M134</f>
        <v>5427</v>
      </c>
      <c r="N127" s="28">
        <f t="shared" si="185"/>
        <v>6838</v>
      </c>
      <c r="O127" s="28">
        <f t="shared" si="185"/>
        <v>9674</v>
      </c>
      <c r="P127" s="28">
        <f t="shared" si="185"/>
        <v>5482</v>
      </c>
      <c r="Q127" s="28">
        <f t="shared" si="185"/>
        <v>7036</v>
      </c>
      <c r="R127" s="28">
        <f t="shared" si="185"/>
        <v>5405</v>
      </c>
      <c r="S127" s="28">
        <f t="shared" si="185"/>
        <v>8548</v>
      </c>
      <c r="T127" s="28">
        <f t="shared" si="185"/>
        <v>8107</v>
      </c>
      <c r="U127" s="28">
        <f t="shared" si="185"/>
        <v>8065</v>
      </c>
      <c r="V127" s="28">
        <f t="shared" si="185"/>
        <v>7565</v>
      </c>
      <c r="W127" s="28">
        <f t="shared" ref="W127:Y127" si="186">W128+W134</f>
        <v>8135</v>
      </c>
      <c r="X127" s="28">
        <f t="shared" si="186"/>
        <v>8885</v>
      </c>
      <c r="Y127" s="28">
        <f t="shared" si="186"/>
        <v>9061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2864</v>
      </c>
      <c r="C128" s="137">
        <f t="shared" si="187"/>
        <v>4327</v>
      </c>
      <c r="D128" s="137">
        <f t="shared" si="187"/>
        <v>7307</v>
      </c>
      <c r="E128" s="137">
        <f t="shared" si="187"/>
        <v>3726</v>
      </c>
      <c r="F128" s="137">
        <f t="shared" si="187"/>
        <v>8673</v>
      </c>
      <c r="G128" s="137">
        <f t="shared" si="187"/>
        <v>4742</v>
      </c>
      <c r="H128" s="137">
        <f t="shared" si="187"/>
        <v>6241</v>
      </c>
      <c r="I128" s="137">
        <f t="shared" si="187"/>
        <v>7382</v>
      </c>
      <c r="J128" s="137">
        <f t="shared" si="187"/>
        <v>3527</v>
      </c>
      <c r="K128" s="137">
        <f t="shared" si="187"/>
        <v>1096</v>
      </c>
      <c r="L128" s="137">
        <f t="shared" ref="L128" si="188">SUM(L129:L133)</f>
        <v>1672</v>
      </c>
      <c r="M128" s="137">
        <f t="shared" ref="M128:V128" si="189">SUM(M129:M133)</f>
        <v>4085</v>
      </c>
      <c r="N128" s="137">
        <f t="shared" si="189"/>
        <v>5407</v>
      </c>
      <c r="O128" s="137">
        <f t="shared" si="189"/>
        <v>6720</v>
      </c>
      <c r="P128" s="137">
        <f t="shared" si="189"/>
        <v>5103</v>
      </c>
      <c r="Q128" s="137">
        <f t="shared" si="189"/>
        <v>5969</v>
      </c>
      <c r="R128" s="137">
        <f t="shared" si="189"/>
        <v>3973</v>
      </c>
      <c r="S128" s="137">
        <f t="shared" si="189"/>
        <v>6055</v>
      </c>
      <c r="T128" s="137">
        <f t="shared" si="189"/>
        <v>5683</v>
      </c>
      <c r="U128" s="137">
        <f t="shared" si="189"/>
        <v>6314</v>
      </c>
      <c r="V128" s="137">
        <f t="shared" si="189"/>
        <v>5658</v>
      </c>
      <c r="W128" s="137">
        <f t="shared" ref="W128:Y128" si="190">SUM(W129:W133)</f>
        <v>6680</v>
      </c>
      <c r="X128" s="137">
        <f t="shared" si="190"/>
        <v>6647</v>
      </c>
      <c r="Y128" s="137">
        <f t="shared" si="190"/>
        <v>7030</v>
      </c>
      <c r="DA128" s="174" t="s">
        <v>543</v>
      </c>
    </row>
    <row r="129" spans="1:105" ht="11.45" customHeight="1" x14ac:dyDescent="0.25">
      <c r="A129" s="111" t="s">
        <v>110</v>
      </c>
      <c r="B129" s="84">
        <v>672</v>
      </c>
      <c r="C129" s="84">
        <v>1060</v>
      </c>
      <c r="D129" s="84">
        <v>486</v>
      </c>
      <c r="E129" s="84">
        <v>1218</v>
      </c>
      <c r="F129" s="84">
        <v>963</v>
      </c>
      <c r="G129" s="84">
        <v>1206</v>
      </c>
      <c r="H129" s="84">
        <v>1592</v>
      </c>
      <c r="I129" s="84">
        <v>1118</v>
      </c>
      <c r="J129" s="84">
        <v>227</v>
      </c>
      <c r="K129" s="84">
        <v>49</v>
      </c>
      <c r="L129" s="84">
        <v>136</v>
      </c>
      <c r="M129" s="84">
        <v>166</v>
      </c>
      <c r="N129" s="84">
        <v>330</v>
      </c>
      <c r="O129" s="84">
        <v>214</v>
      </c>
      <c r="P129" s="84">
        <v>98</v>
      </c>
      <c r="Q129" s="84">
        <v>108</v>
      </c>
      <c r="R129" s="84">
        <v>52</v>
      </c>
      <c r="S129" s="84">
        <v>65</v>
      </c>
      <c r="T129" s="84">
        <v>142</v>
      </c>
      <c r="U129" s="84">
        <v>86</v>
      </c>
      <c r="V129" s="84">
        <v>99</v>
      </c>
      <c r="W129" s="84">
        <v>117</v>
      </c>
      <c r="X129" s="84">
        <v>111</v>
      </c>
      <c r="Y129" s="84">
        <v>170</v>
      </c>
      <c r="DA129" s="171" t="s">
        <v>544</v>
      </c>
    </row>
    <row r="130" spans="1:105" ht="11.45" customHeight="1" x14ac:dyDescent="0.25">
      <c r="A130" s="111" t="s">
        <v>111</v>
      </c>
      <c r="B130" s="84">
        <v>2192</v>
      </c>
      <c r="C130" s="84">
        <v>3267</v>
      </c>
      <c r="D130" s="84">
        <v>6821</v>
      </c>
      <c r="E130" s="84">
        <v>2508</v>
      </c>
      <c r="F130" s="84">
        <v>7710</v>
      </c>
      <c r="G130" s="84">
        <v>3536</v>
      </c>
      <c r="H130" s="84">
        <v>4649</v>
      </c>
      <c r="I130" s="84">
        <v>6264</v>
      </c>
      <c r="J130" s="84">
        <v>3300</v>
      </c>
      <c r="K130" s="84">
        <v>1047</v>
      </c>
      <c r="L130" s="84">
        <v>1536</v>
      </c>
      <c r="M130" s="84">
        <v>3917</v>
      </c>
      <c r="N130" s="84">
        <v>5059</v>
      </c>
      <c r="O130" s="84">
        <v>6496</v>
      </c>
      <c r="P130" s="84">
        <v>4994</v>
      </c>
      <c r="Q130" s="84">
        <v>5857</v>
      </c>
      <c r="R130" s="84">
        <v>3772</v>
      </c>
      <c r="S130" s="84">
        <v>5852</v>
      </c>
      <c r="T130" s="84">
        <v>5461</v>
      </c>
      <c r="U130" s="84">
        <v>6146</v>
      </c>
      <c r="V130" s="84">
        <v>5505</v>
      </c>
      <c r="W130" s="84">
        <v>6515</v>
      </c>
      <c r="X130" s="84">
        <v>6482</v>
      </c>
      <c r="Y130" s="84">
        <v>6757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18</v>
      </c>
      <c r="O131" s="84">
        <v>0</v>
      </c>
      <c r="P131" s="84">
        <v>8</v>
      </c>
      <c r="Q131" s="84">
        <v>3</v>
      </c>
      <c r="R131" s="84">
        <v>139</v>
      </c>
      <c r="S131" s="84">
        <v>128</v>
      </c>
      <c r="T131" s="84">
        <v>79</v>
      </c>
      <c r="U131" s="84">
        <v>80</v>
      </c>
      <c r="V131" s="84">
        <v>33</v>
      </c>
      <c r="W131" s="84">
        <v>14</v>
      </c>
      <c r="X131" s="84">
        <v>12</v>
      </c>
      <c r="Y131" s="84">
        <v>22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X132" s="84">
        <v>0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2</v>
      </c>
      <c r="N133" s="84">
        <v>0</v>
      </c>
      <c r="O133" s="84">
        <v>10</v>
      </c>
      <c r="P133" s="84">
        <v>3</v>
      </c>
      <c r="Q133" s="84">
        <v>1</v>
      </c>
      <c r="R133" s="84">
        <v>10</v>
      </c>
      <c r="S133" s="84">
        <v>10</v>
      </c>
      <c r="T133" s="84">
        <v>1</v>
      </c>
      <c r="U133" s="84">
        <v>2</v>
      </c>
      <c r="V133" s="84">
        <v>21</v>
      </c>
      <c r="W133" s="84">
        <v>34</v>
      </c>
      <c r="X133" s="84">
        <v>42</v>
      </c>
      <c r="Y133" s="84">
        <v>81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1929</v>
      </c>
      <c r="C134" s="110">
        <f t="shared" si="191"/>
        <v>3049</v>
      </c>
      <c r="D134" s="110">
        <f t="shared" si="191"/>
        <v>3134</v>
      </c>
      <c r="E134" s="110">
        <f t="shared" si="191"/>
        <v>3246</v>
      </c>
      <c r="F134" s="110">
        <f t="shared" si="191"/>
        <v>2826</v>
      </c>
      <c r="G134" s="110">
        <f t="shared" si="191"/>
        <v>3195</v>
      </c>
      <c r="H134" s="110">
        <f t="shared" si="191"/>
        <v>3732</v>
      </c>
      <c r="I134" s="110">
        <f t="shared" si="191"/>
        <v>3537</v>
      </c>
      <c r="J134" s="110">
        <f t="shared" si="191"/>
        <v>1773</v>
      </c>
      <c r="K134" s="110">
        <f t="shared" si="191"/>
        <v>641</v>
      </c>
      <c r="L134" s="110">
        <f t="shared" ref="L134" si="192">SUM(L135:L136)</f>
        <v>771</v>
      </c>
      <c r="M134" s="110">
        <f t="shared" ref="M134:V134" si="193">SUM(M135:M136)</f>
        <v>1342</v>
      </c>
      <c r="N134" s="110">
        <f t="shared" si="193"/>
        <v>1431</v>
      </c>
      <c r="O134" s="110">
        <f t="shared" si="193"/>
        <v>2954</v>
      </c>
      <c r="P134" s="110">
        <f t="shared" si="193"/>
        <v>379</v>
      </c>
      <c r="Q134" s="110">
        <f t="shared" si="193"/>
        <v>1067</v>
      </c>
      <c r="R134" s="110">
        <f t="shared" si="193"/>
        <v>1432</v>
      </c>
      <c r="S134" s="110">
        <f t="shared" si="193"/>
        <v>2493</v>
      </c>
      <c r="T134" s="110">
        <f t="shared" si="193"/>
        <v>2424</v>
      </c>
      <c r="U134" s="110">
        <f t="shared" si="193"/>
        <v>1751</v>
      </c>
      <c r="V134" s="110">
        <f t="shared" si="193"/>
        <v>1907</v>
      </c>
      <c r="W134" s="110">
        <f t="shared" ref="W134:Y134" si="194">SUM(W135:W136)</f>
        <v>1455</v>
      </c>
      <c r="X134" s="110">
        <f t="shared" si="194"/>
        <v>2238</v>
      </c>
      <c r="Y134" s="110">
        <f t="shared" si="194"/>
        <v>2031</v>
      </c>
      <c r="DA134" s="176" t="s">
        <v>549</v>
      </c>
    </row>
    <row r="135" spans="1:105" ht="11.45" customHeight="1" x14ac:dyDescent="0.25">
      <c r="A135" s="128" t="s">
        <v>27</v>
      </c>
      <c r="B135" s="102">
        <v>1869</v>
      </c>
      <c r="C135" s="102">
        <v>2980</v>
      </c>
      <c r="D135" s="102">
        <v>3069</v>
      </c>
      <c r="E135" s="102">
        <v>3193</v>
      </c>
      <c r="F135" s="102">
        <v>2657</v>
      </c>
      <c r="G135" s="102">
        <v>3117</v>
      </c>
      <c r="H135" s="102">
        <v>3492</v>
      </c>
      <c r="I135" s="102">
        <v>3334</v>
      </c>
      <c r="J135" s="102">
        <v>1732</v>
      </c>
      <c r="K135" s="102">
        <v>641</v>
      </c>
      <c r="L135" s="102">
        <v>640</v>
      </c>
      <c r="M135" s="102">
        <v>1127</v>
      </c>
      <c r="N135" s="102">
        <v>1239</v>
      </c>
      <c r="O135" s="102">
        <v>2695</v>
      </c>
      <c r="P135" s="102">
        <v>280</v>
      </c>
      <c r="Q135" s="102">
        <v>724</v>
      </c>
      <c r="R135" s="102">
        <v>1321</v>
      </c>
      <c r="S135" s="102">
        <v>2406</v>
      </c>
      <c r="T135" s="102">
        <v>2167</v>
      </c>
      <c r="U135" s="102">
        <v>1751</v>
      </c>
      <c r="V135" s="102">
        <v>1417</v>
      </c>
      <c r="W135" s="102">
        <v>1416</v>
      </c>
      <c r="X135" s="102">
        <v>1939</v>
      </c>
      <c r="Y135" s="102">
        <v>1853</v>
      </c>
      <c r="DA135" s="175" t="s">
        <v>550</v>
      </c>
    </row>
    <row r="136" spans="1:105" ht="11.45" customHeight="1" x14ac:dyDescent="0.25">
      <c r="A136" s="138" t="s">
        <v>116</v>
      </c>
      <c r="B136" s="86">
        <v>60</v>
      </c>
      <c r="C136" s="86">
        <v>69</v>
      </c>
      <c r="D136" s="86">
        <v>65</v>
      </c>
      <c r="E136" s="86">
        <v>53</v>
      </c>
      <c r="F136" s="86">
        <v>169</v>
      </c>
      <c r="G136" s="86">
        <v>78</v>
      </c>
      <c r="H136" s="86">
        <v>240</v>
      </c>
      <c r="I136" s="86">
        <v>203</v>
      </c>
      <c r="J136" s="86">
        <v>41</v>
      </c>
      <c r="K136" s="86">
        <v>0</v>
      </c>
      <c r="L136" s="86">
        <v>131</v>
      </c>
      <c r="M136" s="86">
        <v>215</v>
      </c>
      <c r="N136" s="86">
        <v>192</v>
      </c>
      <c r="O136" s="86">
        <v>259</v>
      </c>
      <c r="P136" s="86">
        <v>99</v>
      </c>
      <c r="Q136" s="86">
        <v>343</v>
      </c>
      <c r="R136" s="86">
        <v>111</v>
      </c>
      <c r="S136" s="86">
        <v>87</v>
      </c>
      <c r="T136" s="86">
        <v>257</v>
      </c>
      <c r="U136" s="86">
        <v>0</v>
      </c>
      <c r="V136" s="86">
        <v>490</v>
      </c>
      <c r="W136" s="86">
        <v>39</v>
      </c>
      <c r="X136" s="86">
        <v>299</v>
      </c>
      <c r="Y136" s="86">
        <v>178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3.165251251592117</v>
      </c>
      <c r="C141" s="32">
        <f t="shared" si="195"/>
        <v>2.8265851317026653</v>
      </c>
      <c r="D141" s="32">
        <f t="shared" si="195"/>
        <v>2.8853906834996068</v>
      </c>
      <c r="E141" s="32">
        <f t="shared" si="195"/>
        <v>2.8661819795490535</v>
      </c>
      <c r="F141" s="32">
        <f t="shared" si="195"/>
        <v>2.4401018856692018</v>
      </c>
      <c r="G141" s="32">
        <f t="shared" si="195"/>
        <v>2.4784165333736929</v>
      </c>
      <c r="H141" s="32">
        <f t="shared" si="195"/>
        <v>2.358046635730275</v>
      </c>
      <c r="I141" s="32">
        <f t="shared" si="195"/>
        <v>2.3225302422527259</v>
      </c>
      <c r="J141" s="32">
        <f t="shared" si="195"/>
        <v>2.1551317035430024</v>
      </c>
      <c r="K141" s="32">
        <f t="shared" si="195"/>
        <v>2.1147832826355111</v>
      </c>
      <c r="L141" s="32">
        <f t="shared" ref="L141" si="196">IF(L4=0,0,L4/L31)</f>
        <v>2.0887022130232951</v>
      </c>
      <c r="M141" s="32">
        <f t="shared" ref="M141:V141" si="197">IF(M4=0,0,M4/M31)</f>
        <v>2.0123287549745976</v>
      </c>
      <c r="N141" s="32">
        <f t="shared" si="197"/>
        <v>2.1127668642258937</v>
      </c>
      <c r="O141" s="32">
        <f t="shared" si="197"/>
        <v>2.121609218384394</v>
      </c>
      <c r="P141" s="32">
        <f t="shared" si="197"/>
        <v>2.0039290648461479</v>
      </c>
      <c r="Q141" s="32">
        <f t="shared" si="197"/>
        <v>1.949191455731363</v>
      </c>
      <c r="R141" s="32">
        <f t="shared" si="197"/>
        <v>1.9029366682450124</v>
      </c>
      <c r="S141" s="32">
        <f t="shared" si="197"/>
        <v>1.9077552274741427</v>
      </c>
      <c r="T141" s="32">
        <f t="shared" si="197"/>
        <v>1.8375720769140171</v>
      </c>
      <c r="U141" s="32">
        <f t="shared" si="197"/>
        <v>1.7502965695819548</v>
      </c>
      <c r="V141" s="32">
        <f t="shared" si="197"/>
        <v>1.6328979600306774</v>
      </c>
      <c r="W141" s="32">
        <f t="shared" ref="W141:Y141" si="198">IF(W4=0,0,W4/W31)</f>
        <v>1.4019351017803967</v>
      </c>
      <c r="X141" s="32">
        <f t="shared" si="198"/>
        <v>1.4347731709673728</v>
      </c>
      <c r="Y141" s="32">
        <f t="shared" si="198"/>
        <v>1.4526323479777192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1.1549472685768514</v>
      </c>
      <c r="C142" s="141">
        <v>1.1549251164250132</v>
      </c>
      <c r="D142" s="141">
        <v>1.1547244330057378</v>
      </c>
      <c r="E142" s="141">
        <v>1.1552093820866829</v>
      </c>
      <c r="F142" s="141">
        <v>1.155364085651108</v>
      </c>
      <c r="G142" s="141">
        <v>1.1543178727366701</v>
      </c>
      <c r="H142" s="141">
        <v>1.1546398637822313</v>
      </c>
      <c r="I142" s="141">
        <v>1.1564931393319675</v>
      </c>
      <c r="J142" s="141">
        <v>1.1571017737935945</v>
      </c>
      <c r="K142" s="141">
        <v>1.1576570562583648</v>
      </c>
      <c r="L142" s="141">
        <v>1.1556682113354206</v>
      </c>
      <c r="M142" s="141">
        <v>1.1546558434345864</v>
      </c>
      <c r="N142" s="141">
        <v>1.1475295413899493</v>
      </c>
      <c r="O142" s="141">
        <v>1.1469392088128174</v>
      </c>
      <c r="P142" s="141">
        <v>1.1494295322312338</v>
      </c>
      <c r="Q142" s="141">
        <v>1.1514161199072459</v>
      </c>
      <c r="R142" s="141">
        <v>1.1515213040646235</v>
      </c>
      <c r="S142" s="141">
        <v>1.150981501547687</v>
      </c>
      <c r="T142" s="141">
        <v>1.1505468160338352</v>
      </c>
      <c r="U142" s="141">
        <v>1.1513401838636776</v>
      </c>
      <c r="V142" s="141">
        <v>1.1502118771608147</v>
      </c>
      <c r="W142" s="141">
        <v>1.1508194274500165</v>
      </c>
      <c r="X142" s="141">
        <v>1.1509234993382675</v>
      </c>
      <c r="Y142" s="141">
        <v>1.152381096744816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2.7371158663972466</v>
      </c>
      <c r="C143" s="130">
        <f t="shared" si="199"/>
        <v>2.4555538990068793</v>
      </c>
      <c r="D143" s="130">
        <f t="shared" si="199"/>
        <v>2.5149102177346596</v>
      </c>
      <c r="E143" s="130">
        <f t="shared" si="199"/>
        <v>2.4839367591143495</v>
      </c>
      <c r="F143" s="130">
        <f t="shared" si="199"/>
        <v>2.0493647306001659</v>
      </c>
      <c r="G143" s="130">
        <f t="shared" si="199"/>
        <v>2.0652717202597493</v>
      </c>
      <c r="H143" s="130">
        <f t="shared" si="199"/>
        <v>2.0197568253767573</v>
      </c>
      <c r="I143" s="130">
        <f t="shared" si="199"/>
        <v>2.0379770402238897</v>
      </c>
      <c r="J143" s="130">
        <f t="shared" si="199"/>
        <v>1.8726645373868476</v>
      </c>
      <c r="K143" s="130">
        <f t="shared" si="199"/>
        <v>1.8538597126568179</v>
      </c>
      <c r="L143" s="130">
        <f t="shared" ref="L143" si="200">IF(L6=0,0,L6/L33)</f>
        <v>1.8013593501330374</v>
      </c>
      <c r="M143" s="130">
        <f t="shared" ref="M143:V143" si="201">IF(M6=0,0,M6/M33)</f>
        <v>1.6994153475485636</v>
      </c>
      <c r="N143" s="130">
        <f t="shared" si="201"/>
        <v>1.7464448054605382</v>
      </c>
      <c r="O143" s="130">
        <f t="shared" si="201"/>
        <v>1.7613410504336415</v>
      </c>
      <c r="P143" s="130">
        <f t="shared" si="201"/>
        <v>1.6829073499655909</v>
      </c>
      <c r="Q143" s="130">
        <f t="shared" si="201"/>
        <v>1.6625950025474896</v>
      </c>
      <c r="R143" s="130">
        <f t="shared" si="201"/>
        <v>1.6354470707130888</v>
      </c>
      <c r="S143" s="130">
        <f t="shared" si="201"/>
        <v>1.6610777205356153</v>
      </c>
      <c r="T143" s="130">
        <f t="shared" si="201"/>
        <v>1.5989068406634974</v>
      </c>
      <c r="U143" s="130">
        <f t="shared" si="201"/>
        <v>1.5233025989435323</v>
      </c>
      <c r="V143" s="130">
        <f t="shared" si="201"/>
        <v>1.4854629842739444</v>
      </c>
      <c r="W143" s="130">
        <f t="shared" ref="W143:Y143" si="202">IF(W6=0,0,W6/W33)</f>
        <v>1.2841695304580421</v>
      </c>
      <c r="X143" s="130">
        <f t="shared" si="202"/>
        <v>1.2746176422318392</v>
      </c>
      <c r="Y143" s="130">
        <f t="shared" si="202"/>
        <v>1.2873429922686299</v>
      </c>
      <c r="DA143" s="176" t="s">
        <v>554</v>
      </c>
    </row>
    <row r="144" spans="1:105" ht="11.45" customHeight="1" x14ac:dyDescent="0.25">
      <c r="A144" s="111" t="s">
        <v>110</v>
      </c>
      <c r="B144" s="96">
        <v>2.7213356488056526</v>
      </c>
      <c r="C144" s="96">
        <v>2.4373763281416529</v>
      </c>
      <c r="D144" s="96">
        <v>2.491175060513013</v>
      </c>
      <c r="E144" s="96">
        <v>2.4547327536732411</v>
      </c>
      <c r="F144" s="96">
        <v>2.021192773973207</v>
      </c>
      <c r="G144" s="96">
        <v>2.0314081030226232</v>
      </c>
      <c r="H144" s="96">
        <v>1.9820163769479222</v>
      </c>
      <c r="I144" s="96">
        <v>1.9979370994399055</v>
      </c>
      <c r="J144" s="96">
        <v>1.8313616571064344</v>
      </c>
      <c r="K144" s="96">
        <v>1.8072641771492275</v>
      </c>
      <c r="L144" s="96">
        <v>1.7540004818696586</v>
      </c>
      <c r="M144" s="96">
        <v>1.6519830219529856</v>
      </c>
      <c r="N144" s="96">
        <v>1.6944055349467591</v>
      </c>
      <c r="O144" s="96">
        <v>1.7057160133026739</v>
      </c>
      <c r="P144" s="96">
        <v>1.6235683667967256</v>
      </c>
      <c r="Q144" s="96">
        <v>1.5996607427365008</v>
      </c>
      <c r="R144" s="96">
        <v>1.5695408141125435</v>
      </c>
      <c r="S144" s="96">
        <v>1.5908521831843965</v>
      </c>
      <c r="T144" s="96">
        <v>1.5288149373102071</v>
      </c>
      <c r="U144" s="96">
        <v>1.4535912615228237</v>
      </c>
      <c r="V144" s="96">
        <v>1.4169117090799044</v>
      </c>
      <c r="W144" s="96">
        <v>1.224677084711167</v>
      </c>
      <c r="X144" s="96">
        <v>1.2154897809085492</v>
      </c>
      <c r="Y144" s="96">
        <v>1.2286401982115691</v>
      </c>
      <c r="DA144" s="171" t="s">
        <v>555</v>
      </c>
    </row>
    <row r="145" spans="1:105" ht="11.45" customHeight="1" x14ac:dyDescent="0.25">
      <c r="A145" s="111" t="s">
        <v>111</v>
      </c>
      <c r="B145" s="96">
        <v>2.9060922663195892</v>
      </c>
      <c r="C145" s="96">
        <v>2.6028544110064527</v>
      </c>
      <c r="D145" s="96">
        <v>2.6603056409386436</v>
      </c>
      <c r="E145" s="96">
        <v>2.621389197051839</v>
      </c>
      <c r="F145" s="96">
        <v>2.1584153692185915</v>
      </c>
      <c r="G145" s="96">
        <v>2.1693242362528546</v>
      </c>
      <c r="H145" s="96">
        <v>2.1165792125991727</v>
      </c>
      <c r="I145" s="96">
        <v>2.1335808230137063</v>
      </c>
      <c r="J145" s="96">
        <v>1.9556962592567431</v>
      </c>
      <c r="K145" s="96">
        <v>1.929962755867638</v>
      </c>
      <c r="L145" s="96">
        <v>1.8730828877060277</v>
      </c>
      <c r="M145" s="96">
        <v>1.7641392697353711</v>
      </c>
      <c r="N145" s="96">
        <v>1.8094419272679521</v>
      </c>
      <c r="O145" s="96">
        <v>1.8215202953637524</v>
      </c>
      <c r="P145" s="96">
        <v>1.7337954899682599</v>
      </c>
      <c r="Q145" s="96">
        <v>1.7082647321516016</v>
      </c>
      <c r="R145" s="96">
        <v>1.67609990467999</v>
      </c>
      <c r="S145" s="96">
        <v>1.6988581428530631</v>
      </c>
      <c r="T145" s="96">
        <v>1.6326090711746495</v>
      </c>
      <c r="U145" s="96">
        <v>1.5522783179484567</v>
      </c>
      <c r="V145" s="96">
        <v>1.5131085214063762</v>
      </c>
      <c r="W145" s="96">
        <v>1.3078227252782795</v>
      </c>
      <c r="X145" s="96">
        <v>1.2980116780666517</v>
      </c>
      <c r="Y145" s="96">
        <v>1.3120549020401271</v>
      </c>
      <c r="DA145" s="171" t="s">
        <v>556</v>
      </c>
    </row>
    <row r="146" spans="1:105" ht="11.45" customHeight="1" x14ac:dyDescent="0.25">
      <c r="A146" s="111" t="s">
        <v>112</v>
      </c>
      <c r="B146" s="96">
        <v>2.6550023904053295</v>
      </c>
      <c r="C146" s="96">
        <v>2.381887282036673</v>
      </c>
      <c r="D146" s="96">
        <v>2.4394629112026198</v>
      </c>
      <c r="E146" s="96">
        <v>2.4094186563409195</v>
      </c>
      <c r="F146" s="96">
        <v>1.9878837886821612</v>
      </c>
      <c r="G146" s="96">
        <v>2.0033135686519574</v>
      </c>
      <c r="H146" s="96">
        <v>1.9591641206154544</v>
      </c>
      <c r="I146" s="96">
        <v>1.9768377290171733</v>
      </c>
      <c r="J146" s="96">
        <v>1.8164846012652422</v>
      </c>
      <c r="K146" s="96">
        <v>1.7982439212771135</v>
      </c>
      <c r="L146" s="96">
        <v>1.7473185696290463</v>
      </c>
      <c r="M146" s="96">
        <v>1.6484328871221068</v>
      </c>
      <c r="N146" s="96">
        <v>1.6940514612967223</v>
      </c>
      <c r="O146" s="96">
        <v>1.7085008189206323</v>
      </c>
      <c r="P146" s="96">
        <v>1.6324201294666232</v>
      </c>
      <c r="Q146" s="96">
        <v>1.6127171524710646</v>
      </c>
      <c r="R146" s="96">
        <v>1.5863836585916966</v>
      </c>
      <c r="S146" s="96">
        <v>1.6112453889195466</v>
      </c>
      <c r="T146" s="96">
        <v>1.5509396354435925</v>
      </c>
      <c r="U146" s="96">
        <v>1.477603520975227</v>
      </c>
      <c r="V146" s="96">
        <v>1.4408990947457265</v>
      </c>
      <c r="W146" s="96">
        <v>1.2456444445443009</v>
      </c>
      <c r="X146" s="96">
        <v>1.2363791129648838</v>
      </c>
      <c r="Y146" s="96">
        <v>1.2487227025005716</v>
      </c>
      <c r="DA146" s="171" t="s">
        <v>557</v>
      </c>
    </row>
    <row r="147" spans="1:105" ht="11.45" customHeight="1" x14ac:dyDescent="0.25">
      <c r="A147" s="111" t="s">
        <v>113</v>
      </c>
      <c r="B147" s="96">
        <v>2.808343129306115</v>
      </c>
      <c r="C147" s="96">
        <v>2.5194541471836862</v>
      </c>
      <c r="D147" s="96">
        <v>2.5803550801425374</v>
      </c>
      <c r="E147" s="96">
        <v>2.5485756071669599</v>
      </c>
      <c r="F147" s="96">
        <v>2.1026948224149327</v>
      </c>
      <c r="G147" s="96">
        <v>2.1190157555792402</v>
      </c>
      <c r="H147" s="96">
        <v>2.072316438281435</v>
      </c>
      <c r="I147" s="96">
        <v>2.0910107930979804</v>
      </c>
      <c r="J147" s="96">
        <v>1.9213964054754777</v>
      </c>
      <c r="K147" s="96">
        <v>1.902102227623264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1.6405147825503819</v>
      </c>
      <c r="U147" s="96">
        <v>1.5629431110741092</v>
      </c>
      <c r="V147" s="96">
        <v>1.5241188058345934</v>
      </c>
      <c r="W147" s="96">
        <v>1.3175871441909559</v>
      </c>
      <c r="X147" s="96">
        <v>1.3077866896317318</v>
      </c>
      <c r="Y147" s="96">
        <v>1.3208431881828426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1.6576412489500223</v>
      </c>
      <c r="O148" s="96">
        <v>1.6717800468351169</v>
      </c>
      <c r="P148" s="96">
        <v>1.5973345580357463</v>
      </c>
      <c r="Q148" s="96">
        <v>1.5780550567094109</v>
      </c>
      <c r="R148" s="96">
        <v>1.5522875480588765</v>
      </c>
      <c r="S148" s="96">
        <v>1.5766149257408804</v>
      </c>
      <c r="T148" s="96">
        <v>1.5176053225531274</v>
      </c>
      <c r="U148" s="96">
        <v>1.44584541964709</v>
      </c>
      <c r="V148" s="96">
        <v>1.4099298808768035</v>
      </c>
      <c r="W148" s="96">
        <v>1.2188718347561494</v>
      </c>
      <c r="X148" s="96">
        <v>1.2098056427530537</v>
      </c>
      <c r="Y148" s="96">
        <v>1.2218839317790562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1.3993076479576296</v>
      </c>
      <c r="O149" s="96">
        <v>1.4112429976758341</v>
      </c>
      <c r="P149" s="96">
        <v>1.3483993987373502</v>
      </c>
      <c r="Q149" s="96">
        <v>1.3321244938555858</v>
      </c>
      <c r="R149" s="96">
        <v>1.3103726992822147</v>
      </c>
      <c r="S149" s="96">
        <v>1.3309087987951487</v>
      </c>
      <c r="T149" s="96">
        <v>1.2810954938379568</v>
      </c>
      <c r="U149" s="96">
        <v>1.2205189480885561</v>
      </c>
      <c r="V149" s="96">
        <v>1.1902006339698563</v>
      </c>
      <c r="W149" s="96">
        <v>1.0289178562217662</v>
      </c>
      <c r="X149" s="96">
        <v>1.0212645767104003</v>
      </c>
      <c r="Y149" s="96">
        <v>1.0314605357087865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17.056353686853647</v>
      </c>
      <c r="C150" s="130">
        <f t="shared" si="203"/>
        <v>16.418169405052442</v>
      </c>
      <c r="D150" s="130">
        <f t="shared" si="203"/>
        <v>16.168248201626177</v>
      </c>
      <c r="E150" s="130">
        <f t="shared" si="203"/>
        <v>16.153375861384454</v>
      </c>
      <c r="F150" s="130">
        <f t="shared" si="203"/>
        <v>16.665893186361146</v>
      </c>
      <c r="G150" s="130">
        <f t="shared" si="203"/>
        <v>18.184788151034226</v>
      </c>
      <c r="H150" s="130">
        <f t="shared" si="203"/>
        <v>17.931248629257926</v>
      </c>
      <c r="I150" s="130">
        <f t="shared" si="203"/>
        <v>17.339745328855869</v>
      </c>
      <c r="J150" s="130">
        <f t="shared" si="203"/>
        <v>17.150800302540933</v>
      </c>
      <c r="K150" s="130">
        <f t="shared" si="203"/>
        <v>14.729125213277163</v>
      </c>
      <c r="L150" s="130">
        <f t="shared" ref="L150" si="204">IF(L13=0,0,L13/L40)</f>
        <v>16.059635999331292</v>
      </c>
      <c r="M150" s="130">
        <f t="shared" ref="M150:V150" si="205">IF(M13=0,0,M13/M40)</f>
        <v>17.372011506803062</v>
      </c>
      <c r="N150" s="130">
        <f t="shared" si="205"/>
        <v>20.270211606200409</v>
      </c>
      <c r="O150" s="130">
        <f t="shared" si="205"/>
        <v>20.337246872010002</v>
      </c>
      <c r="P150" s="130">
        <f t="shared" si="205"/>
        <v>20.858409005050849</v>
      </c>
      <c r="Q150" s="130">
        <f t="shared" si="205"/>
        <v>20.463208556200541</v>
      </c>
      <c r="R150" s="130">
        <f t="shared" si="205"/>
        <v>19.717778861902911</v>
      </c>
      <c r="S150" s="130">
        <f t="shared" si="205"/>
        <v>19.286321278590513</v>
      </c>
      <c r="T150" s="130">
        <f t="shared" si="205"/>
        <v>20.054145998056413</v>
      </c>
      <c r="U150" s="130">
        <f t="shared" si="205"/>
        <v>21.034481038395427</v>
      </c>
      <c r="V150" s="130">
        <f t="shared" si="205"/>
        <v>16.580678251265475</v>
      </c>
      <c r="W150" s="130">
        <f t="shared" ref="W150:Y150" si="206">IF(W13=0,0,W13/W40)</f>
        <v>15.223370868677756</v>
      </c>
      <c r="X150" s="130">
        <f t="shared" si="206"/>
        <v>18.226833872374446</v>
      </c>
      <c r="Y150" s="130">
        <f t="shared" si="206"/>
        <v>18.947534816190121</v>
      </c>
      <c r="DA150" s="176" t="s">
        <v>561</v>
      </c>
    </row>
    <row r="151" spans="1:105" ht="11.45" customHeight="1" x14ac:dyDescent="0.25">
      <c r="A151" s="111" t="s">
        <v>110</v>
      </c>
      <c r="B151" s="97">
        <v>6.6560136033405248</v>
      </c>
      <c r="C151" s="97">
        <v>6.6314680540404787</v>
      </c>
      <c r="D151" s="97">
        <v>6.6218557000625449</v>
      </c>
      <c r="E151" s="97">
        <v>6.6212836869763239</v>
      </c>
      <c r="F151" s="97">
        <v>6.6409958917831213</v>
      </c>
      <c r="G151" s="97">
        <v>6.994149288859318</v>
      </c>
      <c r="H151" s="97">
        <v>6.8966340881761257</v>
      </c>
      <c r="I151" s="97">
        <v>6.6691328187907191</v>
      </c>
      <c r="J151" s="97">
        <v>6.6596461654823438</v>
      </c>
      <c r="K151" s="97">
        <v>6.5665048158952759</v>
      </c>
      <c r="L151" s="97">
        <v>6.6176783076665879</v>
      </c>
      <c r="M151" s="97">
        <v>6.6815428872319478</v>
      </c>
      <c r="N151" s="97">
        <v>7.7962352331540048</v>
      </c>
      <c r="O151" s="97">
        <v>7.8220180276961555</v>
      </c>
      <c r="P151" s="97">
        <v>8.0224650019426349</v>
      </c>
      <c r="Q151" s="97">
        <v>7.8704648293079025</v>
      </c>
      <c r="R151" s="97">
        <v>7.5837611007318895</v>
      </c>
      <c r="S151" s="97">
        <v>7.4178158763809661</v>
      </c>
      <c r="T151" s="97">
        <v>7.7131330761755441</v>
      </c>
      <c r="U151" s="97">
        <v>8.0901850147674743</v>
      </c>
      <c r="V151" s="97">
        <v>6.6377183942794415</v>
      </c>
      <c r="W151" s="97">
        <v>6.5855142641799134</v>
      </c>
      <c r="X151" s="97">
        <v>7.0103207201440183</v>
      </c>
      <c r="Y151" s="97">
        <v>7.2875133908423546</v>
      </c>
      <c r="DA151" s="175" t="s">
        <v>562</v>
      </c>
    </row>
    <row r="152" spans="1:105" ht="11.45" customHeight="1" x14ac:dyDescent="0.25">
      <c r="A152" s="111" t="s">
        <v>111</v>
      </c>
      <c r="B152" s="97">
        <v>18.182865921725661</v>
      </c>
      <c r="C152" s="97">
        <v>17.454102684885243</v>
      </c>
      <c r="D152" s="97">
        <v>17.130265241593545</v>
      </c>
      <c r="E152" s="97">
        <v>17.010014140668101</v>
      </c>
      <c r="F152" s="97">
        <v>17.523227219330771</v>
      </c>
      <c r="G152" s="97">
        <v>19.10476938450002</v>
      </c>
      <c r="H152" s="97">
        <v>18.787788710786955</v>
      </c>
      <c r="I152" s="97">
        <v>18.119112962448462</v>
      </c>
      <c r="J152" s="97">
        <v>17.877281066020331</v>
      </c>
      <c r="K152" s="97">
        <v>15.227548234878094</v>
      </c>
      <c r="L152" s="97">
        <v>16.566707760115147</v>
      </c>
      <c r="M152" s="97">
        <v>17.740464443020013</v>
      </c>
      <c r="N152" s="97">
        <v>20.608465062832259</v>
      </c>
      <c r="O152" s="97">
        <v>20.58459172682463</v>
      </c>
      <c r="P152" s="97">
        <v>21.026987264487161</v>
      </c>
      <c r="Q152" s="97">
        <v>20.601748677745181</v>
      </c>
      <c r="R152" s="97">
        <v>19.817546823823925</v>
      </c>
      <c r="S152" s="97">
        <v>19.374454536598147</v>
      </c>
      <c r="T152" s="97">
        <v>20.135311530696153</v>
      </c>
      <c r="U152" s="97">
        <v>21.114815114965673</v>
      </c>
      <c r="V152" s="97">
        <v>16.635273727338625</v>
      </c>
      <c r="W152" s="97">
        <v>15.260235662889457</v>
      </c>
      <c r="X152" s="97">
        <v>18.273612315039685</v>
      </c>
      <c r="Y152" s="97">
        <v>19.000276864001446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19.817546823823925</v>
      </c>
      <c r="S153" s="97">
        <v>19.374454536598147</v>
      </c>
      <c r="T153" s="97">
        <v>20.135311530696157</v>
      </c>
      <c r="U153" s="97">
        <v>21.114815114965669</v>
      </c>
      <c r="V153" s="97">
        <v>16.635273727338625</v>
      </c>
      <c r="W153" s="97">
        <v>15.260235662889453</v>
      </c>
      <c r="X153" s="97">
        <v>18.273612315039689</v>
      </c>
      <c r="Y153" s="97">
        <v>19.000276864001446</v>
      </c>
      <c r="DA153" s="175" t="s">
        <v>564</v>
      </c>
    </row>
    <row r="154" spans="1:105" ht="11.45" customHeight="1" x14ac:dyDescent="0.25">
      <c r="A154" s="111" t="s">
        <v>113</v>
      </c>
      <c r="B154" s="97">
        <v>18.182865921725664</v>
      </c>
      <c r="C154" s="97">
        <v>17.454102684885239</v>
      </c>
      <c r="D154" s="97">
        <v>17.130265241593545</v>
      </c>
      <c r="E154" s="97">
        <v>17.010014140668101</v>
      </c>
      <c r="F154" s="97">
        <v>17.523227219330771</v>
      </c>
      <c r="G154" s="97">
        <v>19.10476938450002</v>
      </c>
      <c r="H154" s="97">
        <v>18.787788710786955</v>
      </c>
      <c r="I154" s="97">
        <v>18.119112962448462</v>
      </c>
      <c r="J154" s="97">
        <v>17.877281066020331</v>
      </c>
      <c r="K154" s="97">
        <v>15.227548234878096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21.114815114965669</v>
      </c>
      <c r="V154" s="97">
        <v>16.635273727338625</v>
      </c>
      <c r="W154" s="97">
        <v>15.260235662889455</v>
      </c>
      <c r="X154" s="97">
        <v>18.273612315039689</v>
      </c>
      <c r="Y154" s="97">
        <v>19.000276864001446</v>
      </c>
      <c r="DA154" s="175" t="s">
        <v>565</v>
      </c>
    </row>
    <row r="155" spans="1:105" ht="11.45" customHeight="1" x14ac:dyDescent="0.25">
      <c r="A155" s="111" t="s">
        <v>115</v>
      </c>
      <c r="B155" s="97">
        <v>18.182865921725664</v>
      </c>
      <c r="C155" s="97">
        <v>17.454102684885239</v>
      </c>
      <c r="D155" s="97">
        <v>17.130265241593545</v>
      </c>
      <c r="E155" s="97">
        <v>17.010014140668101</v>
      </c>
      <c r="F155" s="97">
        <v>17.523227219330771</v>
      </c>
      <c r="G155" s="97">
        <v>19.10476938450002</v>
      </c>
      <c r="H155" s="97">
        <v>18.787788710786955</v>
      </c>
      <c r="I155" s="97">
        <v>18.119112962448462</v>
      </c>
      <c r="J155" s="97">
        <v>17.877281066020331</v>
      </c>
      <c r="K155" s="97">
        <v>15.227548234878096</v>
      </c>
      <c r="L155" s="97">
        <v>16.566707760115143</v>
      </c>
      <c r="M155" s="97">
        <v>17.740464443020013</v>
      </c>
      <c r="N155" s="97">
        <v>20.608465062832263</v>
      </c>
      <c r="O155" s="97">
        <v>20.58459172682463</v>
      </c>
      <c r="P155" s="97">
        <v>21.026987264487161</v>
      </c>
      <c r="Q155" s="97">
        <v>20.601748677745185</v>
      </c>
      <c r="R155" s="97">
        <v>19.817546823823925</v>
      </c>
      <c r="S155" s="97">
        <v>19.374454536598147</v>
      </c>
      <c r="T155" s="97">
        <v>20.135311530696157</v>
      </c>
      <c r="U155" s="97">
        <v>21.114815114965669</v>
      </c>
      <c r="V155" s="97">
        <v>16.635273727338625</v>
      </c>
      <c r="W155" s="97">
        <v>15.260235662889452</v>
      </c>
      <c r="X155" s="97">
        <v>18.273612315039689</v>
      </c>
      <c r="Y155" s="97">
        <v>19.000276864001446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3.3465703376499865</v>
      </c>
      <c r="C156" s="32">
        <f t="shared" si="207"/>
        <v>3.120706126936645</v>
      </c>
      <c r="D156" s="32">
        <f t="shared" si="207"/>
        <v>2.9595195549426814</v>
      </c>
      <c r="E156" s="32">
        <f t="shared" si="207"/>
        <v>3.3040344289006054</v>
      </c>
      <c r="F156" s="32">
        <f t="shared" si="207"/>
        <v>3.1026585253943675</v>
      </c>
      <c r="G156" s="32">
        <f t="shared" si="207"/>
        <v>3.3731679298111645</v>
      </c>
      <c r="H156" s="32">
        <f t="shared" si="207"/>
        <v>3.3525326360169867</v>
      </c>
      <c r="I156" s="32">
        <f t="shared" si="207"/>
        <v>3.2854382018827044</v>
      </c>
      <c r="J156" s="32">
        <f t="shared" si="207"/>
        <v>2.9791032152720067</v>
      </c>
      <c r="K156" s="32">
        <f t="shared" si="207"/>
        <v>2.6366374387832354</v>
      </c>
      <c r="L156" s="32">
        <f t="shared" ref="L156" si="208">IF(L19=0,0,L19/L46)</f>
        <v>3.5289886699857584</v>
      </c>
      <c r="M156" s="32">
        <f t="shared" ref="M156:V156" si="209">IF(M19=0,0,M19/M46)</f>
        <v>3.9541075022572594</v>
      </c>
      <c r="N156" s="32">
        <f t="shared" si="209"/>
        <v>4.0672811280876671</v>
      </c>
      <c r="O156" s="32">
        <f t="shared" si="209"/>
        <v>3.9589080395845273</v>
      </c>
      <c r="P156" s="32">
        <f t="shared" si="209"/>
        <v>3.7248886774860726</v>
      </c>
      <c r="Q156" s="32">
        <f t="shared" si="209"/>
        <v>3.7679106081776306</v>
      </c>
      <c r="R156" s="32">
        <f t="shared" si="209"/>
        <v>3.7883549360830493</v>
      </c>
      <c r="S156" s="32">
        <f t="shared" si="209"/>
        <v>3.882557779657196</v>
      </c>
      <c r="T156" s="32">
        <f t="shared" si="209"/>
        <v>4.0573337659590383</v>
      </c>
      <c r="U156" s="32">
        <f t="shared" si="209"/>
        <v>3.8068619939474666</v>
      </c>
      <c r="V156" s="32">
        <f t="shared" si="209"/>
        <v>4.1405681099325564</v>
      </c>
      <c r="W156" s="32">
        <f t="shared" ref="W156:Y156" si="210">IF(W19=0,0,W19/W46)</f>
        <v>4.1277170165103154</v>
      </c>
      <c r="X156" s="32">
        <f t="shared" si="210"/>
        <v>4.1290746814673609</v>
      </c>
      <c r="Y156" s="32">
        <f t="shared" si="210"/>
        <v>4.1093839440233344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0.18344705221240393</v>
      </c>
      <c r="C157" s="141">
        <f t="shared" si="211"/>
        <v>0.18612321214320801</v>
      </c>
      <c r="D157" s="141">
        <f t="shared" si="211"/>
        <v>0.19108609223029732</v>
      </c>
      <c r="E157" s="141">
        <f t="shared" si="211"/>
        <v>0.19070764308036128</v>
      </c>
      <c r="F157" s="141">
        <f t="shared" si="211"/>
        <v>0.19435211947088868</v>
      </c>
      <c r="G157" s="141">
        <f t="shared" si="211"/>
        <v>0.19337745917043597</v>
      </c>
      <c r="H157" s="141">
        <f t="shared" si="211"/>
        <v>0.19608999046479786</v>
      </c>
      <c r="I157" s="141">
        <f t="shared" si="211"/>
        <v>0.1961427938156606</v>
      </c>
      <c r="J157" s="141">
        <f t="shared" si="211"/>
        <v>0.19829742264312625</v>
      </c>
      <c r="K157" s="141">
        <f t="shared" si="211"/>
        <v>0.20000175133483691</v>
      </c>
      <c r="L157" s="141">
        <f t="shared" ref="L157" si="212">IF(L20=0,0,L20/L47)</f>
        <v>0.20406300666673818</v>
      </c>
      <c r="M157" s="141">
        <f t="shared" ref="M157:V157" si="213">IF(M20=0,0,M20/M47)</f>
        <v>0.2049065813787101</v>
      </c>
      <c r="N157" s="141">
        <f t="shared" si="213"/>
        <v>0.20540277978597449</v>
      </c>
      <c r="O157" s="141">
        <f t="shared" si="213"/>
        <v>0.20630287533350658</v>
      </c>
      <c r="P157" s="141">
        <f t="shared" si="213"/>
        <v>0.20724931136393682</v>
      </c>
      <c r="Q157" s="141">
        <f t="shared" si="213"/>
        <v>0.20810563287984707</v>
      </c>
      <c r="R157" s="141">
        <f t="shared" si="213"/>
        <v>0.20819067212650094</v>
      </c>
      <c r="S157" s="141">
        <f t="shared" si="213"/>
        <v>0.20822308398294273</v>
      </c>
      <c r="T157" s="141">
        <f t="shared" si="213"/>
        <v>0.20863339829489883</v>
      </c>
      <c r="U157" s="141">
        <f t="shared" si="213"/>
        <v>0.20905411483916503</v>
      </c>
      <c r="V157" s="141">
        <f t="shared" si="213"/>
        <v>0.20865100032727327</v>
      </c>
      <c r="W157" s="141">
        <f t="shared" ref="W157:Y157" si="214">IF(W20=0,0,W20/W47)</f>
        <v>0.20904335852993072</v>
      </c>
      <c r="X157" s="141">
        <f t="shared" si="214"/>
        <v>0.20942695212338927</v>
      </c>
      <c r="Y157" s="141">
        <f t="shared" si="214"/>
        <v>0.20977902885488955</v>
      </c>
      <c r="DA157" s="174" t="s">
        <v>568</v>
      </c>
    </row>
    <row r="158" spans="1:105" ht="11.45" customHeight="1" x14ac:dyDescent="0.25">
      <c r="A158" s="111" t="s">
        <v>110</v>
      </c>
      <c r="B158" s="96">
        <v>0.1530390479019326</v>
      </c>
      <c r="C158" s="96">
        <v>0.15317989727527756</v>
      </c>
      <c r="D158" s="96">
        <v>0.15353186035696434</v>
      </c>
      <c r="E158" s="96">
        <v>0.15422888253516123</v>
      </c>
      <c r="F158" s="96">
        <v>0.15423710823286349</v>
      </c>
      <c r="G158" s="96">
        <v>0.15399699245454282</v>
      </c>
      <c r="H158" s="96">
        <v>0.15413526766059962</v>
      </c>
      <c r="I158" s="96">
        <v>0.15437811472316573</v>
      </c>
      <c r="J158" s="96">
        <v>0.15471010149037071</v>
      </c>
      <c r="K158" s="96">
        <v>0.15482282990555152</v>
      </c>
      <c r="L158" s="96">
        <v>0.15517330044987654</v>
      </c>
      <c r="M158" s="96">
        <v>0.15543867140516146</v>
      </c>
      <c r="N158" s="96">
        <v>0.15561911928187289</v>
      </c>
      <c r="O158" s="96">
        <v>0.15571714041106202</v>
      </c>
      <c r="P158" s="96">
        <v>0.15590202503857742</v>
      </c>
      <c r="Q158" s="96">
        <v>0.15643214953271031</v>
      </c>
      <c r="R158" s="96">
        <v>0.15580001673336713</v>
      </c>
      <c r="S158" s="96">
        <v>0.15580265949514618</v>
      </c>
      <c r="T158" s="96">
        <v>0.15608567466051604</v>
      </c>
      <c r="U158" s="96">
        <v>0.15635494610525086</v>
      </c>
      <c r="V158" s="96">
        <v>0.15604021416164721</v>
      </c>
      <c r="W158" s="96">
        <v>0.15630670549381531</v>
      </c>
      <c r="X158" s="96">
        <v>0.15658112966876797</v>
      </c>
      <c r="Y158" s="96">
        <v>0.15685226351858764</v>
      </c>
      <c r="DA158" s="171" t="s">
        <v>569</v>
      </c>
    </row>
    <row r="159" spans="1:105" ht="11.45" customHeight="1" x14ac:dyDescent="0.25">
      <c r="A159" s="111" t="s">
        <v>111</v>
      </c>
      <c r="B159" s="96">
        <v>0.20503968264546718</v>
      </c>
      <c r="C159" s="96">
        <v>0.20522428603212178</v>
      </c>
      <c r="D159" s="96">
        <v>0.20528689078848228</v>
      </c>
      <c r="E159" s="96">
        <v>0.20580889547200343</v>
      </c>
      <c r="F159" s="96">
        <v>0.20581987215633624</v>
      </c>
      <c r="G159" s="96">
        <v>0.20549945251567447</v>
      </c>
      <c r="H159" s="96">
        <v>0.20780487412944723</v>
      </c>
      <c r="I159" s="96">
        <v>0.20600803658796832</v>
      </c>
      <c r="J159" s="96">
        <v>0.20645105237558645</v>
      </c>
      <c r="K159" s="96">
        <v>0.2070130414657155</v>
      </c>
      <c r="L159" s="96">
        <v>0.20789912584715325</v>
      </c>
      <c r="M159" s="96">
        <v>0.2082546663265335</v>
      </c>
      <c r="N159" s="96">
        <v>0.2084964279937824</v>
      </c>
      <c r="O159" s="96">
        <v>0.20862775540006873</v>
      </c>
      <c r="P159" s="96">
        <v>0.20887546136708496</v>
      </c>
      <c r="Q159" s="96">
        <v>0.20958571511950796</v>
      </c>
      <c r="R159" s="96">
        <v>0.20957544724751162</v>
      </c>
      <c r="S159" s="96">
        <v>0.20957900217640973</v>
      </c>
      <c r="T159" s="96">
        <v>0.20995970194206975</v>
      </c>
      <c r="U159" s="96">
        <v>0.21032191424887495</v>
      </c>
      <c r="V159" s="96">
        <v>0.20989855044425679</v>
      </c>
      <c r="W159" s="96">
        <v>0.21025702306382202</v>
      </c>
      <c r="X159" s="96">
        <v>0.21062616660056285</v>
      </c>
      <c r="Y159" s="96">
        <v>0.2109908841341761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0.15408739917646505</v>
      </c>
      <c r="O160" s="96">
        <v>0.15479631781796549</v>
      </c>
      <c r="P160" s="96">
        <v>0.15559512890769314</v>
      </c>
      <c r="Q160" s="96">
        <v>0.15643214953271031</v>
      </c>
      <c r="R160" s="96">
        <v>0.1554933214077911</v>
      </c>
      <c r="S160" s="96">
        <v>0.15488133119083147</v>
      </c>
      <c r="T160" s="96">
        <v>0.15454936236709785</v>
      </c>
      <c r="U160" s="96">
        <v>0.15420404339832819</v>
      </c>
      <c r="V160" s="96">
        <v>0.15328534677073852</v>
      </c>
      <c r="W160" s="96">
        <v>0.15294020857027621</v>
      </c>
      <c r="X160" s="96">
        <v>0.15260313523005611</v>
      </c>
      <c r="Y160" s="96">
        <v>0.15226314302214958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0.19851103718663674</v>
      </c>
      <c r="N162" s="96">
        <v>0.19850007002853623</v>
      </c>
      <c r="O162" s="96">
        <v>0.1984941181389486</v>
      </c>
      <c r="P162" s="96">
        <v>0.19848290253237172</v>
      </c>
      <c r="Q162" s="96">
        <v>0.19846962791837308</v>
      </c>
      <c r="R162" s="96">
        <v>0.1984890889106431</v>
      </c>
      <c r="S162" s="96">
        <v>0.19848924923678907</v>
      </c>
      <c r="T162" s="96">
        <v>0.19850640370077835</v>
      </c>
      <c r="U162" s="96">
        <v>0.19852269763511371</v>
      </c>
      <c r="V162" s="96">
        <v>0.19880862871862273</v>
      </c>
      <c r="W162" s="96">
        <v>0.19852561480854347</v>
      </c>
      <c r="X162" s="96">
        <v>0.19853636363151728</v>
      </c>
      <c r="Y162" s="96">
        <v>0.19855272076653627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6.7648900186131273</v>
      </c>
      <c r="C163" s="130">
        <f t="shared" si="215"/>
        <v>6.1557368271376873</v>
      </c>
      <c r="D163" s="130">
        <f t="shared" si="215"/>
        <v>6.0305829025833573</v>
      </c>
      <c r="E163" s="130">
        <f t="shared" si="215"/>
        <v>6.1574251848179005</v>
      </c>
      <c r="F163" s="130">
        <f t="shared" si="215"/>
        <v>6.6139258233783327</v>
      </c>
      <c r="G163" s="130">
        <f t="shared" si="215"/>
        <v>6.640916278462619</v>
      </c>
      <c r="H163" s="130">
        <f t="shared" si="215"/>
        <v>6.7803565776397035</v>
      </c>
      <c r="I163" s="130">
        <f t="shared" si="215"/>
        <v>6.4220632051070243</v>
      </c>
      <c r="J163" s="130">
        <f t="shared" si="215"/>
        <v>6.0151593918454118</v>
      </c>
      <c r="K163" s="130">
        <f t="shared" si="215"/>
        <v>5.366349276706063</v>
      </c>
      <c r="L163" s="130">
        <f t="shared" ref="L163" si="216">IF(L26=0,0,L26/L53)</f>
        <v>7.0701648617735051</v>
      </c>
      <c r="M163" s="130">
        <f t="shared" ref="M163:V163" si="217">IF(M26=0,0,M26/M53)</f>
        <v>8.7247450110920486</v>
      </c>
      <c r="N163" s="130">
        <f t="shared" si="217"/>
        <v>10.105459503920079</v>
      </c>
      <c r="O163" s="130">
        <f t="shared" si="217"/>
        <v>10.218978563562928</v>
      </c>
      <c r="P163" s="130">
        <f t="shared" si="217"/>
        <v>10.213499386628726</v>
      </c>
      <c r="Q163" s="130">
        <f t="shared" si="217"/>
        <v>10.295420025104097</v>
      </c>
      <c r="R163" s="130">
        <f t="shared" si="217"/>
        <v>10.264441433849404</v>
      </c>
      <c r="S163" s="130">
        <f t="shared" si="217"/>
        <v>10.278886067243064</v>
      </c>
      <c r="T163" s="130">
        <f t="shared" si="217"/>
        <v>10.600279333727403</v>
      </c>
      <c r="U163" s="130">
        <f t="shared" si="217"/>
        <v>10.241625313055001</v>
      </c>
      <c r="V163" s="130">
        <f t="shared" si="217"/>
        <v>10.950693947813285</v>
      </c>
      <c r="W163" s="130">
        <f t="shared" ref="W163:Y163" si="218">IF(W26=0,0,W26/W53)</f>
        <v>10.650315054819222</v>
      </c>
      <c r="X163" s="130">
        <f t="shared" si="218"/>
        <v>10.816055245562522</v>
      </c>
      <c r="Y163" s="130">
        <f t="shared" si="218"/>
        <v>10.951299215803823</v>
      </c>
      <c r="DA163" s="176" t="s">
        <v>574</v>
      </c>
    </row>
    <row r="164" spans="1:105" ht="11.45" customHeight="1" x14ac:dyDescent="0.25">
      <c r="A164" s="128" t="s">
        <v>27</v>
      </c>
      <c r="B164" s="97">
        <v>5.3855611520082647</v>
      </c>
      <c r="C164" s="97">
        <v>4.8567901234567898</v>
      </c>
      <c r="D164" s="97">
        <v>4.8567901234567898</v>
      </c>
      <c r="E164" s="97">
        <v>5.1301518438177878</v>
      </c>
      <c r="F164" s="97">
        <v>5.446224256292906</v>
      </c>
      <c r="G164" s="97">
        <v>5.5682281059063135</v>
      </c>
      <c r="H164" s="97">
        <v>5.4909090909090912</v>
      </c>
      <c r="I164" s="97">
        <v>5.1209540034071548</v>
      </c>
      <c r="J164" s="97">
        <v>4.6193078324225869</v>
      </c>
      <c r="K164" s="97">
        <v>4.1247600767754315</v>
      </c>
      <c r="L164" s="97">
        <v>5.7421524663677133</v>
      </c>
      <c r="M164" s="97">
        <v>7.2892561983471076</v>
      </c>
      <c r="N164" s="97">
        <v>8.6910299003322251</v>
      </c>
      <c r="O164" s="97">
        <v>8.7320872274143309</v>
      </c>
      <c r="P164" s="97">
        <v>8.6708860759493671</v>
      </c>
      <c r="Q164" s="97">
        <v>8.6031250000000004</v>
      </c>
      <c r="R164" s="97">
        <v>8.610429447852761</v>
      </c>
      <c r="S164" s="97">
        <v>8.804347826086957</v>
      </c>
      <c r="T164" s="97">
        <v>9.1266490765171504</v>
      </c>
      <c r="U164" s="97">
        <v>8.7926509186351698</v>
      </c>
      <c r="V164" s="97">
        <v>9.6269430051813476</v>
      </c>
      <c r="W164" s="97">
        <v>9.3425287356321842</v>
      </c>
      <c r="X164" s="97">
        <v>9.4526066350710902</v>
      </c>
      <c r="Y164" s="97">
        <v>9.6849642004773262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14.088849058887032</v>
      </c>
      <c r="I165" s="98">
        <v>14.115262081857328</v>
      </c>
      <c r="J165" s="98">
        <v>13.915448013039784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14.005556317739057</v>
      </c>
      <c r="R165" s="98">
        <v>13.933281647068958</v>
      </c>
      <c r="S165" s="98">
        <v>14.012038113892798</v>
      </c>
      <c r="T165" s="98">
        <v>14.146454243557946</v>
      </c>
      <c r="U165" s="98">
        <v>14.062037656310165</v>
      </c>
      <c r="V165" s="98">
        <v>13.861910981613583</v>
      </c>
      <c r="W165" s="98">
        <v>14.046303126595928</v>
      </c>
      <c r="X165" s="98">
        <v>13.993433342768183</v>
      </c>
      <c r="Y165" s="98">
        <v>13.837303725369459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7369.1678300238509</v>
      </c>
      <c r="C167" s="54">
        <f t="shared" si="219"/>
        <v>8448.8315816054637</v>
      </c>
      <c r="D167" s="54">
        <f t="shared" si="219"/>
        <v>8645.1037039495877</v>
      </c>
      <c r="E167" s="54">
        <f t="shared" si="219"/>
        <v>8885.6512128698268</v>
      </c>
      <c r="F167" s="54">
        <f t="shared" si="219"/>
        <v>9143.2890048017107</v>
      </c>
      <c r="G167" s="54">
        <f t="shared" si="219"/>
        <v>9295.0215447048213</v>
      </c>
      <c r="H167" s="54">
        <f t="shared" si="219"/>
        <v>10394.841653399282</v>
      </c>
      <c r="I167" s="54">
        <f t="shared" si="219"/>
        <v>11497.801000844936</v>
      </c>
      <c r="J167" s="54">
        <f t="shared" si="219"/>
        <v>11224.462968628279</v>
      </c>
      <c r="K167" s="54">
        <f t="shared" si="219"/>
        <v>10456.729020486478</v>
      </c>
      <c r="L167" s="54">
        <f t="shared" si="219"/>
        <v>10898.90755867768</v>
      </c>
      <c r="M167" s="54">
        <f>IF(M30=0,0,M30*1000000/M57)</f>
        <v>10951.125818719715</v>
      </c>
      <c r="N167" s="54">
        <f t="shared" ref="N167:V167" si="220">IF(N30=0,0,N30*1000000/N57)</f>
        <v>10666.145563384589</v>
      </c>
      <c r="O167" s="54">
        <f t="shared" si="220"/>
        <v>10609.562412021995</v>
      </c>
      <c r="P167" s="54">
        <f t="shared" si="220"/>
        <v>11416.379805703022</v>
      </c>
      <c r="Q167" s="54">
        <f t="shared" si="220"/>
        <v>11948.208683450001</v>
      </c>
      <c r="R167" s="54">
        <f t="shared" si="220"/>
        <v>12645.479624698446</v>
      </c>
      <c r="S167" s="54">
        <f t="shared" si="220"/>
        <v>12891.832857121064</v>
      </c>
      <c r="T167" s="54">
        <f t="shared" si="220"/>
        <v>13199.247118246352</v>
      </c>
      <c r="U167" s="54">
        <f t="shared" si="220"/>
        <v>13553.709368484502</v>
      </c>
      <c r="V167" s="54">
        <f t="shared" si="220"/>
        <v>13062.070622565414</v>
      </c>
      <c r="W167" s="54">
        <f t="shared" ref="W167:Y191" si="221">IF(W30=0,0,W30*1000000/W57)</f>
        <v>13335.119545246398</v>
      </c>
      <c r="X167" s="54">
        <f t="shared" si="221"/>
        <v>12566.207385490254</v>
      </c>
      <c r="Y167" s="54">
        <f t="shared" si="221"/>
        <v>12823.575711569525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7214.714737283537</v>
      </c>
      <c r="C168" s="28">
        <f t="shared" si="219"/>
        <v>8300.695117904279</v>
      </c>
      <c r="D168" s="28">
        <f t="shared" si="219"/>
        <v>8336.8704614967919</v>
      </c>
      <c r="E168" s="28">
        <f t="shared" si="219"/>
        <v>8571.8192630199992</v>
      </c>
      <c r="F168" s="28">
        <f t="shared" si="219"/>
        <v>8794.3550568528426</v>
      </c>
      <c r="G168" s="28">
        <f t="shared" si="219"/>
        <v>8881.2808578223794</v>
      </c>
      <c r="H168" s="28">
        <f t="shared" si="219"/>
        <v>10077.825285128132</v>
      </c>
      <c r="I168" s="28">
        <f t="shared" si="219"/>
        <v>11101.031698448343</v>
      </c>
      <c r="J168" s="28">
        <f t="shared" si="219"/>
        <v>10798.314563787118</v>
      </c>
      <c r="K168" s="28">
        <f t="shared" si="219"/>
        <v>10001.011509927557</v>
      </c>
      <c r="L168" s="28">
        <f t="shared" si="219"/>
        <v>10381.925100913857</v>
      </c>
      <c r="M168" s="28">
        <f t="shared" ref="M168:M192" si="222">IF(M31=0,0,M31*1000000/M58)</f>
        <v>10493.678235506342</v>
      </c>
      <c r="N168" s="28">
        <f t="shared" si="219"/>
        <v>10234.872151285204</v>
      </c>
      <c r="O168" s="28">
        <f t="shared" si="219"/>
        <v>10044.510143949125</v>
      </c>
      <c r="P168" s="28">
        <f t="shared" si="219"/>
        <v>10875.008822750342</v>
      </c>
      <c r="Q168" s="28">
        <f t="shared" si="219"/>
        <v>11417.801146974718</v>
      </c>
      <c r="R168" s="28">
        <f t="shared" si="219"/>
        <v>12145.965159804078</v>
      </c>
      <c r="S168" s="28">
        <f t="shared" si="219"/>
        <v>12372.371881002986</v>
      </c>
      <c r="T168" s="28">
        <f t="shared" si="219"/>
        <v>12703.66600218153</v>
      </c>
      <c r="U168" s="28">
        <f t="shared" si="219"/>
        <v>13122.047363595484</v>
      </c>
      <c r="V168" s="28">
        <f t="shared" si="219"/>
        <v>12544.832137702444</v>
      </c>
      <c r="W168" s="28">
        <f t="shared" si="221"/>
        <v>12792.533680091634</v>
      </c>
      <c r="X168" s="28">
        <f t="shared" si="221"/>
        <v>11974.61308926542</v>
      </c>
      <c r="Y168" s="28">
        <f t="shared" si="221"/>
        <v>12288.266350840822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1728.6482560523211</v>
      </c>
      <c r="C169" s="137">
        <f t="shared" si="219"/>
        <v>1749.0653475729091</v>
      </c>
      <c r="D169" s="137">
        <f t="shared" si="219"/>
        <v>1744.4151333985046</v>
      </c>
      <c r="E169" s="137">
        <f t="shared" si="219"/>
        <v>1739.2856746786172</v>
      </c>
      <c r="F169" s="137">
        <f t="shared" si="219"/>
        <v>1718.4396493396825</v>
      </c>
      <c r="G169" s="137">
        <f t="shared" si="219"/>
        <v>1694.69145281584</v>
      </c>
      <c r="H169" s="137">
        <f t="shared" si="219"/>
        <v>1636.2329291946853</v>
      </c>
      <c r="I169" s="137">
        <f t="shared" si="219"/>
        <v>1514.2032276602688</v>
      </c>
      <c r="J169" s="137">
        <f t="shared" si="219"/>
        <v>1401.0875834225922</v>
      </c>
      <c r="K169" s="137">
        <f t="shared" si="219"/>
        <v>1351.5227732516812</v>
      </c>
      <c r="L169" s="137">
        <f t="shared" si="219"/>
        <v>1357.0922179200522</v>
      </c>
      <c r="M169" s="137">
        <f t="shared" si="222"/>
        <v>1290.3103207829688</v>
      </c>
      <c r="N169" s="137">
        <f t="shared" si="219"/>
        <v>1125.0166622007928</v>
      </c>
      <c r="O169" s="137">
        <f t="shared" si="219"/>
        <v>1117.3437837897554</v>
      </c>
      <c r="P169" s="137">
        <f t="shared" si="219"/>
        <v>1278.3391012846891</v>
      </c>
      <c r="Q169" s="137">
        <f t="shared" si="219"/>
        <v>1545.3984514050405</v>
      </c>
      <c r="R169" s="137">
        <f t="shared" si="219"/>
        <v>1550.2220156618969</v>
      </c>
      <c r="S169" s="137">
        <f t="shared" si="219"/>
        <v>1389.6823802070935</v>
      </c>
      <c r="T169" s="137">
        <f t="shared" si="219"/>
        <v>1264.4811786860396</v>
      </c>
      <c r="U169" s="137">
        <f t="shared" si="219"/>
        <v>1252.547114198778</v>
      </c>
      <c r="V169" s="137">
        <f t="shared" si="219"/>
        <v>1066.0140191710948</v>
      </c>
      <c r="W169" s="137">
        <f t="shared" si="221"/>
        <v>1046.9415194353999</v>
      </c>
      <c r="X169" s="137">
        <f t="shared" si="221"/>
        <v>1010.0206773199023</v>
      </c>
      <c r="Y169" s="137">
        <f t="shared" si="221"/>
        <v>1043.5275107100842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7335.0258529188213</v>
      </c>
      <c r="C170" s="110">
        <f t="shared" si="219"/>
        <v>8481.2237500968367</v>
      </c>
      <c r="D170" s="110">
        <f t="shared" si="219"/>
        <v>8509.4270874351296</v>
      </c>
      <c r="E170" s="110">
        <f t="shared" si="219"/>
        <v>8738.7336924223655</v>
      </c>
      <c r="F170" s="110">
        <f t="shared" si="219"/>
        <v>8967.6057319407482</v>
      </c>
      <c r="G170" s="110">
        <f t="shared" si="219"/>
        <v>9056.9289849505967</v>
      </c>
      <c r="H170" s="110">
        <f t="shared" si="219"/>
        <v>10329.060057444878</v>
      </c>
      <c r="I170" s="110">
        <f t="shared" si="219"/>
        <v>11432.711872900627</v>
      </c>
      <c r="J170" s="110">
        <f t="shared" si="219"/>
        <v>11145.985399750127</v>
      </c>
      <c r="K170" s="110">
        <f t="shared" si="219"/>
        <v>10315.30873273054</v>
      </c>
      <c r="L170" s="110">
        <f t="shared" si="219"/>
        <v>10735.757097791107</v>
      </c>
      <c r="M170" s="110">
        <f t="shared" si="222"/>
        <v>10907.219527074441</v>
      </c>
      <c r="N170" s="110">
        <f t="shared" si="219"/>
        <v>10676.303940042031</v>
      </c>
      <c r="O170" s="110">
        <f t="shared" si="219"/>
        <v>10497.448999337799</v>
      </c>
      <c r="P170" s="110">
        <f t="shared" si="219"/>
        <v>11405.267861358176</v>
      </c>
      <c r="Q170" s="110">
        <f t="shared" si="219"/>
        <v>11995.410257785739</v>
      </c>
      <c r="R170" s="110">
        <f t="shared" si="219"/>
        <v>12795.49172013514</v>
      </c>
      <c r="S170" s="110">
        <f t="shared" si="219"/>
        <v>13076.963990153843</v>
      </c>
      <c r="T170" s="110">
        <f t="shared" si="219"/>
        <v>13479.748983687423</v>
      </c>
      <c r="U170" s="110">
        <f t="shared" si="219"/>
        <v>13993.07446199078</v>
      </c>
      <c r="V170" s="110">
        <f t="shared" si="219"/>
        <v>13456.092255782767</v>
      </c>
      <c r="W170" s="110">
        <f t="shared" si="221"/>
        <v>13790.126723350015</v>
      </c>
      <c r="X170" s="110">
        <f t="shared" si="221"/>
        <v>12938.607128548099</v>
      </c>
      <c r="Y170" s="110">
        <f t="shared" si="221"/>
        <v>13318.948753055956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7021.6385932280646</v>
      </c>
      <c r="C171" s="84">
        <f t="shared" si="219"/>
        <v>8020.9188093581979</v>
      </c>
      <c r="D171" s="84">
        <f t="shared" si="219"/>
        <v>8014.6926366717425</v>
      </c>
      <c r="E171" s="84">
        <f t="shared" si="219"/>
        <v>8122.5648502445692</v>
      </c>
      <c r="F171" s="84">
        <f t="shared" si="219"/>
        <v>8194.5944498676763</v>
      </c>
      <c r="G171" s="84">
        <f t="shared" si="219"/>
        <v>8156.9009737327815</v>
      </c>
      <c r="H171" s="84">
        <f t="shared" si="219"/>
        <v>9281.5702354969999</v>
      </c>
      <c r="I171" s="84">
        <f t="shared" si="219"/>
        <v>10502.933585735276</v>
      </c>
      <c r="J171" s="84">
        <f t="shared" si="219"/>
        <v>10121.481364632476</v>
      </c>
      <c r="K171" s="84">
        <f t="shared" si="219"/>
        <v>8942.2545564789398</v>
      </c>
      <c r="L171" s="84">
        <f t="shared" si="219"/>
        <v>9140.5824597928186</v>
      </c>
      <c r="M171" s="84">
        <f t="shared" si="222"/>
        <v>9182.3615279194037</v>
      </c>
      <c r="N171" s="84">
        <f t="shared" si="219"/>
        <v>8575.653432408526</v>
      </c>
      <c r="O171" s="84">
        <f t="shared" si="219"/>
        <v>8335.1616515404658</v>
      </c>
      <c r="P171" s="84">
        <f t="shared" si="219"/>
        <v>9118.8969479503958</v>
      </c>
      <c r="Q171" s="84">
        <f t="shared" si="219"/>
        <v>9671.588054966116</v>
      </c>
      <c r="R171" s="84">
        <f t="shared" si="219"/>
        <v>9997.5304231520731</v>
      </c>
      <c r="S171" s="84">
        <f t="shared" si="219"/>
        <v>10181.4561576139</v>
      </c>
      <c r="T171" s="84">
        <f t="shared" si="219"/>
        <v>10588.058581177695</v>
      </c>
      <c r="U171" s="84">
        <f t="shared" si="219"/>
        <v>10724.750917886493</v>
      </c>
      <c r="V171" s="84">
        <f t="shared" si="219"/>
        <v>10686.287408301496</v>
      </c>
      <c r="W171" s="84">
        <f t="shared" si="221"/>
        <v>11383.951808996697</v>
      </c>
      <c r="X171" s="84">
        <f t="shared" si="221"/>
        <v>10676.409846642413</v>
      </c>
      <c r="Y171" s="84">
        <f t="shared" si="221"/>
        <v>11351.421611334497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8712.8974151353868</v>
      </c>
      <c r="C172" s="84">
        <f t="shared" si="219"/>
        <v>10450.511504521384</v>
      </c>
      <c r="D172" s="84">
        <f t="shared" si="219"/>
        <v>10544.353672523313</v>
      </c>
      <c r="E172" s="84">
        <f t="shared" si="219"/>
        <v>11112.606467751028</v>
      </c>
      <c r="F172" s="84">
        <f t="shared" si="219"/>
        <v>11634.337249685397</v>
      </c>
      <c r="G172" s="84">
        <f t="shared" si="219"/>
        <v>11873.994303172431</v>
      </c>
      <c r="H172" s="84">
        <f t="shared" si="219"/>
        <v>13313.453797991002</v>
      </c>
      <c r="I172" s="84">
        <f t="shared" si="219"/>
        <v>13793.572687427786</v>
      </c>
      <c r="J172" s="84">
        <f t="shared" si="219"/>
        <v>13487.124117566987</v>
      </c>
      <c r="K172" s="84">
        <f t="shared" si="219"/>
        <v>13059.787446393369</v>
      </c>
      <c r="L172" s="84">
        <f t="shared" si="219"/>
        <v>13522.898748794727</v>
      </c>
      <c r="M172" s="84">
        <f t="shared" si="222"/>
        <v>13404.387089192336</v>
      </c>
      <c r="N172" s="84">
        <f t="shared" si="219"/>
        <v>13144.652025659432</v>
      </c>
      <c r="O172" s="84">
        <f t="shared" si="219"/>
        <v>12627.229171058325</v>
      </c>
      <c r="P172" s="84">
        <f t="shared" si="219"/>
        <v>13123.810436401729</v>
      </c>
      <c r="Q172" s="84">
        <f t="shared" si="219"/>
        <v>13718.001945175713</v>
      </c>
      <c r="R172" s="84">
        <f t="shared" si="219"/>
        <v>14473.350267448654</v>
      </c>
      <c r="S172" s="84">
        <f t="shared" si="219"/>
        <v>14771.653294113536</v>
      </c>
      <c r="T172" s="84">
        <f t="shared" si="219"/>
        <v>15076.923170329163</v>
      </c>
      <c r="U172" s="84">
        <f t="shared" si="219"/>
        <v>15779.0426988568</v>
      </c>
      <c r="V172" s="84">
        <f t="shared" si="219"/>
        <v>14973.764146032345</v>
      </c>
      <c r="W172" s="84">
        <f t="shared" si="221"/>
        <v>15191.752884506373</v>
      </c>
      <c r="X172" s="84">
        <f t="shared" si="221"/>
        <v>14237.722463502198</v>
      </c>
      <c r="Y172" s="84">
        <f t="shared" si="221"/>
        <v>14508.944536503199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13004.925551051692</v>
      </c>
      <c r="C173" s="84">
        <f t="shared" si="219"/>
        <v>15598.499283443933</v>
      </c>
      <c r="D173" s="84">
        <f t="shared" si="219"/>
        <v>14566.686174821976</v>
      </c>
      <c r="E173" s="84">
        <f t="shared" si="219"/>
        <v>13956.099248370958</v>
      </c>
      <c r="F173" s="84">
        <f t="shared" si="219"/>
        <v>13283.027688731794</v>
      </c>
      <c r="G173" s="84">
        <f t="shared" si="219"/>
        <v>12324.223915028133</v>
      </c>
      <c r="H173" s="84">
        <f t="shared" si="219"/>
        <v>12562.058003666454</v>
      </c>
      <c r="I173" s="84">
        <f t="shared" si="219"/>
        <v>13081.261104991063</v>
      </c>
      <c r="J173" s="84">
        <f t="shared" si="219"/>
        <v>12337.828019379818</v>
      </c>
      <c r="K173" s="84">
        <f t="shared" si="219"/>
        <v>12314.894886884953</v>
      </c>
      <c r="L173" s="84">
        <f t="shared" si="219"/>
        <v>14686.027638109652</v>
      </c>
      <c r="M173" s="84">
        <f t="shared" si="222"/>
        <v>15410.946465858813</v>
      </c>
      <c r="N173" s="84">
        <f t="shared" si="219"/>
        <v>14612.330135208927</v>
      </c>
      <c r="O173" s="84">
        <f t="shared" si="219"/>
        <v>14330.228129930605</v>
      </c>
      <c r="P173" s="84">
        <f t="shared" si="219"/>
        <v>14239.865221489792</v>
      </c>
      <c r="Q173" s="84">
        <f t="shared" si="219"/>
        <v>13650.384061394378</v>
      </c>
      <c r="R173" s="84">
        <f t="shared" si="219"/>
        <v>15126.009559428479</v>
      </c>
      <c r="S173" s="84">
        <f t="shared" si="219"/>
        <v>14305.311702279394</v>
      </c>
      <c r="T173" s="84">
        <f t="shared" si="219"/>
        <v>13925.020334720186</v>
      </c>
      <c r="U173" s="84">
        <f t="shared" si="219"/>
        <v>13116.147052388395</v>
      </c>
      <c r="V173" s="84">
        <f t="shared" si="219"/>
        <v>11644.611712437605</v>
      </c>
      <c r="W173" s="84">
        <f t="shared" si="221"/>
        <v>10632.721048730395</v>
      </c>
      <c r="X173" s="84">
        <f t="shared" si="221"/>
        <v>9645.5686872929728</v>
      </c>
      <c r="Y173" s="84">
        <f t="shared" si="221"/>
        <v>9677.3599993237513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5621.9764776964994</v>
      </c>
      <c r="C174" s="84">
        <f t="shared" si="219"/>
        <v>6743.1678647169001</v>
      </c>
      <c r="D174" s="84">
        <f t="shared" si="219"/>
        <v>6803.7193019697279</v>
      </c>
      <c r="E174" s="84">
        <f t="shared" si="219"/>
        <v>7170.3830759062739</v>
      </c>
      <c r="F174" s="84">
        <f t="shared" si="219"/>
        <v>7507.0286306479102</v>
      </c>
      <c r="G174" s="84">
        <f t="shared" si="219"/>
        <v>7698.9712211473488</v>
      </c>
      <c r="H174" s="84">
        <f t="shared" si="219"/>
        <v>8719.4963634611395</v>
      </c>
      <c r="I174" s="84">
        <f t="shared" si="219"/>
        <v>10088.758156697313</v>
      </c>
      <c r="J174" s="84">
        <f t="shared" si="219"/>
        <v>9714.755579358758</v>
      </c>
      <c r="K174" s="84">
        <f t="shared" si="219"/>
        <v>8815.1801128619172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9516.7166957696663</v>
      </c>
      <c r="U174" s="84">
        <f t="shared" si="219"/>
        <v>9860.3031019672271</v>
      </c>
      <c r="V174" s="84">
        <f t="shared" si="219"/>
        <v>9263.5147338352745</v>
      </c>
      <c r="W174" s="84">
        <f t="shared" si="221"/>
        <v>9492.3571360549176</v>
      </c>
      <c r="X174" s="84">
        <f t="shared" si="221"/>
        <v>8985.2068375258968</v>
      </c>
      <c r="Y174" s="84">
        <f t="shared" si="221"/>
        <v>9247.9346095380461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8910.2362043423618</v>
      </c>
      <c r="O175" s="84">
        <f t="shared" si="219"/>
        <v>8537.2302239365417</v>
      </c>
      <c r="P175" s="84">
        <f t="shared" si="219"/>
        <v>9326.1858300169424</v>
      </c>
      <c r="Q175" s="84">
        <f t="shared" si="219"/>
        <v>9873.9087494765954</v>
      </c>
      <c r="R175" s="84">
        <f t="shared" si="219"/>
        <v>10094.321465900486</v>
      </c>
      <c r="S175" s="84">
        <f t="shared" si="219"/>
        <v>10286.644222764649</v>
      </c>
      <c r="T175" s="84">
        <f t="shared" si="219"/>
        <v>10681.538454497655</v>
      </c>
      <c r="U175" s="84">
        <f t="shared" si="219"/>
        <v>10860.31968472966</v>
      </c>
      <c r="V175" s="84">
        <f t="shared" si="219"/>
        <v>10821.369967996094</v>
      </c>
      <c r="W175" s="84">
        <f t="shared" si="221"/>
        <v>11527.853361616801</v>
      </c>
      <c r="X175" s="84">
        <f t="shared" si="221"/>
        <v>10704.121226776193</v>
      </c>
      <c r="Y175" s="84">
        <f t="shared" si="221"/>
        <v>11354.103741299637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12606.300789580495</v>
      </c>
      <c r="O176" s="84">
        <f t="shared" si="219"/>
        <v>12624.242403606886</v>
      </c>
      <c r="P176" s="84">
        <f t="shared" si="219"/>
        <v>12681.094503743041</v>
      </c>
      <c r="Q176" s="84">
        <f t="shared" si="219"/>
        <v>12718.459553005598</v>
      </c>
      <c r="R176" s="84">
        <f t="shared" si="219"/>
        <v>12697.398971042461</v>
      </c>
      <c r="S176" s="84">
        <f t="shared" si="219"/>
        <v>12685.83060487564</v>
      </c>
      <c r="T176" s="84">
        <f t="shared" si="219"/>
        <v>12661.016825274231</v>
      </c>
      <c r="U176" s="84">
        <f t="shared" si="219"/>
        <v>12652.899017916588</v>
      </c>
      <c r="V176" s="84">
        <f t="shared" si="219"/>
        <v>12618.849737127448</v>
      </c>
      <c r="W176" s="84">
        <f t="shared" si="221"/>
        <v>12615.217722006622</v>
      </c>
      <c r="X176" s="84">
        <f t="shared" si="221"/>
        <v>12650.041291345753</v>
      </c>
      <c r="Y176" s="84">
        <f t="shared" si="221"/>
        <v>12617.02286133113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36160.050025790573</v>
      </c>
      <c r="C177" s="110">
        <f t="shared" si="219"/>
        <v>36897.040773584318</v>
      </c>
      <c r="D177" s="110">
        <f t="shared" si="219"/>
        <v>37684.374644827869</v>
      </c>
      <c r="E177" s="110">
        <f t="shared" si="219"/>
        <v>38559.291338560921</v>
      </c>
      <c r="F177" s="110">
        <f t="shared" si="219"/>
        <v>39325.448844204642</v>
      </c>
      <c r="G177" s="110">
        <f t="shared" si="219"/>
        <v>40085.484378328052</v>
      </c>
      <c r="H177" s="110">
        <f t="shared" si="219"/>
        <v>39289.561573613304</v>
      </c>
      <c r="I177" s="110">
        <f t="shared" si="219"/>
        <v>38525.026515136044</v>
      </c>
      <c r="J177" s="110">
        <f t="shared" si="219"/>
        <v>37736.43610182566</v>
      </c>
      <c r="K177" s="110">
        <f t="shared" si="219"/>
        <v>38388.92996108361</v>
      </c>
      <c r="L177" s="110">
        <f t="shared" si="219"/>
        <v>39114.200724464783</v>
      </c>
      <c r="M177" s="110">
        <f t="shared" si="222"/>
        <v>39806.199828792756</v>
      </c>
      <c r="N177" s="110">
        <f t="shared" si="219"/>
        <v>40534.247614768996</v>
      </c>
      <c r="O177" s="110">
        <f t="shared" si="219"/>
        <v>41303.223445901029</v>
      </c>
      <c r="P177" s="110">
        <f t="shared" si="219"/>
        <v>42046.103752693714</v>
      </c>
      <c r="Q177" s="110">
        <f t="shared" si="219"/>
        <v>42196.233169556566</v>
      </c>
      <c r="R177" s="110">
        <f t="shared" si="219"/>
        <v>43069.90807247971</v>
      </c>
      <c r="S177" s="110">
        <f t="shared" si="219"/>
        <v>43699.614075065649</v>
      </c>
      <c r="T177" s="110">
        <f t="shared" si="219"/>
        <v>43147.802383268572</v>
      </c>
      <c r="U177" s="110">
        <f t="shared" si="219"/>
        <v>41737.282527653384</v>
      </c>
      <c r="V177" s="110">
        <f t="shared" si="219"/>
        <v>36611.517720881355</v>
      </c>
      <c r="W177" s="110">
        <f t="shared" si="221"/>
        <v>32574.575948777885</v>
      </c>
      <c r="X177" s="110">
        <f t="shared" si="221"/>
        <v>33173.812411365019</v>
      </c>
      <c r="Y177" s="110">
        <f t="shared" si="221"/>
        <v>34067.323772754564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33802.903938281532</v>
      </c>
      <c r="C178" s="102">
        <f t="shared" si="219"/>
        <v>33849.673083072317</v>
      </c>
      <c r="D178" s="102">
        <f t="shared" si="219"/>
        <v>33929.899426345735</v>
      </c>
      <c r="E178" s="102">
        <f t="shared" si="219"/>
        <v>34075.992814388563</v>
      </c>
      <c r="F178" s="102">
        <f t="shared" si="219"/>
        <v>34105.170342365964</v>
      </c>
      <c r="G178" s="102">
        <f t="shared" si="219"/>
        <v>34115.298160178019</v>
      </c>
      <c r="H178" s="102">
        <f t="shared" si="219"/>
        <v>32749.415151313598</v>
      </c>
      <c r="I178" s="102">
        <f t="shared" si="219"/>
        <v>31451.577191660854</v>
      </c>
      <c r="J178" s="102">
        <f t="shared" si="219"/>
        <v>30172.485668668985</v>
      </c>
      <c r="K178" s="102">
        <f t="shared" si="219"/>
        <v>30118.150482877358</v>
      </c>
      <c r="L178" s="102">
        <f t="shared" si="219"/>
        <v>31342.750030532963</v>
      </c>
      <c r="M178" s="102">
        <f t="shared" si="222"/>
        <v>32576.775504826484</v>
      </c>
      <c r="N178" s="102">
        <f t="shared" si="219"/>
        <v>32551.641243690541</v>
      </c>
      <c r="O178" s="102">
        <f t="shared" si="219"/>
        <v>32549.374027461286</v>
      </c>
      <c r="P178" s="102">
        <f t="shared" si="219"/>
        <v>32514.072549998975</v>
      </c>
      <c r="Q178" s="102">
        <f t="shared" si="219"/>
        <v>31996.06135105883</v>
      </c>
      <c r="R178" s="102">
        <f t="shared" si="219"/>
        <v>33345.863417387918</v>
      </c>
      <c r="S178" s="102">
        <f t="shared" si="219"/>
        <v>34535.120714179277</v>
      </c>
      <c r="T178" s="102">
        <f t="shared" si="219"/>
        <v>34758.920765141549</v>
      </c>
      <c r="U178" s="102">
        <f t="shared" si="219"/>
        <v>34238.144290776014</v>
      </c>
      <c r="V178" s="102">
        <f t="shared" si="219"/>
        <v>30433.97163057634</v>
      </c>
      <c r="W178" s="102">
        <f t="shared" si="221"/>
        <v>27458.884677758502</v>
      </c>
      <c r="X178" s="102">
        <f t="shared" si="221"/>
        <v>28549.302958345015</v>
      </c>
      <c r="Y178" s="102">
        <f t="shared" si="221"/>
        <v>29944.388327890079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36517.055035502031</v>
      </c>
      <c r="C179" s="102">
        <f t="shared" si="219"/>
        <v>37340.670172906503</v>
      </c>
      <c r="D179" s="102">
        <f t="shared" si="219"/>
        <v>38251.496101215496</v>
      </c>
      <c r="E179" s="102">
        <f t="shared" si="219"/>
        <v>39137.265037642304</v>
      </c>
      <c r="F179" s="102">
        <f t="shared" si="219"/>
        <v>40006.343443733036</v>
      </c>
      <c r="G179" s="102">
        <f t="shared" si="219"/>
        <v>40881.823694497667</v>
      </c>
      <c r="H179" s="102">
        <f t="shared" si="219"/>
        <v>40143.02693602028</v>
      </c>
      <c r="I179" s="102">
        <f t="shared" si="219"/>
        <v>39464.661394078954</v>
      </c>
      <c r="J179" s="102">
        <f t="shared" si="219"/>
        <v>38422.095897820196</v>
      </c>
      <c r="K179" s="102">
        <f t="shared" si="219"/>
        <v>38834.401368644823</v>
      </c>
      <c r="L179" s="102">
        <f t="shared" si="219"/>
        <v>39387.277409896764</v>
      </c>
      <c r="M179" s="102">
        <f t="shared" si="222"/>
        <v>39895.925504247658</v>
      </c>
      <c r="N179" s="102">
        <f t="shared" si="219"/>
        <v>40647.703994493146</v>
      </c>
      <c r="O179" s="102">
        <f t="shared" si="219"/>
        <v>41424.840669720958</v>
      </c>
      <c r="P179" s="102">
        <f t="shared" si="219"/>
        <v>42167.652027596894</v>
      </c>
      <c r="Q179" s="102">
        <f t="shared" si="219"/>
        <v>42313.804405073526</v>
      </c>
      <c r="R179" s="102">
        <f t="shared" si="219"/>
        <v>43308.450064053999</v>
      </c>
      <c r="S179" s="102">
        <f t="shared" si="219"/>
        <v>43956.754062933149</v>
      </c>
      <c r="T179" s="102">
        <f t="shared" si="219"/>
        <v>43325.761284702472</v>
      </c>
      <c r="U179" s="102">
        <f t="shared" si="219"/>
        <v>41893.788321878113</v>
      </c>
      <c r="V179" s="102">
        <f t="shared" si="219"/>
        <v>36992.214507794924</v>
      </c>
      <c r="W179" s="102">
        <f t="shared" si="221"/>
        <v>32475.443012027168</v>
      </c>
      <c r="X179" s="102">
        <f t="shared" si="221"/>
        <v>34264.534170088104</v>
      </c>
      <c r="Y179" s="102">
        <f t="shared" si="221"/>
        <v>35123.724590634971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26177.032667361997</v>
      </c>
      <c r="S180" s="102">
        <f t="shared" si="223"/>
        <v>26313.247409690262</v>
      </c>
      <c r="T180" s="102">
        <f t="shared" si="223"/>
        <v>25704.832436902998</v>
      </c>
      <c r="U180" s="102">
        <f t="shared" si="223"/>
        <v>24575.011760728499</v>
      </c>
      <c r="V180" s="102">
        <f t="shared" si="223"/>
        <v>21202.016627525405</v>
      </c>
      <c r="W180" s="102">
        <f t="shared" si="221"/>
        <v>18566.774179268137</v>
      </c>
      <c r="X180" s="102">
        <f t="shared" si="221"/>
        <v>18736.311331930934</v>
      </c>
      <c r="Y180" s="102">
        <f t="shared" si="221"/>
        <v>19073.880351874635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33227.66433471247</v>
      </c>
      <c r="C181" s="102">
        <f t="shared" si="223"/>
        <v>33946.912181146239</v>
      </c>
      <c r="D181" s="102">
        <f t="shared" si="223"/>
        <v>32555.475271872187</v>
      </c>
      <c r="E181" s="102">
        <f t="shared" si="223"/>
        <v>34061.47409894289</v>
      </c>
      <c r="F181" s="102">
        <f t="shared" si="223"/>
        <v>33667.309870810903</v>
      </c>
      <c r="G181" s="102">
        <f t="shared" si="223"/>
        <v>32942.436359142062</v>
      </c>
      <c r="H181" s="102">
        <f t="shared" si="223"/>
        <v>30993.418745833991</v>
      </c>
      <c r="I181" s="102">
        <f t="shared" si="223"/>
        <v>27600.430158036965</v>
      </c>
      <c r="J181" s="102">
        <f t="shared" si="223"/>
        <v>24552.289609112584</v>
      </c>
      <c r="K181" s="102">
        <f t="shared" si="223"/>
        <v>23704.870983796605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16046.47335576044</v>
      </c>
      <c r="V181" s="102">
        <f t="shared" si="223"/>
        <v>15382.273407297804</v>
      </c>
      <c r="W181" s="102">
        <f t="shared" si="221"/>
        <v>14967.087629992608</v>
      </c>
      <c r="X181" s="102">
        <f t="shared" si="221"/>
        <v>15262.078139258179</v>
      </c>
      <c r="Y181" s="102">
        <f t="shared" si="221"/>
        <v>17263.391638712401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42078.514457854093</v>
      </c>
      <c r="C182" s="102">
        <f t="shared" si="223"/>
        <v>42120.985593565383</v>
      </c>
      <c r="D182" s="102">
        <f t="shared" si="223"/>
        <v>42165.476600742957</v>
      </c>
      <c r="E182" s="102">
        <f t="shared" si="223"/>
        <v>42213.892525084557</v>
      </c>
      <c r="F182" s="102">
        <f t="shared" si="223"/>
        <v>42255.440391627199</v>
      </c>
      <c r="G182" s="102">
        <f t="shared" si="223"/>
        <v>42295.903323154387</v>
      </c>
      <c r="H182" s="102">
        <f t="shared" si="223"/>
        <v>42338.337676339797</v>
      </c>
      <c r="I182" s="102">
        <f t="shared" si="223"/>
        <v>42379.957240997159</v>
      </c>
      <c r="J182" s="102">
        <f t="shared" si="223"/>
        <v>42423.804952149214</v>
      </c>
      <c r="K182" s="102">
        <f t="shared" si="223"/>
        <v>42460.184176019531</v>
      </c>
      <c r="L182" s="102">
        <f t="shared" si="223"/>
        <v>42499.937981055788</v>
      </c>
      <c r="M182" s="102">
        <f t="shared" si="222"/>
        <v>42537.220573088111</v>
      </c>
      <c r="N182" s="102">
        <f t="shared" si="223"/>
        <v>42575.78647008293</v>
      </c>
      <c r="O182" s="102">
        <f t="shared" si="223"/>
        <v>42615.812269321519</v>
      </c>
      <c r="P182" s="102">
        <f t="shared" si="223"/>
        <v>42653.813055166611</v>
      </c>
      <c r="Q182" s="102">
        <f t="shared" si="223"/>
        <v>42661.415134745119</v>
      </c>
      <c r="R182" s="102">
        <f t="shared" si="223"/>
        <v>42617.723205608883</v>
      </c>
      <c r="S182" s="102">
        <f t="shared" si="223"/>
        <v>42586.805239662761</v>
      </c>
      <c r="T182" s="102">
        <f t="shared" si="223"/>
        <v>42559.75463765271</v>
      </c>
      <c r="U182" s="102">
        <f t="shared" si="223"/>
        <v>42489.086101331559</v>
      </c>
      <c r="V182" s="102">
        <f t="shared" si="223"/>
        <v>38512.132106388068</v>
      </c>
      <c r="W182" s="102">
        <f t="shared" si="221"/>
        <v>41965.76265049963</v>
      </c>
      <c r="X182" s="102">
        <f t="shared" si="221"/>
        <v>42004.029102390246</v>
      </c>
      <c r="Y182" s="102">
        <f t="shared" si="221"/>
        <v>42059.885143139734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8554.9950497012524</v>
      </c>
      <c r="C183" s="28">
        <f t="shared" si="223"/>
        <v>9530.1986354441979</v>
      </c>
      <c r="D183" s="28">
        <f t="shared" si="223"/>
        <v>10754.94057870667</v>
      </c>
      <c r="E183" s="28">
        <f t="shared" si="223"/>
        <v>11111.921782535455</v>
      </c>
      <c r="F183" s="28">
        <f t="shared" si="223"/>
        <v>11530.784877858114</v>
      </c>
      <c r="G183" s="28">
        <f t="shared" si="223"/>
        <v>12364.920574115733</v>
      </c>
      <c r="H183" s="28">
        <f t="shared" si="223"/>
        <v>12757.402325806379</v>
      </c>
      <c r="I183" s="28">
        <f t="shared" si="223"/>
        <v>14511.088823795724</v>
      </c>
      <c r="J183" s="28">
        <f t="shared" si="223"/>
        <v>14540.372065329042</v>
      </c>
      <c r="K183" s="28">
        <f t="shared" si="223"/>
        <v>14000.864368744265</v>
      </c>
      <c r="L183" s="28">
        <f t="shared" si="223"/>
        <v>16032.584766546206</v>
      </c>
      <c r="M183" s="28">
        <f t="shared" si="222"/>
        <v>15354.825077776082</v>
      </c>
      <c r="N183" s="28">
        <f t="shared" si="223"/>
        <v>14677.41018131149</v>
      </c>
      <c r="O183" s="28">
        <f t="shared" si="223"/>
        <v>15721.506404514408</v>
      </c>
      <c r="P183" s="28">
        <f t="shared" si="223"/>
        <v>16445.392949065361</v>
      </c>
      <c r="Q183" s="28">
        <f t="shared" si="223"/>
        <v>16919.263693612666</v>
      </c>
      <c r="R183" s="28">
        <f t="shared" si="223"/>
        <v>17310.99054904986</v>
      </c>
      <c r="S183" s="28">
        <f t="shared" si="223"/>
        <v>17786.140630363599</v>
      </c>
      <c r="T183" s="28">
        <f t="shared" si="223"/>
        <v>17892.499882295662</v>
      </c>
      <c r="U183" s="28">
        <f t="shared" si="223"/>
        <v>17667.905230997174</v>
      </c>
      <c r="V183" s="28">
        <f t="shared" si="223"/>
        <v>17938.780887983285</v>
      </c>
      <c r="W183" s="28">
        <f t="shared" si="221"/>
        <v>18539.417393598964</v>
      </c>
      <c r="X183" s="28">
        <f t="shared" si="221"/>
        <v>18123.797087776482</v>
      </c>
      <c r="Y183" s="28">
        <f t="shared" si="221"/>
        <v>17757.739025024213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13108.39371134152</v>
      </c>
      <c r="C184" s="137">
        <f t="shared" si="223"/>
        <v>13494.760735356038</v>
      </c>
      <c r="D184" s="137">
        <f t="shared" si="223"/>
        <v>14359.859207901083</v>
      </c>
      <c r="E184" s="137">
        <f t="shared" si="223"/>
        <v>13917.873434260529</v>
      </c>
      <c r="F184" s="137">
        <f t="shared" si="223"/>
        <v>14714.400127092447</v>
      </c>
      <c r="G184" s="137">
        <f t="shared" si="223"/>
        <v>14673.169367858951</v>
      </c>
      <c r="H184" s="137">
        <f t="shared" si="223"/>
        <v>14327.808161793302</v>
      </c>
      <c r="I184" s="137">
        <f t="shared" si="223"/>
        <v>15030.63646488118</v>
      </c>
      <c r="J184" s="137">
        <f t="shared" si="223"/>
        <v>15299.254499943812</v>
      </c>
      <c r="K184" s="137">
        <f t="shared" si="223"/>
        <v>15437.406717868864</v>
      </c>
      <c r="L184" s="137">
        <f t="shared" si="223"/>
        <v>15981.972729197934</v>
      </c>
      <c r="M184" s="137">
        <f t="shared" si="222"/>
        <v>15979.728614307833</v>
      </c>
      <c r="N184" s="137">
        <f t="shared" si="223"/>
        <v>15961.049168480493</v>
      </c>
      <c r="O184" s="137">
        <f t="shared" si="223"/>
        <v>16122.062145657945</v>
      </c>
      <c r="P184" s="137">
        <f t="shared" si="223"/>
        <v>16224.695540957904</v>
      </c>
      <c r="Q184" s="137">
        <f t="shared" si="223"/>
        <v>15994.057637047488</v>
      </c>
      <c r="R184" s="137">
        <f t="shared" si="223"/>
        <v>16061.748171322464</v>
      </c>
      <c r="S184" s="137">
        <f t="shared" si="223"/>
        <v>16084.771642356201</v>
      </c>
      <c r="T184" s="137">
        <f t="shared" si="223"/>
        <v>15960.235219621181</v>
      </c>
      <c r="U184" s="137">
        <f t="shared" si="223"/>
        <v>15851.875177678216</v>
      </c>
      <c r="V184" s="137">
        <f t="shared" si="223"/>
        <v>16023.359026701481</v>
      </c>
      <c r="W184" s="137">
        <f t="shared" si="221"/>
        <v>15899.123665174438</v>
      </c>
      <c r="X184" s="137">
        <f t="shared" si="221"/>
        <v>15766.709136817555</v>
      </c>
      <c r="Y184" s="137">
        <f t="shared" si="221"/>
        <v>15631.810792125316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9358.5152252404496</v>
      </c>
      <c r="C185" s="84">
        <f t="shared" si="223"/>
        <v>9315.5683638361352</v>
      </c>
      <c r="D185" s="84">
        <f t="shared" si="223"/>
        <v>9209.2797430222254</v>
      </c>
      <c r="E185" s="84">
        <f t="shared" si="223"/>
        <v>9003.0501113031878</v>
      </c>
      <c r="F185" s="84">
        <f t="shared" si="223"/>
        <v>9000.6496361254667</v>
      </c>
      <c r="G185" s="84">
        <f t="shared" si="223"/>
        <v>9071.0389358674256</v>
      </c>
      <c r="H185" s="84">
        <f t="shared" si="223"/>
        <v>9030.423593807729</v>
      </c>
      <c r="I185" s="84">
        <f t="shared" si="223"/>
        <v>8959.6194132831406</v>
      </c>
      <c r="J185" s="84">
        <f t="shared" si="223"/>
        <v>8863.9004917488764</v>
      </c>
      <c r="K185" s="84">
        <f t="shared" si="223"/>
        <v>8831.6778720254897</v>
      </c>
      <c r="L185" s="84">
        <f t="shared" si="223"/>
        <v>8732.3923374582064</v>
      </c>
      <c r="M185" s="84">
        <f t="shared" si="222"/>
        <v>8658.1050213310591</v>
      </c>
      <c r="N185" s="84">
        <f t="shared" si="223"/>
        <v>8608.0238467297368</v>
      </c>
      <c r="O185" s="84">
        <f t="shared" si="223"/>
        <v>8580.9649561649294</v>
      </c>
      <c r="P185" s="84">
        <f t="shared" si="223"/>
        <v>8530.2045466366908</v>
      </c>
      <c r="Q185" s="84">
        <f t="shared" si="223"/>
        <v>8386.6431089395701</v>
      </c>
      <c r="R185" s="84">
        <f t="shared" si="223"/>
        <v>8558.1664145973355</v>
      </c>
      <c r="S185" s="84">
        <f t="shared" si="223"/>
        <v>8557.4406109458105</v>
      </c>
      <c r="T185" s="84">
        <f t="shared" si="223"/>
        <v>8480.1395184316025</v>
      </c>
      <c r="U185" s="84">
        <f t="shared" si="223"/>
        <v>8407.3689425391512</v>
      </c>
      <c r="V185" s="84">
        <f t="shared" si="223"/>
        <v>8492.4996676728188</v>
      </c>
      <c r="W185" s="84">
        <f t="shared" si="221"/>
        <v>8420.3506965487286</v>
      </c>
      <c r="X185" s="84">
        <f t="shared" si="221"/>
        <v>8346.8213273060555</v>
      </c>
      <c r="Y185" s="84">
        <f t="shared" si="221"/>
        <v>8274.9289847558211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18321.371222897527</v>
      </c>
      <c r="C186" s="84">
        <f t="shared" si="223"/>
        <v>18239.117118844188</v>
      </c>
      <c r="D186" s="84">
        <f t="shared" si="223"/>
        <v>18211.322863552301</v>
      </c>
      <c r="E186" s="84">
        <f t="shared" si="223"/>
        <v>17981.539433905331</v>
      </c>
      <c r="F186" s="84">
        <f t="shared" si="223"/>
        <v>17976.745032170962</v>
      </c>
      <c r="G186" s="84">
        <f t="shared" si="223"/>
        <v>18117.331605986197</v>
      </c>
      <c r="H186" s="84">
        <f t="shared" si="223"/>
        <v>17134.401136499651</v>
      </c>
      <c r="I186" s="84">
        <f t="shared" si="223"/>
        <v>17894.796519067058</v>
      </c>
      <c r="J186" s="84">
        <f t="shared" si="223"/>
        <v>17703.619802192145</v>
      </c>
      <c r="K186" s="84">
        <f t="shared" si="223"/>
        <v>17464.616304680174</v>
      </c>
      <c r="L186" s="84">
        <f t="shared" si="223"/>
        <v>17095.596665489964</v>
      </c>
      <c r="M186" s="84">
        <f t="shared" si="222"/>
        <v>16950.162751758922</v>
      </c>
      <c r="N186" s="84">
        <f t="shared" si="223"/>
        <v>16852.11773403273</v>
      </c>
      <c r="O186" s="84">
        <f t="shared" si="223"/>
        <v>16799.143948449677</v>
      </c>
      <c r="P186" s="84">
        <f t="shared" si="223"/>
        <v>16699.769177558152</v>
      </c>
      <c r="Q186" s="84">
        <f t="shared" si="223"/>
        <v>16418.715791413313</v>
      </c>
      <c r="R186" s="84">
        <f t="shared" si="223"/>
        <v>16422.738251924296</v>
      </c>
      <c r="S186" s="84">
        <f t="shared" si="223"/>
        <v>16421.345467206891</v>
      </c>
      <c r="T186" s="84">
        <f t="shared" si="223"/>
        <v>16273.008130977567</v>
      </c>
      <c r="U186" s="84">
        <f t="shared" si="223"/>
        <v>16133.36465334139</v>
      </c>
      <c r="V186" s="84">
        <f t="shared" si="223"/>
        <v>16296.726704081848</v>
      </c>
      <c r="W186" s="84">
        <f t="shared" si="221"/>
        <v>16158.276058170644</v>
      </c>
      <c r="X186" s="84">
        <f t="shared" si="221"/>
        <v>16017.176490062007</v>
      </c>
      <c r="Y186" s="84">
        <f t="shared" si="221"/>
        <v>15879.218302896314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12425.85321214057</v>
      </c>
      <c r="O187" s="84">
        <f t="shared" si="223"/>
        <v>12143.914869355307</v>
      </c>
      <c r="P187" s="84">
        <f t="shared" si="223"/>
        <v>11835.3705387018</v>
      </c>
      <c r="Q187" s="84">
        <f t="shared" si="223"/>
        <v>11522.103661143927</v>
      </c>
      <c r="R187" s="84">
        <f t="shared" si="223"/>
        <v>11874.16668555375</v>
      </c>
      <c r="S187" s="84">
        <f t="shared" si="223"/>
        <v>12110.622850665379</v>
      </c>
      <c r="T187" s="84">
        <f t="shared" si="223"/>
        <v>12241.249646925135</v>
      </c>
      <c r="U187" s="84">
        <f t="shared" si="223"/>
        <v>12378.927954339875</v>
      </c>
      <c r="V187" s="84">
        <f t="shared" si="223"/>
        <v>12754.359074999682</v>
      </c>
      <c r="W187" s="84">
        <f t="shared" si="221"/>
        <v>12898.923065562916</v>
      </c>
      <c r="X187" s="84">
        <f t="shared" si="221"/>
        <v>13042.010983080609</v>
      </c>
      <c r="Y187" s="84">
        <f t="shared" si="221"/>
        <v>13188.271879900645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X188" s="84">
        <f t="shared" si="221"/>
        <v>0</v>
      </c>
      <c r="Y188" s="84">
        <f t="shared" si="221"/>
        <v>0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10022.954227925164</v>
      </c>
      <c r="N189" s="84">
        <f t="shared" si="223"/>
        <v>10025.723382386079</v>
      </c>
      <c r="O189" s="84">
        <f t="shared" si="223"/>
        <v>10027.226590083883</v>
      </c>
      <c r="P189" s="84">
        <f t="shared" si="223"/>
        <v>10030.059935863665</v>
      </c>
      <c r="Q189" s="84">
        <f t="shared" si="223"/>
        <v>10033.414680552149</v>
      </c>
      <c r="R189" s="84">
        <f t="shared" si="223"/>
        <v>10028.496981510436</v>
      </c>
      <c r="S189" s="84">
        <f t="shared" si="223"/>
        <v>10028.456479879249</v>
      </c>
      <c r="T189" s="84">
        <f t="shared" si="223"/>
        <v>10024.124048744465</v>
      </c>
      <c r="U189" s="84">
        <f t="shared" si="223"/>
        <v>10020.011027617758</v>
      </c>
      <c r="V189" s="84">
        <f t="shared" si="223"/>
        <v>9948.1629553673301</v>
      </c>
      <c r="W189" s="84">
        <f t="shared" si="221"/>
        <v>10019.274869441128</v>
      </c>
      <c r="X189" s="84">
        <f t="shared" si="221"/>
        <v>10016.562929189216</v>
      </c>
      <c r="Y189" s="84">
        <f t="shared" si="221"/>
        <v>10012.437695382283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6220.0501320662515</v>
      </c>
      <c r="C190" s="110">
        <f t="shared" si="223"/>
        <v>7309.3243569722281</v>
      </c>
      <c r="D190" s="110">
        <f t="shared" si="223"/>
        <v>8412.2617760159392</v>
      </c>
      <c r="E190" s="110">
        <f t="shared" si="223"/>
        <v>9378.9278658035582</v>
      </c>
      <c r="F190" s="110">
        <f t="shared" si="223"/>
        <v>9142.5846448336215</v>
      </c>
      <c r="G190" s="110">
        <f t="shared" si="223"/>
        <v>10644.160906314917</v>
      </c>
      <c r="H190" s="110">
        <f t="shared" si="223"/>
        <v>11400.421652572411</v>
      </c>
      <c r="I190" s="110">
        <f t="shared" si="223"/>
        <v>14019.082418765602</v>
      </c>
      <c r="J190" s="110">
        <f t="shared" si="223"/>
        <v>13793.383120636279</v>
      </c>
      <c r="K190" s="110">
        <f t="shared" si="223"/>
        <v>12679.087110872048</v>
      </c>
      <c r="L190" s="110">
        <f t="shared" si="223"/>
        <v>16086.842273397137</v>
      </c>
      <c r="M190" s="110">
        <f t="shared" si="222"/>
        <v>14626.984781771689</v>
      </c>
      <c r="N190" s="110">
        <f t="shared" si="223"/>
        <v>13037.959217546342</v>
      </c>
      <c r="O190" s="110">
        <f t="shared" si="223"/>
        <v>15095.835611979217</v>
      </c>
      <c r="P190" s="110">
        <f t="shared" si="223"/>
        <v>16868.647209624596</v>
      </c>
      <c r="Q190" s="110">
        <f t="shared" si="223"/>
        <v>18926.877030781867</v>
      </c>
      <c r="R190" s="110">
        <f t="shared" si="223"/>
        <v>20145.224491124467</v>
      </c>
      <c r="S190" s="110">
        <f t="shared" si="223"/>
        <v>21800.339696301387</v>
      </c>
      <c r="T190" s="110">
        <f t="shared" si="223"/>
        <v>22529.513127716047</v>
      </c>
      <c r="U190" s="110">
        <f t="shared" si="223"/>
        <v>22220.919645616577</v>
      </c>
      <c r="V190" s="110">
        <f t="shared" si="223"/>
        <v>22622.655240038413</v>
      </c>
      <c r="W190" s="110">
        <f t="shared" si="221"/>
        <v>25621.593265412292</v>
      </c>
      <c r="X190" s="110">
        <f t="shared" si="221"/>
        <v>24328.73199147472</v>
      </c>
      <c r="Y190" s="110">
        <f t="shared" si="221"/>
        <v>23322.920391121039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5313.4769552727112</v>
      </c>
      <c r="C191" s="102">
        <f t="shared" si="223"/>
        <v>6373.8698058988375</v>
      </c>
      <c r="D191" s="102">
        <f t="shared" si="223"/>
        <v>7462.2740589243267</v>
      </c>
      <c r="E191" s="102">
        <f t="shared" si="223"/>
        <v>8427.6338640975482</v>
      </c>
      <c r="F191" s="102">
        <f t="shared" si="223"/>
        <v>8011.292806335704</v>
      </c>
      <c r="G191" s="102">
        <f t="shared" si="223"/>
        <v>9440.310703505027</v>
      </c>
      <c r="H191" s="102">
        <f t="shared" si="223"/>
        <v>9889.5171118614271</v>
      </c>
      <c r="I191" s="102">
        <f t="shared" si="223"/>
        <v>12284.189599246625</v>
      </c>
      <c r="J191" s="102">
        <f t="shared" si="223"/>
        <v>12014.969470159544</v>
      </c>
      <c r="K191" s="102">
        <f t="shared" si="223"/>
        <v>11257.562662057044</v>
      </c>
      <c r="L191" s="102">
        <f t="shared" si="223"/>
        <v>13970.680365868939</v>
      </c>
      <c r="M191" s="102">
        <f t="shared" si="222"/>
        <v>11991.675200687127</v>
      </c>
      <c r="N191" s="102">
        <f t="shared" si="223"/>
        <v>10022.976257866871</v>
      </c>
      <c r="O191" s="102">
        <f t="shared" si="223"/>
        <v>11482.740118046861</v>
      </c>
      <c r="P191" s="102">
        <f t="shared" si="223"/>
        <v>12827.278262634463</v>
      </c>
      <c r="Q191" s="102">
        <f t="shared" si="223"/>
        <v>13972.578814077373</v>
      </c>
      <c r="R191" s="102">
        <f t="shared" si="223"/>
        <v>14989.194905512897</v>
      </c>
      <c r="S191" s="102">
        <f t="shared" si="223"/>
        <v>16851.360014653357</v>
      </c>
      <c r="T191" s="102">
        <f t="shared" si="223"/>
        <v>17258.652094717669</v>
      </c>
      <c r="U191" s="102">
        <f t="shared" si="223"/>
        <v>17358.421795981594</v>
      </c>
      <c r="V191" s="102">
        <f t="shared" si="223"/>
        <v>16962.559325013182</v>
      </c>
      <c r="W191" s="102">
        <f t="shared" si="221"/>
        <v>20190.299373404501</v>
      </c>
      <c r="X191" s="102">
        <f t="shared" si="221"/>
        <v>18623.946334789707</v>
      </c>
      <c r="Y191" s="102">
        <f t="shared" si="221"/>
        <v>17690.521427063541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84970.432670317721</v>
      </c>
      <c r="C192" s="86">
        <f t="shared" si="223"/>
        <v>84979.823403048562</v>
      </c>
      <c r="D192" s="86">
        <f t="shared" si="223"/>
        <v>85022.489665634173</v>
      </c>
      <c r="E192" s="86">
        <f t="shared" si="223"/>
        <v>85013.714475280882</v>
      </c>
      <c r="F192" s="86">
        <f t="shared" si="223"/>
        <v>84953.035758327882</v>
      </c>
      <c r="G192" s="86">
        <f t="shared" si="223"/>
        <v>85006.931569432709</v>
      </c>
      <c r="H192" s="86">
        <f t="shared" si="223"/>
        <v>85037.524842647326</v>
      </c>
      <c r="I192" s="86">
        <f t="shared" si="223"/>
        <v>84996.696614582703</v>
      </c>
      <c r="J192" s="86">
        <f t="shared" si="223"/>
        <v>85012.537311024949</v>
      </c>
      <c r="K192" s="86">
        <f t="shared" si="223"/>
        <v>84973.759079177893</v>
      </c>
      <c r="L192" s="86">
        <f t="shared" si="223"/>
        <v>85021.896085570814</v>
      </c>
      <c r="M192" s="86">
        <f t="shared" si="222"/>
        <v>85036.037146300252</v>
      </c>
      <c r="N192" s="86">
        <f t="shared" si="223"/>
        <v>85011.689950562344</v>
      </c>
      <c r="O192" s="86">
        <f t="shared" si="223"/>
        <v>84994.856049957787</v>
      </c>
      <c r="P192" s="86">
        <f t="shared" si="223"/>
        <v>85013.153718250134</v>
      </c>
      <c r="Q192" s="86">
        <f t="shared" si="223"/>
        <v>85009.193722084296</v>
      </c>
      <c r="R192" s="86">
        <f t="shared" si="223"/>
        <v>85002.649278554207</v>
      </c>
      <c r="S192" s="86">
        <f t="shared" si="223"/>
        <v>85002.572613160897</v>
      </c>
      <c r="T192" s="86">
        <f t="shared" si="223"/>
        <v>84994.763146412413</v>
      </c>
      <c r="U192" s="86">
        <f t="shared" si="223"/>
        <v>85001.487470109656</v>
      </c>
      <c r="V192" s="86">
        <f t="shared" ref="V192:W192" si="224">IF(V55=0,0,V55*1000000/V82)</f>
        <v>84996.089933653027</v>
      </c>
      <c r="W192" s="86">
        <f t="shared" si="224"/>
        <v>84991.064043346239</v>
      </c>
      <c r="X192" s="86">
        <f t="shared" ref="X192:Y192" si="225">IF(X55=0,0,X55*1000000/X82)</f>
        <v>85016.402505477352</v>
      </c>
      <c r="Y192" s="86">
        <f t="shared" si="225"/>
        <v>84998.079643872654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22836.384852066803</v>
      </c>
      <c r="C195" s="28">
        <f t="shared" si="226"/>
        <v>23462.621403065139</v>
      </c>
      <c r="D195" s="28">
        <f t="shared" si="226"/>
        <v>24055.128359145907</v>
      </c>
      <c r="E195" s="28">
        <f t="shared" si="226"/>
        <v>24568.393903619373</v>
      </c>
      <c r="F195" s="28">
        <f t="shared" si="226"/>
        <v>21459.1223574711</v>
      </c>
      <c r="G195" s="28">
        <f t="shared" si="226"/>
        <v>22011.513315562279</v>
      </c>
      <c r="H195" s="28">
        <f t="shared" si="226"/>
        <v>23763.98200907389</v>
      </c>
      <c r="I195" s="28">
        <f t="shared" si="226"/>
        <v>25782.481839852418</v>
      </c>
      <c r="J195" s="28">
        <f t="shared" si="226"/>
        <v>23271.790061247746</v>
      </c>
      <c r="K195" s="28">
        <f t="shared" si="226"/>
        <v>21149.971950640131</v>
      </c>
      <c r="L195" s="28">
        <f t="shared" si="226"/>
        <v>21684.749933720868</v>
      </c>
      <c r="M195" s="28">
        <f>IF(M4=0,0,M4*1000000/M58)</f>
        <v>21116.73045876051</v>
      </c>
      <c r="N195" s="28">
        <f t="shared" ref="N195:V195" si="227">IF(N4=0,0,N4*1000000/N58)</f>
        <v>21623.898740823766</v>
      </c>
      <c r="O195" s="28">
        <f t="shared" si="227"/>
        <v>21310.525315558018</v>
      </c>
      <c r="P195" s="28">
        <f t="shared" si="227"/>
        <v>21792.746260367701</v>
      </c>
      <c r="Q195" s="28">
        <f t="shared" si="227"/>
        <v>22255.480438922878</v>
      </c>
      <c r="R195" s="28">
        <f t="shared" si="227"/>
        <v>23113.002473817571</v>
      </c>
      <c r="S195" s="28">
        <f t="shared" si="227"/>
        <v>23603.457132237534</v>
      </c>
      <c r="T195" s="28">
        <f t="shared" si="227"/>
        <v>23343.901920050703</v>
      </c>
      <c r="U195" s="28">
        <f t="shared" si="227"/>
        <v>22967.474486393108</v>
      </c>
      <c r="V195" s="28">
        <f t="shared" si="227"/>
        <v>20484.430806581604</v>
      </c>
      <c r="W195" s="28">
        <f t="shared" ref="W195:Y195" si="228">IF(W4=0,0,W4*1000000/W58)</f>
        <v>17934.30200682842</v>
      </c>
      <c r="X195" s="28">
        <f t="shared" si="228"/>
        <v>17180.853593192754</v>
      </c>
      <c r="Y195" s="28">
        <f t="shared" si="228"/>
        <v>17850.333201797504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1996.497581657766</v>
      </c>
      <c r="C196" s="137">
        <f t="shared" si="229"/>
        <v>2020.039500180598</v>
      </c>
      <c r="D196" s="137">
        <f t="shared" si="229"/>
        <v>2014.3187758402166</v>
      </c>
      <c r="E196" s="137">
        <f t="shared" si="229"/>
        <v>2009.2391295177044</v>
      </c>
      <c r="F196" s="137">
        <f t="shared" si="229"/>
        <v>1985.423454205953</v>
      </c>
      <c r="G196" s="137">
        <f t="shared" si="229"/>
        <v>1956.2126327593974</v>
      </c>
      <c r="H196" s="137">
        <f t="shared" si="229"/>
        <v>1889.2597664813527</v>
      </c>
      <c r="I196" s="137">
        <f t="shared" si="229"/>
        <v>1751.1656443434224</v>
      </c>
      <c r="J196" s="137">
        <f t="shared" si="229"/>
        <v>1621.200928018462</v>
      </c>
      <c r="K196" s="137">
        <f t="shared" si="229"/>
        <v>1564.5998751486827</v>
      </c>
      <c r="L196" s="137">
        <f t="shared" si="229"/>
        <v>1568.3483361008857</v>
      </c>
      <c r="M196" s="137">
        <f>IF(M5=0,0,M5*1000000/M59)</f>
        <v>1489.8643517360103</v>
      </c>
      <c r="N196" s="137">
        <f t="shared" ref="N196:V196" si="230">IF(N5=0,0,N5*1000000/N59)</f>
        <v>1290.9898544313273</v>
      </c>
      <c r="O196" s="137">
        <f t="shared" si="230"/>
        <v>1281.5253953517417</v>
      </c>
      <c r="P196" s="137">
        <f t="shared" si="230"/>
        <v>1469.3607152225559</v>
      </c>
      <c r="Q196" s="137">
        <f t="shared" si="230"/>
        <v>1779.3966886274582</v>
      </c>
      <c r="R196" s="137">
        <f t="shared" si="230"/>
        <v>1785.1136770646767</v>
      </c>
      <c r="S196" s="137">
        <f t="shared" si="230"/>
        <v>1599.498712645124</v>
      </c>
      <c r="T196" s="137">
        <f t="shared" si="230"/>
        <v>1454.8447940719338</v>
      </c>
      <c r="U196" s="137">
        <f t="shared" si="230"/>
        <v>1442.1078247595401</v>
      </c>
      <c r="V196" s="137">
        <f t="shared" si="230"/>
        <v>1226.1419860705298</v>
      </c>
      <c r="W196" s="137">
        <f t="shared" ref="W196:Y196" si="231">IF(W5=0,0,W5*1000000/W59)</f>
        <v>1204.8406399702972</v>
      </c>
      <c r="X196" s="137">
        <f t="shared" si="231"/>
        <v>1162.456532345029</v>
      </c>
      <c r="Y196" s="137">
        <f t="shared" si="231"/>
        <v>1202.5413772754746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20076.815642458099</v>
      </c>
      <c r="C197" s="110">
        <f t="shared" si="232"/>
        <v>20826.102047900036</v>
      </c>
      <c r="D197" s="110">
        <f t="shared" si="232"/>
        <v>21400.445129258689</v>
      </c>
      <c r="E197" s="110">
        <f t="shared" si="232"/>
        <v>21706.461846718983</v>
      </c>
      <c r="F197" s="110">
        <f t="shared" si="232"/>
        <v>18377.894904967259</v>
      </c>
      <c r="G197" s="110">
        <f t="shared" si="232"/>
        <v>18705.019305019301</v>
      </c>
      <c r="H197" s="110">
        <f t="shared" si="232"/>
        <v>20862.189550750732</v>
      </c>
      <c r="I197" s="110">
        <f t="shared" si="232"/>
        <v>23299.604304466542</v>
      </c>
      <c r="J197" s="110">
        <f t="shared" si="232"/>
        <v>20872.691592343628</v>
      </c>
      <c r="K197" s="110">
        <f t="shared" si="232"/>
        <v>19123.135283226202</v>
      </c>
      <c r="L197" s="110">
        <f t="shared" si="232"/>
        <v>19338.956428863134</v>
      </c>
      <c r="M197" s="110">
        <f>IF(M6=0,0,M6*1000000/M60)</f>
        <v>18535.896263391689</v>
      </c>
      <c r="N197" s="110">
        <f t="shared" ref="N197:V197" si="233">IF(N6=0,0,N6*1000000/N60)</f>
        <v>18645.575557604283</v>
      </c>
      <c r="O197" s="110">
        <f t="shared" si="233"/>
        <v>18489.58784736722</v>
      </c>
      <c r="P197" s="110">
        <f t="shared" si="233"/>
        <v>19194.009112206011</v>
      </c>
      <c r="Q197" s="110">
        <f t="shared" si="233"/>
        <v>19943.509148101464</v>
      </c>
      <c r="R197" s="110">
        <f t="shared" si="233"/>
        <v>20926.349452028597</v>
      </c>
      <c r="S197" s="110">
        <f t="shared" si="233"/>
        <v>21721.85353629107</v>
      </c>
      <c r="T197" s="110">
        <f t="shared" si="233"/>
        <v>21552.862860444649</v>
      </c>
      <c r="U197" s="110">
        <f t="shared" si="233"/>
        <v>21315.686695160923</v>
      </c>
      <c r="V197" s="110">
        <f t="shared" si="233"/>
        <v>19988.52695894058</v>
      </c>
      <c r="W197" s="110">
        <f t="shared" ref="W197:Y209" si="234">IF(W6=0,0,W6*1000000/W60)</f>
        <v>17708.860559281289</v>
      </c>
      <c r="X197" s="110">
        <f t="shared" si="234"/>
        <v>16491.776911954043</v>
      </c>
      <c r="Y197" s="110">
        <f t="shared" si="234"/>
        <v>17146.055341631592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19108.235416781106</v>
      </c>
      <c r="C198" s="84">
        <f t="shared" si="232"/>
        <v>19549.997635875807</v>
      </c>
      <c r="D198" s="84">
        <f t="shared" si="232"/>
        <v>19966.002414153929</v>
      </c>
      <c r="E198" s="84">
        <f t="shared" si="232"/>
        <v>19938.725981730324</v>
      </c>
      <c r="F198" s="84">
        <f t="shared" si="232"/>
        <v>16562.855087713495</v>
      </c>
      <c r="G198" s="84">
        <f t="shared" si="232"/>
        <v>16569.994733593896</v>
      </c>
      <c r="H198" s="84">
        <f t="shared" si="232"/>
        <v>18396.22421054744</v>
      </c>
      <c r="I198" s="84">
        <f t="shared" si="232"/>
        <v>20984.200663893906</v>
      </c>
      <c r="J198" s="84">
        <f t="shared" si="232"/>
        <v>18536.092884305228</v>
      </c>
      <c r="K198" s="84">
        <f t="shared" si="232"/>
        <v>16161.01632287384</v>
      </c>
      <c r="L198" s="84">
        <f t="shared" si="232"/>
        <v>16032.586039045951</v>
      </c>
      <c r="M198" s="84">
        <f t="shared" ref="M198:M219" si="235">IF(M7=0,0,M7*1000000/M61)</f>
        <v>15169.105345557131</v>
      </c>
      <c r="N198" s="84">
        <f t="shared" si="232"/>
        <v>14530.63464165818</v>
      </c>
      <c r="O198" s="84">
        <f t="shared" si="232"/>
        <v>14217.418702498935</v>
      </c>
      <c r="P198" s="84">
        <f t="shared" si="232"/>
        <v>14805.152624771468</v>
      </c>
      <c r="Q198" s="84">
        <f t="shared" si="232"/>
        <v>15471.259731448568</v>
      </c>
      <c r="R198" s="84">
        <f t="shared" si="232"/>
        <v>15691.532039469026</v>
      </c>
      <c r="S198" s="84">
        <f t="shared" si="232"/>
        <v>16197.191756336293</v>
      </c>
      <c r="T198" s="84">
        <f t="shared" si="232"/>
        <v>16187.182116019978</v>
      </c>
      <c r="U198" s="84">
        <f t="shared" si="232"/>
        <v>15589.404216248686</v>
      </c>
      <c r="V198" s="84">
        <f t="shared" si="232"/>
        <v>15141.525755415536</v>
      </c>
      <c r="W198" s="84">
        <f t="shared" si="234"/>
        <v>13941.664913934494</v>
      </c>
      <c r="X198" s="84">
        <f t="shared" si="234"/>
        <v>12977.067065385263</v>
      </c>
      <c r="Y198" s="84">
        <f t="shared" si="234"/>
        <v>13946.812898533104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25320.483795360884</v>
      </c>
      <c r="C199" s="84">
        <f t="shared" si="232"/>
        <v>27201.159966817166</v>
      </c>
      <c r="D199" s="84">
        <f t="shared" si="232"/>
        <v>28051.203555065873</v>
      </c>
      <c r="E199" s="84">
        <f t="shared" si="232"/>
        <v>29130.466545650943</v>
      </c>
      <c r="F199" s="84">
        <f t="shared" si="232"/>
        <v>25111.732330393323</v>
      </c>
      <c r="G199" s="84">
        <f t="shared" si="232"/>
        <v>25758.543623000278</v>
      </c>
      <c r="H199" s="84">
        <f t="shared" si="232"/>
        <v>28178.979556727263</v>
      </c>
      <c r="I199" s="84">
        <f t="shared" si="232"/>
        <v>29429.702166741561</v>
      </c>
      <c r="J199" s="84">
        <f t="shared" si="232"/>
        <v>26376.718184857156</v>
      </c>
      <c r="K199" s="84">
        <f t="shared" si="232"/>
        <v>25204.90337108693</v>
      </c>
      <c r="L199" s="84">
        <f t="shared" si="232"/>
        <v>25329.510238548657</v>
      </c>
      <c r="M199" s="84">
        <f t="shared" si="235"/>
        <v>23647.205650778003</v>
      </c>
      <c r="N199" s="84">
        <f t="shared" si="232"/>
        <v>23784.48449457579</v>
      </c>
      <c r="O199" s="84">
        <f t="shared" si="232"/>
        <v>23000.75420929195</v>
      </c>
      <c r="P199" s="84">
        <f t="shared" si="232"/>
        <v>22754.003345831701</v>
      </c>
      <c r="Q199" s="84">
        <f t="shared" si="232"/>
        <v>23433.978918530742</v>
      </c>
      <c r="R199" s="84">
        <f t="shared" si="232"/>
        <v>24258.781003670796</v>
      </c>
      <c r="S199" s="84">
        <f t="shared" si="232"/>
        <v>25094.94348210705</v>
      </c>
      <c r="T199" s="84">
        <f t="shared" si="232"/>
        <v>24614.721533282642</v>
      </c>
      <c r="U199" s="84">
        <f t="shared" si="232"/>
        <v>24493.465859418313</v>
      </c>
      <c r="V199" s="84">
        <f t="shared" si="232"/>
        <v>22656.930126890806</v>
      </c>
      <c r="W199" s="84">
        <f t="shared" si="234"/>
        <v>19868.119659169286</v>
      </c>
      <c r="X199" s="84">
        <f t="shared" si="234"/>
        <v>18480.730026697751</v>
      </c>
      <c r="Y199" s="84">
        <f t="shared" si="234"/>
        <v>19036.531802547343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34528.108425085593</v>
      </c>
      <c r="C200" s="84">
        <f t="shared" si="232"/>
        <v>37153.867062093261</v>
      </c>
      <c r="D200" s="84">
        <f t="shared" si="232"/>
        <v>35534.890662606165</v>
      </c>
      <c r="E200" s="84">
        <f t="shared" si="232"/>
        <v>33626.085898770471</v>
      </c>
      <c r="F200" s="84">
        <f t="shared" si="232"/>
        <v>26405.115407046207</v>
      </c>
      <c r="G200" s="84">
        <f t="shared" si="232"/>
        <v>24689.284992080804</v>
      </c>
      <c r="H200" s="84">
        <f t="shared" si="232"/>
        <v>24611.133321873524</v>
      </c>
      <c r="I200" s="84">
        <f t="shared" si="232"/>
        <v>25859.530495471212</v>
      </c>
      <c r="J200" s="84">
        <f t="shared" si="232"/>
        <v>22411.474610262285</v>
      </c>
      <c r="K200" s="84">
        <f t="shared" si="232"/>
        <v>22145.184871507478</v>
      </c>
      <c r="L200" s="84">
        <f t="shared" si="232"/>
        <v>25661.168806154401</v>
      </c>
      <c r="M200" s="84">
        <f t="shared" si="235"/>
        <v>25403.910975999872</v>
      </c>
      <c r="N200" s="84">
        <f t="shared" si="232"/>
        <v>24754.039218500813</v>
      </c>
      <c r="O200" s="84">
        <f t="shared" si="232"/>
        <v>24483.20649530592</v>
      </c>
      <c r="P200" s="84">
        <f t="shared" si="232"/>
        <v>23245.442628451634</v>
      </c>
      <c r="Q200" s="84">
        <f t="shared" si="232"/>
        <v>22014.208513628346</v>
      </c>
      <c r="R200" s="84">
        <f t="shared" si="232"/>
        <v>23995.654384779129</v>
      </c>
      <c r="S200" s="84">
        <f t="shared" si="232"/>
        <v>23049.367517354502</v>
      </c>
      <c r="T200" s="84">
        <f t="shared" si="232"/>
        <v>21596.865961475534</v>
      </c>
      <c r="U200" s="84">
        <f t="shared" si="232"/>
        <v>19380.465066237935</v>
      </c>
      <c r="V200" s="84">
        <f t="shared" si="232"/>
        <v>16778.710475116826</v>
      </c>
      <c r="W200" s="84">
        <f t="shared" si="234"/>
        <v>13244.589904740267</v>
      </c>
      <c r="X200" s="84">
        <f t="shared" si="234"/>
        <v>11925.579657637147</v>
      </c>
      <c r="Y200" s="84">
        <f t="shared" si="234"/>
        <v>12084.339131426483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15788.439014259558</v>
      </c>
      <c r="C201" s="84">
        <f t="shared" si="232"/>
        <v>16989.102241916753</v>
      </c>
      <c r="D201" s="84">
        <f t="shared" si="232"/>
        <v>17556.011664701426</v>
      </c>
      <c r="E201" s="84">
        <f t="shared" si="232"/>
        <v>18274.263401297525</v>
      </c>
      <c r="F201" s="84">
        <f t="shared" si="232"/>
        <v>15784.990233384022</v>
      </c>
      <c r="G201" s="84">
        <f t="shared" si="232"/>
        <v>16314.241319362372</v>
      </c>
      <c r="H201" s="84">
        <f t="shared" si="232"/>
        <v>18069.555647535712</v>
      </c>
      <c r="I201" s="84">
        <f t="shared" si="232"/>
        <v>21095.702194609366</v>
      </c>
      <c r="J201" s="84">
        <f t="shared" si="232"/>
        <v>18665.89645025276</v>
      </c>
      <c r="K201" s="84">
        <f t="shared" si="232"/>
        <v>16767.373729574949</v>
      </c>
      <c r="L201" s="84">
        <f t="shared" si="232"/>
        <v>0</v>
      </c>
      <c r="M201" s="84">
        <f t="shared" si="235"/>
        <v>0</v>
      </c>
      <c r="N201" s="84">
        <f t="shared" si="232"/>
        <v>0</v>
      </c>
      <c r="O201" s="84">
        <f t="shared" si="232"/>
        <v>0</v>
      </c>
      <c r="P201" s="84">
        <f t="shared" si="232"/>
        <v>0</v>
      </c>
      <c r="Q201" s="84">
        <f t="shared" si="232"/>
        <v>0</v>
      </c>
      <c r="R201" s="84">
        <f t="shared" si="232"/>
        <v>0</v>
      </c>
      <c r="S201" s="84">
        <f t="shared" si="232"/>
        <v>0</v>
      </c>
      <c r="T201" s="84">
        <f t="shared" si="232"/>
        <v>15612.314420754165</v>
      </c>
      <c r="U201" s="84">
        <f t="shared" si="232"/>
        <v>15411.092806322349</v>
      </c>
      <c r="V201" s="84">
        <f t="shared" si="232"/>
        <v>14118.69701396418</v>
      </c>
      <c r="W201" s="84">
        <f t="shared" si="234"/>
        <v>12507.007730535241</v>
      </c>
      <c r="X201" s="84">
        <f t="shared" si="234"/>
        <v>11750.733905704396</v>
      </c>
      <c r="Y201" s="84">
        <f t="shared" si="234"/>
        <v>12215.071433768684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14769.975070205777</v>
      </c>
      <c r="O202" s="84">
        <f t="shared" si="232"/>
        <v>14272.371143614806</v>
      </c>
      <c r="P202" s="84">
        <f t="shared" si="232"/>
        <v>14897.038920949351</v>
      </c>
      <c r="Q202" s="84">
        <f t="shared" si="232"/>
        <v>15581.571631598837</v>
      </c>
      <c r="R202" s="84">
        <f t="shared" si="232"/>
        <v>15669.289517620749</v>
      </c>
      <c r="S202" s="84">
        <f t="shared" si="232"/>
        <v>16218.076817396945</v>
      </c>
      <c r="T202" s="84">
        <f t="shared" si="232"/>
        <v>16210.359611601547</v>
      </c>
      <c r="U202" s="84">
        <f t="shared" si="232"/>
        <v>15702.343472069506</v>
      </c>
      <c r="V202" s="84">
        <f t="shared" si="232"/>
        <v>15257.37286990055</v>
      </c>
      <c r="W202" s="84">
        <f t="shared" si="234"/>
        <v>14050.975777673713</v>
      </c>
      <c r="X202" s="84">
        <f t="shared" si="234"/>
        <v>12949.906260866577</v>
      </c>
      <c r="Y202" s="84">
        <f t="shared" si="234"/>
        <v>13873.396921246493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0</v>
      </c>
      <c r="M203" s="84">
        <f t="shared" si="235"/>
        <v>0</v>
      </c>
      <c r="N203" s="84">
        <f t="shared" si="232"/>
        <v>17640.093107314289</v>
      </c>
      <c r="O203" s="84">
        <f t="shared" si="232"/>
        <v>17815.873693052556</v>
      </c>
      <c r="P203" s="84">
        <f t="shared" si="232"/>
        <v>17099.180204178632</v>
      </c>
      <c r="Q203" s="84">
        <f t="shared" si="232"/>
        <v>16942.571494670319</v>
      </c>
      <c r="R203" s="84">
        <f t="shared" si="232"/>
        <v>16638.324963548122</v>
      </c>
      <c r="S203" s="84">
        <f t="shared" si="232"/>
        <v>16883.683572053775</v>
      </c>
      <c r="T203" s="84">
        <f t="shared" si="232"/>
        <v>16219.971602265372</v>
      </c>
      <c r="U203" s="84">
        <f t="shared" si="232"/>
        <v>15443.102999618281</v>
      </c>
      <c r="V203" s="84">
        <f t="shared" si="232"/>
        <v>15018.962957099442</v>
      </c>
      <c r="W203" s="84">
        <f t="shared" si="234"/>
        <v>12980.022774297886</v>
      </c>
      <c r="X203" s="84">
        <f t="shared" si="234"/>
        <v>12919.039064775307</v>
      </c>
      <c r="Y203" s="84">
        <f t="shared" si="234"/>
        <v>13013.961159598617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616758.60257420538</v>
      </c>
      <c r="C204" s="110">
        <f t="shared" si="232"/>
        <v>605781.86596583459</v>
      </c>
      <c r="D204" s="110">
        <f t="shared" si="232"/>
        <v>609290.32258064521</v>
      </c>
      <c r="E204" s="110">
        <f t="shared" si="232"/>
        <v>622862.72594040062</v>
      </c>
      <c r="F204" s="110">
        <f t="shared" si="232"/>
        <v>655393.72994322388</v>
      </c>
      <c r="G204" s="110">
        <f t="shared" si="232"/>
        <v>728946.04135148763</v>
      </c>
      <c r="H204" s="110">
        <f t="shared" si="232"/>
        <v>704510.89711099851</v>
      </c>
      <c r="I204" s="110">
        <f t="shared" si="232"/>
        <v>668014.1485598787</v>
      </c>
      <c r="J204" s="110">
        <f t="shared" si="232"/>
        <v>647210.07971200824</v>
      </c>
      <c r="K204" s="110">
        <f t="shared" si="232"/>
        <v>565435.35620052775</v>
      </c>
      <c r="L204" s="110">
        <f t="shared" si="232"/>
        <v>628159.8260396847</v>
      </c>
      <c r="M204" s="110">
        <f t="shared" si="235"/>
        <v>691513.76146788988</v>
      </c>
      <c r="N204" s="110">
        <f t="shared" si="232"/>
        <v>821637.77644949174</v>
      </c>
      <c r="O204" s="110">
        <f t="shared" si="232"/>
        <v>839993.85182908084</v>
      </c>
      <c r="P204" s="110">
        <f t="shared" si="232"/>
        <v>877014.82914248877</v>
      </c>
      <c r="Q204" s="110">
        <f t="shared" si="232"/>
        <v>863470.31963470299</v>
      </c>
      <c r="R204" s="110">
        <f t="shared" si="232"/>
        <v>849242.92297564191</v>
      </c>
      <c r="S204" s="110">
        <f t="shared" si="232"/>
        <v>842804.79680213204</v>
      </c>
      <c r="T204" s="110">
        <f t="shared" si="232"/>
        <v>865292.32848935435</v>
      </c>
      <c r="U204" s="110">
        <f t="shared" si="232"/>
        <v>877922.07792207773</v>
      </c>
      <c r="V204" s="110">
        <f t="shared" si="232"/>
        <v>607043.79562043794</v>
      </c>
      <c r="W204" s="110">
        <f t="shared" si="234"/>
        <v>495894.85055815638</v>
      </c>
      <c r="X204" s="110">
        <f t="shared" si="234"/>
        <v>604653.56773526373</v>
      </c>
      <c r="Y204" s="110">
        <f t="shared" si="234"/>
        <v>645491.80327868857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224992.58844561488</v>
      </c>
      <c r="C205" s="102">
        <f t="shared" si="232"/>
        <v>224473.02569010793</v>
      </c>
      <c r="D205" s="102">
        <f t="shared" si="232"/>
        <v>224678.8979188964</v>
      </c>
      <c r="E205" s="102">
        <f t="shared" si="232"/>
        <v>225626.81533943347</v>
      </c>
      <c r="F205" s="102">
        <f t="shared" si="232"/>
        <v>226492.29613221591</v>
      </c>
      <c r="G205" s="102">
        <f t="shared" si="232"/>
        <v>238607.48836623266</v>
      </c>
      <c r="H205" s="102">
        <f t="shared" si="232"/>
        <v>225860.73290038103</v>
      </c>
      <c r="I205" s="102">
        <f t="shared" si="232"/>
        <v>209754.74565163502</v>
      </c>
      <c r="J205" s="102">
        <f t="shared" si="232"/>
        <v>200938.0784864224</v>
      </c>
      <c r="K205" s="102">
        <f t="shared" si="232"/>
        <v>197770.9801916728</v>
      </c>
      <c r="L205" s="102">
        <f t="shared" si="232"/>
        <v>207416.23697967429</v>
      </c>
      <c r="M205" s="102">
        <f t="shared" si="235"/>
        <v>217663.12266322531</v>
      </c>
      <c r="N205" s="102">
        <f t="shared" si="232"/>
        <v>253780.25236104924</v>
      </c>
      <c r="O205" s="102">
        <f t="shared" si="232"/>
        <v>254601.79043302717</v>
      </c>
      <c r="P205" s="102">
        <f t="shared" si="232"/>
        <v>260843.0091029905</v>
      </c>
      <c r="Q205" s="102">
        <f t="shared" si="232"/>
        <v>251823.87553988639</v>
      </c>
      <c r="R205" s="102">
        <f t="shared" si="232"/>
        <v>252887.06185510507</v>
      </c>
      <c r="S205" s="102">
        <f t="shared" si="232"/>
        <v>256175.1667263722</v>
      </c>
      <c r="T205" s="102">
        <f t="shared" si="232"/>
        <v>268100.18144577829</v>
      </c>
      <c r="U205" s="102">
        <f t="shared" si="232"/>
        <v>276992.92187468265</v>
      </c>
      <c r="V205" s="102">
        <f t="shared" si="232"/>
        <v>202012.13330325522</v>
      </c>
      <c r="W205" s="102">
        <f t="shared" si="234"/>
        <v>180830.87672384988</v>
      </c>
      <c r="X205" s="102">
        <f t="shared" si="234"/>
        <v>200139.77007455498</v>
      </c>
      <c r="Y205" s="102">
        <f t="shared" si="234"/>
        <v>218220.13092008248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663984.71556681045</v>
      </c>
      <c r="C206" s="102">
        <f t="shared" si="232"/>
        <v>651747.89152034163</v>
      </c>
      <c r="D206" s="102">
        <f t="shared" si="232"/>
        <v>655258.27410160273</v>
      </c>
      <c r="E206" s="102">
        <f t="shared" si="232"/>
        <v>665725.43171737099</v>
      </c>
      <c r="F206" s="102">
        <f t="shared" si="232"/>
        <v>701040.24637911795</v>
      </c>
      <c r="G206" s="102">
        <f t="shared" si="232"/>
        <v>781037.81370116642</v>
      </c>
      <c r="H206" s="102">
        <f t="shared" si="232"/>
        <v>754198.70828537864</v>
      </c>
      <c r="I206" s="102">
        <f t="shared" si="232"/>
        <v>715064.65782409545</v>
      </c>
      <c r="J206" s="102">
        <f t="shared" si="232"/>
        <v>686882.6075109184</v>
      </c>
      <c r="K206" s="102">
        <f t="shared" si="232"/>
        <v>591352.72001365502</v>
      </c>
      <c r="L206" s="102">
        <f t="shared" si="232"/>
        <v>652517.51431634475</v>
      </c>
      <c r="M206" s="102">
        <f t="shared" si="235"/>
        <v>707772.24782948091</v>
      </c>
      <c r="N206" s="102">
        <f t="shared" si="232"/>
        <v>837686.78765485936</v>
      </c>
      <c r="O206" s="102">
        <f t="shared" si="232"/>
        <v>852713.4325349665</v>
      </c>
      <c r="P206" s="102">
        <f t="shared" si="232"/>
        <v>886658.68215760612</v>
      </c>
      <c r="Q206" s="102">
        <f t="shared" si="232"/>
        <v>871738.3639525919</v>
      </c>
      <c r="R206" s="102">
        <f t="shared" si="232"/>
        <v>858267.23701163055</v>
      </c>
      <c r="S206" s="102">
        <f t="shared" si="232"/>
        <v>851638.13316872413</v>
      </c>
      <c r="T206" s="102">
        <f t="shared" si="232"/>
        <v>872377.70077205868</v>
      </c>
      <c r="U206" s="102">
        <f t="shared" si="232"/>
        <v>884579.59488196438</v>
      </c>
      <c r="V206" s="102">
        <f t="shared" si="232"/>
        <v>615375.6141175956</v>
      </c>
      <c r="W206" s="102">
        <f t="shared" si="234"/>
        <v>495582.9136202712</v>
      </c>
      <c r="X206" s="102">
        <f t="shared" si="234"/>
        <v>626136.81357961998</v>
      </c>
      <c r="Y206" s="102">
        <f t="shared" si="234"/>
        <v>667360.49171700038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518764.57059421483</v>
      </c>
      <c r="S207" s="102">
        <f t="shared" si="232"/>
        <v>509804.81564930297</v>
      </c>
      <c r="T207" s="102">
        <f t="shared" si="232"/>
        <v>517574.80896138551</v>
      </c>
      <c r="U207" s="102">
        <f t="shared" si="232"/>
        <v>518896.82977588923</v>
      </c>
      <c r="V207" s="102">
        <f t="shared" si="232"/>
        <v>352701.35017047002</v>
      </c>
      <c r="W207" s="102">
        <f t="shared" si="234"/>
        <v>283333.34947528265</v>
      </c>
      <c r="X207" s="102">
        <f t="shared" si="234"/>
        <v>342380.08949359076</v>
      </c>
      <c r="Y207" s="102">
        <f t="shared" si="234"/>
        <v>362409.00755645538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604174.16549018258</v>
      </c>
      <c r="C208" s="102">
        <f t="shared" si="232"/>
        <v>592512.89104450808</v>
      </c>
      <c r="D208" s="102">
        <f t="shared" si="232"/>
        <v>557683.92647331033</v>
      </c>
      <c r="E208" s="102">
        <f t="shared" si="232"/>
        <v>579386.15607501881</v>
      </c>
      <c r="F208" s="102">
        <f t="shared" si="232"/>
        <v>589959.92072983715</v>
      </c>
      <c r="G208" s="102">
        <f t="shared" si="232"/>
        <v>629357.64960497769</v>
      </c>
      <c r="H208" s="102">
        <f t="shared" si="232"/>
        <v>582297.80282167264</v>
      </c>
      <c r="I208" s="102">
        <f t="shared" si="232"/>
        <v>500095.31184564106</v>
      </c>
      <c r="J208" s="102">
        <f t="shared" si="232"/>
        <v>438928.18215643609</v>
      </c>
      <c r="K208" s="102">
        <f t="shared" si="232"/>
        <v>360967.06630732497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0</v>
      </c>
      <c r="P208" s="102">
        <f t="shared" si="232"/>
        <v>0</v>
      </c>
      <c r="Q208" s="102">
        <f t="shared" si="232"/>
        <v>0</v>
      </c>
      <c r="R208" s="102">
        <f t="shared" si="232"/>
        <v>0</v>
      </c>
      <c r="S208" s="102">
        <f t="shared" si="232"/>
        <v>0</v>
      </c>
      <c r="T208" s="102">
        <f t="shared" si="232"/>
        <v>0</v>
      </c>
      <c r="U208" s="102">
        <f t="shared" si="232"/>
        <v>338818.31815410446</v>
      </c>
      <c r="V208" s="102">
        <f t="shared" si="232"/>
        <v>255888.32867916074</v>
      </c>
      <c r="W208" s="102">
        <f t="shared" si="234"/>
        <v>228401.28442080479</v>
      </c>
      <c r="X208" s="102">
        <f t="shared" si="234"/>
        <v>278893.29903864634</v>
      </c>
      <c r="Y208" s="102">
        <f t="shared" si="234"/>
        <v>328009.22074722324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765107.98657255573</v>
      </c>
      <c r="C209" s="102">
        <f t="shared" si="232"/>
        <v>735184.00773866207</v>
      </c>
      <c r="D209" s="102">
        <f t="shared" si="232"/>
        <v>722305.79820893297</v>
      </c>
      <c r="E209" s="102">
        <f t="shared" si="232"/>
        <v>718058.90878433175</v>
      </c>
      <c r="F209" s="102">
        <f t="shared" si="232"/>
        <v>740451.68323537055</v>
      </c>
      <c r="G209" s="102">
        <f t="shared" si="232"/>
        <v>808053.47889797238</v>
      </c>
      <c r="H209" s="102">
        <f t="shared" si="232"/>
        <v>795443.74262902304</v>
      </c>
      <c r="I209" s="102">
        <f t="shared" si="232"/>
        <v>767887.23259336327</v>
      </c>
      <c r="J209" s="102">
        <f t="shared" si="232"/>
        <v>758422.28501959657</v>
      </c>
      <c r="K209" s="102">
        <f t="shared" si="232"/>
        <v>646564.50260214496</v>
      </c>
      <c r="L209" s="102">
        <f t="shared" si="232"/>
        <v>704084.0523551692</v>
      </c>
      <c r="M209" s="102">
        <f t="shared" si="235"/>
        <v>754630.04908176907</v>
      </c>
      <c r="N209" s="102">
        <f t="shared" si="232"/>
        <v>877421.60799131053</v>
      </c>
      <c r="O209" s="102">
        <f t="shared" si="232"/>
        <v>877229.0966709872</v>
      </c>
      <c r="P209" s="102">
        <f t="shared" si="232"/>
        <v>896881.18389280443</v>
      </c>
      <c r="Q209" s="102">
        <f t="shared" si="232"/>
        <v>878899.75284297357</v>
      </c>
      <c r="R209" s="102">
        <f t="shared" si="232"/>
        <v>844578.72515192139</v>
      </c>
      <c r="S209" s="102">
        <f t="shared" si="232"/>
        <v>825096.12197480595</v>
      </c>
      <c r="T209" s="102">
        <f t="shared" si="232"/>
        <v>856953.91829912795</v>
      </c>
      <c r="U209" s="102">
        <f t="shared" si="232"/>
        <v>897149.19743347319</v>
      </c>
      <c r="V209" s="102">
        <f t="shared" si="232"/>
        <v>640659.85941319168</v>
      </c>
      <c r="W209" s="102">
        <f t="shared" si="234"/>
        <v>640407.42781950859</v>
      </c>
      <c r="X209" s="102">
        <f t="shared" si="234"/>
        <v>767565.34348672396</v>
      </c>
      <c r="Y209" s="102">
        <f t="shared" si="234"/>
        <v>799149.4625877561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28629.892672072681</v>
      </c>
      <c r="C210" s="28">
        <f t="shared" si="232"/>
        <v>29740.949272553964</v>
      </c>
      <c r="D210" s="28">
        <f t="shared" si="232"/>
        <v>31829.456954928948</v>
      </c>
      <c r="E210" s="28">
        <f t="shared" si="232"/>
        <v>36714.172140747731</v>
      </c>
      <c r="F210" s="28">
        <f t="shared" ref="B210:V219" si="236">IF(F19=0,0,F19*1000000/F73)</f>
        <v>35776.088005774931</v>
      </c>
      <c r="G210" s="28">
        <f t="shared" si="236"/>
        <v>41708.953535269444</v>
      </c>
      <c r="H210" s="28">
        <f t="shared" si="236"/>
        <v>42769.607648064892</v>
      </c>
      <c r="I210" s="28">
        <f t="shared" si="236"/>
        <v>47675.285572611632</v>
      </c>
      <c r="J210" s="28">
        <f t="shared" si="236"/>
        <v>43317.269171073021</v>
      </c>
      <c r="K210" s="28">
        <f t="shared" si="236"/>
        <v>36915.203169957342</v>
      </c>
      <c r="L210" s="28">
        <f t="shared" si="236"/>
        <v>56578.809991727823</v>
      </c>
      <c r="M210" s="28">
        <f t="shared" si="235"/>
        <v>60714.629035882317</v>
      </c>
      <c r="N210" s="28">
        <f t="shared" si="236"/>
        <v>59697.153439649999</v>
      </c>
      <c r="O210" s="28">
        <f t="shared" si="236"/>
        <v>62239.99809921172</v>
      </c>
      <c r="P210" s="28">
        <f t="shared" si="236"/>
        <v>61257.257992782848</v>
      </c>
      <c r="Q210" s="28">
        <f t="shared" si="236"/>
        <v>63750.273153717804</v>
      </c>
      <c r="R210" s="28">
        <f t="shared" si="236"/>
        <v>65580.176494980056</v>
      </c>
      <c r="S210" s="28">
        <f t="shared" si="236"/>
        <v>69055.718674495132</v>
      </c>
      <c r="T210" s="28">
        <f t="shared" si="236"/>
        <v>72595.843929856303</v>
      </c>
      <c r="U210" s="28">
        <f t="shared" si="236"/>
        <v>67259.276936548791</v>
      </c>
      <c r="V210" s="28">
        <f t="shared" si="236"/>
        <v>74276.744075851209</v>
      </c>
      <c r="W210" s="28">
        <f t="shared" ref="W210:Y210" si="237">IF(W19=0,0,W19*1000000/W73)</f>
        <v>76525.468651745759</v>
      </c>
      <c r="X210" s="28">
        <f t="shared" si="237"/>
        <v>74834.511687189763</v>
      </c>
      <c r="Y210" s="28">
        <f t="shared" si="237"/>
        <v>72973.367631591085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2404.6961855852155</v>
      </c>
      <c r="C211" s="137">
        <f t="shared" si="236"/>
        <v>2511.6882151685058</v>
      </c>
      <c r="D211" s="137">
        <f t="shared" si="236"/>
        <v>2743.9693810150707</v>
      </c>
      <c r="E211" s="137">
        <f t="shared" si="236"/>
        <v>2654.2448393385994</v>
      </c>
      <c r="F211" s="137">
        <f t="shared" si="236"/>
        <v>2859.774851443131</v>
      </c>
      <c r="G211" s="137">
        <f t="shared" si="236"/>
        <v>2837.4602103340353</v>
      </c>
      <c r="H211" s="137">
        <f t="shared" si="236"/>
        <v>2809.5397658275019</v>
      </c>
      <c r="I211" s="137">
        <f t="shared" si="236"/>
        <v>2948.1510290493388</v>
      </c>
      <c r="J211" s="137">
        <f t="shared" si="236"/>
        <v>3033.8027357001097</v>
      </c>
      <c r="K211" s="137">
        <f t="shared" si="236"/>
        <v>3087.5083796419494</v>
      </c>
      <c r="L211" s="137">
        <f t="shared" si="236"/>
        <v>3261.3294075859453</v>
      </c>
      <c r="M211" s="137">
        <f t="shared" si="235"/>
        <v>3274.3515617173703</v>
      </c>
      <c r="N211" s="137">
        <f t="shared" si="236"/>
        <v>3278.4438675065098</v>
      </c>
      <c r="O211" s="137">
        <f t="shared" si="236"/>
        <v>3326.0277769547165</v>
      </c>
      <c r="P211" s="137">
        <f t="shared" si="236"/>
        <v>3362.556977953062</v>
      </c>
      <c r="Q211" s="137">
        <f t="shared" si="236"/>
        <v>3328.4534868745191</v>
      </c>
      <c r="R211" s="137">
        <f t="shared" si="236"/>
        <v>3343.906147314221</v>
      </c>
      <c r="S211" s="137">
        <f t="shared" si="236"/>
        <v>3349.2207565327917</v>
      </c>
      <c r="T211" s="137">
        <f t="shared" si="236"/>
        <v>3329.8381114554982</v>
      </c>
      <c r="U211" s="137">
        <f t="shared" si="236"/>
        <v>3313.8997338104514</v>
      </c>
      <c r="V211" s="137">
        <f t="shared" si="236"/>
        <v>3343.2898895243079</v>
      </c>
      <c r="W211" s="137">
        <f t="shared" ref="W211:Y211" si="238">IF(W20=0,0,W20*1000000/W74)</f>
        <v>3323.6062086507663</v>
      </c>
      <c r="X211" s="137">
        <f t="shared" si="238"/>
        <v>3301.9738395396939</v>
      </c>
      <c r="Y211" s="137">
        <f t="shared" si="238"/>
        <v>3279.2260872154307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1432.2182598465386</v>
      </c>
      <c r="C212" s="84">
        <f t="shared" si="236"/>
        <v>1426.9578050332445</v>
      </c>
      <c r="D212" s="84">
        <f t="shared" si="236"/>
        <v>1413.9178514939088</v>
      </c>
      <c r="E212" s="84">
        <f t="shared" si="236"/>
        <v>1388.5303580743498</v>
      </c>
      <c r="F212" s="84">
        <f t="shared" si="236"/>
        <v>1388.2341720931668</v>
      </c>
      <c r="G212" s="84">
        <f t="shared" si="236"/>
        <v>1396.9127145616401</v>
      </c>
      <c r="H212" s="84">
        <f t="shared" si="236"/>
        <v>1391.9067577201479</v>
      </c>
      <c r="I212" s="84">
        <f t="shared" si="236"/>
        <v>1383.1691536597273</v>
      </c>
      <c r="J212" s="84">
        <f t="shared" si="236"/>
        <v>1371.3349446790155</v>
      </c>
      <c r="K212" s="84">
        <f t="shared" si="236"/>
        <v>1367.3453609612257</v>
      </c>
      <c r="L212" s="84">
        <f t="shared" si="236"/>
        <v>1355.0341398266019</v>
      </c>
      <c r="M212" s="84">
        <f t="shared" si="235"/>
        <v>1345.8043414020569</v>
      </c>
      <c r="N212" s="84">
        <f t="shared" si="236"/>
        <v>1339.5730897854412</v>
      </c>
      <c r="O212" s="84">
        <f t="shared" si="236"/>
        <v>1336.2033249415369</v>
      </c>
      <c r="P212" s="84">
        <f t="shared" si="236"/>
        <v>1329.8761628139405</v>
      </c>
      <c r="Q212" s="84">
        <f t="shared" si="236"/>
        <v>1311.9406088951093</v>
      </c>
      <c r="R212" s="84">
        <f t="shared" si="236"/>
        <v>1333.3624706012056</v>
      </c>
      <c r="S212" s="84">
        <f t="shared" si="236"/>
        <v>1333.2720056571259</v>
      </c>
      <c r="T212" s="84">
        <f t="shared" si="236"/>
        <v>1323.6282979497005</v>
      </c>
      <c r="U212" s="84">
        <f t="shared" si="236"/>
        <v>1314.533717897669</v>
      </c>
      <c r="V212" s="84">
        <f t="shared" si="236"/>
        <v>1325.1714669113842</v>
      </c>
      <c r="W212" s="84">
        <f t="shared" ref="W212:Y212" si="239">IF(W21=0,0,W21*1000000/W75)</f>
        <v>1316.1572764800851</v>
      </c>
      <c r="X212" s="84">
        <f t="shared" si="239"/>
        <v>1306.9547125729475</v>
      </c>
      <c r="Y212" s="84">
        <f t="shared" si="239"/>
        <v>1297.941341714519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3756.6081411727037</v>
      </c>
      <c r="C213" s="84">
        <f t="shared" si="236"/>
        <v>3743.1097885710487</v>
      </c>
      <c r="D213" s="84">
        <f t="shared" si="236"/>
        <v>3738.5458478038518</v>
      </c>
      <c r="E213" s="84">
        <f t="shared" si="236"/>
        <v>3700.7607697783296</v>
      </c>
      <c r="F213" s="84">
        <f t="shared" si="236"/>
        <v>3699.9713643084797</v>
      </c>
      <c r="G213" s="84">
        <f t="shared" si="236"/>
        <v>3723.1017260750891</v>
      </c>
      <c r="H213" s="84">
        <f t="shared" si="236"/>
        <v>3560.6120714537674</v>
      </c>
      <c r="I213" s="84">
        <f t="shared" si="236"/>
        <v>3686.4718960342143</v>
      </c>
      <c r="J213" s="84">
        <f t="shared" si="236"/>
        <v>3654.93093901984</v>
      </c>
      <c r="K213" s="84">
        <f t="shared" si="236"/>
        <v>3615.4033392635679</v>
      </c>
      <c r="L213" s="84">
        <f t="shared" si="236"/>
        <v>3554.1596025908721</v>
      </c>
      <c r="M213" s="84">
        <f t="shared" si="235"/>
        <v>3529.9504880479908</v>
      </c>
      <c r="N213" s="84">
        <f t="shared" si="236"/>
        <v>3513.6063516764993</v>
      </c>
      <c r="O213" s="84">
        <f t="shared" si="236"/>
        <v>3504.767694607704</v>
      </c>
      <c r="P213" s="84">
        <f t="shared" si="236"/>
        <v>3488.1719916862844</v>
      </c>
      <c r="Q213" s="84">
        <f t="shared" si="236"/>
        <v>3441.1282904873174</v>
      </c>
      <c r="R213" s="84">
        <f t="shared" si="236"/>
        <v>3441.8027141758516</v>
      </c>
      <c r="S213" s="84">
        <f t="shared" si="236"/>
        <v>3441.5691974113288</v>
      </c>
      <c r="T213" s="84">
        <f t="shared" si="236"/>
        <v>3416.6759368809276</v>
      </c>
      <c r="U213" s="84">
        <f t="shared" si="236"/>
        <v>3393.2001371658976</v>
      </c>
      <c r="V213" s="84">
        <f t="shared" si="236"/>
        <v>3420.6593121729907</v>
      </c>
      <c r="W213" s="84">
        <f t="shared" ref="W213:Y213" si="240">IF(W22=0,0,W22*1000000/W76)</f>
        <v>3397.3910218343881</v>
      </c>
      <c r="X213" s="84">
        <f t="shared" si="240"/>
        <v>3373.6364838664194</v>
      </c>
      <c r="Y213" s="84">
        <f t="shared" si="240"/>
        <v>3350.3703090876847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1914.6674040072644</v>
      </c>
      <c r="O214" s="84">
        <f t="shared" si="236"/>
        <v>1879.8333056710408</v>
      </c>
      <c r="P214" s="84">
        <f t="shared" si="236"/>
        <v>1841.5260046396202</v>
      </c>
      <c r="Q214" s="84">
        <f t="shared" si="236"/>
        <v>1802.4274428514557</v>
      </c>
      <c r="R214" s="84">
        <f t="shared" si="236"/>
        <v>1846.3536168864948</v>
      </c>
      <c r="S214" s="84">
        <f t="shared" si="236"/>
        <v>1875.7093886611563</v>
      </c>
      <c r="T214" s="84">
        <f t="shared" si="236"/>
        <v>1891.8773275087412</v>
      </c>
      <c r="U214" s="84">
        <f t="shared" si="236"/>
        <v>1908.8807434958042</v>
      </c>
      <c r="V214" s="84">
        <f t="shared" si="236"/>
        <v>1955.0563536498419</v>
      </c>
      <c r="W214" s="84">
        <f t="shared" ref="W214:Y214" si="241">IF(W23=0,0,W23*1000000/W77)</f>
        <v>1972.7639839791391</v>
      </c>
      <c r="X214" s="84">
        <f t="shared" si="241"/>
        <v>1990.2517657229271</v>
      </c>
      <c r="Y214" s="84">
        <f t="shared" si="241"/>
        <v>2008.0877274643051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0</v>
      </c>
      <c r="R215" s="84">
        <f t="shared" si="236"/>
        <v>0</v>
      </c>
      <c r="S215" s="84">
        <f t="shared" si="236"/>
        <v>0</v>
      </c>
      <c r="T215" s="84">
        <f t="shared" si="236"/>
        <v>0</v>
      </c>
      <c r="U215" s="84">
        <f t="shared" si="236"/>
        <v>0</v>
      </c>
      <c r="V215" s="84">
        <f t="shared" si="236"/>
        <v>0</v>
      </c>
      <c r="W215" s="84">
        <f t="shared" ref="W215:Y215" si="242">IF(W24=0,0,W24*1000000/W78)</f>
        <v>0</v>
      </c>
      <c r="X215" s="84">
        <f t="shared" si="242"/>
        <v>0</v>
      </c>
      <c r="Y215" s="84">
        <f t="shared" si="242"/>
        <v>0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1989.6670394596101</v>
      </c>
      <c r="N216" s="84">
        <f t="shared" si="236"/>
        <v>1990.1067934903699</v>
      </c>
      <c r="O216" s="84">
        <f t="shared" si="236"/>
        <v>1990.3454993781168</v>
      </c>
      <c r="P216" s="84">
        <f t="shared" si="236"/>
        <v>1990.7954086438745</v>
      </c>
      <c r="Q216" s="84">
        <f t="shared" si="236"/>
        <v>1991.3280783999273</v>
      </c>
      <c r="R216" s="84">
        <f t="shared" si="236"/>
        <v>1990.547229003141</v>
      </c>
      <c r="S216" s="84">
        <f t="shared" si="236"/>
        <v>1990.5407976950446</v>
      </c>
      <c r="T216" s="84">
        <f t="shared" si="236"/>
        <v>1989.8528151667495</v>
      </c>
      <c r="U216" s="84">
        <f t="shared" si="236"/>
        <v>1989.1996195362651</v>
      </c>
      <c r="V216" s="84">
        <f t="shared" si="236"/>
        <v>1977.7806354259806</v>
      </c>
      <c r="W216" s="84">
        <f t="shared" ref="W216:Y216" si="243">IF(W25=0,0,W25*1000000/W79)</f>
        <v>1989.0827033915887</v>
      </c>
      <c r="X216" s="84">
        <f t="shared" si="243"/>
        <v>1988.6519800474862</v>
      </c>
      <c r="Y216" s="84">
        <f t="shared" si="243"/>
        <v>1987.9967459235802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42077.955053688253</v>
      </c>
      <c r="C217" s="110">
        <f t="shared" si="236"/>
        <v>44994.277125708439</v>
      </c>
      <c r="D217" s="110">
        <f t="shared" si="236"/>
        <v>50730.842038497227</v>
      </c>
      <c r="E217" s="110">
        <f t="shared" si="236"/>
        <v>57750.046647489231</v>
      </c>
      <c r="F217" s="110">
        <f t="shared" si="236"/>
        <v>60468.376674887302</v>
      </c>
      <c r="G217" s="110">
        <f t="shared" si="236"/>
        <v>70686.981433322158</v>
      </c>
      <c r="H217" s="110">
        <f t="shared" si="236"/>
        <v>77298.923939885441</v>
      </c>
      <c r="I217" s="110">
        <f t="shared" si="236"/>
        <v>90031.433370917366</v>
      </c>
      <c r="J217" s="110">
        <f t="shared" si="236"/>
        <v>82969.398023417292</v>
      </c>
      <c r="K217" s="110">
        <f t="shared" si="236"/>
        <v>68040.409946721382</v>
      </c>
      <c r="L217" s="110">
        <f t="shared" si="236"/>
        <v>113736.62697826503</v>
      </c>
      <c r="M217" s="110">
        <f t="shared" si="235"/>
        <v>127616.71250208186</v>
      </c>
      <c r="N217" s="110">
        <f t="shared" si="236"/>
        <v>131754.56888667608</v>
      </c>
      <c r="O217" s="110">
        <f t="shared" si="236"/>
        <v>154264.02051788548</v>
      </c>
      <c r="P217" s="110">
        <f t="shared" si="236"/>
        <v>172287.91792875718</v>
      </c>
      <c r="Q217" s="110">
        <f t="shared" si="236"/>
        <v>194860.14879539437</v>
      </c>
      <c r="R217" s="110">
        <f t="shared" si="236"/>
        <v>206779.47696089576</v>
      </c>
      <c r="S217" s="110">
        <f t="shared" si="236"/>
        <v>224083.20796547824</v>
      </c>
      <c r="T217" s="110">
        <f t="shared" si="236"/>
        <v>238819.13240666862</v>
      </c>
      <c r="U217" s="110">
        <f t="shared" si="236"/>
        <v>227578.3331219079</v>
      </c>
      <c r="V217" s="110">
        <f t="shared" si="236"/>
        <v>247733.77382055519</v>
      </c>
      <c r="W217" s="110">
        <f t="shared" ref="W217:Y217" si="244">IF(W26=0,0,W26*1000000/W80)</f>
        <v>272878.04048307537</v>
      </c>
      <c r="X217" s="110">
        <f t="shared" si="244"/>
        <v>263140.90927427489</v>
      </c>
      <c r="Y217" s="110">
        <f t="shared" si="244"/>
        <v>255416.27978953885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28616.055072407875</v>
      </c>
      <c r="C218" s="163">
        <f t="shared" si="236"/>
        <v>30956.547921488924</v>
      </c>
      <c r="D218" s="163">
        <f t="shared" si="236"/>
        <v>36242.698947911485</v>
      </c>
      <c r="E218" s="163">
        <f t="shared" si="236"/>
        <v>43235.041406921264</v>
      </c>
      <c r="F218" s="163">
        <f t="shared" si="236"/>
        <v>43631.297206130381</v>
      </c>
      <c r="G218" s="163">
        <f t="shared" si="236"/>
        <v>52565.803387744898</v>
      </c>
      <c r="H218" s="163">
        <f t="shared" si="236"/>
        <v>54302.439414220928</v>
      </c>
      <c r="I218" s="163">
        <f t="shared" si="236"/>
        <v>62906.769906874542</v>
      </c>
      <c r="J218" s="163">
        <f t="shared" si="236"/>
        <v>55500.842579826232</v>
      </c>
      <c r="K218" s="163">
        <f t="shared" si="236"/>
        <v>46434.745030250648</v>
      </c>
      <c r="L218" s="163">
        <f t="shared" si="236"/>
        <v>80221.776719709305</v>
      </c>
      <c r="M218" s="163">
        <f t="shared" si="235"/>
        <v>87410.392785173928</v>
      </c>
      <c r="N218" s="163">
        <f t="shared" si="236"/>
        <v>87109.986347440965</v>
      </c>
      <c r="O218" s="163">
        <f t="shared" si="236"/>
        <v>100268.28832051512</v>
      </c>
      <c r="P218" s="163">
        <f t="shared" si="236"/>
        <v>111223.86847980515</v>
      </c>
      <c r="Q218" s="163">
        <f t="shared" si="236"/>
        <v>120207.8421098594</v>
      </c>
      <c r="R218" s="163">
        <f t="shared" si="236"/>
        <v>129063.40521403283</v>
      </c>
      <c r="S218" s="163">
        <f t="shared" si="236"/>
        <v>148365.23491162196</v>
      </c>
      <c r="T218" s="163">
        <f t="shared" si="236"/>
        <v>157513.66120218579</v>
      </c>
      <c r="U218" s="163">
        <f t="shared" si="236"/>
        <v>152626.54335049429</v>
      </c>
      <c r="V218" s="163">
        <f t="shared" si="236"/>
        <v>163297.59184390929</v>
      </c>
      <c r="W218" s="163">
        <f t="shared" ref="W218:Y218" si="245">IF(W27=0,0,W27*1000000/W81)</f>
        <v>188628.45207704804</v>
      </c>
      <c r="X218" s="163">
        <f t="shared" si="245"/>
        <v>176044.83869544111</v>
      </c>
      <c r="Y218" s="163">
        <f t="shared" si="245"/>
        <v>171332.06670888746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1211459.3137290967</v>
      </c>
      <c r="C219" s="86">
        <f t="shared" si="236"/>
        <v>1210542.5461616782</v>
      </c>
      <c r="D219" s="86">
        <f t="shared" si="236"/>
        <v>1219103.7840226877</v>
      </c>
      <c r="E219" s="86">
        <f t="shared" si="236"/>
        <v>1211798.4502293328</v>
      </c>
      <c r="F219" s="86">
        <f t="shared" si="236"/>
        <v>1188759.5448097188</v>
      </c>
      <c r="G219" s="86">
        <f t="shared" si="236"/>
        <v>1190046.3535574537</v>
      </c>
      <c r="H219" s="86">
        <f t="shared" si="236"/>
        <v>1198080.8518494146</v>
      </c>
      <c r="I219" s="86">
        <f t="shared" si="236"/>
        <v>1199750.6488069503</v>
      </c>
      <c r="J219" s="86">
        <f t="shared" si="236"/>
        <v>1182987.5434081727</v>
      </c>
      <c r="K219" s="86">
        <f t="shared" si="236"/>
        <v>1166842.7971272324</v>
      </c>
      <c r="L219" s="86">
        <f t="shared" si="236"/>
        <v>1205499.9735641151</v>
      </c>
      <c r="M219" s="86">
        <f t="shared" si="235"/>
        <v>1201831.6323171924</v>
      </c>
      <c r="N219" s="86">
        <f t="shared" si="236"/>
        <v>1197510.8949882414</v>
      </c>
      <c r="O219" s="86">
        <f t="shared" si="236"/>
        <v>1198866.5766268738</v>
      </c>
      <c r="P219" s="86">
        <f t="shared" si="236"/>
        <v>1201933.9536405527</v>
      </c>
      <c r="Q219" s="86">
        <f t="shared" si="236"/>
        <v>1190601.0502002412</v>
      </c>
      <c r="R219" s="86">
        <f t="shared" si="236"/>
        <v>1184365.8531451188</v>
      </c>
      <c r="S219" s="86">
        <f t="shared" si="236"/>
        <v>1191059.2872345506</v>
      </c>
      <c r="T219" s="86">
        <f t="shared" si="236"/>
        <v>1202374.5277927686</v>
      </c>
      <c r="U219" s="86">
        <f t="shared" si="236"/>
        <v>1195294.1176470588</v>
      </c>
      <c r="V219" s="86">
        <f t="shared" si="236"/>
        <v>1178208.2324455206</v>
      </c>
      <c r="W219" s="86">
        <f t="shared" ref="W219:Y219" si="246">IF(W28=0,0,W28*1000000/W82)</f>
        <v>1193810.2486047691</v>
      </c>
      <c r="X219" s="86">
        <f t="shared" si="246"/>
        <v>1189671.3615023475</v>
      </c>
      <c r="Y219" s="86">
        <f t="shared" si="246"/>
        <v>1176144.2441054091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4.6848847856229038E-3</v>
      </c>
      <c r="C223" s="154">
        <f t="shared" si="251"/>
        <v>4.5663289874702242E-3</v>
      </c>
      <c r="D223" s="154">
        <f t="shared" si="251"/>
        <v>4.3910981004238849E-3</v>
      </c>
      <c r="E223" s="154">
        <f t="shared" si="251"/>
        <v>4.1944984019635766E-3</v>
      </c>
      <c r="F223" s="154">
        <f t="shared" si="251"/>
        <v>4.5787492402651073E-3</v>
      </c>
      <c r="G223" s="154">
        <f t="shared" si="251"/>
        <v>4.2904613084127829E-3</v>
      </c>
      <c r="H223" s="154">
        <f t="shared" si="251"/>
        <v>3.7705240641555033E-3</v>
      </c>
      <c r="I223" s="154">
        <f t="shared" si="251"/>
        <v>3.2857602030025158E-3</v>
      </c>
      <c r="J223" s="154">
        <f t="shared" si="251"/>
        <v>3.5077067681553993E-3</v>
      </c>
      <c r="K223" s="154">
        <f t="shared" si="251"/>
        <v>3.8399249650916097E-3</v>
      </c>
      <c r="L223" s="154">
        <f t="shared" ref="L223" si="252">IF(L5=0,0,L5/L$4)</f>
        <v>3.9178642296221278E-3</v>
      </c>
      <c r="M223" s="154">
        <f t="shared" ref="M223:V223" si="253">IF(M5=0,0,M5/M$4)</f>
        <v>4.1639182366911233E-3</v>
      </c>
      <c r="N223" s="154">
        <f t="shared" si="253"/>
        <v>3.7015552862437839E-3</v>
      </c>
      <c r="O223" s="154">
        <f t="shared" si="253"/>
        <v>3.846581425613936E-3</v>
      </c>
      <c r="P223" s="154">
        <f t="shared" si="253"/>
        <v>4.4250942902293901E-3</v>
      </c>
      <c r="Q223" s="154">
        <f t="shared" si="253"/>
        <v>5.3879164957346274E-3</v>
      </c>
      <c r="R223" s="154">
        <f t="shared" si="253"/>
        <v>5.342311660522024E-3</v>
      </c>
      <c r="S223" s="154">
        <f t="shared" si="253"/>
        <v>4.8005272158992088E-3</v>
      </c>
      <c r="T223" s="154">
        <f t="shared" si="253"/>
        <v>4.5437575879589479E-3</v>
      </c>
      <c r="U223" s="154">
        <f t="shared" si="253"/>
        <v>4.7987849524561057E-3</v>
      </c>
      <c r="V223" s="154">
        <f t="shared" si="253"/>
        <v>4.7825084366062073E-3</v>
      </c>
      <c r="W223" s="154">
        <f t="shared" ref="W223:Y223" si="254">IF(W5=0,0,W5/W$4)</f>
        <v>5.5903110402884962E-3</v>
      </c>
      <c r="X223" s="154">
        <f t="shared" si="254"/>
        <v>5.8614787306652321E-3</v>
      </c>
      <c r="Y223" s="154">
        <f t="shared" si="254"/>
        <v>6.0432355038260391E-3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0.82655429123088797</v>
      </c>
      <c r="C224" s="156">
        <f t="shared" si="255"/>
        <v>0.83503698372249968</v>
      </c>
      <c r="D224" s="156">
        <f t="shared" si="255"/>
        <v>0.83743430951784548</v>
      </c>
      <c r="E224" s="156">
        <f t="shared" si="255"/>
        <v>0.83250620712376033</v>
      </c>
      <c r="F224" s="156">
        <f t="shared" si="255"/>
        <v>0.80879821767210969</v>
      </c>
      <c r="G224" s="156">
        <f t="shared" si="255"/>
        <v>0.80383509934098696</v>
      </c>
      <c r="H224" s="156">
        <f t="shared" si="255"/>
        <v>0.83137329227065904</v>
      </c>
      <c r="I224" s="156">
        <f t="shared" si="255"/>
        <v>0.8550399150210013</v>
      </c>
      <c r="J224" s="156">
        <f t="shared" si="255"/>
        <v>0.84692485818222751</v>
      </c>
      <c r="K224" s="156">
        <f t="shared" si="255"/>
        <v>0.85237239974837598</v>
      </c>
      <c r="L224" s="156">
        <f t="shared" ref="L224" si="256">IF(L6=0,0,L6/L$4)</f>
        <v>0.83866626389942756</v>
      </c>
      <c r="M224" s="156">
        <f t="shared" ref="M224:V224" si="257">IF(M6=0,0,M6/M$4)</f>
        <v>0.82129938049291007</v>
      </c>
      <c r="N224" s="156">
        <f t="shared" si="257"/>
        <v>0.80445244660438897</v>
      </c>
      <c r="O224" s="156">
        <f t="shared" si="257"/>
        <v>0.80798751004090319</v>
      </c>
      <c r="P224" s="156">
        <f t="shared" si="257"/>
        <v>0.81908535897971646</v>
      </c>
      <c r="Q224" s="156">
        <f t="shared" si="257"/>
        <v>0.83197242755187562</v>
      </c>
      <c r="R224" s="156">
        <f t="shared" si="257"/>
        <v>0.83892930787998743</v>
      </c>
      <c r="S224" s="156">
        <f t="shared" si="257"/>
        <v>0.85138294294413797</v>
      </c>
      <c r="T224" s="156">
        <f t="shared" si="257"/>
        <v>0.85239893773366671</v>
      </c>
      <c r="U224" s="156">
        <f t="shared" si="257"/>
        <v>0.85371573282326052</v>
      </c>
      <c r="V224" s="156">
        <f t="shared" si="257"/>
        <v>0.89451085156063215</v>
      </c>
      <c r="W224" s="156">
        <f t="shared" ref="W224:Y224" si="258">IF(W6=0,0,W6/W$4)</f>
        <v>0.90196126108976171</v>
      </c>
      <c r="X224" s="156">
        <f t="shared" si="258"/>
        <v>0.87344401398409921</v>
      </c>
      <c r="Y224" s="156">
        <f t="shared" si="258"/>
        <v>0.87111686592247184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0.69617178689288728</v>
      </c>
      <c r="C225" s="103">
        <f t="shared" si="259"/>
        <v>0.68117574235124234</v>
      </c>
      <c r="D225" s="103">
        <f t="shared" si="259"/>
        <v>0.66225563098373363</v>
      </c>
      <c r="E225" s="103">
        <f t="shared" si="259"/>
        <v>0.62861990637861365</v>
      </c>
      <c r="F225" s="103">
        <f t="shared" si="259"/>
        <v>0.57820868555995941</v>
      </c>
      <c r="G225" s="103">
        <f t="shared" si="259"/>
        <v>0.543097328511287</v>
      </c>
      <c r="H225" s="103">
        <f t="shared" si="259"/>
        <v>0.53662653383088832</v>
      </c>
      <c r="I225" s="103">
        <f t="shared" si="259"/>
        <v>0.54562234808531707</v>
      </c>
      <c r="J225" s="103">
        <f t="shared" si="259"/>
        <v>0.51310361613844091</v>
      </c>
      <c r="K225" s="103">
        <f t="shared" si="259"/>
        <v>0.47515530000504247</v>
      </c>
      <c r="L225" s="103">
        <f t="shared" ref="L225" si="260">IF(L7=0,0,L7/L$4)</f>
        <v>0.44891239490441565</v>
      </c>
      <c r="M225" s="103">
        <f t="shared" ref="M225:V225" si="261">IF(M7=0,0,M7/M$4)</f>
        <v>0.41114542474443477</v>
      </c>
      <c r="N225" s="103">
        <f t="shared" si="261"/>
        <v>0.35270917505041466</v>
      </c>
      <c r="O225" s="103">
        <f t="shared" si="261"/>
        <v>0.32707850322813953</v>
      </c>
      <c r="P225" s="103">
        <f t="shared" si="261"/>
        <v>0.28616776103658204</v>
      </c>
      <c r="Q225" s="103">
        <f t="shared" si="261"/>
        <v>0.27385237824623676</v>
      </c>
      <c r="R225" s="103">
        <f t="shared" si="261"/>
        <v>0.24293908538343512</v>
      </c>
      <c r="S225" s="103">
        <f t="shared" si="261"/>
        <v>0.22934067330104252</v>
      </c>
      <c r="T225" s="103">
        <f t="shared" si="261"/>
        <v>0.21557557902315808</v>
      </c>
      <c r="U225" s="103">
        <f t="shared" si="261"/>
        <v>0.19774306944175968</v>
      </c>
      <c r="V225" s="103">
        <f t="shared" si="261"/>
        <v>0.20477463935358325</v>
      </c>
      <c r="W225" s="103">
        <f t="shared" ref="W225:Y225" si="262">IF(W7=0,0,W7/W$4)</f>
        <v>0.205712448347667</v>
      </c>
      <c r="X225" s="103">
        <f t="shared" si="262"/>
        <v>0.19306411229475148</v>
      </c>
      <c r="Y225" s="103">
        <f t="shared" si="262"/>
        <v>0.19565574316073181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9.0448617434239639E-2</v>
      </c>
      <c r="C226" s="103">
        <f t="shared" si="263"/>
        <v>0.11229978311737858</v>
      </c>
      <c r="D226" s="103">
        <f t="shared" si="263"/>
        <v>0.13692833415214745</v>
      </c>
      <c r="E226" s="103">
        <f t="shared" si="263"/>
        <v>0.16525951169056702</v>
      </c>
      <c r="F226" s="103">
        <f t="shared" si="263"/>
        <v>0.18642273830714529</v>
      </c>
      <c r="G226" s="103">
        <f t="shared" si="263"/>
        <v>0.2168931586129301</v>
      </c>
      <c r="H226" s="103">
        <f t="shared" si="263"/>
        <v>0.25210914429881004</v>
      </c>
      <c r="I226" s="103">
        <f t="shared" si="263"/>
        <v>0.27068357612188298</v>
      </c>
      <c r="J226" s="103">
        <f t="shared" si="263"/>
        <v>0.29833844238875018</v>
      </c>
      <c r="K226" s="103">
        <f t="shared" si="263"/>
        <v>0.33987905681549463</v>
      </c>
      <c r="L226" s="103">
        <f t="shared" ref="L226" si="264">IF(L8=0,0,L8/L$4)</f>
        <v>0.34925249241815376</v>
      </c>
      <c r="M226" s="103">
        <f t="shared" ref="M226:V226" si="265">IF(M8=0,0,M8/M$4)</f>
        <v>0.36219157117227846</v>
      </c>
      <c r="N226" s="103">
        <f t="shared" si="265"/>
        <v>0.37732537093404089</v>
      </c>
      <c r="O226" s="103">
        <f t="shared" si="265"/>
        <v>0.39933785599143168</v>
      </c>
      <c r="P226" s="103">
        <f t="shared" si="265"/>
        <v>0.44769609088277534</v>
      </c>
      <c r="Q226" s="103">
        <f t="shared" si="265"/>
        <v>0.4870348630157027</v>
      </c>
      <c r="R226" s="103">
        <f t="shared" si="265"/>
        <v>0.51985922764285475</v>
      </c>
      <c r="S226" s="103">
        <f t="shared" si="265"/>
        <v>0.55351210280009833</v>
      </c>
      <c r="T226" s="103">
        <f t="shared" si="265"/>
        <v>0.57513906527308023</v>
      </c>
      <c r="U226" s="103">
        <f t="shared" si="265"/>
        <v>0.60263262991432998</v>
      </c>
      <c r="V226" s="103">
        <f t="shared" si="265"/>
        <v>0.6396862835130015</v>
      </c>
      <c r="W226" s="103">
        <f t="shared" ref="W226:Y226" si="266">IF(W8=0,0,W8/W$4)</f>
        <v>0.65128536197634967</v>
      </c>
      <c r="X226" s="103">
        <f t="shared" si="266"/>
        <v>0.63685673887536998</v>
      </c>
      <c r="Y226" s="103">
        <f t="shared" si="266"/>
        <v>0.6312912380281227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3.970693034690765E-2</v>
      </c>
      <c r="C227" s="103">
        <f t="shared" si="267"/>
        <v>4.1379397802328265E-2</v>
      </c>
      <c r="D227" s="103">
        <f t="shared" si="267"/>
        <v>3.808803423013455E-2</v>
      </c>
      <c r="E227" s="103">
        <f t="shared" si="267"/>
        <v>3.8485187057412357E-2</v>
      </c>
      <c r="F227" s="103">
        <f t="shared" si="267"/>
        <v>4.4051401094466418E-2</v>
      </c>
      <c r="G227" s="103">
        <f t="shared" si="267"/>
        <v>4.3736335291602715E-2</v>
      </c>
      <c r="H227" s="103">
        <f t="shared" si="267"/>
        <v>4.2563677960767883E-2</v>
      </c>
      <c r="I227" s="103">
        <f t="shared" si="267"/>
        <v>3.8671820025213847E-2</v>
      </c>
      <c r="J227" s="103">
        <f t="shared" si="267"/>
        <v>3.5427340571703762E-2</v>
      </c>
      <c r="K227" s="103">
        <f t="shared" si="267"/>
        <v>3.7281791371860468E-2</v>
      </c>
      <c r="L227" s="103">
        <f t="shared" ref="L227" si="268">IF(L9=0,0,L9/L$4)</f>
        <v>4.0501376576858039E-2</v>
      </c>
      <c r="M227" s="103">
        <f t="shared" ref="M227:V227" si="269">IF(M9=0,0,M9/M$4)</f>
        <v>4.7962384576196934E-2</v>
      </c>
      <c r="N227" s="103">
        <f t="shared" si="269"/>
        <v>7.4402498868690381E-2</v>
      </c>
      <c r="O227" s="103">
        <f t="shared" si="269"/>
        <v>8.1546851263053582E-2</v>
      </c>
      <c r="P227" s="103">
        <f t="shared" si="269"/>
        <v>8.500426245870675E-2</v>
      </c>
      <c r="Q227" s="103">
        <f t="shared" si="269"/>
        <v>7.0843551536181049E-2</v>
      </c>
      <c r="R227" s="103">
        <f t="shared" si="269"/>
        <v>7.5864371095752101E-2</v>
      </c>
      <c r="S227" s="103">
        <f t="shared" si="269"/>
        <v>6.8185566780959689E-2</v>
      </c>
      <c r="T227" s="103">
        <f t="shared" si="269"/>
        <v>6.1071399328848502E-2</v>
      </c>
      <c r="U227" s="103">
        <f t="shared" si="269"/>
        <v>5.253220392115724E-2</v>
      </c>
      <c r="V227" s="103">
        <f t="shared" si="269"/>
        <v>4.8602143757336617E-2</v>
      </c>
      <c r="W227" s="103">
        <f t="shared" ref="W227:Y227" si="270">IF(W9=0,0,W9/W$4)</f>
        <v>4.2625609036346587E-2</v>
      </c>
      <c r="X227" s="103">
        <f t="shared" si="270"/>
        <v>3.9418271191061789E-2</v>
      </c>
      <c r="Y227" s="103">
        <f t="shared" si="270"/>
        <v>3.7806854697536009E-2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2.2695655685345061E-4</v>
      </c>
      <c r="C228" s="103">
        <f t="shared" si="271"/>
        <v>1.8206045155045599E-4</v>
      </c>
      <c r="D228" s="103">
        <f t="shared" si="271"/>
        <v>1.6231015182973393E-4</v>
      </c>
      <c r="E228" s="103">
        <f t="shared" si="271"/>
        <v>1.4160199716735115E-4</v>
      </c>
      <c r="F228" s="103">
        <f t="shared" si="271"/>
        <v>1.1539271053849999E-4</v>
      </c>
      <c r="G228" s="103">
        <f t="shared" si="271"/>
        <v>1.0827692516717574E-4</v>
      </c>
      <c r="H228" s="103">
        <f t="shared" si="271"/>
        <v>7.3936180192774078E-5</v>
      </c>
      <c r="I228" s="103">
        <f t="shared" si="271"/>
        <v>6.2170788587489833E-5</v>
      </c>
      <c r="J228" s="103">
        <f t="shared" si="271"/>
        <v>5.545908333265905E-5</v>
      </c>
      <c r="K228" s="103">
        <f t="shared" si="271"/>
        <v>5.6251555978442789E-5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0</v>
      </c>
      <c r="O228" s="103">
        <f t="shared" si="273"/>
        <v>0</v>
      </c>
      <c r="P228" s="103">
        <f t="shared" si="273"/>
        <v>0</v>
      </c>
      <c r="Q228" s="103">
        <f t="shared" si="273"/>
        <v>0</v>
      </c>
      <c r="R228" s="103">
        <f t="shared" si="273"/>
        <v>0</v>
      </c>
      <c r="S228" s="103">
        <f t="shared" si="273"/>
        <v>0</v>
      </c>
      <c r="T228" s="103">
        <f t="shared" si="273"/>
        <v>1.3171840288411397E-4</v>
      </c>
      <c r="U228" s="103">
        <f t="shared" si="273"/>
        <v>1.4090393138926598E-4</v>
      </c>
      <c r="V228" s="103">
        <f t="shared" si="273"/>
        <v>1.7096693771338371E-4</v>
      </c>
      <c r="W228" s="103">
        <f t="shared" ref="W228:Y228" si="274">IF(W10=0,0,W10/W$4)</f>
        <v>1.8387876788026933E-4</v>
      </c>
      <c r="X228" s="103">
        <f t="shared" si="274"/>
        <v>1.9243103088726921E-4</v>
      </c>
      <c r="Y228" s="103">
        <f t="shared" si="274"/>
        <v>2.0403598992096853E-4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3.0920565357857916E-6</v>
      </c>
      <c r="O229" s="103">
        <f t="shared" si="277"/>
        <v>5.8969595970693732E-6</v>
      </c>
      <c r="P229" s="103">
        <f t="shared" si="277"/>
        <v>8.697866135271069E-6</v>
      </c>
      <c r="Q229" s="103">
        <f t="shared" si="277"/>
        <v>2.2016383370589002E-5</v>
      </c>
      <c r="R229" s="103">
        <f t="shared" si="277"/>
        <v>2.4590689948751455E-5</v>
      </c>
      <c r="S229" s="103">
        <f t="shared" si="277"/>
        <v>4.5171712145465751E-5</v>
      </c>
      <c r="T229" s="103">
        <f t="shared" si="277"/>
        <v>8.0609249139727349E-5</v>
      </c>
      <c r="U229" s="103">
        <f t="shared" si="277"/>
        <v>1.072427013144029E-4</v>
      </c>
      <c r="V229" s="103">
        <f t="shared" si="277"/>
        <v>1.8106034772524937E-4</v>
      </c>
      <c r="W229" s="103">
        <f t="shared" ref="W229:Y229" si="278">IF(W11=0,0,W11/W$4)</f>
        <v>3.1882857438923968E-4</v>
      </c>
      <c r="X229" s="103">
        <f t="shared" si="278"/>
        <v>5.0611372872112076E-4</v>
      </c>
      <c r="Y229" s="103">
        <f t="shared" si="278"/>
        <v>7.7185233338672356E-4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0</v>
      </c>
      <c r="M230" s="103">
        <f t="shared" ref="M230:V230" si="281">IF(M12=0,0,M12/M$4)</f>
        <v>0</v>
      </c>
      <c r="N230" s="103">
        <f t="shared" si="281"/>
        <v>1.2309694707241671E-5</v>
      </c>
      <c r="O230" s="103">
        <f t="shared" si="281"/>
        <v>1.8402598681268129E-5</v>
      </c>
      <c r="P230" s="103">
        <f t="shared" si="281"/>
        <v>2.085467355169669E-4</v>
      </c>
      <c r="Q230" s="103">
        <f t="shared" si="281"/>
        <v>2.1961837038439645E-4</v>
      </c>
      <c r="R230" s="103">
        <f t="shared" si="281"/>
        <v>2.4203306799683218E-4</v>
      </c>
      <c r="S230" s="103">
        <f t="shared" si="281"/>
        <v>2.9942834989194649E-4</v>
      </c>
      <c r="T230" s="103">
        <f t="shared" si="281"/>
        <v>4.0056645655596674E-4</v>
      </c>
      <c r="U230" s="103">
        <f t="shared" si="281"/>
        <v>5.596829133099879E-4</v>
      </c>
      <c r="V230" s="103">
        <f t="shared" si="281"/>
        <v>1.0957576512722824E-3</v>
      </c>
      <c r="W230" s="103">
        <f t="shared" ref="W230:Y230" si="282">IF(W12=0,0,W12/W$4)</f>
        <v>1.8351343871288695E-3</v>
      </c>
      <c r="X230" s="103">
        <f t="shared" si="282"/>
        <v>3.4063468633073399E-3</v>
      </c>
      <c r="Y230" s="103">
        <f t="shared" si="282"/>
        <v>5.3871417127738259E-3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0.16876082398348913</v>
      </c>
      <c r="C231" s="156">
        <f t="shared" si="283"/>
        <v>0.16039668729003018</v>
      </c>
      <c r="D231" s="156">
        <f t="shared" si="283"/>
        <v>0.15817459238173065</v>
      </c>
      <c r="E231" s="156">
        <f t="shared" si="283"/>
        <v>0.16329929447427607</v>
      </c>
      <c r="F231" s="156">
        <f t="shared" si="283"/>
        <v>0.18662303308762526</v>
      </c>
      <c r="G231" s="156">
        <f t="shared" si="283"/>
        <v>0.19187443935060017</v>
      </c>
      <c r="H231" s="156">
        <f t="shared" si="283"/>
        <v>0.16485618366518531</v>
      </c>
      <c r="I231" s="156">
        <f t="shared" si="283"/>
        <v>0.14167432477599623</v>
      </c>
      <c r="J231" s="156">
        <f t="shared" si="283"/>
        <v>0.14956743504961703</v>
      </c>
      <c r="K231" s="156">
        <f t="shared" si="283"/>
        <v>0.1437876752865325</v>
      </c>
      <c r="L231" s="156">
        <f t="shared" ref="L231" si="284">IF(L13=0,0,L13/L$4)</f>
        <v>0.15741587187095035</v>
      </c>
      <c r="M231" s="156">
        <f t="shared" ref="M231:V231" si="285">IF(M13=0,0,M13/M$4)</f>
        <v>0.1745367012703988</v>
      </c>
      <c r="N231" s="156">
        <f t="shared" si="285"/>
        <v>0.19184599810936726</v>
      </c>
      <c r="O231" s="156">
        <f t="shared" si="285"/>
        <v>0.18816590853348286</v>
      </c>
      <c r="P231" s="156">
        <f t="shared" si="285"/>
        <v>0.17648954673005421</v>
      </c>
      <c r="Q231" s="156">
        <f t="shared" si="285"/>
        <v>0.16263965595238986</v>
      </c>
      <c r="R231" s="156">
        <f t="shared" si="285"/>
        <v>0.15572838045949061</v>
      </c>
      <c r="S231" s="156">
        <f t="shared" si="285"/>
        <v>0.14381652983996288</v>
      </c>
      <c r="T231" s="156">
        <f t="shared" si="285"/>
        <v>0.14305730467837441</v>
      </c>
      <c r="U231" s="156">
        <f t="shared" si="285"/>
        <v>0.14148548222428334</v>
      </c>
      <c r="V231" s="156">
        <f t="shared" si="285"/>
        <v>0.10070664000276158</v>
      </c>
      <c r="W231" s="156">
        <f t="shared" ref="W231:Y231" si="286">IF(W13=0,0,W13/W$4)</f>
        <v>9.244842786994982E-2</v>
      </c>
      <c r="X231" s="156">
        <f t="shared" si="286"/>
        <v>0.12069450728523551</v>
      </c>
      <c r="Y231" s="156">
        <f t="shared" si="286"/>
        <v>0.12283989857370212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6.4361303139997827E-3</v>
      </c>
      <c r="C232" s="103">
        <f t="shared" si="287"/>
        <v>6.2012484570695319E-3</v>
      </c>
      <c r="D232" s="103">
        <f t="shared" si="287"/>
        <v>5.9306083352259958E-3</v>
      </c>
      <c r="E232" s="103">
        <f t="shared" si="287"/>
        <v>5.5194805129778705E-3</v>
      </c>
      <c r="F232" s="103">
        <f t="shared" si="287"/>
        <v>5.8587095944498332E-3</v>
      </c>
      <c r="G232" s="103">
        <f t="shared" si="287"/>
        <v>5.6060422108317239E-3</v>
      </c>
      <c r="H232" s="103">
        <f t="shared" si="287"/>
        <v>4.5672581355505381E-3</v>
      </c>
      <c r="I232" s="103">
        <f t="shared" si="287"/>
        <v>3.7089880659567148E-3</v>
      </c>
      <c r="J232" s="103">
        <f t="shared" si="287"/>
        <v>3.7612017465033934E-3</v>
      </c>
      <c r="K232" s="103">
        <f t="shared" si="287"/>
        <v>3.6889846923425385E-3</v>
      </c>
      <c r="L232" s="103">
        <f t="shared" ref="L232" si="288">IF(L14=0,0,L14/L$4)</f>
        <v>3.30603298205851E-3</v>
      </c>
      <c r="M232" s="103">
        <f t="shared" ref="M232:V232" si="289">IF(M14=0,0,M14/M$4)</f>
        <v>2.236570847983085E-3</v>
      </c>
      <c r="N232" s="103">
        <f t="shared" si="289"/>
        <v>1.9480357338905088E-3</v>
      </c>
      <c r="O232" s="103">
        <f t="shared" si="289"/>
        <v>1.4025947582384474E-3</v>
      </c>
      <c r="P232" s="103">
        <f t="shared" si="289"/>
        <v>8.7993947844259885E-4</v>
      </c>
      <c r="Q232" s="103">
        <f t="shared" si="289"/>
        <v>6.8070111545282203E-4</v>
      </c>
      <c r="R232" s="103">
        <f t="shared" si="289"/>
        <v>4.8845510179044386E-4</v>
      </c>
      <c r="S232" s="103">
        <f t="shared" si="289"/>
        <v>4.0772390746346052E-4</v>
      </c>
      <c r="T232" s="103">
        <f t="shared" si="289"/>
        <v>3.5950966419074672E-4</v>
      </c>
      <c r="U232" s="103">
        <f t="shared" si="289"/>
        <v>3.3563940234014323E-4</v>
      </c>
      <c r="V232" s="103">
        <f t="shared" si="289"/>
        <v>2.201595246351798E-4</v>
      </c>
      <c r="W232" s="103">
        <f t="shared" ref="W232:Y232" si="290">IF(W14=0,0,W14/W$4)</f>
        <v>1.6995528551921044E-4</v>
      </c>
      <c r="X232" s="103">
        <f t="shared" si="290"/>
        <v>1.9279447757972881E-4</v>
      </c>
      <c r="Y232" s="103">
        <f t="shared" si="290"/>
        <v>2.1274713292827719E-4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0.15748731066777769</v>
      </c>
      <c r="C233" s="103">
        <f t="shared" si="291"/>
        <v>0.14812224302619323</v>
      </c>
      <c r="D233" s="103">
        <f t="shared" si="291"/>
        <v>0.14736847579372281</v>
      </c>
      <c r="E233" s="103">
        <f t="shared" si="291"/>
        <v>0.15317803469557453</v>
      </c>
      <c r="F233" s="103">
        <f t="shared" si="291"/>
        <v>0.17552443532019674</v>
      </c>
      <c r="G233" s="103">
        <f t="shared" si="291"/>
        <v>0.17920101794254117</v>
      </c>
      <c r="H233" s="103">
        <f t="shared" si="291"/>
        <v>0.15421033741934759</v>
      </c>
      <c r="I233" s="103">
        <f t="shared" si="291"/>
        <v>0.13176716132101116</v>
      </c>
      <c r="J233" s="103">
        <f t="shared" si="291"/>
        <v>0.13836812259562453</v>
      </c>
      <c r="K233" s="103">
        <f t="shared" si="291"/>
        <v>0.13089661189362939</v>
      </c>
      <c r="L233" s="103">
        <f t="shared" ref="L233" si="292">IF(L15=0,0,L15/L$4)</f>
        <v>0.14058530864134458</v>
      </c>
      <c r="M233" s="103">
        <f t="shared" ref="M233:V233" si="293">IF(M15=0,0,M15/M$4)</f>
        <v>0.15728337012070798</v>
      </c>
      <c r="N233" s="103">
        <f t="shared" si="293"/>
        <v>0.17367236823930185</v>
      </c>
      <c r="O233" s="103">
        <f t="shared" si="293"/>
        <v>0.17081562593212815</v>
      </c>
      <c r="P233" s="103">
        <f t="shared" si="293"/>
        <v>0.160656264307557</v>
      </c>
      <c r="Q233" s="103">
        <f t="shared" si="293"/>
        <v>0.14743454467235412</v>
      </c>
      <c r="R233" s="103">
        <f t="shared" si="293"/>
        <v>0.14008037080802135</v>
      </c>
      <c r="S233" s="103">
        <f t="shared" si="293"/>
        <v>0.13118842223134827</v>
      </c>
      <c r="T233" s="103">
        <f t="shared" si="293"/>
        <v>0.13014216792911065</v>
      </c>
      <c r="U233" s="103">
        <f t="shared" si="293"/>
        <v>0.12755225649864174</v>
      </c>
      <c r="V233" s="103">
        <f t="shared" si="293"/>
        <v>8.8377657402487805E-2</v>
      </c>
      <c r="W233" s="103">
        <f t="shared" ref="W233:Y233" si="294">IF(W15=0,0,W15/W$4)</f>
        <v>7.6187874698564625E-2</v>
      </c>
      <c r="X233" s="103">
        <f t="shared" si="294"/>
        <v>9.9348588064517365E-2</v>
      </c>
      <c r="Y233" s="103">
        <f t="shared" si="294"/>
        <v>9.8113944946694703E-2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3.75750541480931E-4</v>
      </c>
      <c r="S234" s="103">
        <f t="shared" si="297"/>
        <v>2.6080599001678298E-4</v>
      </c>
      <c r="T234" s="103">
        <f t="shared" si="297"/>
        <v>2.0242930791129611E-4</v>
      </c>
      <c r="U234" s="103">
        <f t="shared" si="297"/>
        <v>1.4290012493283548E-4</v>
      </c>
      <c r="V234" s="103">
        <f t="shared" si="297"/>
        <v>8.5419029399640413E-5</v>
      </c>
      <c r="W234" s="103">
        <f t="shared" ref="W234:Y234" si="298">IF(W16=0,0,W16/W$4)</f>
        <v>7.6083720055528139E-5</v>
      </c>
      <c r="X234" s="103">
        <f t="shared" si="298"/>
        <v>9.4232703279639198E-5</v>
      </c>
      <c r="Y234" s="103">
        <f t="shared" si="298"/>
        <v>9.421859413847835E-5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4.3424586881456624E-3</v>
      </c>
      <c r="C235" s="103">
        <f t="shared" si="299"/>
        <v>4.9477017735450411E-3</v>
      </c>
      <c r="D235" s="103">
        <f t="shared" si="299"/>
        <v>3.8109130157862807E-3</v>
      </c>
      <c r="E235" s="103">
        <f t="shared" si="299"/>
        <v>3.6361209217611414E-3</v>
      </c>
      <c r="F235" s="103">
        <f t="shared" si="299"/>
        <v>4.1468967912142067E-3</v>
      </c>
      <c r="G235" s="103">
        <f t="shared" si="299"/>
        <v>4.3858709262336523E-3</v>
      </c>
      <c r="H235" s="103">
        <f t="shared" si="299"/>
        <v>3.6257252951904209E-3</v>
      </c>
      <c r="I235" s="103">
        <f t="shared" si="299"/>
        <v>2.9476449391947698E-3</v>
      </c>
      <c r="J235" s="103">
        <f t="shared" si="299"/>
        <v>1.1737073130416429E-3</v>
      </c>
      <c r="K235" s="103">
        <f t="shared" si="299"/>
        <v>4.8439211683928966E-5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0</v>
      </c>
      <c r="P235" s="103">
        <f t="shared" si="301"/>
        <v>0</v>
      </c>
      <c r="Q235" s="103">
        <f t="shared" si="301"/>
        <v>0</v>
      </c>
      <c r="R235" s="103">
        <f t="shared" si="301"/>
        <v>0</v>
      </c>
      <c r="S235" s="103">
        <f t="shared" si="301"/>
        <v>0</v>
      </c>
      <c r="T235" s="103">
        <f t="shared" si="301"/>
        <v>0</v>
      </c>
      <c r="U235" s="103">
        <f t="shared" si="301"/>
        <v>2.6126215502427505E-4</v>
      </c>
      <c r="V235" s="103">
        <f t="shared" si="301"/>
        <v>9.2958529900320709E-4</v>
      </c>
      <c r="W235" s="103">
        <f t="shared" ref="W235:Y235" si="302">IF(W17=0,0,W17/W$4)</f>
        <v>2.2999789051100861E-3</v>
      </c>
      <c r="X235" s="103">
        <f t="shared" si="302"/>
        <v>5.3731537583572844E-3</v>
      </c>
      <c r="Y235" s="103">
        <f t="shared" si="302"/>
        <v>6.3956538742584081E-3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4.949243135660118E-4</v>
      </c>
      <c r="C236" s="103">
        <f t="shared" si="303"/>
        <v>1.1254940332223705E-3</v>
      </c>
      <c r="D236" s="103">
        <f t="shared" si="303"/>
        <v>1.064595236995548E-3</v>
      </c>
      <c r="E236" s="103">
        <f t="shared" si="303"/>
        <v>9.656583439625288E-4</v>
      </c>
      <c r="F236" s="103">
        <f t="shared" si="303"/>
        <v>1.0929913817644709E-3</v>
      </c>
      <c r="G236" s="103">
        <f t="shared" si="303"/>
        <v>2.681508270993609E-3</v>
      </c>
      <c r="H236" s="103">
        <f t="shared" si="303"/>
        <v>2.4528628150967536E-3</v>
      </c>
      <c r="I236" s="103">
        <f t="shared" si="303"/>
        <v>3.2505304498336137E-3</v>
      </c>
      <c r="J236" s="103">
        <f t="shared" si="303"/>
        <v>6.2644033944474539E-3</v>
      </c>
      <c r="K236" s="103">
        <f t="shared" si="303"/>
        <v>9.153639488876637E-3</v>
      </c>
      <c r="L236" s="103">
        <f t="shared" ref="L236" si="304">IF(L18=0,0,L18/L$4)</f>
        <v>1.3524530247547238E-2</v>
      </c>
      <c r="M236" s="103">
        <f t="shared" ref="M236:V236" si="305">IF(M18=0,0,M18/M$4)</f>
        <v>1.5016760301707736E-2</v>
      </c>
      <c r="N236" s="103">
        <f t="shared" si="305"/>
        <v>1.6225594136174897E-2</v>
      </c>
      <c r="O236" s="103">
        <f t="shared" si="305"/>
        <v>1.5947687843116242E-2</v>
      </c>
      <c r="P236" s="103">
        <f t="shared" si="305"/>
        <v>1.4953342944054605E-2</v>
      </c>
      <c r="Q236" s="103">
        <f t="shared" si="305"/>
        <v>1.4524410164582929E-2</v>
      </c>
      <c r="R236" s="103">
        <f t="shared" si="305"/>
        <v>1.4783804008197864E-2</v>
      </c>
      <c r="S236" s="103">
        <f t="shared" si="305"/>
        <v>1.1959577711134328E-2</v>
      </c>
      <c r="T236" s="103">
        <f t="shared" si="305"/>
        <v>1.235319777716171E-2</v>
      </c>
      <c r="U236" s="103">
        <f t="shared" si="305"/>
        <v>1.3193424043344365E-2</v>
      </c>
      <c r="V236" s="103">
        <f t="shared" si="305"/>
        <v>1.1093818747235751E-2</v>
      </c>
      <c r="W236" s="103">
        <f t="shared" ref="W236:Y236" si="306">IF(W18=0,0,W18/W$4)</f>
        <v>1.3714535260700361E-2</v>
      </c>
      <c r="X236" s="103">
        <f t="shared" si="306"/>
        <v>1.5685738281501483E-2</v>
      </c>
      <c r="Y236" s="103">
        <f t="shared" si="306"/>
        <v>1.8023334025682253E-2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2.8470974574264347E-2</v>
      </c>
      <c r="C238" s="154">
        <f t="shared" si="311"/>
        <v>3.0322466971936746E-2</v>
      </c>
      <c r="D238" s="154">
        <f t="shared" si="311"/>
        <v>3.3956366660738785E-2</v>
      </c>
      <c r="E238" s="154">
        <f t="shared" si="311"/>
        <v>2.7602556361799684E-2</v>
      </c>
      <c r="F238" s="154">
        <f t="shared" si="311"/>
        <v>3.4262023064783792E-2</v>
      </c>
      <c r="G238" s="154">
        <f t="shared" si="311"/>
        <v>2.9055110084360642E-2</v>
      </c>
      <c r="H238" s="154">
        <f t="shared" si="311"/>
        <v>3.0450435790128461E-2</v>
      </c>
      <c r="I238" s="154">
        <f t="shared" si="311"/>
        <v>3.007724751748873E-2</v>
      </c>
      <c r="J238" s="154">
        <f t="shared" si="311"/>
        <v>3.4741819856476633E-2</v>
      </c>
      <c r="K238" s="154">
        <f t="shared" si="311"/>
        <v>4.0078971728990678E-2</v>
      </c>
      <c r="L238" s="154">
        <f t="shared" ref="L238" si="312">IF(L20=0,0,L20/L$19)</f>
        <v>2.9822998813654224E-2</v>
      </c>
      <c r="M238" s="154">
        <f t="shared" ref="M238:V238" si="313">IF(M20=0,0,M20/M$19)</f>
        <v>2.9016999000454517E-2</v>
      </c>
      <c r="N238" s="154">
        <f t="shared" si="313"/>
        <v>3.0801394607482765E-2</v>
      </c>
      <c r="O238" s="154">
        <f t="shared" si="313"/>
        <v>3.258058991533419E-2</v>
      </c>
      <c r="P238" s="154">
        <f t="shared" si="313"/>
        <v>3.6079471289928486E-2</v>
      </c>
      <c r="Q238" s="154">
        <f t="shared" si="313"/>
        <v>3.5740053236571707E-2</v>
      </c>
      <c r="R238" s="154">
        <f t="shared" si="313"/>
        <v>3.5390536947477486E-2</v>
      </c>
      <c r="S238" s="154">
        <f t="shared" si="313"/>
        <v>3.4063057686912458E-2</v>
      </c>
      <c r="T238" s="154">
        <f t="shared" si="313"/>
        <v>3.2376661378818797E-2</v>
      </c>
      <c r="U238" s="154">
        <f t="shared" si="313"/>
        <v>3.5221829802336437E-2</v>
      </c>
      <c r="V238" s="154">
        <f t="shared" si="313"/>
        <v>3.1946905034036625E-2</v>
      </c>
      <c r="W238" s="154">
        <f t="shared" ref="W238:Y238" si="314">IF(W20=0,0,W20/W$19)</f>
        <v>3.1636882179696797E-2</v>
      </c>
      <c r="X238" s="154">
        <f t="shared" si="314"/>
        <v>3.1976619262436549E-2</v>
      </c>
      <c r="Y238" s="154">
        <f t="shared" si="314"/>
        <v>3.2516013378390808E-2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9.8625849725017169E-3</v>
      </c>
      <c r="C239" s="103">
        <f t="shared" si="315"/>
        <v>9.1590333184544247E-3</v>
      </c>
      <c r="D239" s="103">
        <f t="shared" si="315"/>
        <v>7.4860176430603699E-3</v>
      </c>
      <c r="E239" s="103">
        <f t="shared" si="315"/>
        <v>6.5354942640481785E-3</v>
      </c>
      <c r="F239" s="103">
        <f t="shared" si="315"/>
        <v>6.0448608150272714E-3</v>
      </c>
      <c r="G239" s="103">
        <f t="shared" si="315"/>
        <v>5.4459667072006218E-3</v>
      </c>
      <c r="H239" s="103">
        <f t="shared" si="315"/>
        <v>5.2245594727163697E-3</v>
      </c>
      <c r="I239" s="103">
        <f t="shared" si="315"/>
        <v>4.5233248163323008E-3</v>
      </c>
      <c r="J239" s="103">
        <f t="shared" si="315"/>
        <v>4.2714049377584017E-3</v>
      </c>
      <c r="K239" s="103">
        <f t="shared" si="315"/>
        <v>4.1679898715520853E-3</v>
      </c>
      <c r="L239" s="103">
        <f t="shared" ref="L239" si="316">IF(L21=0,0,L21/L$19)</f>
        <v>1.6499574009648137E-3</v>
      </c>
      <c r="M239" s="103">
        <f t="shared" ref="M239:V239" si="317">IF(M21=0,0,M21/M$19)</f>
        <v>1.3952220038310858E-3</v>
      </c>
      <c r="N239" s="103">
        <f t="shared" si="317"/>
        <v>1.356742789548226E-3</v>
      </c>
      <c r="O239" s="103">
        <f t="shared" si="317"/>
        <v>1.0728153606723726E-3</v>
      </c>
      <c r="P239" s="103">
        <f t="shared" si="317"/>
        <v>8.2227847338484962E-4</v>
      </c>
      <c r="Q239" s="103">
        <f t="shared" si="317"/>
        <v>7.3731323810338821E-4</v>
      </c>
      <c r="R239" s="103">
        <f t="shared" si="317"/>
        <v>6.1993630709898835E-4</v>
      </c>
      <c r="S239" s="103">
        <f t="shared" si="317"/>
        <v>5.3864983266821952E-4</v>
      </c>
      <c r="T239" s="103">
        <f t="shared" si="317"/>
        <v>4.7091571410091032E-4</v>
      </c>
      <c r="U239" s="103">
        <f t="shared" si="317"/>
        <v>4.5455635379909354E-4</v>
      </c>
      <c r="V239" s="103">
        <f t="shared" si="317"/>
        <v>3.915894958529992E-4</v>
      </c>
      <c r="W239" s="103">
        <f t="shared" ref="W239:Y239" si="318">IF(W21=0,0,W21/W$19)</f>
        <v>3.6704216404730551E-4</v>
      </c>
      <c r="X239" s="103">
        <f t="shared" si="318"/>
        <v>3.582332581041147E-4</v>
      </c>
      <c r="Y239" s="103">
        <f t="shared" si="318"/>
        <v>3.6062984415978461E-4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1.8608389601762629E-2</v>
      </c>
      <c r="C240" s="103">
        <f t="shared" si="319"/>
        <v>2.1163433653482323E-2</v>
      </c>
      <c r="D240" s="103">
        <f t="shared" si="319"/>
        <v>2.6470349017678411E-2</v>
      </c>
      <c r="E240" s="103">
        <f t="shared" si="319"/>
        <v>2.1067062097751509E-2</v>
      </c>
      <c r="F240" s="103">
        <f t="shared" si="319"/>
        <v>2.8217162249756522E-2</v>
      </c>
      <c r="G240" s="103">
        <f t="shared" si="319"/>
        <v>2.3609143377160018E-2</v>
      </c>
      <c r="H240" s="103">
        <f t="shared" si="319"/>
        <v>2.5225876317412091E-2</v>
      </c>
      <c r="I240" s="103">
        <f t="shared" si="319"/>
        <v>2.5553922701156428E-2</v>
      </c>
      <c r="J240" s="103">
        <f t="shared" si="319"/>
        <v>3.0470414918718231E-2</v>
      </c>
      <c r="K240" s="103">
        <f t="shared" si="319"/>
        <v>3.5910981857438587E-2</v>
      </c>
      <c r="L240" s="103">
        <f t="shared" ref="L240" si="320">IF(L22=0,0,L22/L$19)</f>
        <v>2.817304141268941E-2</v>
      </c>
      <c r="M240" s="103">
        <f t="shared" ref="M240:V240" si="321">IF(M22=0,0,M22/M$19)</f>
        <v>2.7620812880143147E-2</v>
      </c>
      <c r="N240" s="103">
        <f t="shared" si="321"/>
        <v>2.9435613522263804E-2</v>
      </c>
      <c r="O240" s="103">
        <f t="shared" si="321"/>
        <v>3.1495863274619451E-2</v>
      </c>
      <c r="P240" s="103">
        <f t="shared" si="321"/>
        <v>3.5241347115094371E-2</v>
      </c>
      <c r="Q240" s="103">
        <f t="shared" si="321"/>
        <v>3.4986954202219339E-2</v>
      </c>
      <c r="R240" s="103">
        <f t="shared" si="321"/>
        <v>3.470535163991742E-2</v>
      </c>
      <c r="S240" s="103">
        <f t="shared" si="321"/>
        <v>3.3419087134941822E-2</v>
      </c>
      <c r="T240" s="103">
        <f t="shared" si="321"/>
        <v>3.1781615520011477E-2</v>
      </c>
      <c r="U240" s="103">
        <f t="shared" si="321"/>
        <v>3.4607270891782282E-2</v>
      </c>
      <c r="V240" s="103">
        <f t="shared" si="321"/>
        <v>3.1394831933805496E-2</v>
      </c>
      <c r="W240" s="103">
        <f t="shared" ref="W240:Y240" si="322">IF(W22=0,0,W22/W$19)</f>
        <v>3.11005779873736E-2</v>
      </c>
      <c r="X240" s="103">
        <f t="shared" si="322"/>
        <v>3.1434995515278404E-2</v>
      </c>
      <c r="Y240" s="103">
        <f t="shared" si="322"/>
        <v>3.1954250859269492E-2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8.1025414581830957E-6</v>
      </c>
      <c r="O241" s="103">
        <f t="shared" si="325"/>
        <v>6.8166513465488983E-6</v>
      </c>
      <c r="P241" s="103">
        <f t="shared" si="325"/>
        <v>9.8702994319680345E-6</v>
      </c>
      <c r="Q241" s="103">
        <f t="shared" si="325"/>
        <v>9.7818780590175052E-6</v>
      </c>
      <c r="R241" s="103">
        <f t="shared" si="325"/>
        <v>6.089841044430355E-5</v>
      </c>
      <c r="S241" s="103">
        <f t="shared" si="325"/>
        <v>1.0094813929312655E-4</v>
      </c>
      <c r="T241" s="103">
        <f t="shared" si="325"/>
        <v>1.2006734599135499E-4</v>
      </c>
      <c r="U241" s="103">
        <f t="shared" si="325"/>
        <v>1.5501037742260369E-4</v>
      </c>
      <c r="V241" s="103">
        <f t="shared" si="325"/>
        <v>1.4958575378696209E-4</v>
      </c>
      <c r="W241" s="103">
        <f t="shared" ref="W241:Y241" si="326">IF(W23=0,0,W23/W$19)</f>
        <v>1.4885085571525962E-4</v>
      </c>
      <c r="X241" s="103">
        <f t="shared" si="326"/>
        <v>1.5122251177376894E-4</v>
      </c>
      <c r="Y241" s="103">
        <f t="shared" si="326"/>
        <v>1.5714197402428838E-4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0</v>
      </c>
      <c r="R242" s="103">
        <f t="shared" si="329"/>
        <v>0</v>
      </c>
      <c r="S242" s="103">
        <f t="shared" si="329"/>
        <v>0</v>
      </c>
      <c r="T242" s="103">
        <f t="shared" si="329"/>
        <v>0</v>
      </c>
      <c r="U242" s="103">
        <f t="shared" si="329"/>
        <v>0</v>
      </c>
      <c r="V242" s="103">
        <f t="shared" si="329"/>
        <v>0</v>
      </c>
      <c r="W242" s="103">
        <f t="shared" ref="W242:Y242" si="330">IF(W24=0,0,W24/W$19)</f>
        <v>0</v>
      </c>
      <c r="X242" s="103">
        <f t="shared" si="330"/>
        <v>0</v>
      </c>
      <c r="Y242" s="103">
        <f t="shared" si="330"/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9.6411648027957198E-7</v>
      </c>
      <c r="N243" s="103">
        <f t="shared" si="333"/>
        <v>9.357542125546318E-7</v>
      </c>
      <c r="O243" s="103">
        <f t="shared" si="333"/>
        <v>5.0946286958166532E-6</v>
      </c>
      <c r="P243" s="103">
        <f t="shared" si="333"/>
        <v>5.9754020172908987E-6</v>
      </c>
      <c r="Q243" s="103">
        <f t="shared" si="333"/>
        <v>6.003918189963589E-6</v>
      </c>
      <c r="R243" s="103">
        <f t="shared" si="333"/>
        <v>4.3505900167692047E-6</v>
      </c>
      <c r="S243" s="103">
        <f t="shared" si="333"/>
        <v>4.3725800092896913E-6</v>
      </c>
      <c r="T243" s="103">
        <f t="shared" si="333"/>
        <v>4.0627987150548403E-6</v>
      </c>
      <c r="U243" s="103">
        <f t="shared" si="333"/>
        <v>4.9921793324632502E-6</v>
      </c>
      <c r="V243" s="103">
        <f t="shared" si="333"/>
        <v>1.0897850591165305E-5</v>
      </c>
      <c r="W243" s="103">
        <f t="shared" ref="W243:Y243" si="334">IF(W25=0,0,W25/W$19)</f>
        <v>2.0411172560634674E-5</v>
      </c>
      <c r="X243" s="103">
        <f t="shared" si="334"/>
        <v>3.2167977280258453E-5</v>
      </c>
      <c r="Y243" s="103">
        <f t="shared" si="334"/>
        <v>4.3990700937242761E-5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0.9715290254257356</v>
      </c>
      <c r="C244" s="156">
        <f t="shared" si="335"/>
        <v>0.96967753302806337</v>
      </c>
      <c r="D244" s="156">
        <f t="shared" si="335"/>
        <v>0.96604363333926113</v>
      </c>
      <c r="E244" s="156">
        <f t="shared" si="335"/>
        <v>0.97239744363820035</v>
      </c>
      <c r="F244" s="156">
        <f t="shared" si="335"/>
        <v>0.96573797693521612</v>
      </c>
      <c r="G244" s="156">
        <f t="shared" si="335"/>
        <v>0.97094488991563932</v>
      </c>
      <c r="H244" s="156">
        <f t="shared" si="335"/>
        <v>0.96954956420987148</v>
      </c>
      <c r="I244" s="156">
        <f t="shared" si="335"/>
        <v>0.96992275248251125</v>
      </c>
      <c r="J244" s="156">
        <f t="shared" si="335"/>
        <v>0.96525818014352338</v>
      </c>
      <c r="K244" s="156">
        <f t="shared" si="335"/>
        <v>0.95992102827100934</v>
      </c>
      <c r="L244" s="156">
        <f t="shared" ref="L244" si="336">IF(L26=0,0,L26/L$19)</f>
        <v>0.97017700118634576</v>
      </c>
      <c r="M244" s="156">
        <f t="shared" ref="M244:V244" si="337">IF(M26=0,0,M26/M$19)</f>
        <v>0.97098300099954538</v>
      </c>
      <c r="N244" s="156">
        <f t="shared" si="337"/>
        <v>0.96919860539251734</v>
      </c>
      <c r="O244" s="156">
        <f t="shared" si="337"/>
        <v>0.9674194100846657</v>
      </c>
      <c r="P244" s="156">
        <f t="shared" si="337"/>
        <v>0.9639205287100715</v>
      </c>
      <c r="Q244" s="156">
        <f t="shared" si="337"/>
        <v>0.96425994676342819</v>
      </c>
      <c r="R244" s="156">
        <f t="shared" si="337"/>
        <v>0.96460946305252249</v>
      </c>
      <c r="S244" s="156">
        <f t="shared" si="337"/>
        <v>0.96593694231308747</v>
      </c>
      <c r="T244" s="156">
        <f t="shared" si="337"/>
        <v>0.96762333862118111</v>
      </c>
      <c r="U244" s="156">
        <f t="shared" si="337"/>
        <v>0.96477817019766354</v>
      </c>
      <c r="V244" s="156">
        <f t="shared" si="337"/>
        <v>0.96805309496596337</v>
      </c>
      <c r="W244" s="156">
        <f t="shared" ref="W244:Y244" si="338">IF(W26=0,0,W26/W$19)</f>
        <v>0.96836311782030327</v>
      </c>
      <c r="X244" s="156">
        <f t="shared" si="338"/>
        <v>0.96802338073756355</v>
      </c>
      <c r="Y244" s="156">
        <f t="shared" si="338"/>
        <v>0.96748398662160917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0.653190538037422</v>
      </c>
      <c r="C245" s="103">
        <f t="shared" si="339"/>
        <v>0.65920916133546326</v>
      </c>
      <c r="D245" s="103">
        <f t="shared" si="339"/>
        <v>0.68169945987285219</v>
      </c>
      <c r="E245" s="103">
        <f t="shared" si="339"/>
        <v>0.71895066498504412</v>
      </c>
      <c r="F245" s="103">
        <f t="shared" si="339"/>
        <v>0.68658796471777106</v>
      </c>
      <c r="G245" s="103">
        <f t="shared" si="339"/>
        <v>0.71053260380362759</v>
      </c>
      <c r="H245" s="103">
        <f t="shared" si="339"/>
        <v>0.66741372132144128</v>
      </c>
      <c r="I245" s="103">
        <f t="shared" si="339"/>
        <v>0.66153472656031787</v>
      </c>
      <c r="J245" s="103">
        <f t="shared" si="339"/>
        <v>0.62996083395355162</v>
      </c>
      <c r="K245" s="103">
        <f t="shared" si="339"/>
        <v>0.64247320856669365</v>
      </c>
      <c r="L245" s="103">
        <f t="shared" ref="L245" si="340">IF(L27=0,0,L27/L$19)</f>
        <v>0.66391351976633917</v>
      </c>
      <c r="M245" s="103">
        <f t="shared" ref="M245:V245" si="341">IF(M27=0,0,M27/M$19)</f>
        <v>0.64107515383895808</v>
      </c>
      <c r="N245" s="103">
        <f t="shared" si="341"/>
        <v>0.61502554236036322</v>
      </c>
      <c r="O245" s="103">
        <f t="shared" si="341"/>
        <v>0.59789637187931854</v>
      </c>
      <c r="P245" s="103">
        <f t="shared" si="341"/>
        <v>0.58743933836296713</v>
      </c>
      <c r="Q245" s="103">
        <f t="shared" si="341"/>
        <v>0.55335890173861513</v>
      </c>
      <c r="R245" s="103">
        <f t="shared" si="341"/>
        <v>0.55773179076932156</v>
      </c>
      <c r="S245" s="103">
        <f t="shared" si="341"/>
        <v>0.59310344398632453</v>
      </c>
      <c r="T245" s="103">
        <f t="shared" si="341"/>
        <v>0.5885368609619599</v>
      </c>
      <c r="U245" s="103">
        <f t="shared" si="341"/>
        <v>0.60052152920144408</v>
      </c>
      <c r="V245" s="103">
        <f t="shared" si="341"/>
        <v>0.5850195643020849</v>
      </c>
      <c r="W245" s="103">
        <f t="shared" ref="W245:Y245" si="342">IF(W27=0,0,W27/W$19)</f>
        <v>0.61328155069685408</v>
      </c>
      <c r="X245" s="103">
        <f t="shared" si="342"/>
        <v>0.59197382581053826</v>
      </c>
      <c r="Y245" s="103">
        <f t="shared" si="342"/>
        <v>0.59467585848386695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0.31833848738831361</v>
      </c>
      <c r="C246" s="105">
        <f t="shared" si="343"/>
        <v>0.31046837169260011</v>
      </c>
      <c r="D246" s="105">
        <f t="shared" si="343"/>
        <v>0.28434417346640906</v>
      </c>
      <c r="E246" s="105">
        <f t="shared" si="343"/>
        <v>0.25344677865315629</v>
      </c>
      <c r="F246" s="105">
        <f t="shared" si="343"/>
        <v>0.27915001221744506</v>
      </c>
      <c r="G246" s="105">
        <f t="shared" si="343"/>
        <v>0.26041228611201173</v>
      </c>
      <c r="H246" s="105">
        <f t="shared" si="343"/>
        <v>0.30213584288843015</v>
      </c>
      <c r="I246" s="105">
        <f t="shared" si="343"/>
        <v>0.30838802592219344</v>
      </c>
      <c r="J246" s="105">
        <f t="shared" si="343"/>
        <v>0.33529734618997176</v>
      </c>
      <c r="K246" s="105">
        <f t="shared" si="343"/>
        <v>0.31744781970431574</v>
      </c>
      <c r="L246" s="105">
        <f t="shared" ref="L246" si="344">IF(L28=0,0,L28/L$19)</f>
        <v>0.30626348142000659</v>
      </c>
      <c r="M246" s="105">
        <f t="shared" ref="M246:V246" si="345">IF(M28=0,0,M28/M$19)</f>
        <v>0.32990784716058735</v>
      </c>
      <c r="N246" s="105">
        <f t="shared" si="345"/>
        <v>0.35417306303215396</v>
      </c>
      <c r="O246" s="105">
        <f t="shared" si="345"/>
        <v>0.36952303820534715</v>
      </c>
      <c r="P246" s="105">
        <f t="shared" si="345"/>
        <v>0.37648119034710442</v>
      </c>
      <c r="Q246" s="105">
        <f t="shared" si="345"/>
        <v>0.41090104502481306</v>
      </c>
      <c r="R246" s="105">
        <f t="shared" si="345"/>
        <v>0.40687767228320099</v>
      </c>
      <c r="S246" s="105">
        <f t="shared" si="345"/>
        <v>0.37283349832676299</v>
      </c>
      <c r="T246" s="105">
        <f t="shared" si="345"/>
        <v>0.37908647765922132</v>
      </c>
      <c r="U246" s="105">
        <f t="shared" si="345"/>
        <v>0.36425664099621929</v>
      </c>
      <c r="V246" s="105">
        <f t="shared" si="345"/>
        <v>0.38303353066387852</v>
      </c>
      <c r="W246" s="105">
        <f t="shared" ref="W246:Y246" si="346">IF(W28=0,0,W28/W$19)</f>
        <v>0.35508156712344918</v>
      </c>
      <c r="X246" s="105">
        <f t="shared" si="346"/>
        <v>0.3760495549270253</v>
      </c>
      <c r="Y246" s="105">
        <f t="shared" si="346"/>
        <v>0.37280812813774217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1.2839406468773372E-2</v>
      </c>
      <c r="C250" s="154">
        <f t="shared" si="351"/>
        <v>1.1175718181971196E-2</v>
      </c>
      <c r="D250" s="154">
        <f t="shared" si="351"/>
        <v>1.0972343865900463E-2</v>
      </c>
      <c r="E250" s="154">
        <f t="shared" si="351"/>
        <v>1.0406940870960831E-2</v>
      </c>
      <c r="F250" s="154">
        <f t="shared" si="351"/>
        <v>9.6702111429064902E-3</v>
      </c>
      <c r="G250" s="154">
        <f t="shared" si="351"/>
        <v>9.2119774749395717E-3</v>
      </c>
      <c r="H250" s="154">
        <f t="shared" si="351"/>
        <v>7.7002984768753946E-3</v>
      </c>
      <c r="I250" s="154">
        <f t="shared" si="351"/>
        <v>6.5986361533211533E-3</v>
      </c>
      <c r="J250" s="154">
        <f t="shared" si="351"/>
        <v>6.533193738006102E-3</v>
      </c>
      <c r="K250" s="154">
        <f t="shared" si="351"/>
        <v>7.014693236524561E-3</v>
      </c>
      <c r="L250" s="154">
        <f t="shared" ref="L250" si="352">IF(L32=0,0,L32/L$31)</f>
        <v>7.0809697856796389E-3</v>
      </c>
      <c r="M250" s="154">
        <f t="shared" ref="M250:V250" si="353">IF(M32=0,0,M32/M$31)</f>
        <v>7.2568570528620622E-3</v>
      </c>
      <c r="N250" s="154">
        <f t="shared" si="353"/>
        <v>6.8150954487876817E-3</v>
      </c>
      <c r="O250" s="154">
        <f t="shared" si="353"/>
        <v>7.115409909384824E-3</v>
      </c>
      <c r="P250" s="154">
        <f t="shared" si="353"/>
        <v>7.714761813768586E-3</v>
      </c>
      <c r="Q250" s="154">
        <f t="shared" si="353"/>
        <v>9.121012478552076E-3</v>
      </c>
      <c r="R250" s="154">
        <f t="shared" si="353"/>
        <v>8.828391377663768E-3</v>
      </c>
      <c r="S250" s="154">
        <f t="shared" si="353"/>
        <v>7.9568879938112271E-3</v>
      </c>
      <c r="T250" s="154">
        <f t="shared" si="353"/>
        <v>7.2569685575089252E-3</v>
      </c>
      <c r="U250" s="154">
        <f t="shared" si="353"/>
        <v>7.2952346822977993E-3</v>
      </c>
      <c r="V250" s="154">
        <f t="shared" si="353"/>
        <v>6.789486724168064E-3</v>
      </c>
      <c r="W250" s="154">
        <f t="shared" ref="W250:Y250" si="354">IF(W32=0,0,W32/W$31)</f>
        <v>6.8101503070874458E-3</v>
      </c>
      <c r="X250" s="154">
        <f t="shared" si="354"/>
        <v>7.307082034374743E-3</v>
      </c>
      <c r="Y250" s="154">
        <f t="shared" si="354"/>
        <v>7.6177918954957249E-3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0.95584262140538057</v>
      </c>
      <c r="C251" s="156">
        <f t="shared" si="355"/>
        <v>0.96121006489267269</v>
      </c>
      <c r="D251" s="156">
        <f t="shared" si="355"/>
        <v>0.9607997683918339</v>
      </c>
      <c r="E251" s="156">
        <f t="shared" si="355"/>
        <v>0.96061797063288579</v>
      </c>
      <c r="F251" s="156">
        <f t="shared" si="355"/>
        <v>0.96300576788478298</v>
      </c>
      <c r="G251" s="156">
        <f t="shared" si="355"/>
        <v>0.96463733114121342</v>
      </c>
      <c r="H251" s="156">
        <f t="shared" si="355"/>
        <v>0.97062030945687827</v>
      </c>
      <c r="I251" s="156">
        <f t="shared" si="355"/>
        <v>0.97442513913273165</v>
      </c>
      <c r="J251" s="156">
        <f t="shared" si="355"/>
        <v>0.97467249256193389</v>
      </c>
      <c r="K251" s="156">
        <f t="shared" si="355"/>
        <v>0.97234051166927138</v>
      </c>
      <c r="L251" s="156">
        <f t="shared" ref="L251" si="356">IF(L33=0,0,L33/L$31)</f>
        <v>0.97244565958776708</v>
      </c>
      <c r="M251" s="156">
        <f t="shared" ref="M251:V251" si="357">IF(M33=0,0,M33/M$31)</f>
        <v>0.97252526416969809</v>
      </c>
      <c r="N251" s="156">
        <f t="shared" si="357"/>
        <v>0.9731887705337543</v>
      </c>
      <c r="O251" s="156">
        <f t="shared" si="357"/>
        <v>0.97325486692096885</v>
      </c>
      <c r="P251" s="156">
        <f t="shared" si="357"/>
        <v>0.97532936526954661</v>
      </c>
      <c r="Q251" s="156">
        <f t="shared" si="357"/>
        <v>0.97538699725634215</v>
      </c>
      <c r="R251" s="156">
        <f t="shared" si="357"/>
        <v>0.97614246930911763</v>
      </c>
      <c r="S251" s="156">
        <f t="shared" si="357"/>
        <v>0.97781713637111778</v>
      </c>
      <c r="T251" s="156">
        <f t="shared" si="357"/>
        <v>0.97963461443480404</v>
      </c>
      <c r="U251" s="156">
        <f t="shared" si="357"/>
        <v>0.98093164128717458</v>
      </c>
      <c r="V251" s="156">
        <f t="shared" si="357"/>
        <v>0.98329272435730564</v>
      </c>
      <c r="W251" s="156">
        <f t="shared" ref="W251:Y251" si="358">IF(W33=0,0,W33/W$31)</f>
        <v>0.98467618361636944</v>
      </c>
      <c r="X251" s="156">
        <f t="shared" si="358"/>
        <v>0.9831921323575199</v>
      </c>
      <c r="Y251" s="156">
        <f t="shared" si="358"/>
        <v>0.98296456026685597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0.80973422765873648</v>
      </c>
      <c r="C252" s="103">
        <f t="shared" si="359"/>
        <v>0.7899482747805896</v>
      </c>
      <c r="D252" s="103">
        <f t="shared" si="359"/>
        <v>0.76705417376091978</v>
      </c>
      <c r="E252" s="103">
        <f t="shared" si="359"/>
        <v>0.73398582593241113</v>
      </c>
      <c r="F252" s="103">
        <f t="shared" si="359"/>
        <v>0.69804727293363567</v>
      </c>
      <c r="G252" s="103">
        <f t="shared" si="359"/>
        <v>0.66260511426072</v>
      </c>
      <c r="H252" s="103">
        <f t="shared" si="359"/>
        <v>0.63843589158031111</v>
      </c>
      <c r="I252" s="103">
        <f t="shared" si="359"/>
        <v>0.63426641641137826</v>
      </c>
      <c r="J252" s="103">
        <f t="shared" si="359"/>
        <v>0.60381621841405964</v>
      </c>
      <c r="K252" s="103">
        <f t="shared" si="359"/>
        <v>0.55600641998635347</v>
      </c>
      <c r="L252" s="103">
        <f t="shared" ref="L252" si="360">IF(L34=0,0,L34/L$31)</f>
        <v>0.53457471784213428</v>
      </c>
      <c r="M252" s="103">
        <f t="shared" ref="M252:V252" si="361">IF(M34=0,0,M34/M$31)</f>
        <v>0.50082824683716187</v>
      </c>
      <c r="N252" s="103">
        <f t="shared" si="361"/>
        <v>0.4397956937613412</v>
      </c>
      <c r="O252" s="103">
        <f t="shared" si="361"/>
        <v>0.4068278436576151</v>
      </c>
      <c r="P252" s="103">
        <f t="shared" si="361"/>
        <v>0.35320957558108929</v>
      </c>
      <c r="Q252" s="103">
        <f t="shared" si="361"/>
        <v>0.33368995159319548</v>
      </c>
      <c r="R252" s="103">
        <f t="shared" si="361"/>
        <v>0.29454327633234501</v>
      </c>
      <c r="S252" s="103">
        <f t="shared" si="361"/>
        <v>0.27502609795380945</v>
      </c>
      <c r="T252" s="103">
        <f t="shared" si="361"/>
        <v>0.25911289509931557</v>
      </c>
      <c r="U252" s="103">
        <f t="shared" si="361"/>
        <v>0.23810614803773969</v>
      </c>
      <c r="V252" s="103">
        <f t="shared" si="361"/>
        <v>0.23598936244490243</v>
      </c>
      <c r="W252" s="103">
        <f t="shared" ref="W252:Y252" si="362">IF(W34=0,0,W34/W$31)</f>
        <v>0.23548697514806324</v>
      </c>
      <c r="X252" s="103">
        <f t="shared" si="362"/>
        <v>0.2278943130151932</v>
      </c>
      <c r="Y252" s="103">
        <f t="shared" si="362"/>
        <v>0.23132554347205075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9.8514628340096666E-2</v>
      </c>
      <c r="C253" s="103">
        <f t="shared" si="363"/>
        <v>0.12195261321983689</v>
      </c>
      <c r="D253" s="103">
        <f t="shared" si="363"/>
        <v>0.14851366459168425</v>
      </c>
      <c r="E253" s="103">
        <f t="shared" si="363"/>
        <v>0.18069191514533139</v>
      </c>
      <c r="F253" s="103">
        <f t="shared" si="363"/>
        <v>0.21075205530970842</v>
      </c>
      <c r="G253" s="103">
        <f t="shared" si="363"/>
        <v>0.24779679371971589</v>
      </c>
      <c r="H253" s="103">
        <f t="shared" si="363"/>
        <v>0.28087071630105259</v>
      </c>
      <c r="I253" s="103">
        <f t="shared" si="363"/>
        <v>0.2946552503861497</v>
      </c>
      <c r="J253" s="103">
        <f t="shared" si="363"/>
        <v>0.32876201124503235</v>
      </c>
      <c r="K253" s="103">
        <f t="shared" si="363"/>
        <v>0.37242715968796053</v>
      </c>
      <c r="L253" s="103">
        <f t="shared" ref="L253" si="364">IF(L35=0,0,L35/L$31)</f>
        <v>0.38945657910051268</v>
      </c>
      <c r="M253" s="103">
        <f t="shared" ref="M253:V253" si="365">IF(M35=0,0,M35/M$31)</f>
        <v>0.41314681101607981</v>
      </c>
      <c r="N253" s="103">
        <f t="shared" si="365"/>
        <v>0.44057813004524898</v>
      </c>
      <c r="O253" s="103">
        <f t="shared" si="365"/>
        <v>0.46512733274382206</v>
      </c>
      <c r="P253" s="103">
        <f t="shared" si="365"/>
        <v>0.51744926891834275</v>
      </c>
      <c r="Q253" s="103">
        <f t="shared" si="365"/>
        <v>0.55572428310792632</v>
      </c>
      <c r="R253" s="103">
        <f t="shared" si="365"/>
        <v>0.59021492922045971</v>
      </c>
      <c r="S253" s="103">
        <f t="shared" si="365"/>
        <v>0.62157373882536393</v>
      </c>
      <c r="T253" s="103">
        <f t="shared" si="365"/>
        <v>0.64734387756882816</v>
      </c>
      <c r="U253" s="103">
        <f t="shared" si="365"/>
        <v>0.67950818655461476</v>
      </c>
      <c r="V253" s="103">
        <f t="shared" si="365"/>
        <v>0.69032882482026048</v>
      </c>
      <c r="W253" s="103">
        <f t="shared" ref="W253:Y253" si="366">IF(W35=0,0,W35/W$31)</f>
        <v>0.69815258030182559</v>
      </c>
      <c r="X253" s="103">
        <f t="shared" si="366"/>
        <v>0.70395742821755636</v>
      </c>
      <c r="Y253" s="103">
        <f t="shared" si="366"/>
        <v>0.6989296499168195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4.7337965280793204E-2</v>
      </c>
      <c r="C254" s="103">
        <f t="shared" si="367"/>
        <v>4.9104922583431541E-2</v>
      </c>
      <c r="D254" s="103">
        <f t="shared" si="367"/>
        <v>4.5050432460260609E-2</v>
      </c>
      <c r="E254" s="103">
        <f t="shared" si="367"/>
        <v>4.5780980957060423E-2</v>
      </c>
      <c r="F254" s="103">
        <f t="shared" si="367"/>
        <v>5.407253054175603E-2</v>
      </c>
      <c r="G254" s="103">
        <f t="shared" si="367"/>
        <v>5.4108781666578766E-2</v>
      </c>
      <c r="H254" s="103">
        <f t="shared" si="367"/>
        <v>5.122957110309171E-2</v>
      </c>
      <c r="I254" s="103">
        <f t="shared" si="367"/>
        <v>4.5434417915611057E-2</v>
      </c>
      <c r="J254" s="103">
        <f t="shared" si="367"/>
        <v>4.2032057296336738E-2</v>
      </c>
      <c r="K254" s="103">
        <f t="shared" si="367"/>
        <v>4.3844390745345102E-2</v>
      </c>
      <c r="L254" s="103">
        <f t="shared" ref="L254" si="368">IF(L36=0,0,L36/L$31)</f>
        <v>4.8414362645120133E-2</v>
      </c>
      <c r="M254" s="103">
        <f t="shared" ref="M254:V254" si="369">IF(M36=0,0,M36/M$31)</f>
        <v>5.8550206316456382E-2</v>
      </c>
      <c r="N254" s="103">
        <f t="shared" si="369"/>
        <v>9.2792419720855224E-2</v>
      </c>
      <c r="O254" s="103">
        <f t="shared" si="369"/>
        <v>0.10126454108416362</v>
      </c>
      <c r="P254" s="103">
        <f t="shared" si="369"/>
        <v>0.10434967634984409</v>
      </c>
      <c r="Q254" s="103">
        <f t="shared" si="369"/>
        <v>8.5624218193751836E-2</v>
      </c>
      <c r="R254" s="103">
        <f t="shared" si="369"/>
        <v>9.1002635326950521E-2</v>
      </c>
      <c r="S254" s="103">
        <f t="shared" si="369"/>
        <v>8.073343288317604E-2</v>
      </c>
      <c r="T254" s="103">
        <f t="shared" si="369"/>
        <v>7.2358134088603601E-2</v>
      </c>
      <c r="U254" s="103">
        <f t="shared" si="369"/>
        <v>6.2227069041562458E-2</v>
      </c>
      <c r="V254" s="103">
        <f t="shared" si="369"/>
        <v>5.5078347737096502E-2</v>
      </c>
      <c r="W254" s="103">
        <f t="shared" ref="W254:Y254" si="370">IF(W36=0,0,W36/W$31)</f>
        <v>4.7973832183455516E-2</v>
      </c>
      <c r="X254" s="103">
        <f t="shared" si="370"/>
        <v>4.574347573312483E-2</v>
      </c>
      <c r="Y254" s="103">
        <f t="shared" si="370"/>
        <v>4.398050904252624E-2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2.5580012575419079E-4</v>
      </c>
      <c r="C255" s="103">
        <f t="shared" si="371"/>
        <v>2.0425430881480284E-4</v>
      </c>
      <c r="D255" s="103">
        <f t="shared" si="371"/>
        <v>1.8149757896926758E-4</v>
      </c>
      <c r="E255" s="103">
        <f t="shared" si="371"/>
        <v>1.5924859808274459E-4</v>
      </c>
      <c r="F255" s="103">
        <f t="shared" si="371"/>
        <v>1.3390909968289774E-4</v>
      </c>
      <c r="G255" s="103">
        <f t="shared" si="371"/>
        <v>1.2664149419872465E-4</v>
      </c>
      <c r="H255" s="103">
        <f t="shared" si="371"/>
        <v>8.4130472422880556E-5</v>
      </c>
      <c r="I255" s="103">
        <f t="shared" si="371"/>
        <v>6.9054419592553377E-5</v>
      </c>
      <c r="J255" s="103">
        <f t="shared" si="371"/>
        <v>6.2205606505269501E-5</v>
      </c>
      <c r="K255" s="103">
        <f t="shared" si="371"/>
        <v>6.2541249612062393E-5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0</v>
      </c>
      <c r="O255" s="103">
        <f t="shared" si="373"/>
        <v>0</v>
      </c>
      <c r="P255" s="103">
        <f t="shared" si="373"/>
        <v>0</v>
      </c>
      <c r="Q255" s="103">
        <f t="shared" si="373"/>
        <v>0</v>
      </c>
      <c r="R255" s="103">
        <f t="shared" si="373"/>
        <v>0</v>
      </c>
      <c r="S255" s="103">
        <f t="shared" si="373"/>
        <v>0</v>
      </c>
      <c r="T255" s="103">
        <f t="shared" si="373"/>
        <v>1.4754030974306398E-4</v>
      </c>
      <c r="U255" s="103">
        <f t="shared" si="373"/>
        <v>1.5779439827579838E-4</v>
      </c>
      <c r="V255" s="103">
        <f t="shared" si="373"/>
        <v>1.831691615877703E-4</v>
      </c>
      <c r="W255" s="103">
        <f t="shared" ref="W255:Y255" si="374">IF(W37=0,0,W37/W$31)</f>
        <v>1.9565013236507321E-4</v>
      </c>
      <c r="X255" s="103">
        <f t="shared" si="374"/>
        <v>2.111161419270868E-4</v>
      </c>
      <c r="Y255" s="103">
        <f t="shared" si="374"/>
        <v>2.2439399450483895E-4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3.9410183568123124E-6</v>
      </c>
      <c r="O256" s="103">
        <f t="shared" si="377"/>
        <v>7.4836662067283514E-6</v>
      </c>
      <c r="P256" s="103">
        <f t="shared" si="377"/>
        <v>1.0911869816454988E-5</v>
      </c>
      <c r="Q256" s="103">
        <f t="shared" si="377"/>
        <v>2.7194327707135582E-5</v>
      </c>
      <c r="R256" s="103">
        <f t="shared" si="377"/>
        <v>3.0145526619368556E-5</v>
      </c>
      <c r="S256" s="103">
        <f t="shared" si="377"/>
        <v>5.4659237694945425E-5</v>
      </c>
      <c r="T256" s="103">
        <f t="shared" si="377"/>
        <v>9.7604629582460326E-5</v>
      </c>
      <c r="U256" s="103">
        <f t="shared" si="377"/>
        <v>1.298247583542631E-4</v>
      </c>
      <c r="V256" s="103">
        <f t="shared" si="377"/>
        <v>2.0969345813080071E-4</v>
      </c>
      <c r="W256" s="103">
        <f t="shared" ref="W256:Y256" si="378">IF(W38=0,0,W38/W$31)</f>
        <v>3.6671367500775906E-4</v>
      </c>
      <c r="X256" s="103">
        <f t="shared" si="378"/>
        <v>6.0022732062553876E-4</v>
      </c>
      <c r="Y256" s="103">
        <f t="shared" si="378"/>
        <v>9.1761388964920008E-4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0</v>
      </c>
      <c r="M257" s="103">
        <f t="shared" ref="M257:V257" si="381">IF(M39=0,0,M39/M$31)</f>
        <v>0</v>
      </c>
      <c r="N257" s="103">
        <f t="shared" si="381"/>
        <v>1.8585987952082257E-5</v>
      </c>
      <c r="O257" s="103">
        <f t="shared" si="381"/>
        <v>2.7665769161446184E-5</v>
      </c>
      <c r="P257" s="103">
        <f t="shared" si="381"/>
        <v>3.0993255045394465E-4</v>
      </c>
      <c r="Q257" s="103">
        <f t="shared" si="381"/>
        <v>3.2135003376142327E-4</v>
      </c>
      <c r="R257" s="103">
        <f t="shared" si="381"/>
        <v>3.5148290274308956E-4</v>
      </c>
      <c r="S257" s="103">
        <f t="shared" si="381"/>
        <v>4.2920747107348661E-4</v>
      </c>
      <c r="T257" s="103">
        <f t="shared" si="381"/>
        <v>5.7456273873112242E-4</v>
      </c>
      <c r="U257" s="103">
        <f t="shared" si="381"/>
        <v>8.0261849662741146E-4</v>
      </c>
      <c r="V257" s="103">
        <f t="shared" si="381"/>
        <v>1.5033267353274089E-3</v>
      </c>
      <c r="W257" s="103">
        <f t="shared" ref="W257:Y257" si="382">IF(W39=0,0,W39/W$31)</f>
        <v>2.5004321756524226E-3</v>
      </c>
      <c r="X257" s="103">
        <f t="shared" si="382"/>
        <v>4.7855719290929013E-3</v>
      </c>
      <c r="Y257" s="103">
        <f t="shared" si="382"/>
        <v>7.5868499513051142E-3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3.1317972125846159E-2</v>
      </c>
      <c r="C258" s="156">
        <f t="shared" si="383"/>
        <v>2.7614216925355997E-2</v>
      </c>
      <c r="D258" s="156">
        <f t="shared" si="383"/>
        <v>2.8227887742265732E-2</v>
      </c>
      <c r="E258" s="156">
        <f t="shared" si="383"/>
        <v>2.8975088496153507E-2</v>
      </c>
      <c r="F258" s="156">
        <f t="shared" si="383"/>
        <v>2.7324020972310601E-2</v>
      </c>
      <c r="G258" s="156">
        <f t="shared" si="383"/>
        <v>2.6150691383847086E-2</v>
      </c>
      <c r="H258" s="156">
        <f t="shared" si="383"/>
        <v>2.1679392066246212E-2</v>
      </c>
      <c r="I258" s="156">
        <f t="shared" si="383"/>
        <v>1.8976224713947238E-2</v>
      </c>
      <c r="J258" s="156">
        <f t="shared" si="383"/>
        <v>1.8794313700060013E-2</v>
      </c>
      <c r="K258" s="156">
        <f t="shared" si="383"/>
        <v>2.0644795094204089E-2</v>
      </c>
      <c r="L258" s="156">
        <f t="shared" ref="L258" si="384">IF(L40=0,0,L40/L$31)</f>
        <v>2.0473370626553189E-2</v>
      </c>
      <c r="M258" s="156">
        <f t="shared" ref="M258:V258" si="385">IF(M40=0,0,M40/M$31)</f>
        <v>2.0217878777439871E-2</v>
      </c>
      <c r="N258" s="156">
        <f t="shared" si="385"/>
        <v>1.9996134017457933E-2</v>
      </c>
      <c r="O258" s="156">
        <f t="shared" si="385"/>
        <v>1.9629723169646323E-2</v>
      </c>
      <c r="P258" s="156">
        <f t="shared" si="385"/>
        <v>1.6955872916684898E-2</v>
      </c>
      <c r="Q258" s="156">
        <f t="shared" si="385"/>
        <v>1.5491990265105718E-2</v>
      </c>
      <c r="R258" s="156">
        <f t="shared" si="385"/>
        <v>1.502913931321855E-2</v>
      </c>
      <c r="S258" s="156">
        <f t="shared" si="385"/>
        <v>1.422597563507101E-2</v>
      </c>
      <c r="T258" s="156">
        <f t="shared" si="385"/>
        <v>1.3108417007687046E-2</v>
      </c>
      <c r="U258" s="156">
        <f t="shared" si="385"/>
        <v>1.1773124030527668E-2</v>
      </c>
      <c r="V258" s="156">
        <f t="shared" si="385"/>
        <v>9.9177889185264479E-3</v>
      </c>
      <c r="W258" s="156">
        <f t="shared" ref="W258:Y258" si="386">IF(W40=0,0,W40/W$31)</f>
        <v>8.5136660765430666E-3</v>
      </c>
      <c r="X258" s="156">
        <f t="shared" si="386"/>
        <v>9.5007856081053398E-3</v>
      </c>
      <c r="Y258" s="156">
        <f t="shared" si="386"/>
        <v>9.4176478376484588E-3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3.0606862824879861E-3</v>
      </c>
      <c r="C259" s="103">
        <f t="shared" si="387"/>
        <v>2.6432090969761967E-3</v>
      </c>
      <c r="D259" s="103">
        <f t="shared" si="387"/>
        <v>2.5841883020472E-3</v>
      </c>
      <c r="E259" s="103">
        <f t="shared" si="387"/>
        <v>2.3892399617140743E-3</v>
      </c>
      <c r="F259" s="103">
        <f t="shared" si="387"/>
        <v>2.1526663413078575E-3</v>
      </c>
      <c r="G259" s="103">
        <f t="shared" si="387"/>
        <v>1.9865329046160748E-3</v>
      </c>
      <c r="H259" s="103">
        <f t="shared" si="387"/>
        <v>1.5616034638565035E-3</v>
      </c>
      <c r="I259" s="103">
        <f t="shared" si="387"/>
        <v>1.2916577290330374E-3</v>
      </c>
      <c r="J259" s="103">
        <f t="shared" si="387"/>
        <v>1.2171645348553863E-3</v>
      </c>
      <c r="K259" s="103">
        <f t="shared" si="387"/>
        <v>1.1880602201615326E-3</v>
      </c>
      <c r="L259" s="103">
        <f t="shared" ref="L259" si="388">IF(L41=0,0,L41/L$31)</f>
        <v>1.0434654096065374E-3</v>
      </c>
      <c r="M259" s="103">
        <f t="shared" ref="M259:V259" si="389">IF(M41=0,0,M41/M$31)</f>
        <v>6.7360427163236445E-4</v>
      </c>
      <c r="N259" s="103">
        <f t="shared" si="389"/>
        <v>5.2791446458533709E-4</v>
      </c>
      <c r="O259" s="103">
        <f t="shared" si="389"/>
        <v>3.8043353495220467E-4</v>
      </c>
      <c r="P259" s="103">
        <f t="shared" si="389"/>
        <v>2.1979981162020568E-4</v>
      </c>
      <c r="Q259" s="103">
        <f t="shared" si="389"/>
        <v>1.6858175812013937E-4</v>
      </c>
      <c r="R259" s="103">
        <f t="shared" si="389"/>
        <v>1.225643993319729E-4</v>
      </c>
      <c r="S259" s="103">
        <f t="shared" si="389"/>
        <v>1.0486070681618144E-4</v>
      </c>
      <c r="T259" s="103">
        <f t="shared" si="389"/>
        <v>8.5649361131626359E-5</v>
      </c>
      <c r="U259" s="103">
        <f t="shared" si="389"/>
        <v>7.2614964115177904E-5</v>
      </c>
      <c r="V259" s="103">
        <f t="shared" si="389"/>
        <v>5.415988104706785E-5</v>
      </c>
      <c r="W259" s="103">
        <f t="shared" ref="W259:Y259" si="390">IF(W41=0,0,W41/W$31)</f>
        <v>3.6180360552625986E-5</v>
      </c>
      <c r="X259" s="103">
        <f t="shared" si="390"/>
        <v>3.9458443484220912E-5</v>
      </c>
      <c r="Y259" s="103">
        <f t="shared" si="390"/>
        <v>4.2407245195526056E-5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2.7415200076102774E-2</v>
      </c>
      <c r="C260" s="103">
        <f t="shared" si="391"/>
        <v>2.398749092812727E-2</v>
      </c>
      <c r="D260" s="103">
        <f t="shared" si="391"/>
        <v>2.4822477708301347E-2</v>
      </c>
      <c r="E260" s="103">
        <f t="shared" si="391"/>
        <v>2.581045018989922E-2</v>
      </c>
      <c r="F260" s="103">
        <f t="shared" si="391"/>
        <v>2.4441702446987443E-2</v>
      </c>
      <c r="G260" s="103">
        <f t="shared" si="391"/>
        <v>2.3247324096281576E-2</v>
      </c>
      <c r="H260" s="103">
        <f t="shared" si="391"/>
        <v>1.9354867831664672E-2</v>
      </c>
      <c r="I260" s="103">
        <f t="shared" si="391"/>
        <v>1.6890077220562089E-2</v>
      </c>
      <c r="J260" s="103">
        <f t="shared" si="391"/>
        <v>1.668047432181129E-2</v>
      </c>
      <c r="K260" s="103">
        <f t="shared" si="391"/>
        <v>1.8178761433980256E-2</v>
      </c>
      <c r="L260" s="103">
        <f t="shared" ref="L260" si="392">IF(L42=0,0,L42/L$31)</f>
        <v>1.7724755547670654E-2</v>
      </c>
      <c r="M260" s="103">
        <f t="shared" ref="M260:V260" si="393">IF(M42=0,0,M42/M$31)</f>
        <v>1.78408997909715E-2</v>
      </c>
      <c r="N260" s="103">
        <f t="shared" si="393"/>
        <v>1.7804781856820478E-2</v>
      </c>
      <c r="O260" s="103">
        <f t="shared" si="393"/>
        <v>1.7605596041501269E-2</v>
      </c>
      <c r="P260" s="103">
        <f t="shared" si="393"/>
        <v>1.5310978859974608E-2</v>
      </c>
      <c r="Q260" s="103">
        <f t="shared" si="393"/>
        <v>1.3949211751400199E-2</v>
      </c>
      <c r="R260" s="103">
        <f t="shared" si="393"/>
        <v>1.3450911784474179E-2</v>
      </c>
      <c r="S260" s="103">
        <f t="shared" si="393"/>
        <v>1.2917803586324047E-2</v>
      </c>
      <c r="T260" s="103">
        <f t="shared" si="393"/>
        <v>1.1876926435978539E-2</v>
      </c>
      <c r="U260" s="103">
        <f t="shared" si="393"/>
        <v>1.0573347470789503E-2</v>
      </c>
      <c r="V260" s="103">
        <f t="shared" si="393"/>
        <v>8.6750418929175E-3</v>
      </c>
      <c r="W260" s="103">
        <f t="shared" ref="W260:Y260" si="394">IF(W42=0,0,W42/W$31)</f>
        <v>6.9992664746135538E-3</v>
      </c>
      <c r="X260" s="103">
        <f t="shared" si="394"/>
        <v>7.8004658450120624E-3</v>
      </c>
      <c r="Y260" s="103">
        <f t="shared" si="394"/>
        <v>7.5011270223805807E-3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3.6080625410073468E-5</v>
      </c>
      <c r="S261" s="103">
        <f t="shared" si="397"/>
        <v>2.5680928971249872E-5</v>
      </c>
      <c r="T261" s="103">
        <f t="shared" si="397"/>
        <v>1.8473935364732182E-5</v>
      </c>
      <c r="U261" s="103">
        <f t="shared" si="397"/>
        <v>1.1845597373263165E-5</v>
      </c>
      <c r="V261" s="103">
        <f t="shared" si="397"/>
        <v>8.3846266157465831E-6</v>
      </c>
      <c r="W261" s="103">
        <f t="shared" ref="W261:Y261" si="398">IF(W43=0,0,W43/W$31)</f>
        <v>6.9896979428220477E-6</v>
      </c>
      <c r="X261" s="103">
        <f t="shared" si="398"/>
        <v>7.3987864119279815E-6</v>
      </c>
      <c r="Y261" s="103">
        <f t="shared" si="398"/>
        <v>7.2033149098919976E-6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7.5592994288194355E-4</v>
      </c>
      <c r="C262" s="103">
        <f t="shared" si="399"/>
        <v>8.0125002824190002E-4</v>
      </c>
      <c r="D262" s="103">
        <f t="shared" si="399"/>
        <v>6.4190324879956275E-4</v>
      </c>
      <c r="E262" s="103">
        <f t="shared" si="399"/>
        <v>6.1268522031950187E-4</v>
      </c>
      <c r="F262" s="103">
        <f t="shared" si="399"/>
        <v>5.7745360219690152E-4</v>
      </c>
      <c r="G262" s="103">
        <f t="shared" si="399"/>
        <v>5.6896865897996542E-4</v>
      </c>
      <c r="H262" s="103">
        <f t="shared" si="399"/>
        <v>4.5506309795240488E-4</v>
      </c>
      <c r="I262" s="103">
        <f t="shared" si="399"/>
        <v>3.7783276305475061E-4</v>
      </c>
      <c r="J262" s="103">
        <f t="shared" si="399"/>
        <v>1.4149208885148482E-4</v>
      </c>
      <c r="K262" s="103">
        <f t="shared" si="399"/>
        <v>6.7271784999888904E-6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0</v>
      </c>
      <c r="P262" s="103">
        <f t="shared" si="401"/>
        <v>0</v>
      </c>
      <c r="Q262" s="103">
        <f t="shared" si="401"/>
        <v>0</v>
      </c>
      <c r="R262" s="103">
        <f t="shared" si="401"/>
        <v>0</v>
      </c>
      <c r="S262" s="103">
        <f t="shared" si="401"/>
        <v>0</v>
      </c>
      <c r="T262" s="103">
        <f t="shared" si="401"/>
        <v>0</v>
      </c>
      <c r="U262" s="103">
        <f t="shared" si="401"/>
        <v>2.1657128002814673E-5</v>
      </c>
      <c r="V262" s="103">
        <f t="shared" si="401"/>
        <v>9.1246946897079206E-5</v>
      </c>
      <c r="W262" s="103">
        <f t="shared" ref="W262:Y262" si="402">IF(W44=0,0,W44/W$31)</f>
        <v>2.1129563341341903E-4</v>
      </c>
      <c r="X262" s="103">
        <f t="shared" si="402"/>
        <v>4.2187919515117468E-4</v>
      </c>
      <c r="Y262" s="103">
        <f t="shared" si="402"/>
        <v>4.8896833297302849E-4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8.6155824373450164E-5</v>
      </c>
      <c r="C263" s="103">
        <f t="shared" si="403"/>
        <v>1.8226687201063269E-4</v>
      </c>
      <c r="D263" s="103">
        <f t="shared" si="403"/>
        <v>1.7931848311761797E-4</v>
      </c>
      <c r="E263" s="103">
        <f t="shared" si="403"/>
        <v>1.6271312422071115E-4</v>
      </c>
      <c r="F263" s="103">
        <f t="shared" si="403"/>
        <v>1.5219858181839677E-4</v>
      </c>
      <c r="G263" s="103">
        <f t="shared" si="403"/>
        <v>3.4786572396947008E-4</v>
      </c>
      <c r="H263" s="103">
        <f t="shared" si="403"/>
        <v>3.0785767277263158E-4</v>
      </c>
      <c r="I263" s="103">
        <f t="shared" si="403"/>
        <v>4.1665700129736133E-4</v>
      </c>
      <c r="J263" s="103">
        <f t="shared" si="403"/>
        <v>7.5518275454185063E-4</v>
      </c>
      <c r="K263" s="103">
        <f t="shared" si="403"/>
        <v>1.271246261562313E-3</v>
      </c>
      <c r="L263" s="103">
        <f t="shared" ref="L263" si="404">IF(L45=0,0,L45/L$31)</f>
        <v>1.7051496692759957E-3</v>
      </c>
      <c r="M263" s="103">
        <f t="shared" ref="M263:V263" si="405">IF(M45=0,0,M45/M$31)</f>
        <v>1.7033747148360043E-3</v>
      </c>
      <c r="N263" s="103">
        <f t="shared" si="405"/>
        <v>1.663437696052119E-3</v>
      </c>
      <c r="O263" s="103">
        <f t="shared" si="405"/>
        <v>1.6436935931928485E-3</v>
      </c>
      <c r="P263" s="103">
        <f t="shared" si="405"/>
        <v>1.4250942450900815E-3</v>
      </c>
      <c r="Q263" s="103">
        <f t="shared" si="405"/>
        <v>1.3741967555853788E-3</v>
      </c>
      <c r="R263" s="103">
        <f t="shared" si="405"/>
        <v>1.4195825040023257E-3</v>
      </c>
      <c r="S263" s="103">
        <f t="shared" si="405"/>
        <v>1.1776304129595323E-3</v>
      </c>
      <c r="T263" s="103">
        <f t="shared" si="405"/>
        <v>1.1273672752121476E-3</v>
      </c>
      <c r="U263" s="103">
        <f t="shared" si="405"/>
        <v>1.0936588702469096E-3</v>
      </c>
      <c r="V263" s="103">
        <f t="shared" si="405"/>
        <v>1.0889555710490533E-3</v>
      </c>
      <c r="W263" s="103">
        <f t="shared" ref="W263:Y263" si="406">IF(W45=0,0,W45/W$31)</f>
        <v>1.2599339100206452E-3</v>
      </c>
      <c r="X263" s="103">
        <f t="shared" si="406"/>
        <v>1.2315833380459518E-3</v>
      </c>
      <c r="Y263" s="103">
        <f t="shared" si="406"/>
        <v>1.3779419221894309E-3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0.51938757175503725</v>
      </c>
      <c r="C265" s="154">
        <f t="shared" si="411"/>
        <v>0.50841325686098837</v>
      </c>
      <c r="D265" s="154">
        <f t="shared" si="411"/>
        <v>0.52591232556131795</v>
      </c>
      <c r="E265" s="154">
        <f t="shared" si="411"/>
        <v>0.478217836852115</v>
      </c>
      <c r="F265" s="154">
        <f t="shared" si="411"/>
        <v>0.54696268941452275</v>
      </c>
      <c r="G265" s="154">
        <f t="shared" si="411"/>
        <v>0.5068210429185428</v>
      </c>
      <c r="H265" s="154">
        <f t="shared" si="411"/>
        <v>0.52060831623974146</v>
      </c>
      <c r="I265" s="154">
        <f t="shared" si="411"/>
        <v>0.50380101190110294</v>
      </c>
      <c r="J265" s="154">
        <f t="shared" si="411"/>
        <v>0.52194055706461329</v>
      </c>
      <c r="K265" s="154">
        <f t="shared" si="411"/>
        <v>0.52836396013190856</v>
      </c>
      <c r="L265" s="154">
        <f t="shared" ref="L265" si="412">IF(L47=0,0,L47/L$46)</f>
        <v>0.51574769301651757</v>
      </c>
      <c r="M265" s="154">
        <f t="shared" ref="M265:V265" si="413">IF(M47=0,0,M47/M$46)</f>
        <v>0.55994459850282663</v>
      </c>
      <c r="N265" s="154">
        <f t="shared" si="413"/>
        <v>0.60991351303197028</v>
      </c>
      <c r="O265" s="154">
        <f t="shared" si="413"/>
        <v>0.62521454992670333</v>
      </c>
      <c r="P265" s="154">
        <f t="shared" si="413"/>
        <v>0.64845578117044511</v>
      </c>
      <c r="Q265" s="154">
        <f t="shared" si="413"/>
        <v>0.64710082021019988</v>
      </c>
      <c r="R265" s="154">
        <f t="shared" si="413"/>
        <v>0.64398617846884609</v>
      </c>
      <c r="S265" s="154">
        <f t="shared" si="413"/>
        <v>0.63514470678028978</v>
      </c>
      <c r="T265" s="154">
        <f t="shared" si="413"/>
        <v>0.62963515196941178</v>
      </c>
      <c r="U265" s="154">
        <f t="shared" si="413"/>
        <v>0.64138725676343811</v>
      </c>
      <c r="V265" s="154">
        <f t="shared" si="413"/>
        <v>0.63396933629599028</v>
      </c>
      <c r="W265" s="154">
        <f t="shared" ref="W265:Y265" si="414">IF(W47=0,0,W47/W$46)</f>
        <v>0.62469383309189841</v>
      </c>
      <c r="X265" s="154">
        <f t="shared" si="414"/>
        <v>0.63045299402369737</v>
      </c>
      <c r="Y265" s="154">
        <f t="shared" si="414"/>
        <v>0.63695968100432299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0.21566936526341232</v>
      </c>
      <c r="C266" s="103">
        <f t="shared" si="415"/>
        <v>0.18659531637073817</v>
      </c>
      <c r="D266" s="103">
        <f t="shared" si="415"/>
        <v>0.14430239789821003</v>
      </c>
      <c r="E266" s="103">
        <f t="shared" si="415"/>
        <v>0.14000943081056624</v>
      </c>
      <c r="F266" s="103">
        <f t="shared" si="415"/>
        <v>0.12159939431858804</v>
      </c>
      <c r="G266" s="103">
        <f t="shared" si="415"/>
        <v>0.11928908448631548</v>
      </c>
      <c r="H266" s="103">
        <f t="shared" si="415"/>
        <v>0.11363723829683062</v>
      </c>
      <c r="I266" s="103">
        <f t="shared" si="415"/>
        <v>9.6264319445482749E-2</v>
      </c>
      <c r="J266" s="103">
        <f t="shared" si="415"/>
        <v>8.2250325358339926E-2</v>
      </c>
      <c r="K266" s="103">
        <f t="shared" si="415"/>
        <v>7.0980992573947937E-2</v>
      </c>
      <c r="L266" s="103">
        <f t="shared" ref="L266" si="416">IF(L48=0,0,L48/L$46)</f>
        <v>3.7523729643456252E-2</v>
      </c>
      <c r="M266" s="103">
        <f t="shared" ref="M266:V266" si="417">IF(M48=0,0,M48/M$46)</f>
        <v>3.5492183140724602E-2</v>
      </c>
      <c r="N266" s="103">
        <f t="shared" si="417"/>
        <v>3.5460002402425271E-2</v>
      </c>
      <c r="O266" s="103">
        <f t="shared" si="417"/>
        <v>2.7274950883017336E-2</v>
      </c>
      <c r="P266" s="103">
        <f t="shared" si="417"/>
        <v>1.9646286021582183E-2</v>
      </c>
      <c r="Q266" s="103">
        <f t="shared" si="417"/>
        <v>1.7759331311998895E-2</v>
      </c>
      <c r="R266" s="103">
        <f t="shared" si="417"/>
        <v>1.5074059799844497E-2</v>
      </c>
      <c r="S266" s="103">
        <f t="shared" si="417"/>
        <v>1.342299999957443E-2</v>
      </c>
      <c r="T266" s="103">
        <f t="shared" si="417"/>
        <v>1.2241112016833047E-2</v>
      </c>
      <c r="U266" s="103">
        <f t="shared" si="417"/>
        <v>1.1067339732382117E-2</v>
      </c>
      <c r="V266" s="103">
        <f t="shared" si="417"/>
        <v>1.039093023183005E-2</v>
      </c>
      <c r="W266" s="103">
        <f t="shared" ref="W266:Y266" si="418">IF(W48=0,0,W48/W$46)</f>
        <v>9.6927779363552655E-3</v>
      </c>
      <c r="X266" s="103">
        <f t="shared" si="418"/>
        <v>9.4466803198208198E-3</v>
      </c>
      <c r="Y266" s="103">
        <f t="shared" si="418"/>
        <v>9.4481677094206372E-3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0.30371820649162501</v>
      </c>
      <c r="C267" s="103">
        <f t="shared" si="419"/>
        <v>0.32181794049025025</v>
      </c>
      <c r="D267" s="103">
        <f t="shared" si="419"/>
        <v>0.38160992766310792</v>
      </c>
      <c r="E267" s="103">
        <f t="shared" si="419"/>
        <v>0.33820840604154873</v>
      </c>
      <c r="F267" s="103">
        <f t="shared" si="419"/>
        <v>0.42536329509593462</v>
      </c>
      <c r="G267" s="103">
        <f t="shared" si="419"/>
        <v>0.38753195843222726</v>
      </c>
      <c r="H267" s="103">
        <f t="shared" si="419"/>
        <v>0.40697107794291082</v>
      </c>
      <c r="I267" s="103">
        <f t="shared" si="419"/>
        <v>0.40753669245562024</v>
      </c>
      <c r="J267" s="103">
        <f t="shared" si="419"/>
        <v>0.43969023170627342</v>
      </c>
      <c r="K267" s="103">
        <f t="shared" si="419"/>
        <v>0.45738296755796065</v>
      </c>
      <c r="L267" s="103">
        <f t="shared" ref="L267" si="420">IF(L49=0,0,L49/L$46)</f>
        <v>0.47822396337306133</v>
      </c>
      <c r="M267" s="103">
        <f t="shared" ref="M267:V267" si="421">IF(M49=0,0,M49/M$46)</f>
        <v>0.52443321129031972</v>
      </c>
      <c r="N267" s="103">
        <f t="shared" si="421"/>
        <v>0.57422046279064298</v>
      </c>
      <c r="O267" s="103">
        <f t="shared" si="421"/>
        <v>0.59766365262589083</v>
      </c>
      <c r="P267" s="103">
        <f t="shared" si="421"/>
        <v>0.62846106473786745</v>
      </c>
      <c r="Q267" s="103">
        <f t="shared" si="421"/>
        <v>0.62899189389504728</v>
      </c>
      <c r="R267" s="103">
        <f t="shared" si="421"/>
        <v>0.62734538764125281</v>
      </c>
      <c r="S267" s="103">
        <f t="shared" si="421"/>
        <v>0.61910561362246508</v>
      </c>
      <c r="T267" s="103">
        <f t="shared" si="421"/>
        <v>0.61415891046391735</v>
      </c>
      <c r="U267" s="103">
        <f t="shared" si="421"/>
        <v>0.62639741913092228</v>
      </c>
      <c r="V267" s="103">
        <f t="shared" si="421"/>
        <v>0.61931080346517042</v>
      </c>
      <c r="W267" s="103">
        <f t="shared" ref="W267:Y267" si="422">IF(W49=0,0,W49/W$46)</f>
        <v>0.61055931978462863</v>
      </c>
      <c r="X267" s="103">
        <f t="shared" si="422"/>
        <v>0.6162455794978573</v>
      </c>
      <c r="Y267" s="103">
        <f t="shared" si="422"/>
        <v>0.62235999419230859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2.1387416582114362E-4</v>
      </c>
      <c r="O268" s="103">
        <f t="shared" si="425"/>
        <v>1.7433551520671317E-4</v>
      </c>
      <c r="P268" s="103">
        <f t="shared" si="425"/>
        <v>2.362912441773563E-4</v>
      </c>
      <c r="Q268" s="103">
        <f t="shared" si="425"/>
        <v>2.3561168350988578E-4</v>
      </c>
      <c r="R268" s="103">
        <f t="shared" si="425"/>
        <v>1.4836958379791177E-3</v>
      </c>
      <c r="S268" s="103">
        <f t="shared" si="425"/>
        <v>2.530563112680996E-3</v>
      </c>
      <c r="T268" s="103">
        <f t="shared" si="425"/>
        <v>3.1520886894549991E-3</v>
      </c>
      <c r="U268" s="103">
        <f t="shared" si="425"/>
        <v>3.8267681020091857E-3</v>
      </c>
      <c r="V268" s="103">
        <f t="shared" si="425"/>
        <v>4.0406341172120001E-3</v>
      </c>
      <c r="W268" s="103">
        <f t="shared" ref="W268:Y268" si="426">IF(W50=0,0,W50/W$46)</f>
        <v>4.0173491052594894E-3</v>
      </c>
      <c r="X268" s="103">
        <f t="shared" si="426"/>
        <v>4.0917183234252981E-3</v>
      </c>
      <c r="Y268" s="103">
        <f t="shared" si="426"/>
        <v>4.2410572392663996E-3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0</v>
      </c>
      <c r="R269" s="103">
        <f t="shared" si="429"/>
        <v>0</v>
      </c>
      <c r="S269" s="103">
        <f t="shared" si="429"/>
        <v>0</v>
      </c>
      <c r="T269" s="103">
        <f t="shared" si="429"/>
        <v>0</v>
      </c>
      <c r="U269" s="103">
        <f t="shared" si="429"/>
        <v>0</v>
      </c>
      <c r="V269" s="103">
        <f t="shared" si="429"/>
        <v>0</v>
      </c>
      <c r="W269" s="103">
        <f t="shared" ref="W269:Y269" si="430">IF(W51=0,0,W51/W$46)</f>
        <v>0</v>
      </c>
      <c r="X269" s="103">
        <f t="shared" si="430"/>
        <v>0</v>
      </c>
      <c r="Y269" s="103">
        <f t="shared" si="430"/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1.9204071782362072E-5</v>
      </c>
      <c r="N270" s="103">
        <f t="shared" si="433"/>
        <v>1.9173673080844984E-5</v>
      </c>
      <c r="O270" s="103">
        <f t="shared" si="433"/>
        <v>1.0161090258829681E-4</v>
      </c>
      <c r="P270" s="103">
        <f t="shared" si="433"/>
        <v>1.1213916681818057E-4</v>
      </c>
      <c r="Q270" s="103">
        <f t="shared" si="433"/>
        <v>1.1398331964374192E-4</v>
      </c>
      <c r="R270" s="103">
        <f t="shared" si="433"/>
        <v>8.3035189769655401E-5</v>
      </c>
      <c r="S270" s="103">
        <f t="shared" si="433"/>
        <v>8.5530045569312649E-5</v>
      </c>
      <c r="T270" s="103">
        <f t="shared" si="433"/>
        <v>8.3040799206329891E-5</v>
      </c>
      <c r="U270" s="103">
        <f t="shared" si="433"/>
        <v>9.5729798124418353E-5</v>
      </c>
      <c r="V270" s="103">
        <f t="shared" si="433"/>
        <v>2.2696848177778279E-4</v>
      </c>
      <c r="W270" s="103">
        <f t="shared" ref="W270:Y270" si="434">IF(W52=0,0,W52/W$46)</f>
        <v>4.243862656549972E-4</v>
      </c>
      <c r="X270" s="103">
        <f t="shared" si="434"/>
        <v>6.6901588259394771E-4</v>
      </c>
      <c r="Y270" s="103">
        <f t="shared" si="434"/>
        <v>9.1046186332746106E-4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0.4806124282449627</v>
      </c>
      <c r="C271" s="156">
        <f t="shared" si="435"/>
        <v>0.49158674313901152</v>
      </c>
      <c r="D271" s="156">
        <f t="shared" si="435"/>
        <v>0.47408767443868211</v>
      </c>
      <c r="E271" s="156">
        <f t="shared" si="435"/>
        <v>0.52178216314788495</v>
      </c>
      <c r="F271" s="156">
        <f t="shared" si="435"/>
        <v>0.45303731058547719</v>
      </c>
      <c r="G271" s="156">
        <f t="shared" si="435"/>
        <v>0.49317895708145715</v>
      </c>
      <c r="H271" s="156">
        <f t="shared" si="435"/>
        <v>0.47939168376025848</v>
      </c>
      <c r="I271" s="156">
        <f t="shared" si="435"/>
        <v>0.49619898809889712</v>
      </c>
      <c r="J271" s="156">
        <f t="shared" si="435"/>
        <v>0.4780594429353866</v>
      </c>
      <c r="K271" s="156">
        <f t="shared" si="435"/>
        <v>0.47163603986809138</v>
      </c>
      <c r="L271" s="156">
        <f t="shared" ref="L271" si="436">IF(L53=0,0,L53/L$46)</f>
        <v>0.48425230698348237</v>
      </c>
      <c r="M271" s="156">
        <f t="shared" ref="M271:V271" si="437">IF(M53=0,0,M53/M$46)</f>
        <v>0.44005540149717326</v>
      </c>
      <c r="N271" s="156">
        <f t="shared" si="437"/>
        <v>0.39008648696802961</v>
      </c>
      <c r="O271" s="156">
        <f t="shared" si="437"/>
        <v>0.37478545007329683</v>
      </c>
      <c r="P271" s="156">
        <f t="shared" si="437"/>
        <v>0.35154421882955494</v>
      </c>
      <c r="Q271" s="156">
        <f t="shared" si="437"/>
        <v>0.35289917978980007</v>
      </c>
      <c r="R271" s="156">
        <f t="shared" si="437"/>
        <v>0.35601382153115391</v>
      </c>
      <c r="S271" s="156">
        <f t="shared" si="437"/>
        <v>0.36485529321971022</v>
      </c>
      <c r="T271" s="156">
        <f t="shared" si="437"/>
        <v>0.37036484803058822</v>
      </c>
      <c r="U271" s="156">
        <f t="shared" si="437"/>
        <v>0.35861274323656189</v>
      </c>
      <c r="V271" s="156">
        <f t="shared" si="437"/>
        <v>0.36603066370400983</v>
      </c>
      <c r="W271" s="156">
        <f t="shared" ref="W271:Y271" si="438">IF(W53=0,0,W53/W$46)</f>
        <v>0.37530616690810148</v>
      </c>
      <c r="X271" s="156">
        <f t="shared" si="438"/>
        <v>0.36954700597630269</v>
      </c>
      <c r="Y271" s="156">
        <f t="shared" si="438"/>
        <v>0.36304031899567701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0.40589049455218534</v>
      </c>
      <c r="C272" s="104">
        <f t="shared" si="439"/>
        <v>0.42357153931291341</v>
      </c>
      <c r="D272" s="104">
        <f t="shared" si="439"/>
        <v>0.41539840734390732</v>
      </c>
      <c r="E272" s="104">
        <f t="shared" si="439"/>
        <v>0.46303458886000592</v>
      </c>
      <c r="F272" s="104">
        <f t="shared" si="439"/>
        <v>0.39114217518739497</v>
      </c>
      <c r="G272" s="104">
        <f t="shared" si="439"/>
        <v>0.43043240087333173</v>
      </c>
      <c r="H272" s="104">
        <f t="shared" si="439"/>
        <v>0.40749650839424606</v>
      </c>
      <c r="I272" s="104">
        <f t="shared" si="439"/>
        <v>0.42441925099644229</v>
      </c>
      <c r="J272" s="104">
        <f t="shared" si="439"/>
        <v>0.40627696053376444</v>
      </c>
      <c r="K272" s="104">
        <f t="shared" si="439"/>
        <v>0.41068301757963338</v>
      </c>
      <c r="L272" s="104">
        <f t="shared" ref="L272" si="440">IF(L54=0,0,L54/L$46)</f>
        <v>0.40802526627925667</v>
      </c>
      <c r="M272" s="104">
        <f t="shared" ref="M272:V272" si="441">IF(M54=0,0,M54/M$46)</f>
        <v>0.34775565658950958</v>
      </c>
      <c r="N272" s="104">
        <f t="shared" si="441"/>
        <v>0.28782340072706059</v>
      </c>
      <c r="O272" s="104">
        <f t="shared" si="441"/>
        <v>0.27107113016922474</v>
      </c>
      <c r="P272" s="104">
        <f t="shared" si="441"/>
        <v>0.25235554025411966</v>
      </c>
      <c r="Q272" s="104">
        <f t="shared" si="441"/>
        <v>0.2423545951024135</v>
      </c>
      <c r="R272" s="104">
        <f t="shared" si="441"/>
        <v>0.24538682946856988</v>
      </c>
      <c r="S272" s="104">
        <f t="shared" si="441"/>
        <v>0.26154786658559676</v>
      </c>
      <c r="T272" s="104">
        <f t="shared" si="441"/>
        <v>0.26163934413086365</v>
      </c>
      <c r="U272" s="104">
        <f t="shared" si="441"/>
        <v>0.26000151799715138</v>
      </c>
      <c r="V272" s="104">
        <f t="shared" si="441"/>
        <v>0.25161812533138816</v>
      </c>
      <c r="W272" s="104">
        <f t="shared" ref="W272:Y272" si="442">IF(W54=0,0,W54/W$46)</f>
        <v>0.27096011843863399</v>
      </c>
      <c r="X272" s="104">
        <f t="shared" si="442"/>
        <v>0.25858519566198795</v>
      </c>
      <c r="Y272" s="104">
        <f t="shared" si="442"/>
        <v>0.25232425997315044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7.4721933692777354E-2</v>
      </c>
      <c r="C273" s="105">
        <f t="shared" si="443"/>
        <v>6.8015203826098117E-2</v>
      </c>
      <c r="D273" s="105">
        <f t="shared" si="443"/>
        <v>5.8689267094774775E-2</v>
      </c>
      <c r="E273" s="105">
        <f t="shared" si="443"/>
        <v>5.8747574287879072E-2</v>
      </c>
      <c r="F273" s="105">
        <f t="shared" si="443"/>
        <v>6.1895135398082203E-2</v>
      </c>
      <c r="G273" s="105">
        <f t="shared" si="443"/>
        <v>6.2746556208125456E-2</v>
      </c>
      <c r="H273" s="105">
        <f t="shared" si="443"/>
        <v>7.1895175366012476E-2</v>
      </c>
      <c r="I273" s="105">
        <f t="shared" si="443"/>
        <v>7.1779737102454819E-2</v>
      </c>
      <c r="J273" s="105">
        <f t="shared" si="443"/>
        <v>7.1782482401622133E-2</v>
      </c>
      <c r="K273" s="105">
        <f t="shared" si="443"/>
        <v>6.0953022288457982E-2</v>
      </c>
      <c r="L273" s="105">
        <f t="shared" ref="L273" si="444">IF(L55=0,0,L55/L$46)</f>
        <v>7.6227040704225729E-2</v>
      </c>
      <c r="M273" s="105">
        <f t="shared" ref="M273:V273" si="445">IF(M55=0,0,M55/M$46)</f>
        <v>9.2299744907663683E-2</v>
      </c>
      <c r="N273" s="105">
        <f t="shared" si="445"/>
        <v>0.10226308624096903</v>
      </c>
      <c r="O273" s="105">
        <f t="shared" si="445"/>
        <v>0.10371431990407209</v>
      </c>
      <c r="P273" s="105">
        <f t="shared" si="445"/>
        <v>9.9188678575435299E-2</v>
      </c>
      <c r="Q273" s="105">
        <f t="shared" si="445"/>
        <v>0.11054458468738658</v>
      </c>
      <c r="R273" s="105">
        <f t="shared" si="445"/>
        <v>0.11062699206258406</v>
      </c>
      <c r="S273" s="105">
        <f t="shared" si="445"/>
        <v>0.10330742663411346</v>
      </c>
      <c r="T273" s="105">
        <f t="shared" si="445"/>
        <v>0.10872550389972462</v>
      </c>
      <c r="U273" s="105">
        <f t="shared" si="445"/>
        <v>9.8611225239410502E-2</v>
      </c>
      <c r="V273" s="105">
        <f t="shared" si="445"/>
        <v>0.11441253837262162</v>
      </c>
      <c r="W273" s="105">
        <f t="shared" ref="W273:Y273" si="446">IF(W55=0,0,W55/W$46)</f>
        <v>0.10434604846946746</v>
      </c>
      <c r="X273" s="105">
        <f t="shared" si="446"/>
        <v>0.11096181031431469</v>
      </c>
      <c r="Y273" s="105">
        <f t="shared" si="446"/>
        <v>0.11071605902252657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643.24676192509344</v>
      </c>
      <c r="C4" s="145">
        <f t="shared" si="0"/>
        <v>768.65371607656027</v>
      </c>
      <c r="D4" s="145">
        <f t="shared" si="0"/>
        <v>789.93309366848541</v>
      </c>
      <c r="E4" s="145">
        <f t="shared" si="0"/>
        <v>826.35488948837667</v>
      </c>
      <c r="F4" s="145">
        <f t="shared" si="0"/>
        <v>869.19553513839435</v>
      </c>
      <c r="G4" s="145">
        <f t="shared" si="0"/>
        <v>912.72151399470022</v>
      </c>
      <c r="H4" s="145">
        <f t="shared" si="0"/>
        <v>1026.1966744421795</v>
      </c>
      <c r="I4" s="145">
        <f t="shared" si="0"/>
        <v>1161.3739657549916</v>
      </c>
      <c r="J4" s="145">
        <f t="shared" si="0"/>
        <v>1090.9946302184399</v>
      </c>
      <c r="K4" s="145">
        <f t="shared" si="0"/>
        <v>953.62816764482659</v>
      </c>
      <c r="L4" s="145">
        <f t="shared" ref="L4" si="1">L5+L9+L10+L15</f>
        <v>1004.8909592695799</v>
      </c>
      <c r="M4" s="145">
        <f t="shared" ref="M4:V4" si="2">M5+M9+M10+M15</f>
        <v>876.36458156564709</v>
      </c>
      <c r="N4" s="145">
        <f t="shared" si="2"/>
        <v>835.57694128675178</v>
      </c>
      <c r="O4" s="145">
        <f t="shared" si="2"/>
        <v>850.85035064938882</v>
      </c>
      <c r="P4" s="145">
        <f t="shared" si="2"/>
        <v>900.41687081036537</v>
      </c>
      <c r="Q4" s="145">
        <f t="shared" si="2"/>
        <v>961.94616115163899</v>
      </c>
      <c r="R4" s="145">
        <f t="shared" si="2"/>
        <v>967.41796367498057</v>
      </c>
      <c r="S4" s="145">
        <f t="shared" si="2"/>
        <v>1016.6898465745945</v>
      </c>
      <c r="T4" s="145">
        <f t="shared" si="2"/>
        <v>1042.8119779735132</v>
      </c>
      <c r="U4" s="145">
        <f t="shared" si="2"/>
        <v>1047.363951762886</v>
      </c>
      <c r="V4" s="145">
        <f t="shared" si="2"/>
        <v>1011.9879682264809</v>
      </c>
      <c r="W4" s="145">
        <f t="shared" ref="W4:Y4" si="3">W5+W9+W10+W15</f>
        <v>1045.5640433900323</v>
      </c>
      <c r="X4" s="145">
        <f t="shared" si="3"/>
        <v>991.62575597275645</v>
      </c>
      <c r="Y4" s="145">
        <f t="shared" si="3"/>
        <v>994.85317879139131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641.48177128116936</v>
      </c>
      <c r="C5" s="97">
        <f t="shared" si="4"/>
        <v>765.90739466895957</v>
      </c>
      <c r="D5" s="97">
        <f t="shared" si="4"/>
        <v>787.98177128116936</v>
      </c>
      <c r="E5" s="97">
        <f t="shared" si="4"/>
        <v>824.41865864144461</v>
      </c>
      <c r="F5" s="97">
        <f t="shared" si="4"/>
        <v>867.25898538263118</v>
      </c>
      <c r="G5" s="97">
        <f t="shared" si="4"/>
        <v>907.67867583834914</v>
      </c>
      <c r="H5" s="97">
        <f t="shared" si="4"/>
        <v>1020.7311263972485</v>
      </c>
      <c r="I5" s="97">
        <f t="shared" si="4"/>
        <v>1156.7985382631125</v>
      </c>
      <c r="J5" s="97">
        <f t="shared" si="4"/>
        <v>1086.297162510748</v>
      </c>
      <c r="K5" s="97">
        <f t="shared" si="4"/>
        <v>945.97472055030084</v>
      </c>
      <c r="L5" s="97">
        <f t="shared" ref="L5" si="5">SUM(L6:L8)</f>
        <v>973.58409286328447</v>
      </c>
      <c r="M5" s="97">
        <f t="shared" ref="M5:V5" si="6">SUM(M6:M8)</f>
        <v>849.3560619088563</v>
      </c>
      <c r="N5" s="97">
        <f t="shared" si="6"/>
        <v>813.55012897678409</v>
      </c>
      <c r="O5" s="97">
        <f t="shared" si="6"/>
        <v>828.832072226999</v>
      </c>
      <c r="P5" s="97">
        <f t="shared" si="6"/>
        <v>875.81109200343928</v>
      </c>
      <c r="Q5" s="97">
        <f t="shared" si="6"/>
        <v>936.73998280309536</v>
      </c>
      <c r="R5" s="97">
        <f t="shared" si="6"/>
        <v>953.67007738607049</v>
      </c>
      <c r="S5" s="97">
        <f t="shared" si="6"/>
        <v>1004.1018916595012</v>
      </c>
      <c r="T5" s="97">
        <f t="shared" si="6"/>
        <v>1002.7052450558898</v>
      </c>
      <c r="U5" s="97">
        <f t="shared" si="6"/>
        <v>1009.3014617368874</v>
      </c>
      <c r="V5" s="97">
        <f t="shared" si="6"/>
        <v>963.09819432502138</v>
      </c>
      <c r="W5" s="97">
        <f t="shared" ref="W5:Y5" si="7">SUM(W6:W8)</f>
        <v>993.10223559759231</v>
      </c>
      <c r="X5" s="97">
        <f t="shared" si="7"/>
        <v>969.05640584694743</v>
      </c>
      <c r="Y5" s="97">
        <f t="shared" si="7"/>
        <v>974.40997420464305</v>
      </c>
      <c r="DA5" s="175"/>
    </row>
    <row r="6" spans="1:105" ht="11.45" customHeight="1" x14ac:dyDescent="0.25">
      <c r="A6" s="128" t="s">
        <v>52</v>
      </c>
      <c r="B6" s="97">
        <v>20.666380051590711</v>
      </c>
      <c r="C6" s="97">
        <v>20.666380051590711</v>
      </c>
      <c r="D6" s="97">
        <v>20.666380051590711</v>
      </c>
      <c r="E6" s="97">
        <v>22.841788478073941</v>
      </c>
      <c r="F6" s="97">
        <v>25.017196904557181</v>
      </c>
      <c r="G6" s="97">
        <v>26.1049011177988</v>
      </c>
      <c r="H6" s="97">
        <v>28.28030954428203</v>
      </c>
      <c r="I6" s="97">
        <v>26.1049011177988</v>
      </c>
      <c r="J6" s="97">
        <v>22.841788478073941</v>
      </c>
      <c r="K6" s="97">
        <v>20.666380051590711</v>
      </c>
      <c r="L6" s="97">
        <v>23.929492691315559</v>
      </c>
      <c r="M6" s="97">
        <v>28.28030954428203</v>
      </c>
      <c r="N6" s="97">
        <v>44.595872742906273</v>
      </c>
      <c r="O6" s="97">
        <v>56.560619088564053</v>
      </c>
      <c r="P6" s="97">
        <v>63.086844368013757</v>
      </c>
      <c r="Q6" s="97">
        <v>64.174548581255365</v>
      </c>
      <c r="R6" s="97">
        <v>61.999140154772142</v>
      </c>
      <c r="S6" s="97">
        <v>58.28357695614789</v>
      </c>
      <c r="T6" s="97">
        <v>55.224935511607903</v>
      </c>
      <c r="U6" s="97">
        <v>48.432244196044707</v>
      </c>
      <c r="V6" s="97">
        <v>43.771367153912287</v>
      </c>
      <c r="W6" s="97">
        <v>39.479277730008597</v>
      </c>
      <c r="X6" s="97">
        <v>36.006276870163369</v>
      </c>
      <c r="Y6" s="97">
        <v>32.653998280309537</v>
      </c>
      <c r="DA6" s="175" t="s">
        <v>630</v>
      </c>
    </row>
    <row r="7" spans="1:105" ht="11.45" customHeight="1" x14ac:dyDescent="0.25">
      <c r="A7" s="128" t="s">
        <v>53</v>
      </c>
      <c r="B7" s="97">
        <v>346.80421324161648</v>
      </c>
      <c r="C7" s="97">
        <v>364.66990541702489</v>
      </c>
      <c r="D7" s="97">
        <v>357.31349957007728</v>
      </c>
      <c r="E7" s="97">
        <v>357.06981943250207</v>
      </c>
      <c r="F7" s="97">
        <v>359.17024935511603</v>
      </c>
      <c r="G7" s="97">
        <v>351.81883061049012</v>
      </c>
      <c r="H7" s="97">
        <v>389.62622527944973</v>
      </c>
      <c r="I7" s="97">
        <v>426.38340498710232</v>
      </c>
      <c r="J7" s="97">
        <v>388.57601031814272</v>
      </c>
      <c r="K7" s="97">
        <v>324.51349957007739</v>
      </c>
      <c r="L7" s="97">
        <v>294.05752364574369</v>
      </c>
      <c r="M7" s="97">
        <v>273.05339638865001</v>
      </c>
      <c r="N7" s="97">
        <v>232.09535683576951</v>
      </c>
      <c r="O7" s="97">
        <v>210.0411006018916</v>
      </c>
      <c r="P7" s="97">
        <v>205.8402407566638</v>
      </c>
      <c r="Q7" s="97">
        <v>204.7900257953568</v>
      </c>
      <c r="R7" s="97">
        <v>199.53903697334479</v>
      </c>
      <c r="S7" s="97">
        <v>191.78013757523641</v>
      </c>
      <c r="T7" s="97">
        <v>183.9024935511608</v>
      </c>
      <c r="U7" s="97">
        <v>174.52312983662941</v>
      </c>
      <c r="V7" s="97">
        <v>167.54978503869299</v>
      </c>
      <c r="W7" s="97">
        <v>165.83370593293199</v>
      </c>
      <c r="X7" s="97">
        <v>141.81134995700771</v>
      </c>
      <c r="Y7" s="97">
        <v>147.8857265692175</v>
      </c>
      <c r="DA7" s="175" t="s">
        <v>631</v>
      </c>
    </row>
    <row r="8" spans="1:105" ht="11.45" customHeight="1" x14ac:dyDescent="0.25">
      <c r="A8" s="128" t="s">
        <v>54</v>
      </c>
      <c r="B8" s="97">
        <v>274.01117798796213</v>
      </c>
      <c r="C8" s="97">
        <v>380.57110920034393</v>
      </c>
      <c r="D8" s="97">
        <v>410.00189165950133</v>
      </c>
      <c r="E8" s="97">
        <v>444.50705073086851</v>
      </c>
      <c r="F8" s="97">
        <v>483.07153912295792</v>
      </c>
      <c r="G8" s="97">
        <v>529.75494411006014</v>
      </c>
      <c r="H8" s="97">
        <v>602.82459157351673</v>
      </c>
      <c r="I8" s="97">
        <v>704.31023215821142</v>
      </c>
      <c r="J8" s="97">
        <v>674.87936371453134</v>
      </c>
      <c r="K8" s="97">
        <v>600.79484092863277</v>
      </c>
      <c r="L8" s="97">
        <v>655.59707652622524</v>
      </c>
      <c r="M8" s="97">
        <v>548.02235597592426</v>
      </c>
      <c r="N8" s="97">
        <v>536.85889939810829</v>
      </c>
      <c r="O8" s="97">
        <v>562.23035253654336</v>
      </c>
      <c r="P8" s="97">
        <v>606.88400687876174</v>
      </c>
      <c r="Q8" s="97">
        <v>667.77540842648318</v>
      </c>
      <c r="R8" s="97">
        <v>692.13190025795348</v>
      </c>
      <c r="S8" s="97">
        <v>754.0381771281169</v>
      </c>
      <c r="T8" s="97">
        <v>763.57781599312113</v>
      </c>
      <c r="U8" s="97">
        <v>786.34608770421323</v>
      </c>
      <c r="V8" s="97">
        <v>751.77704213241611</v>
      </c>
      <c r="W8" s="97">
        <v>787.7892519346517</v>
      </c>
      <c r="X8" s="97">
        <v>791.23877901977642</v>
      </c>
      <c r="Y8" s="97">
        <v>793.87024935511602</v>
      </c>
      <c r="DA8" s="175" t="s">
        <v>632</v>
      </c>
    </row>
    <row r="9" spans="1:105" ht="11.45" customHeight="1" x14ac:dyDescent="0.25">
      <c r="A9" s="92" t="s">
        <v>55</v>
      </c>
      <c r="B9" s="97">
        <v>1.612209802235598</v>
      </c>
      <c r="C9" s="97">
        <v>2.407566638005159</v>
      </c>
      <c r="D9" s="97">
        <v>1.612209802235598</v>
      </c>
      <c r="E9" s="97">
        <v>1.612209802235598</v>
      </c>
      <c r="F9" s="97">
        <v>1.612209802235598</v>
      </c>
      <c r="G9" s="97">
        <v>1.612209802235598</v>
      </c>
      <c r="H9" s="97">
        <v>1.612209802235598</v>
      </c>
      <c r="I9" s="97">
        <v>1.590713671539123</v>
      </c>
      <c r="J9" s="97">
        <v>0.7953568357695614</v>
      </c>
      <c r="K9" s="97">
        <v>8.5984522785898534E-2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5.5546001719690451E-2</v>
      </c>
      <c r="U9" s="97">
        <v>0.18503869303525369</v>
      </c>
      <c r="V9" s="97">
        <v>0.53447979363714526</v>
      </c>
      <c r="W9" s="97">
        <v>1.307910576096303</v>
      </c>
      <c r="X9" s="97">
        <v>2.0552020636285468</v>
      </c>
      <c r="Y9" s="97">
        <v>2.7615649183147029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2.6655202063628551</v>
      </c>
      <c r="H10" s="97">
        <f t="shared" si="8"/>
        <v>3.0572656921754078</v>
      </c>
      <c r="I10" s="97">
        <f t="shared" si="8"/>
        <v>1.7770421324161649</v>
      </c>
      <c r="J10" s="97">
        <f t="shared" si="8"/>
        <v>1.7770421324161649</v>
      </c>
      <c r="K10" s="97">
        <f t="shared" si="8"/>
        <v>4.3374892519346524</v>
      </c>
      <c r="L10" s="97">
        <f t="shared" si="8"/>
        <v>26.980051590713671</v>
      </c>
      <c r="M10" s="97">
        <f t="shared" si="8"/>
        <v>22.785898538263112</v>
      </c>
      <c r="N10" s="97">
        <f t="shared" si="8"/>
        <v>17.951590713671543</v>
      </c>
      <c r="O10" s="97">
        <f t="shared" si="8"/>
        <v>17.951590713671543</v>
      </c>
      <c r="P10" s="97">
        <f t="shared" si="8"/>
        <v>20.617110920034392</v>
      </c>
      <c r="Q10" s="97">
        <f t="shared" si="8"/>
        <v>21.008856405846942</v>
      </c>
      <c r="R10" s="97">
        <f t="shared" si="8"/>
        <v>9.2098882201203782</v>
      </c>
      <c r="S10" s="97">
        <f t="shared" si="8"/>
        <v>8.5745485812553728</v>
      </c>
      <c r="T10" s="97">
        <f t="shared" si="8"/>
        <v>35.960533104041268</v>
      </c>
      <c r="U10" s="97">
        <f t="shared" si="8"/>
        <v>33.604127257093722</v>
      </c>
      <c r="V10" s="97">
        <f t="shared" si="8"/>
        <v>44.094325021496132</v>
      </c>
      <c r="W10" s="97">
        <f t="shared" si="8"/>
        <v>45.844282029234733</v>
      </c>
      <c r="X10" s="97">
        <f t="shared" ref="X10:Y10" si="9">SUM(X11:X13)</f>
        <v>15.142820292347377</v>
      </c>
      <c r="Y10" s="97">
        <f t="shared" si="9"/>
        <v>11.05511607910576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1.2802235597592431</v>
      </c>
      <c r="I12" s="97">
        <v>0</v>
      </c>
      <c r="J12" s="97">
        <v>0</v>
      </c>
      <c r="K12" s="97">
        <v>2.560447119518487</v>
      </c>
      <c r="L12" s="97">
        <v>8.3214101461736885</v>
      </c>
      <c r="M12" s="97">
        <v>7.6812553740326726</v>
      </c>
      <c r="N12" s="97">
        <v>6.4010318142734306</v>
      </c>
      <c r="O12" s="97">
        <v>6.4010318142734306</v>
      </c>
      <c r="P12" s="97">
        <v>6.4010318142734306</v>
      </c>
      <c r="Q12" s="97">
        <v>7.6812553740326726</v>
      </c>
      <c r="R12" s="97">
        <v>8.3214101461736885</v>
      </c>
      <c r="S12" s="97">
        <v>7.9116938950988818</v>
      </c>
      <c r="T12" s="97">
        <v>8.4602751504729152</v>
      </c>
      <c r="U12" s="97">
        <v>7.3067927773000854</v>
      </c>
      <c r="V12" s="97">
        <v>12.75030094582975</v>
      </c>
      <c r="W12" s="97">
        <v>11.72416165090284</v>
      </c>
      <c r="X12" s="97">
        <v>10.11049011177988</v>
      </c>
      <c r="Y12" s="97">
        <v>8.6996560619088559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2.6655202063628551</v>
      </c>
      <c r="H13" s="97">
        <v>1.7770421324161649</v>
      </c>
      <c r="I13" s="97">
        <v>1.7770421324161649</v>
      </c>
      <c r="J13" s="97">
        <v>1.7770421324161649</v>
      </c>
      <c r="K13" s="97">
        <v>1.7770421324161649</v>
      </c>
      <c r="L13" s="97">
        <v>18.658641444539981</v>
      </c>
      <c r="M13" s="97">
        <v>15.10464316423044</v>
      </c>
      <c r="N13" s="97">
        <v>11.55055889939811</v>
      </c>
      <c r="O13" s="97">
        <v>11.55055889939811</v>
      </c>
      <c r="P13" s="97">
        <v>14.21607910576096</v>
      </c>
      <c r="Q13" s="97">
        <v>13.32760103181427</v>
      </c>
      <c r="R13" s="97">
        <v>0.88847807394668954</v>
      </c>
      <c r="S13" s="97">
        <v>0.66285468615649179</v>
      </c>
      <c r="T13" s="97">
        <v>27.500257953568351</v>
      </c>
      <c r="U13" s="97">
        <v>26.297334479793641</v>
      </c>
      <c r="V13" s="97">
        <v>31.344024075666379</v>
      </c>
      <c r="W13" s="97">
        <v>34.120120378331897</v>
      </c>
      <c r="X13" s="97">
        <v>5.0323301805674978</v>
      </c>
      <c r="Y13" s="97">
        <v>2.3554600171969038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0.15278084168842507</v>
      </c>
      <c r="C15" s="98">
        <v>0.33875476959553025</v>
      </c>
      <c r="D15" s="98">
        <v>0.33911258508045122</v>
      </c>
      <c r="E15" s="98">
        <v>0.3240210446964944</v>
      </c>
      <c r="F15" s="98">
        <v>0.32433995352761097</v>
      </c>
      <c r="G15" s="98">
        <v>0.76510814775261782</v>
      </c>
      <c r="H15" s="98">
        <v>0.79607255052003179</v>
      </c>
      <c r="I15" s="98">
        <v>1.2076716879236671</v>
      </c>
      <c r="J15" s="98">
        <v>2.1250687395061276</v>
      </c>
      <c r="K15" s="98">
        <v>3.2299733198051377</v>
      </c>
      <c r="L15" s="98">
        <v>4.3268148155817769</v>
      </c>
      <c r="M15" s="98">
        <v>4.2226211185276652</v>
      </c>
      <c r="N15" s="98">
        <v>4.0752215962961111</v>
      </c>
      <c r="O15" s="98">
        <v>4.0666877087182529</v>
      </c>
      <c r="P15" s="98">
        <v>3.9886678868917196</v>
      </c>
      <c r="Q15" s="98">
        <v>4.1973219426966581</v>
      </c>
      <c r="R15" s="98">
        <v>4.5379980687896051</v>
      </c>
      <c r="S15" s="98">
        <v>4.0134063338378834</v>
      </c>
      <c r="T15" s="98">
        <v>4.0906538118625733</v>
      </c>
      <c r="U15" s="98">
        <v>4.2733240758695601</v>
      </c>
      <c r="V15" s="98">
        <v>4.2609690863261616</v>
      </c>
      <c r="W15" s="98">
        <v>5.3096151871087649</v>
      </c>
      <c r="X15" s="98">
        <v>5.3713277698331412</v>
      </c>
      <c r="Y15" s="98">
        <v>6.6265235893278076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643.24676192509332</v>
      </c>
      <c r="C17" s="79">
        <f t="shared" si="10"/>
        <v>768.65371607656016</v>
      </c>
      <c r="D17" s="79">
        <f t="shared" si="10"/>
        <v>789.9330936684853</v>
      </c>
      <c r="E17" s="79">
        <f t="shared" si="10"/>
        <v>826.35488948837656</v>
      </c>
      <c r="F17" s="79">
        <f t="shared" si="10"/>
        <v>869.19553513839423</v>
      </c>
      <c r="G17" s="79">
        <f t="shared" si="10"/>
        <v>912.7215139947001</v>
      </c>
      <c r="H17" s="79">
        <f t="shared" si="10"/>
        <v>1026.1966744421795</v>
      </c>
      <c r="I17" s="79">
        <f t="shared" si="10"/>
        <v>1161.3739657549913</v>
      </c>
      <c r="J17" s="79">
        <f t="shared" si="10"/>
        <v>1090.9946302184399</v>
      </c>
      <c r="K17" s="79">
        <f t="shared" si="10"/>
        <v>953.62816764482648</v>
      </c>
      <c r="L17" s="79">
        <f t="shared" ref="L17" si="11">L18+L42</f>
        <v>1004.89095926958</v>
      </c>
      <c r="M17" s="79">
        <f t="shared" ref="M17:V17" si="12">M18+M42</f>
        <v>876.36458156564709</v>
      </c>
      <c r="N17" s="79">
        <f t="shared" si="12"/>
        <v>835.57694128675166</v>
      </c>
      <c r="O17" s="79">
        <f t="shared" si="12"/>
        <v>850.85035064938882</v>
      </c>
      <c r="P17" s="79">
        <f t="shared" si="12"/>
        <v>900.41687081036548</v>
      </c>
      <c r="Q17" s="79">
        <f t="shared" si="12"/>
        <v>961.94616115163888</v>
      </c>
      <c r="R17" s="79">
        <f t="shared" si="12"/>
        <v>967.41796367498023</v>
      </c>
      <c r="S17" s="79">
        <f t="shared" si="12"/>
        <v>1016.6898465745945</v>
      </c>
      <c r="T17" s="79">
        <f t="shared" si="12"/>
        <v>1042.8119779735134</v>
      </c>
      <c r="U17" s="79">
        <f t="shared" si="12"/>
        <v>1047.3639517628858</v>
      </c>
      <c r="V17" s="79">
        <f t="shared" si="12"/>
        <v>1011.9879682264809</v>
      </c>
      <c r="W17" s="79">
        <f t="shared" ref="W17:Y17" si="13">W18+W42</f>
        <v>1045.5640433900321</v>
      </c>
      <c r="X17" s="79">
        <f t="shared" si="13"/>
        <v>991.62575597275645</v>
      </c>
      <c r="Y17" s="79">
        <f t="shared" si="13"/>
        <v>994.85317879139143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466.38722740836965</v>
      </c>
      <c r="C18" s="32">
        <f t="shared" si="14"/>
        <v>508.2429523385963</v>
      </c>
      <c r="D18" s="32">
        <f t="shared" si="14"/>
        <v>510.46449823557896</v>
      </c>
      <c r="E18" s="32">
        <f t="shared" si="14"/>
        <v>533.3336414373357</v>
      </c>
      <c r="F18" s="32">
        <f t="shared" si="14"/>
        <v>556.47694269673059</v>
      </c>
      <c r="G18" s="32">
        <f t="shared" si="14"/>
        <v>569.62999034124266</v>
      </c>
      <c r="H18" s="32">
        <f t="shared" si="14"/>
        <v>644.22709041600285</v>
      </c>
      <c r="I18" s="32">
        <f t="shared" si="14"/>
        <v>707.07534773555187</v>
      </c>
      <c r="J18" s="32">
        <f t="shared" si="14"/>
        <v>675.34204334954586</v>
      </c>
      <c r="K18" s="32">
        <f t="shared" si="14"/>
        <v>611.10423581666851</v>
      </c>
      <c r="L18" s="32">
        <f t="shared" ref="L18" si="15">L19+L21+L33</f>
        <v>615.59347750059703</v>
      </c>
      <c r="M18" s="32">
        <f t="shared" ref="M18:V18" si="16">M19+M21+M33</f>
        <v>581.37908504681548</v>
      </c>
      <c r="N18" s="32">
        <f t="shared" si="16"/>
        <v>561.83972889536267</v>
      </c>
      <c r="O18" s="32">
        <f t="shared" si="16"/>
        <v>564.56865427420507</v>
      </c>
      <c r="P18" s="32">
        <f t="shared" si="16"/>
        <v>613.3694316409069</v>
      </c>
      <c r="Q18" s="32">
        <f t="shared" si="16"/>
        <v>654.45856262053155</v>
      </c>
      <c r="R18" s="32">
        <f t="shared" si="16"/>
        <v>672.76868294189558</v>
      </c>
      <c r="S18" s="32">
        <f t="shared" si="16"/>
        <v>694.37968573208093</v>
      </c>
      <c r="T18" s="32">
        <f t="shared" si="16"/>
        <v>711.19159536605571</v>
      </c>
      <c r="U18" s="32">
        <f t="shared" si="16"/>
        <v>726.44805894785156</v>
      </c>
      <c r="V18" s="32">
        <f t="shared" si="16"/>
        <v>696.19954415033271</v>
      </c>
      <c r="W18" s="32">
        <f t="shared" ref="W18:Y18" si="17">W19+W21+W33</f>
        <v>700.26954528800024</v>
      </c>
      <c r="X18" s="32">
        <f t="shared" si="17"/>
        <v>649.04917744036266</v>
      </c>
      <c r="Y18" s="32">
        <f t="shared" si="17"/>
        <v>658.54381626794657</v>
      </c>
      <c r="DA18" s="173" t="s">
        <v>391</v>
      </c>
    </row>
    <row r="19" spans="1:105" ht="11.45" customHeight="1" x14ac:dyDescent="0.25">
      <c r="A19" s="107" t="s">
        <v>174</v>
      </c>
      <c r="B19" s="129">
        <v>2.8861602953090064</v>
      </c>
      <c r="C19" s="129">
        <v>2.8949703485462788</v>
      </c>
      <c r="D19" s="129">
        <v>2.8743546965070244</v>
      </c>
      <c r="E19" s="129">
        <v>2.8530400028162637</v>
      </c>
      <c r="F19" s="129">
        <v>2.8147186164833227</v>
      </c>
      <c r="G19" s="129">
        <v>2.7728418199973923</v>
      </c>
      <c r="H19" s="129">
        <v>2.6926702619985168</v>
      </c>
      <c r="I19" s="129">
        <v>2.5411758872974541</v>
      </c>
      <c r="J19" s="129">
        <v>2.3957011614168842</v>
      </c>
      <c r="K19" s="129">
        <v>2.3010816723774234</v>
      </c>
      <c r="L19" s="129">
        <v>2.2969050718183786</v>
      </c>
      <c r="M19" s="129">
        <v>2.231458968225061</v>
      </c>
      <c r="N19" s="129">
        <v>2.000571951688987</v>
      </c>
      <c r="O19" s="129">
        <v>2.041681397877456</v>
      </c>
      <c r="P19" s="129">
        <v>2.4002944443196439</v>
      </c>
      <c r="Q19" s="129">
        <v>2.9772164748282486</v>
      </c>
      <c r="R19" s="129">
        <v>2.9020337432448171</v>
      </c>
      <c r="S19" s="129">
        <v>2.6862481509118381</v>
      </c>
      <c r="T19" s="129">
        <v>2.5227451706434154</v>
      </c>
      <c r="U19" s="129">
        <v>2.631524302329646</v>
      </c>
      <c r="V19" s="129">
        <v>2.3478812081485372</v>
      </c>
      <c r="W19" s="129">
        <v>2.5433331493441971</v>
      </c>
      <c r="X19" s="129">
        <v>2.5681368409170657</v>
      </c>
      <c r="Y19" s="129">
        <v>2.8164960879077876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8.8185291348097852E-3</v>
      </c>
      <c r="I20" s="97">
        <v>0</v>
      </c>
      <c r="J20" s="97">
        <v>0</v>
      </c>
      <c r="K20" s="97">
        <v>1.8013657154438749E-2</v>
      </c>
      <c r="L20" s="97">
        <v>6.3210386152694906E-2</v>
      </c>
      <c r="M20" s="97">
        <v>6.1055541537144077E-2</v>
      </c>
      <c r="N20" s="97">
        <v>5.3693579101924023E-2</v>
      </c>
      <c r="O20" s="97">
        <v>6.0380423333178147E-2</v>
      </c>
      <c r="P20" s="97">
        <v>7.2391014789918329E-2</v>
      </c>
      <c r="Q20" s="97">
        <v>0.10763224056008457</v>
      </c>
      <c r="R20" s="97">
        <v>0.11617897185456498</v>
      </c>
      <c r="S20" s="97">
        <v>0.10642785405795128</v>
      </c>
      <c r="T20" s="97">
        <v>0.11095243857336297</v>
      </c>
      <c r="U20" s="97">
        <v>0.10574718665187893</v>
      </c>
      <c r="V20" s="97">
        <v>0.16603537278136385</v>
      </c>
      <c r="W20" s="97">
        <v>0.16793651208348878</v>
      </c>
      <c r="X20" s="97">
        <v>0.17091105613276572</v>
      </c>
      <c r="Y20" s="97">
        <v>0.15648042526569078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382.73994051407118</v>
      </c>
      <c r="C21" s="130">
        <f t="shared" si="18"/>
        <v>416.22177676141456</v>
      </c>
      <c r="D21" s="130">
        <f t="shared" si="18"/>
        <v>420.25736903141961</v>
      </c>
      <c r="E21" s="130">
        <f t="shared" si="18"/>
        <v>437.94826415873331</v>
      </c>
      <c r="F21" s="130">
        <f t="shared" si="18"/>
        <v>460.25780936801311</v>
      </c>
      <c r="G21" s="130">
        <f t="shared" si="18"/>
        <v>473.56645521783605</v>
      </c>
      <c r="H21" s="130">
        <f t="shared" si="18"/>
        <v>549.44361786040895</v>
      </c>
      <c r="I21" s="130">
        <f t="shared" si="18"/>
        <v>612.72610508981052</v>
      </c>
      <c r="J21" s="130">
        <f t="shared" si="18"/>
        <v>587.05051389691334</v>
      </c>
      <c r="K21" s="130">
        <f t="shared" si="18"/>
        <v>528.01731960113295</v>
      </c>
      <c r="L21" s="130">
        <f t="shared" ref="L21" si="19">L22+L24+L26+L27+L29+L32</f>
        <v>526.88258010174832</v>
      </c>
      <c r="M21" s="130">
        <f t="shared" ref="M21:V21" si="20">M22+M24+M26+M27+M29+M32</f>
        <v>501.30775251012841</v>
      </c>
      <c r="N21" s="130">
        <f t="shared" si="20"/>
        <v>484.29380896394315</v>
      </c>
      <c r="O21" s="130">
        <f t="shared" si="20"/>
        <v>487.96641561753626</v>
      </c>
      <c r="P21" s="130">
        <f t="shared" si="20"/>
        <v>539.13348810771856</v>
      </c>
      <c r="Q21" s="130">
        <f t="shared" si="20"/>
        <v>579.84989241223445</v>
      </c>
      <c r="R21" s="130">
        <f t="shared" si="20"/>
        <v>598.28275218876877</v>
      </c>
      <c r="S21" s="130">
        <f t="shared" si="20"/>
        <v>618.92252760690587</v>
      </c>
      <c r="T21" s="130">
        <f t="shared" si="20"/>
        <v>638.00370696163679</v>
      </c>
      <c r="U21" s="130">
        <f t="shared" si="20"/>
        <v>657.21950188024198</v>
      </c>
      <c r="V21" s="130">
        <f t="shared" si="20"/>
        <v>640.14456354727849</v>
      </c>
      <c r="W21" s="130">
        <f t="shared" ref="W21:Y21" si="21">W22+W24+W26+W27+W29+W32</f>
        <v>649.95789425045427</v>
      </c>
      <c r="X21" s="130">
        <f t="shared" si="21"/>
        <v>596.57167734430072</v>
      </c>
      <c r="Y21" s="130">
        <f t="shared" si="21"/>
        <v>605.35495378409507</v>
      </c>
      <c r="DA21" s="176" t="s">
        <v>393</v>
      </c>
    </row>
    <row r="22" spans="1:105" ht="11.45" customHeight="1" x14ac:dyDescent="0.25">
      <c r="A22" s="111" t="s">
        <v>110</v>
      </c>
      <c r="B22" s="96">
        <v>327.06360847525309</v>
      </c>
      <c r="C22" s="96">
        <v>345.01925138752375</v>
      </c>
      <c r="D22" s="96">
        <v>338.56971927668042</v>
      </c>
      <c r="E22" s="96">
        <v>338.68931908628446</v>
      </c>
      <c r="F22" s="96">
        <v>341.37001939194312</v>
      </c>
      <c r="G22" s="96">
        <v>334.2812807163013</v>
      </c>
      <c r="H22" s="96">
        <v>373.62981650695957</v>
      </c>
      <c r="I22" s="96">
        <v>409.99650477011676</v>
      </c>
      <c r="J22" s="96">
        <v>374.57467232678982</v>
      </c>
      <c r="K22" s="96">
        <v>315.35414756771718</v>
      </c>
      <c r="L22" s="96">
        <v>295.18475753993897</v>
      </c>
      <c r="M22" s="96">
        <v>274.5114961880069</v>
      </c>
      <c r="N22" s="96">
        <v>232.73651642107015</v>
      </c>
      <c r="O22" s="96">
        <v>211.25308288523627</v>
      </c>
      <c r="P22" s="96">
        <v>207.52081699931412</v>
      </c>
      <c r="Q22" s="96">
        <v>207.33532987862498</v>
      </c>
      <c r="R22" s="96">
        <v>203.15692045982846</v>
      </c>
      <c r="S22" s="96">
        <v>195.31751544428309</v>
      </c>
      <c r="T22" s="96">
        <v>188.24023656516857</v>
      </c>
      <c r="U22" s="96">
        <v>177.72527943538731</v>
      </c>
      <c r="V22" s="96">
        <v>176.52243321053788</v>
      </c>
      <c r="W22" s="96">
        <v>173.62362929880388</v>
      </c>
      <c r="X22" s="96">
        <v>147.95884835708154</v>
      </c>
      <c r="Y22" s="96">
        <v>152.27413033630597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1.2236423705495922</v>
      </c>
      <c r="I23" s="96">
        <v>0</v>
      </c>
      <c r="J23" s="96">
        <v>0</v>
      </c>
      <c r="K23" s="96">
        <v>2.4687005092896142</v>
      </c>
      <c r="L23" s="96">
        <v>8.1234277983102228</v>
      </c>
      <c r="M23" s="96">
        <v>7.5109819613945037</v>
      </c>
      <c r="N23" s="96">
        <v>6.246441945669992</v>
      </c>
      <c r="O23" s="96">
        <v>6.247571530166403</v>
      </c>
      <c r="P23" s="96">
        <v>6.2586665432504498</v>
      </c>
      <c r="Q23" s="96">
        <v>7.4955806172569384</v>
      </c>
      <c r="R23" s="96">
        <v>8.1331108568613857</v>
      </c>
      <c r="S23" s="96">
        <v>7.7383856073049895</v>
      </c>
      <c r="T23" s="96">
        <v>8.2789627456527306</v>
      </c>
      <c r="U23" s="96">
        <v>7.1418486542469939</v>
      </c>
      <c r="V23" s="96">
        <v>12.483156260489498</v>
      </c>
      <c r="W23" s="96">
        <v>11.464383550081171</v>
      </c>
      <c r="X23" s="96">
        <v>9.8467506224732215</v>
      </c>
      <c r="Y23" s="96">
        <v>8.4601291563265661</v>
      </c>
      <c r="DA23" s="171" t="s">
        <v>642</v>
      </c>
    </row>
    <row r="24" spans="1:105" ht="11.45" customHeight="1" x14ac:dyDescent="0.25">
      <c r="A24" s="111" t="s">
        <v>111</v>
      </c>
      <c r="B24" s="96">
        <v>34.918729308032404</v>
      </c>
      <c r="C24" s="96">
        <v>50.451959560863898</v>
      </c>
      <c r="D24" s="96">
        <v>60.945157997858075</v>
      </c>
      <c r="E24" s="96">
        <v>76.346831438171506</v>
      </c>
      <c r="F24" s="96">
        <v>93.807319368225563</v>
      </c>
      <c r="G24" s="96">
        <v>113.11788052548793</v>
      </c>
      <c r="H24" s="96">
        <v>147.48475661415068</v>
      </c>
      <c r="I24" s="96">
        <v>176.57976834514142</v>
      </c>
      <c r="J24" s="96">
        <v>189.59472792017729</v>
      </c>
      <c r="K24" s="96">
        <v>191.96080908229374</v>
      </c>
      <c r="L24" s="96">
        <v>207.76832987049374</v>
      </c>
      <c r="M24" s="96">
        <v>198.51594677783945</v>
      </c>
      <c r="N24" s="96">
        <v>206.97852198196247</v>
      </c>
      <c r="O24" s="96">
        <v>220.16629041399156</v>
      </c>
      <c r="P24" s="96">
        <v>268.51957392847271</v>
      </c>
      <c r="Q24" s="96">
        <v>308.32586511541007</v>
      </c>
      <c r="R24" s="96">
        <v>333.43014535520064</v>
      </c>
      <c r="S24" s="96">
        <v>365.70822151662298</v>
      </c>
      <c r="T24" s="96">
        <v>394.87994069451304</v>
      </c>
      <c r="U24" s="96">
        <v>431.35590249656457</v>
      </c>
      <c r="V24" s="96">
        <v>420.01878000577989</v>
      </c>
      <c r="W24" s="96">
        <v>436.782626560587</v>
      </c>
      <c r="X24" s="96">
        <v>412.11766209616042</v>
      </c>
      <c r="Y24" s="96">
        <v>419.33625719863039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0.56631556532814287</v>
      </c>
      <c r="H25" s="96">
        <v>0.43348646742156099</v>
      </c>
      <c r="I25" s="96">
        <v>0.44440637794648286</v>
      </c>
      <c r="J25" s="96">
        <v>0.4979156580604982</v>
      </c>
      <c r="K25" s="96">
        <v>0.56611079126201302</v>
      </c>
      <c r="L25" s="96">
        <v>5.7495615791760128</v>
      </c>
      <c r="M25" s="96">
        <v>5.3247536400618172</v>
      </c>
      <c r="N25" s="96">
        <v>4.3593661139339508</v>
      </c>
      <c r="O25" s="96">
        <v>4.4320813997185615</v>
      </c>
      <c r="P25" s="96">
        <v>6.1460231459499752</v>
      </c>
      <c r="Q25" s="96">
        <v>6.0332197347290784</v>
      </c>
      <c r="R25" s="96">
        <v>0.42746993104880388</v>
      </c>
      <c r="S25" s="96">
        <v>0.32120190403808224</v>
      </c>
      <c r="T25" s="96">
        <v>13.727216803787545</v>
      </c>
      <c r="U25" s="96">
        <v>13.958779629692126</v>
      </c>
      <c r="V25" s="96">
        <v>16.811038957845</v>
      </c>
      <c r="W25" s="96">
        <v>18.132261657354743</v>
      </c>
      <c r="X25" s="96">
        <v>2.6045301970005594</v>
      </c>
      <c r="Y25" s="96">
        <v>1.2405148137844311</v>
      </c>
      <c r="DA25" s="171" t="s">
        <v>644</v>
      </c>
    </row>
    <row r="26" spans="1:105" ht="11.45" customHeight="1" x14ac:dyDescent="0.25">
      <c r="A26" s="111" t="s">
        <v>112</v>
      </c>
      <c r="B26" s="96">
        <v>20.666380051590711</v>
      </c>
      <c r="C26" s="96">
        <v>20.666380051590711</v>
      </c>
      <c r="D26" s="96">
        <v>20.666380051590711</v>
      </c>
      <c r="E26" s="96">
        <v>22.841788478073941</v>
      </c>
      <c r="F26" s="96">
        <v>25.017196904557181</v>
      </c>
      <c r="G26" s="96">
        <v>26.1049011177988</v>
      </c>
      <c r="H26" s="96">
        <v>28.28030954428203</v>
      </c>
      <c r="I26" s="96">
        <v>26.1049011177988</v>
      </c>
      <c r="J26" s="96">
        <v>22.841788478073941</v>
      </c>
      <c r="K26" s="96">
        <v>20.666380051590711</v>
      </c>
      <c r="L26" s="96">
        <v>23.929492691315559</v>
      </c>
      <c r="M26" s="96">
        <v>28.28030954428203</v>
      </c>
      <c r="N26" s="96">
        <v>44.576031660525956</v>
      </c>
      <c r="O26" s="96">
        <v>56.542305465476545</v>
      </c>
      <c r="P26" s="96">
        <v>63.061891558190844</v>
      </c>
      <c r="Q26" s="96">
        <v>64.1480029160642</v>
      </c>
      <c r="R26" s="96">
        <v>61.648207962456951</v>
      </c>
      <c r="S26" s="96">
        <v>57.828343600005162</v>
      </c>
      <c r="T26" s="96">
        <v>54.718099903851844</v>
      </c>
      <c r="U26" s="96">
        <v>47.872587029896565</v>
      </c>
      <c r="V26" s="96">
        <v>43.174754127678163</v>
      </c>
      <c r="W26" s="96">
        <v>38.863766465204336</v>
      </c>
      <c r="X26" s="96">
        <v>35.372594699568999</v>
      </c>
      <c r="Y26" s="96">
        <v>31.99173055522818</v>
      </c>
      <c r="DA26" s="171" t="s">
        <v>645</v>
      </c>
    </row>
    <row r="27" spans="1:105" ht="11.45" customHeight="1" x14ac:dyDescent="0.25">
      <c r="A27" s="111" t="s">
        <v>113</v>
      </c>
      <c r="B27" s="96">
        <v>9.1222679194961437E-2</v>
      </c>
      <c r="C27" s="96">
        <v>8.4185761436226289E-2</v>
      </c>
      <c r="D27" s="96">
        <v>7.6111705290446613E-2</v>
      </c>
      <c r="E27" s="96">
        <v>7.0325156203429606E-2</v>
      </c>
      <c r="F27" s="96">
        <v>6.3273703287242633E-2</v>
      </c>
      <c r="G27" s="96">
        <v>6.2392858248028878E-2</v>
      </c>
      <c r="H27" s="96">
        <v>4.8735195016727344E-2</v>
      </c>
      <c r="I27" s="96">
        <v>4.493085675362251E-2</v>
      </c>
      <c r="J27" s="96">
        <v>3.932517187230896E-2</v>
      </c>
      <c r="K27" s="96">
        <v>3.5982899531316545E-2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5.5546001719690451E-2</v>
      </c>
      <c r="U27" s="96">
        <v>9.4289674090805617E-2</v>
      </c>
      <c r="V27" s="96">
        <v>0.10432436091024144</v>
      </c>
      <c r="W27" s="96">
        <v>0.11488361385314715</v>
      </c>
      <c r="X27" s="96">
        <v>0.11627786067974684</v>
      </c>
      <c r="Y27" s="96">
        <v>0.12621300803854102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8.421520152490352E-4</v>
      </c>
      <c r="O29" s="96">
        <v>1.84221919458517E-3</v>
      </c>
      <c r="P29" s="96">
        <v>3.0988337925039857E-3</v>
      </c>
      <c r="Q29" s="96">
        <v>7.6290264133804173E-3</v>
      </c>
      <c r="R29" s="96">
        <v>8.2493420613835647E-3</v>
      </c>
      <c r="S29" s="96">
        <v>1.6776278473455815E-2</v>
      </c>
      <c r="T29" s="96">
        <v>3.1734998782603129E-2</v>
      </c>
      <c r="U29" s="96">
        <v>4.5065846177906266E-2</v>
      </c>
      <c r="V29" s="96">
        <v>8.1119556468381093E-2</v>
      </c>
      <c r="W29" s="96">
        <v>0.13741240977606334</v>
      </c>
      <c r="X29" s="96">
        <v>0.19640269107110381</v>
      </c>
      <c r="Y29" s="96">
        <v>0.29186403077498668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1.4442866415376679E-5</v>
      </c>
      <c r="O30" s="96">
        <v>3.6337426227582364E-5</v>
      </c>
      <c r="P30" s="96">
        <v>6.2262623121957659E-5</v>
      </c>
      <c r="Q30" s="96">
        <v>1.7539893105090407E-4</v>
      </c>
      <c r="R30" s="96">
        <v>2.0367041974480936E-4</v>
      </c>
      <c r="S30" s="96">
        <v>4.1552600361994142E-4</v>
      </c>
      <c r="T30" s="96">
        <v>8.7095161224955489E-4</v>
      </c>
      <c r="U30" s="96">
        <v>1.1154548902985043E-3</v>
      </c>
      <c r="V30" s="96">
        <v>3.4649353796008119E-3</v>
      </c>
      <c r="W30" s="96">
        <v>5.0164900478692495E-3</v>
      </c>
      <c r="X30" s="96">
        <v>6.3409900999656637E-3</v>
      </c>
      <c r="Y30" s="96">
        <v>7.0428967549359652E-3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3.0402447866322989E-4</v>
      </c>
      <c r="O31" s="96">
        <v>6.1351884635767954E-4</v>
      </c>
      <c r="P31" s="96">
        <v>1.0343700078463346E-3</v>
      </c>
      <c r="Q31" s="96">
        <v>2.7773148400205496E-3</v>
      </c>
      <c r="R31" s="96">
        <v>3.1618600397646242E-3</v>
      </c>
      <c r="S31" s="96">
        <v>6.2883665564113841E-3</v>
      </c>
      <c r="T31" s="96">
        <v>1.1932018317114254E-2</v>
      </c>
      <c r="U31" s="96">
        <v>1.7307692557837283E-2</v>
      </c>
      <c r="V31" s="96">
        <v>3.2122426947515034E-2</v>
      </c>
      <c r="W31" s="96">
        <v>6.1439619381570394E-2</v>
      </c>
      <c r="X31" s="96">
        <v>0.10112196054327771</v>
      </c>
      <c r="Y31" s="96">
        <v>0.16509871093299863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1.8967483693249521E-3</v>
      </c>
      <c r="O32" s="96">
        <v>2.8946336373313168E-3</v>
      </c>
      <c r="P32" s="96">
        <v>2.8106787948440282E-2</v>
      </c>
      <c r="Q32" s="96">
        <v>3.3065475721870477E-2</v>
      </c>
      <c r="R32" s="96">
        <v>3.9229069221392562E-2</v>
      </c>
      <c r="S32" s="96">
        <v>5.1670767521178239E-2</v>
      </c>
      <c r="T32" s="96">
        <v>7.8148797601083203E-2</v>
      </c>
      <c r="U32" s="96">
        <v>0.12637739812497784</v>
      </c>
      <c r="V32" s="96">
        <v>0.24315228590388618</v>
      </c>
      <c r="W32" s="96">
        <v>0.43557590222981019</v>
      </c>
      <c r="X32" s="96">
        <v>0.80989163973886136</v>
      </c>
      <c r="Y32" s="96">
        <v>1.3347586551170487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80.761126598989421</v>
      </c>
      <c r="C33" s="130">
        <f t="shared" si="22"/>
        <v>89.12620522863547</v>
      </c>
      <c r="D33" s="130">
        <f t="shared" si="22"/>
        <v>87.332774507652331</v>
      </c>
      <c r="E33" s="130">
        <f t="shared" si="22"/>
        <v>92.532337275786148</v>
      </c>
      <c r="F33" s="130">
        <f t="shared" si="22"/>
        <v>93.404414712234157</v>
      </c>
      <c r="G33" s="130">
        <f t="shared" si="22"/>
        <v>93.290693303409242</v>
      </c>
      <c r="H33" s="130">
        <f t="shared" si="22"/>
        <v>92.090802293595388</v>
      </c>
      <c r="I33" s="130">
        <f t="shared" si="22"/>
        <v>91.808066758443942</v>
      </c>
      <c r="J33" s="130">
        <f t="shared" si="22"/>
        <v>85.895828291215565</v>
      </c>
      <c r="K33" s="130">
        <f t="shared" si="22"/>
        <v>80.78583454315816</v>
      </c>
      <c r="L33" s="130">
        <f t="shared" ref="L33" si="23">L34+L36+L38+L39+L41</f>
        <v>86.413992327030286</v>
      </c>
      <c r="M33" s="130">
        <f t="shared" ref="M33:V33" si="24">M34+M36+M38+M39+M41</f>
        <v>77.839873568462025</v>
      </c>
      <c r="N33" s="130">
        <f t="shared" si="24"/>
        <v>75.545347979730494</v>
      </c>
      <c r="O33" s="130">
        <f t="shared" si="24"/>
        <v>74.56055725879132</v>
      </c>
      <c r="P33" s="130">
        <f t="shared" si="24"/>
        <v>71.835649088868678</v>
      </c>
      <c r="Q33" s="130">
        <f t="shared" si="24"/>
        <v>71.631453733468859</v>
      </c>
      <c r="R33" s="130">
        <f t="shared" si="24"/>
        <v>71.583897009882037</v>
      </c>
      <c r="S33" s="130">
        <f t="shared" si="24"/>
        <v>72.770909974263148</v>
      </c>
      <c r="T33" s="130">
        <f t="shared" si="24"/>
        <v>70.665143233775495</v>
      </c>
      <c r="U33" s="130">
        <f t="shared" si="24"/>
        <v>66.597032765279849</v>
      </c>
      <c r="V33" s="130">
        <f t="shared" si="24"/>
        <v>53.70709939490569</v>
      </c>
      <c r="W33" s="130">
        <f t="shared" ref="W33:Y33" si="25">W34+W36+W38+W39+W41</f>
        <v>47.768317888201771</v>
      </c>
      <c r="X33" s="130">
        <f t="shared" si="25"/>
        <v>49.909363255144882</v>
      </c>
      <c r="Y33" s="130">
        <f t="shared" si="25"/>
        <v>50.372366395943658</v>
      </c>
      <c r="DA33" s="176" t="s">
        <v>394</v>
      </c>
    </row>
    <row r="34" spans="1:105" ht="11.45" customHeight="1" x14ac:dyDescent="0.25">
      <c r="A34" s="111" t="s">
        <v>110</v>
      </c>
      <c r="B34" s="97">
        <v>3.0285890895886984</v>
      </c>
      <c r="C34" s="97">
        <v>2.8649067588409229</v>
      </c>
      <c r="D34" s="97">
        <v>2.8340550426274147</v>
      </c>
      <c r="E34" s="97">
        <v>2.7473115245318076</v>
      </c>
      <c r="F34" s="97">
        <v>2.6397744335048401</v>
      </c>
      <c r="G34" s="97">
        <v>2.5293287240688276</v>
      </c>
      <c r="H34" s="97">
        <v>2.3280859098851363</v>
      </c>
      <c r="I34" s="97">
        <v>2.1433133221671765</v>
      </c>
      <c r="J34" s="97">
        <v>1.9485618694305751</v>
      </c>
      <c r="K34" s="97">
        <v>1.702641687410378</v>
      </c>
      <c r="L34" s="97">
        <v>1.4759586624563354</v>
      </c>
      <c r="M34" s="97">
        <v>0.90641590099625646</v>
      </c>
      <c r="N34" s="97">
        <v>0.69187899420197663</v>
      </c>
      <c r="O34" s="97">
        <v>0.49251991012821089</v>
      </c>
      <c r="P34" s="97">
        <v>0.3158351075616605</v>
      </c>
      <c r="Q34" s="97">
        <v>0.26140402582206534</v>
      </c>
      <c r="R34" s="97">
        <v>0.19548742459886462</v>
      </c>
      <c r="S34" s="97">
        <v>0.17645737864005662</v>
      </c>
      <c r="T34" s="97">
        <v>0.1513704218322432</v>
      </c>
      <c r="U34" s="97">
        <v>0.13610385033155858</v>
      </c>
      <c r="V34" s="97">
        <v>9.9424507067016346E-2</v>
      </c>
      <c r="W34" s="97">
        <v>6.9057463163444952E-2</v>
      </c>
      <c r="X34" s="97">
        <v>7.1799800338754341E-2</v>
      </c>
      <c r="Y34" s="97">
        <v>7.9009529187111391E-2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7.6245107744549864E-3</v>
      </c>
      <c r="I35" s="97">
        <v>0</v>
      </c>
      <c r="J35" s="97">
        <v>0</v>
      </c>
      <c r="K35" s="97">
        <v>1.3328863543629579E-2</v>
      </c>
      <c r="L35" s="97">
        <v>4.0618098738151573E-2</v>
      </c>
      <c r="M35" s="97">
        <v>2.4800686224234956E-2</v>
      </c>
      <c r="N35" s="97">
        <v>1.8569419346692307E-2</v>
      </c>
      <c r="O35" s="97">
        <v>1.4565720540176647E-2</v>
      </c>
      <c r="P35" s="97">
        <v>9.5253413583399928E-3</v>
      </c>
      <c r="Q35" s="97">
        <v>9.4502704887383746E-3</v>
      </c>
      <c r="R35" s="97">
        <v>7.8260730266350078E-3</v>
      </c>
      <c r="S35" s="97">
        <v>6.9911560981355328E-3</v>
      </c>
      <c r="T35" s="97">
        <v>6.6573975150579839E-3</v>
      </c>
      <c r="U35" s="97">
        <v>5.4693012913881074E-3</v>
      </c>
      <c r="V35" s="97">
        <v>7.0310137655955184E-3</v>
      </c>
      <c r="W35" s="97">
        <v>4.5598703811151652E-3</v>
      </c>
      <c r="X35" s="97">
        <v>4.7783200297209167E-3</v>
      </c>
      <c r="Y35" s="97">
        <v>4.3896545002571931E-3</v>
      </c>
      <c r="DA35" s="175" t="s">
        <v>653</v>
      </c>
    </row>
    <row r="36" spans="1:105" ht="11.45" customHeight="1" x14ac:dyDescent="0.25">
      <c r="A36" s="111" t="s">
        <v>111</v>
      </c>
      <c r="B36" s="97">
        <v>76.058769544671662</v>
      </c>
      <c r="C36" s="97">
        <v>83.599162823630095</v>
      </c>
      <c r="D36" s="97">
        <v>82.623508782999309</v>
      </c>
      <c r="E36" s="97">
        <v>87.919120060525671</v>
      </c>
      <c r="F36" s="97">
        <v>88.891364226253344</v>
      </c>
      <c r="G36" s="97">
        <v>88.44643948760023</v>
      </c>
      <c r="H36" s="97">
        <v>87.403169225971354</v>
      </c>
      <c r="I36" s="97">
        <v>86.911298933567608</v>
      </c>
      <c r="J36" s="97">
        <v>81.066166018381608</v>
      </c>
      <c r="K36" s="97">
        <v>75.803217912688055</v>
      </c>
      <c r="L36" s="97">
        <v>80.611218848992166</v>
      </c>
      <c r="M36" s="97">
        <v>72.711198813480266</v>
      </c>
      <c r="N36" s="97">
        <v>70.780810526709473</v>
      </c>
      <c r="O36" s="97">
        <v>70.007056575673843</v>
      </c>
      <c r="P36" s="97">
        <v>67.562870898869434</v>
      </c>
      <c r="Q36" s="97">
        <v>67.211326378680894</v>
      </c>
      <c r="R36" s="97">
        <v>66.747463440586571</v>
      </c>
      <c r="S36" s="97">
        <v>68.530222514469742</v>
      </c>
      <c r="T36" s="97">
        <v>66.431116401536812</v>
      </c>
      <c r="U36" s="97">
        <v>62.185769051235148</v>
      </c>
      <c r="V36" s="97">
        <v>49.161965556646003</v>
      </c>
      <c r="W36" s="97">
        <v>41.679984102322678</v>
      </c>
      <c r="X36" s="97">
        <v>43.438063663801884</v>
      </c>
      <c r="Y36" s="97">
        <v>42.542241509113182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0.4427999812849715</v>
      </c>
      <c r="H37" s="97">
        <v>0.25689496283563706</v>
      </c>
      <c r="I37" s="97">
        <v>0.21873364045985583</v>
      </c>
      <c r="J37" s="97">
        <v>0.21289681333585439</v>
      </c>
      <c r="K37" s="97">
        <v>0.22355094187148267</v>
      </c>
      <c r="L37" s="97">
        <v>2.230749830994986</v>
      </c>
      <c r="M37" s="97">
        <v>1.950317981197859</v>
      </c>
      <c r="N37" s="97">
        <v>1.4907801252624988</v>
      </c>
      <c r="O37" s="97">
        <v>1.4092846489562822</v>
      </c>
      <c r="P37" s="97">
        <v>1.546416010856223</v>
      </c>
      <c r="Q37" s="97">
        <v>1.3151692627324367</v>
      </c>
      <c r="R37" s="97">
        <v>8.5572747371820898E-2</v>
      </c>
      <c r="S37" s="97">
        <v>6.0190164346088121E-2</v>
      </c>
      <c r="T37" s="97">
        <v>2.3093458121921095</v>
      </c>
      <c r="U37" s="97">
        <v>2.0123462812614075</v>
      </c>
      <c r="V37" s="97">
        <v>1.9676827741027119</v>
      </c>
      <c r="W37" s="97">
        <v>1.7302711501343766</v>
      </c>
      <c r="X37" s="97">
        <v>0.27452293099053476</v>
      </c>
      <c r="Y37" s="97">
        <v>0.12585193838521769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0.14727180977675178</v>
      </c>
      <c r="S38" s="97">
        <v>0.11102861475090477</v>
      </c>
      <c r="T38" s="97">
        <v>8.4358875098856104E-2</v>
      </c>
      <c r="U38" s="97">
        <v>5.7607854553225993E-2</v>
      </c>
      <c r="V38" s="97">
        <v>3.9760800995925327E-2</v>
      </c>
      <c r="W38" s="97">
        <v>3.4818848897597891E-2</v>
      </c>
      <c r="X38" s="97">
        <v>3.5136787191245383E-2</v>
      </c>
      <c r="Y38" s="97">
        <v>3.5769840870061305E-2</v>
      </c>
      <c r="DA38" s="175" t="s">
        <v>656</v>
      </c>
    </row>
    <row r="39" spans="1:105" ht="11.45" customHeight="1" x14ac:dyDescent="0.25">
      <c r="A39" s="111" t="s">
        <v>113</v>
      </c>
      <c r="B39" s="97">
        <v>1.5209871230406364</v>
      </c>
      <c r="C39" s="97">
        <v>2.3233808765689328</v>
      </c>
      <c r="D39" s="97">
        <v>1.5360980969451514</v>
      </c>
      <c r="E39" s="97">
        <v>1.5418846460321682</v>
      </c>
      <c r="F39" s="97">
        <v>1.5489360989483554</v>
      </c>
      <c r="G39" s="97">
        <v>1.5498169439875691</v>
      </c>
      <c r="H39" s="97">
        <v>1.5634746072188705</v>
      </c>
      <c r="I39" s="97">
        <v>1.5457828147855006</v>
      </c>
      <c r="J39" s="97">
        <v>0.7560316638972524</v>
      </c>
      <c r="K39" s="97">
        <v>5.0001623254581989E-2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9.0749018944448076E-2</v>
      </c>
      <c r="V39" s="97">
        <v>0.43015543272690382</v>
      </c>
      <c r="W39" s="97">
        <v>1.193026962243156</v>
      </c>
      <c r="X39" s="97">
        <v>1.9389242029488001</v>
      </c>
      <c r="Y39" s="97">
        <v>2.635351910276162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0.15278084168842507</v>
      </c>
      <c r="C41" s="97">
        <v>0.33875476959553025</v>
      </c>
      <c r="D41" s="97">
        <v>0.33911258508045122</v>
      </c>
      <c r="E41" s="97">
        <v>0.3240210446964944</v>
      </c>
      <c r="F41" s="97">
        <v>0.32433995352761097</v>
      </c>
      <c r="G41" s="97">
        <v>0.76510814775261782</v>
      </c>
      <c r="H41" s="97">
        <v>0.79607255052003179</v>
      </c>
      <c r="I41" s="97">
        <v>1.2076716879236671</v>
      </c>
      <c r="J41" s="97">
        <v>2.1250687395061276</v>
      </c>
      <c r="K41" s="97">
        <v>3.2299733198051377</v>
      </c>
      <c r="L41" s="97">
        <v>4.3268148155817769</v>
      </c>
      <c r="M41" s="97">
        <v>4.222258853985501</v>
      </c>
      <c r="N41" s="97">
        <v>4.0726584588190535</v>
      </c>
      <c r="O41" s="97">
        <v>4.0609807729892671</v>
      </c>
      <c r="P41" s="97">
        <v>3.9569430824375882</v>
      </c>
      <c r="Q41" s="97">
        <v>4.1587233289659</v>
      </c>
      <c r="R41" s="97">
        <v>4.493674334919838</v>
      </c>
      <c r="S41" s="97">
        <v>3.9532014664024469</v>
      </c>
      <c r="T41" s="97">
        <v>3.9982975353075814</v>
      </c>
      <c r="U41" s="97">
        <v>4.1268029902154719</v>
      </c>
      <c r="V41" s="97">
        <v>3.9757930974698423</v>
      </c>
      <c r="W41" s="97">
        <v>4.7914305115748927</v>
      </c>
      <c r="X41" s="97">
        <v>4.4254388008641978</v>
      </c>
      <c r="Y41" s="97">
        <v>5.0799936064971396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176.85953451672373</v>
      </c>
      <c r="C42" s="32">
        <f t="shared" si="26"/>
        <v>260.41076373796392</v>
      </c>
      <c r="D42" s="32">
        <f t="shared" si="26"/>
        <v>279.4685954329064</v>
      </c>
      <c r="E42" s="32">
        <f t="shared" si="26"/>
        <v>293.02124805104086</v>
      </c>
      <c r="F42" s="32">
        <f t="shared" si="26"/>
        <v>312.7185924416637</v>
      </c>
      <c r="G42" s="32">
        <f t="shared" si="26"/>
        <v>343.09152365345744</v>
      </c>
      <c r="H42" s="32">
        <f t="shared" si="26"/>
        <v>381.96958402617662</v>
      </c>
      <c r="I42" s="32">
        <f t="shared" si="26"/>
        <v>454.29861801943952</v>
      </c>
      <c r="J42" s="32">
        <f t="shared" si="26"/>
        <v>415.65258686889399</v>
      </c>
      <c r="K42" s="32">
        <f t="shared" si="26"/>
        <v>342.52393182815797</v>
      </c>
      <c r="L42" s="32">
        <f t="shared" ref="L42" si="27">L43+L52</f>
        <v>389.29748176898289</v>
      </c>
      <c r="M42" s="32">
        <f t="shared" ref="M42:V42" si="28">M43+M52</f>
        <v>294.98549651883161</v>
      </c>
      <c r="N42" s="32">
        <f t="shared" si="28"/>
        <v>273.73721239138905</v>
      </c>
      <c r="O42" s="32">
        <f t="shared" si="28"/>
        <v>286.28169637518374</v>
      </c>
      <c r="P42" s="32">
        <f t="shared" si="28"/>
        <v>287.04743916945853</v>
      </c>
      <c r="Q42" s="32">
        <f t="shared" si="28"/>
        <v>307.48759853110732</v>
      </c>
      <c r="R42" s="32">
        <f t="shared" si="28"/>
        <v>294.64928073308465</v>
      </c>
      <c r="S42" s="32">
        <f t="shared" si="28"/>
        <v>322.3101608425136</v>
      </c>
      <c r="T42" s="32">
        <f t="shared" si="28"/>
        <v>331.62038260745766</v>
      </c>
      <c r="U42" s="32">
        <f t="shared" si="28"/>
        <v>320.91589281503423</v>
      </c>
      <c r="V42" s="32">
        <f t="shared" si="28"/>
        <v>315.7884240761482</v>
      </c>
      <c r="W42" s="32">
        <f t="shared" ref="W42:Y42" si="29">W43+W52</f>
        <v>345.29449810203187</v>
      </c>
      <c r="X42" s="32">
        <f t="shared" si="29"/>
        <v>342.57657853239385</v>
      </c>
      <c r="Y42" s="32">
        <f t="shared" si="29"/>
        <v>336.3093625234448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36.601149906674991</v>
      </c>
      <c r="C43" s="141">
        <f t="shared" si="30"/>
        <v>43.738715158818486</v>
      </c>
      <c r="D43" s="141">
        <f t="shared" si="30"/>
        <v>53.299256701147407</v>
      </c>
      <c r="E43" s="141">
        <f t="shared" si="30"/>
        <v>48.127102936786166</v>
      </c>
      <c r="F43" s="141">
        <f t="shared" si="30"/>
        <v>62.204620940224757</v>
      </c>
      <c r="G43" s="141">
        <f t="shared" si="30"/>
        <v>58.394240057470476</v>
      </c>
      <c r="H43" s="141">
        <f t="shared" si="30"/>
        <v>64.627348333114284</v>
      </c>
      <c r="I43" s="141">
        <f t="shared" si="30"/>
        <v>72.537824323377833</v>
      </c>
      <c r="J43" s="141">
        <f t="shared" si="30"/>
        <v>72.190549229671788</v>
      </c>
      <c r="K43" s="141">
        <f t="shared" si="30"/>
        <v>65.899676115684315</v>
      </c>
      <c r="L43" s="141">
        <f t="shared" ref="L43" si="31">L44+L46+L48+L49+L51</f>
        <v>60.77708847087009</v>
      </c>
      <c r="M43" s="141">
        <f t="shared" ref="M43:V43" si="32">M44+M46+M48+M49+M51</f>
        <v>58.35887881489576</v>
      </c>
      <c r="N43" s="141">
        <f t="shared" si="32"/>
        <v>62.794736099022046</v>
      </c>
      <c r="O43" s="141">
        <f t="shared" si="32"/>
        <v>71.77853735947383</v>
      </c>
      <c r="P43" s="141">
        <f t="shared" si="32"/>
        <v>77.107357907492812</v>
      </c>
      <c r="Q43" s="141">
        <f t="shared" si="32"/>
        <v>80.488218938006952</v>
      </c>
      <c r="R43" s="141">
        <f t="shared" si="32"/>
        <v>78.685355566929715</v>
      </c>
      <c r="S43" s="141">
        <f t="shared" si="32"/>
        <v>81.896837827974863</v>
      </c>
      <c r="T43" s="141">
        <f t="shared" si="32"/>
        <v>82.739761058458797</v>
      </c>
      <c r="U43" s="141">
        <f t="shared" si="32"/>
        <v>83.700773985844279</v>
      </c>
      <c r="V43" s="141">
        <f t="shared" si="32"/>
        <v>85.324725160756117</v>
      </c>
      <c r="W43" s="141">
        <f t="shared" ref="W43:Y43" si="33">W44+W46+W48+W49+W51</f>
        <v>88.619437091501752</v>
      </c>
      <c r="X43" s="141">
        <f t="shared" si="33"/>
        <v>90.111148322140039</v>
      </c>
      <c r="Y43" s="141">
        <f t="shared" si="33"/>
        <v>91.943181021686414</v>
      </c>
      <c r="DA43" s="174" t="s">
        <v>400</v>
      </c>
    </row>
    <row r="44" spans="1:105" ht="11.45" customHeight="1" x14ac:dyDescent="0.25">
      <c r="A44" s="111" t="s">
        <v>110</v>
      </c>
      <c r="B44" s="96">
        <v>13.825855381465649</v>
      </c>
      <c r="C44" s="96">
        <v>13.890776922113947</v>
      </c>
      <c r="D44" s="96">
        <v>13.035370554262464</v>
      </c>
      <c r="E44" s="96">
        <v>12.780148818869534</v>
      </c>
      <c r="F44" s="96">
        <v>12.345736913184727</v>
      </c>
      <c r="G44" s="96">
        <v>12.235379350122633</v>
      </c>
      <c r="H44" s="96">
        <v>12.25587616036575</v>
      </c>
      <c r="I44" s="96">
        <v>11.702411007520922</v>
      </c>
      <c r="J44" s="96">
        <v>9.657074960505458</v>
      </c>
      <c r="K44" s="96">
        <v>7.7160757620908598</v>
      </c>
      <c r="L44" s="96">
        <v>3.4213125177036914</v>
      </c>
      <c r="M44" s="96">
        <v>3.0852807054544962</v>
      </c>
      <c r="N44" s="96">
        <v>3.066883155545244</v>
      </c>
      <c r="O44" s="96">
        <v>2.6536195225748429</v>
      </c>
      <c r="P44" s="96">
        <v>2.0022615559571433</v>
      </c>
      <c r="Q44" s="96">
        <v>1.8924790785408312</v>
      </c>
      <c r="R44" s="96">
        <v>1.6009180098247158</v>
      </c>
      <c r="S44" s="96">
        <v>1.5011225845832581</v>
      </c>
      <c r="T44" s="96">
        <v>1.4286135635240027</v>
      </c>
      <c r="U44" s="96">
        <v>1.3092568722609119</v>
      </c>
      <c r="V44" s="96">
        <v>1.281349929248444</v>
      </c>
      <c r="W44" s="96">
        <v>1.2458748821288246</v>
      </c>
      <c r="X44" s="96">
        <v>1.2277743399224095</v>
      </c>
      <c r="Y44" s="96">
        <v>1.2889813578834863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4.0138149300386033E-2</v>
      </c>
      <c r="I45" s="96">
        <v>0</v>
      </c>
      <c r="J45" s="96">
        <v>0</v>
      </c>
      <c r="K45" s="96">
        <v>6.0404089530804596E-2</v>
      </c>
      <c r="L45" s="96">
        <v>9.4153862972618102E-2</v>
      </c>
      <c r="M45" s="96">
        <v>8.4417184876790077E-2</v>
      </c>
      <c r="N45" s="96">
        <v>8.2312427288407347E-2</v>
      </c>
      <c r="O45" s="96">
        <v>7.8477802807444735E-2</v>
      </c>
      <c r="P45" s="96">
        <v>6.0386652251600274E-2</v>
      </c>
      <c r="Q45" s="96">
        <v>6.8416846795859743E-2</v>
      </c>
      <c r="R45" s="96">
        <v>6.409057401135855E-2</v>
      </c>
      <c r="S45" s="96">
        <v>5.9473751634185841E-2</v>
      </c>
      <c r="T45" s="96">
        <v>6.2831617119514002E-2</v>
      </c>
      <c r="U45" s="96">
        <v>5.2612180219526045E-2</v>
      </c>
      <c r="V45" s="96">
        <v>9.0613363413691125E-2</v>
      </c>
      <c r="W45" s="96">
        <v>8.2265228309194305E-2</v>
      </c>
      <c r="X45" s="96">
        <v>8.1709123044204954E-2</v>
      </c>
      <c r="Y45" s="96">
        <v>7.1613929061405887E-2</v>
      </c>
      <c r="DA45" s="171" t="s">
        <v>661</v>
      </c>
    </row>
    <row r="46" spans="1:105" ht="11.45" customHeight="1" x14ac:dyDescent="0.25">
      <c r="A46" s="111" t="s">
        <v>111</v>
      </c>
      <c r="B46" s="96">
        <v>22.775294525209343</v>
      </c>
      <c r="C46" s="96">
        <v>29.84793823670454</v>
      </c>
      <c r="D46" s="96">
        <v>40.263886146884943</v>
      </c>
      <c r="E46" s="96">
        <v>35.346954117916631</v>
      </c>
      <c r="F46" s="96">
        <v>49.858884027040034</v>
      </c>
      <c r="G46" s="96">
        <v>46.158860707347841</v>
      </c>
      <c r="H46" s="96">
        <v>52.37147217274854</v>
      </c>
      <c r="I46" s="96">
        <v>60.835413315856904</v>
      </c>
      <c r="J46" s="96">
        <v>62.533474269166334</v>
      </c>
      <c r="K46" s="96">
        <v>58.183600353593455</v>
      </c>
      <c r="L46" s="96">
        <v>57.3557759531664</v>
      </c>
      <c r="M46" s="96">
        <v>55.273235844899105</v>
      </c>
      <c r="N46" s="96">
        <v>59.707649496467418</v>
      </c>
      <c r="O46" s="96">
        <v>69.104405430566189</v>
      </c>
      <c r="P46" s="96">
        <v>75.077559895214918</v>
      </c>
      <c r="Q46" s="96">
        <v>78.566438371106088</v>
      </c>
      <c r="R46" s="96">
        <v>76.87884436995796</v>
      </c>
      <c r="S46" s="96">
        <v>80.049264768641933</v>
      </c>
      <c r="T46" s="96">
        <v>80.886395301640803</v>
      </c>
      <c r="U46" s="96">
        <v>81.886631807017167</v>
      </c>
      <c r="V46" s="96">
        <v>83.476621730264554</v>
      </c>
      <c r="W46" s="96">
        <v>86.771700639543781</v>
      </c>
      <c r="X46" s="96">
        <v>88.249953230127716</v>
      </c>
      <c r="Y46" s="96">
        <v>89.981029162810998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0.23109062134959885</v>
      </c>
      <c r="H47" s="96">
        <v>0.15392997206636833</v>
      </c>
      <c r="I47" s="96">
        <v>0.15310726668150079</v>
      </c>
      <c r="J47" s="96">
        <v>0.16422606436952278</v>
      </c>
      <c r="K47" s="96">
        <v>0.1715890039853126</v>
      </c>
      <c r="L47" s="96">
        <v>1.5872032372292046</v>
      </c>
      <c r="M47" s="96">
        <v>1.4825829790515179</v>
      </c>
      <c r="N47" s="96">
        <v>1.2575580377379874</v>
      </c>
      <c r="O47" s="96">
        <v>1.3911137321318054</v>
      </c>
      <c r="P47" s="96">
        <v>1.7184163303504649</v>
      </c>
      <c r="Q47" s="96">
        <v>1.5373623821358811</v>
      </c>
      <c r="R47" s="96">
        <v>9.8561557074956535E-2</v>
      </c>
      <c r="S47" s="96">
        <v>7.0307350909166386E-2</v>
      </c>
      <c r="T47" s="96">
        <v>2.8118548712036771</v>
      </c>
      <c r="U47" s="96">
        <v>2.6498708871173817</v>
      </c>
      <c r="V47" s="96">
        <v>3.3411095093354075</v>
      </c>
      <c r="W47" s="96">
        <v>3.6021743649449354</v>
      </c>
      <c r="X47" s="96">
        <v>0.5577282635805193</v>
      </c>
      <c r="Y47" s="96">
        <v>0.26618924006650507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1.9841082380318082E-2</v>
      </c>
      <c r="O48" s="96">
        <v>1.8313623087510004E-2</v>
      </c>
      <c r="P48" s="96">
        <v>2.4952809822910774E-2</v>
      </c>
      <c r="Q48" s="96">
        <v>2.6545665191160802E-2</v>
      </c>
      <c r="R48" s="96">
        <v>0.20366038253843544</v>
      </c>
      <c r="S48" s="96">
        <v>0.34420474139182344</v>
      </c>
      <c r="T48" s="96">
        <v>0.42247673265720059</v>
      </c>
      <c r="U48" s="96">
        <v>0.5020493115949155</v>
      </c>
      <c r="V48" s="96">
        <v>0.55685222523819666</v>
      </c>
      <c r="W48" s="96">
        <v>0.58069241590666021</v>
      </c>
      <c r="X48" s="96">
        <v>0.59854538340312291</v>
      </c>
      <c r="Y48" s="96">
        <v>0.62649788421129815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X49" s="96">
        <v>0</v>
      </c>
      <c r="Y49" s="96">
        <v>0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3.6226454216385732E-4</v>
      </c>
      <c r="N51" s="96">
        <v>3.6236462906938952E-4</v>
      </c>
      <c r="O51" s="96">
        <v>2.1987832452969053E-3</v>
      </c>
      <c r="P51" s="96">
        <v>2.5836464978444816E-3</v>
      </c>
      <c r="Q51" s="96">
        <v>2.7558231688668794E-3</v>
      </c>
      <c r="R51" s="96">
        <v>1.9328046086102496E-3</v>
      </c>
      <c r="S51" s="96">
        <v>2.2457333578471263E-3</v>
      </c>
      <c r="T51" s="96">
        <v>2.2754606367949241E-3</v>
      </c>
      <c r="U51" s="96">
        <v>2.8359949712724129E-3</v>
      </c>
      <c r="V51" s="96">
        <v>9.9012760049172407E-3</v>
      </c>
      <c r="W51" s="96">
        <v>2.1169153922492145E-2</v>
      </c>
      <c r="X51" s="96">
        <v>3.4875368686804367E-2</v>
      </c>
      <c r="Y51" s="96">
        <v>4.6672616780621387E-2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140.25838461004872</v>
      </c>
      <c r="C52" s="130">
        <f t="shared" si="34"/>
        <v>216.67204857914544</v>
      </c>
      <c r="D52" s="130">
        <f t="shared" si="34"/>
        <v>226.16933873175901</v>
      </c>
      <c r="E52" s="130">
        <f t="shared" si="34"/>
        <v>244.89414511425468</v>
      </c>
      <c r="F52" s="130">
        <f t="shared" si="34"/>
        <v>250.51397150143893</v>
      </c>
      <c r="G52" s="130">
        <f t="shared" si="34"/>
        <v>284.69728359598696</v>
      </c>
      <c r="H52" s="130">
        <f t="shared" si="34"/>
        <v>317.34223569306232</v>
      </c>
      <c r="I52" s="130">
        <f t="shared" si="34"/>
        <v>381.76079369606168</v>
      </c>
      <c r="J52" s="130">
        <f t="shared" si="34"/>
        <v>343.46203763922222</v>
      </c>
      <c r="K52" s="130">
        <f t="shared" si="34"/>
        <v>276.62425571247365</v>
      </c>
      <c r="L52" s="130">
        <f t="shared" ref="L52" si="35">L53+L55</f>
        <v>328.52039329811282</v>
      </c>
      <c r="M52" s="130">
        <f t="shared" ref="M52:V52" si="36">M53+M55</f>
        <v>236.62661770393586</v>
      </c>
      <c r="N52" s="130">
        <f t="shared" si="36"/>
        <v>210.94247629236702</v>
      </c>
      <c r="O52" s="130">
        <f t="shared" si="36"/>
        <v>214.50315901570991</v>
      </c>
      <c r="P52" s="130">
        <f t="shared" si="36"/>
        <v>209.9400812619657</v>
      </c>
      <c r="Q52" s="130">
        <f t="shared" si="36"/>
        <v>226.9993795931004</v>
      </c>
      <c r="R52" s="130">
        <f t="shared" si="36"/>
        <v>215.96392516615495</v>
      </c>
      <c r="S52" s="130">
        <f t="shared" si="36"/>
        <v>240.41332301453872</v>
      </c>
      <c r="T52" s="130">
        <f t="shared" si="36"/>
        <v>248.88062154899887</v>
      </c>
      <c r="U52" s="130">
        <f t="shared" si="36"/>
        <v>237.21511882918998</v>
      </c>
      <c r="V52" s="130">
        <f t="shared" si="36"/>
        <v>230.46369891539206</v>
      </c>
      <c r="W52" s="130">
        <f t="shared" ref="W52:Y52" si="37">W53+W55</f>
        <v>256.6750610105301</v>
      </c>
      <c r="X52" s="130">
        <f t="shared" si="37"/>
        <v>252.46543021025383</v>
      </c>
      <c r="Y52" s="130">
        <f t="shared" si="37"/>
        <v>244.36618150175838</v>
      </c>
      <c r="DA52" s="176" t="s">
        <v>401</v>
      </c>
    </row>
    <row r="53" spans="1:105" ht="11.45" customHeight="1" x14ac:dyDescent="0.25">
      <c r="A53" s="128" t="s">
        <v>27</v>
      </c>
      <c r="B53" s="97">
        <v>87.717066587638897</v>
      </c>
      <c r="C53" s="97">
        <v>111.60710603760178</v>
      </c>
      <c r="D53" s="97">
        <v>130.85721400035084</v>
      </c>
      <c r="E53" s="97">
        <v>147.89455914089649</v>
      </c>
      <c r="F53" s="97">
        <v>140.82294256168112</v>
      </c>
      <c r="G53" s="97">
        <v>158.38843614675335</v>
      </c>
      <c r="H53" s="97">
        <v>160.94256436301225</v>
      </c>
      <c r="I53" s="97">
        <v>190.96331932585025</v>
      </c>
      <c r="J53" s="97">
        <v>176.90682220208586</v>
      </c>
      <c r="K53" s="97">
        <v>164.5144675349346</v>
      </c>
      <c r="L53" s="97">
        <v>146.1355481573278</v>
      </c>
      <c r="M53" s="97">
        <v>115.0578603646445</v>
      </c>
      <c r="N53" s="97">
        <v>95.194596986247859</v>
      </c>
      <c r="O53" s="97">
        <v>99.930640706624104</v>
      </c>
      <c r="P53" s="97">
        <v>97.856413766157615</v>
      </c>
      <c r="Q53" s="97">
        <v>99.298239472929311</v>
      </c>
      <c r="R53" s="97">
        <v>100.14496642430029</v>
      </c>
      <c r="S53" s="97">
        <v>113.30036809841641</v>
      </c>
      <c r="T53" s="97">
        <v>116.25708477388615</v>
      </c>
      <c r="U53" s="97">
        <v>116.25329757808534</v>
      </c>
      <c r="V53" s="97">
        <v>116.18847799526702</v>
      </c>
      <c r="W53" s="97">
        <v>131.80415882323598</v>
      </c>
      <c r="X53" s="97">
        <v>127.79724126698396</v>
      </c>
      <c r="Y53" s="97">
        <v>126.57204890923728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0.79295895875345901</v>
      </c>
      <c r="H54" s="97">
        <v>0.4730415894166754</v>
      </c>
      <c r="I54" s="97">
        <v>0.48060611845611667</v>
      </c>
      <c r="J54" s="97">
        <v>0.46459454731899691</v>
      </c>
      <c r="K54" s="97">
        <v>0.48516890419191888</v>
      </c>
      <c r="L54" s="97">
        <v>4.0440009964989452</v>
      </c>
      <c r="M54" s="97">
        <v>3.086174036587555</v>
      </c>
      <c r="N54" s="97">
        <v>2.0049814655049718</v>
      </c>
      <c r="O54" s="97">
        <v>2.0116646063526566</v>
      </c>
      <c r="P54" s="97">
        <v>2.2397912196399816</v>
      </c>
      <c r="Q54" s="97">
        <v>1.943035488727765</v>
      </c>
      <c r="R54" s="97">
        <v>0.12838959670750949</v>
      </c>
      <c r="S54" s="97">
        <v>9.951182888507408E-2</v>
      </c>
      <c r="T54" s="97">
        <v>4.0414466353003515</v>
      </c>
      <c r="U54" s="97">
        <v>3.7619843677239082</v>
      </c>
      <c r="V54" s="97">
        <v>4.6503849899384742</v>
      </c>
      <c r="W54" s="97">
        <v>5.4716175735505104</v>
      </c>
      <c r="X54" s="97">
        <v>0.80766199701375752</v>
      </c>
      <c r="Y54" s="97">
        <v>0.37443578747969325</v>
      </c>
      <c r="DA54" s="175" t="s">
        <v>669</v>
      </c>
    </row>
    <row r="55" spans="1:105" ht="11.45" customHeight="1" x14ac:dyDescent="0.25">
      <c r="A55" s="128" t="s">
        <v>116</v>
      </c>
      <c r="B55" s="97">
        <v>52.541318022409818</v>
      </c>
      <c r="C55" s="97">
        <v>105.06494254154366</v>
      </c>
      <c r="D55" s="97">
        <v>95.31212473140819</v>
      </c>
      <c r="E55" s="97">
        <v>96.999585973358208</v>
      </c>
      <c r="F55" s="97">
        <v>109.69102893975781</v>
      </c>
      <c r="G55" s="97">
        <v>126.30884744923362</v>
      </c>
      <c r="H55" s="97">
        <v>156.39967133005007</v>
      </c>
      <c r="I55" s="97">
        <v>190.79747437021143</v>
      </c>
      <c r="J55" s="97">
        <v>166.55521543713635</v>
      </c>
      <c r="K55" s="97">
        <v>112.10978817753904</v>
      </c>
      <c r="L55" s="97">
        <v>182.38484514078505</v>
      </c>
      <c r="M55" s="97">
        <v>121.56875733929137</v>
      </c>
      <c r="N55" s="97">
        <v>115.74787930611916</v>
      </c>
      <c r="O55" s="97">
        <v>114.57251830908579</v>
      </c>
      <c r="P55" s="97">
        <v>112.08366749580807</v>
      </c>
      <c r="Q55" s="97">
        <v>127.70114012017108</v>
      </c>
      <c r="R55" s="97">
        <v>115.81895874185466</v>
      </c>
      <c r="S55" s="97">
        <v>127.11295491612229</v>
      </c>
      <c r="T55" s="97">
        <v>132.62353677511274</v>
      </c>
      <c r="U55" s="97">
        <v>120.96182125110465</v>
      </c>
      <c r="V55" s="97">
        <v>114.27522092012505</v>
      </c>
      <c r="W55" s="97">
        <v>124.87090218729411</v>
      </c>
      <c r="X55" s="97">
        <v>124.66818894326988</v>
      </c>
      <c r="Y55" s="97">
        <v>117.79413259252108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0.63235507964668292</v>
      </c>
      <c r="H56" s="98">
        <v>0.45968914067592304</v>
      </c>
      <c r="I56" s="98">
        <v>0.48018872887220876</v>
      </c>
      <c r="J56" s="98">
        <v>0.4374090493312926</v>
      </c>
      <c r="K56" s="98">
        <v>0.33062249110543779</v>
      </c>
      <c r="L56" s="98">
        <v>5.0471258006408339</v>
      </c>
      <c r="M56" s="98">
        <v>3.2608145273316911</v>
      </c>
      <c r="N56" s="98">
        <v>2.4378731569587013</v>
      </c>
      <c r="O56" s="98">
        <v>2.3064145122388053</v>
      </c>
      <c r="P56" s="98">
        <v>2.5654323989643149</v>
      </c>
      <c r="Q56" s="98">
        <v>2.4988141634891106</v>
      </c>
      <c r="R56" s="98">
        <v>0.14848424174359881</v>
      </c>
      <c r="S56" s="98">
        <v>0.11164343797808092</v>
      </c>
      <c r="T56" s="98">
        <v>4.6103938310846662</v>
      </c>
      <c r="U56" s="98">
        <v>3.9143533139988183</v>
      </c>
      <c r="V56" s="98">
        <v>4.5738078444447856</v>
      </c>
      <c r="W56" s="98">
        <v>5.18379563234733</v>
      </c>
      <c r="X56" s="98">
        <v>0.78788679198212708</v>
      </c>
      <c r="Y56" s="98">
        <v>0.34846823748105665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12.67610523270567</v>
      </c>
      <c r="C60" s="79">
        <f>IF(C17=0,0,C17/TrRoad_act!C30*100)</f>
        <v>13.064068046475343</v>
      </c>
      <c r="D60" s="79">
        <f>IF(D17=0,0,D17/TrRoad_act!D30*100)</f>
        <v>12.848383923670884</v>
      </c>
      <c r="E60" s="79">
        <f>IF(E17=0,0,E17/TrRoad_act!E30*100)</f>
        <v>12.824042054475857</v>
      </c>
      <c r="F60" s="79">
        <f>IF(F17=0,0,F17/TrRoad_act!F30*100)</f>
        <v>12.510827283209332</v>
      </c>
      <c r="G60" s="79">
        <f>IF(G17=0,0,G17/TrRoad_act!G30*100)</f>
        <v>12.641472931065467</v>
      </c>
      <c r="H60" s="79">
        <f>IF(H17=0,0,H17/TrRoad_act!H30*100)</f>
        <v>12.266173637559387</v>
      </c>
      <c r="I60" s="79">
        <f>IF(I17=0,0,I17/TrRoad_act!I30*100)</f>
        <v>12.330783763674408</v>
      </c>
      <c r="J60" s="79">
        <f>IF(J17=0,0,J17/TrRoad_act!J30*100)</f>
        <v>11.910577568561294</v>
      </c>
      <c r="K60" s="79">
        <f>IF(K17=0,0,K17/TrRoad_act!K30*100)</f>
        <v>11.467236970712435</v>
      </c>
      <c r="L60" s="79">
        <f>IF(L17=0,0,L17/TrRoad_act!L30*100)</f>
        <v>12.372810713431743</v>
      </c>
      <c r="M60" s="79">
        <f>IF(M17=0,0,M17/TrRoad_act!M30*100)</f>
        <v>11.07748312365575</v>
      </c>
      <c r="N60" s="79">
        <f>IF(N17=0,0,N17/TrRoad_act!N30*100)</f>
        <v>10.673565188979756</v>
      </c>
      <c r="O60" s="79">
        <f>IF(O17=0,0,O17/TrRoad_act!O30*100)</f>
        <v>10.597370436645175</v>
      </c>
      <c r="P60" s="79">
        <f>IF(P17=0,0,P17/TrRoad_act!P30*100)</f>
        <v>10.066883918759718</v>
      </c>
      <c r="Q60" s="79">
        <f>IF(Q17=0,0,Q17/TrRoad_act!Q30*100)</f>
        <v>9.9463155090020923</v>
      </c>
      <c r="R60" s="79">
        <f>IF(R17=0,0,R17/TrRoad_act!R30*100)</f>
        <v>9.6407321756135396</v>
      </c>
      <c r="S60" s="79">
        <f>IF(S17=0,0,S17/TrRoad_act!S30*100)</f>
        <v>9.5655981371157868</v>
      </c>
      <c r="T60" s="79">
        <f>IF(T17=0,0,T17/TrRoad_act!T30*100)</f>
        <v>9.3204460783349923</v>
      </c>
      <c r="U60" s="79">
        <f>IF(U17=0,0,U17/TrRoad_act!U30*100)</f>
        <v>8.847150050545098</v>
      </c>
      <c r="V60" s="79">
        <f>IF(V17=0,0,V17/TrRoad_act!V30*100)</f>
        <v>8.6875012400407439</v>
      </c>
      <c r="W60" s="79">
        <f>IF(W17=0,0,W17/TrRoad_act!W30*100)</f>
        <v>8.5487376896110856</v>
      </c>
      <c r="X60" s="79">
        <f>IF(X17=0,0,X17/TrRoad_act!X30*100)</f>
        <v>8.431220800687333</v>
      </c>
      <c r="Y60" s="79">
        <f>IF(Y17=0,0,Y17/TrRoad_act!Y30*100)</f>
        <v>8.1197355857018838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10.610317554200359</v>
      </c>
      <c r="C61" s="32">
        <f>IF(C18=0,0,C18/TrRoad_act!C31*100)</f>
        <v>9.9967285620854884</v>
      </c>
      <c r="D61" s="32">
        <f>IF(D18=0,0,D18/TrRoad_act!D31*100)</f>
        <v>9.8675856614485671</v>
      </c>
      <c r="E61" s="32">
        <f>IF(E18=0,0,E18/TrRoad_act!E31*100)</f>
        <v>9.7891924806857773</v>
      </c>
      <c r="F61" s="32">
        <f>IF(F18=0,0,F18/TrRoad_act!F31*100)</f>
        <v>9.5445586930704795</v>
      </c>
      <c r="G61" s="32">
        <f>IF(G18=0,0,G18/TrRoad_act!G31*100)</f>
        <v>9.3699263245809998</v>
      </c>
      <c r="H61" s="32">
        <f>IF(H18=0,0,H18/TrRoad_act!H31*100)</f>
        <v>9.0084862379118924</v>
      </c>
      <c r="I61" s="32">
        <f>IF(I18=0,0,I18/TrRoad_act!I31*100)</f>
        <v>8.7994752516904313</v>
      </c>
      <c r="J61" s="32">
        <f>IF(J18=0,0,J18/TrRoad_act!J31*100)</f>
        <v>8.6487119643702801</v>
      </c>
      <c r="K61" s="32">
        <f>IF(K18=0,0,K18/TrRoad_act!K31*100)</f>
        <v>8.6712289622839549</v>
      </c>
      <c r="L61" s="32">
        <f>IF(L18=0,0,L18/TrRoad_act!L31*100)</f>
        <v>8.7582857433055779</v>
      </c>
      <c r="M61" s="32">
        <f>IF(M18=0,0,M18/TrRoad_act!M31*100)</f>
        <v>8.46579596419501</v>
      </c>
      <c r="N61" s="32">
        <f>IF(N18=0,0,N18/TrRoad_act!N31*100)</f>
        <v>8.2834342973009978</v>
      </c>
      <c r="O61" s="32">
        <f>IF(O18=0,0,O18/TrRoad_act!O31*100)</f>
        <v>8.2482710991438122</v>
      </c>
      <c r="P61" s="32">
        <f>IF(P18=0,0,P18/TrRoad_act!P31*100)</f>
        <v>7.9739724368546607</v>
      </c>
      <c r="Q61" s="32">
        <f>IF(Q18=0,0,Q18/TrRoad_act!Q31*100)</f>
        <v>7.8368861129511735</v>
      </c>
      <c r="R61" s="32">
        <f>IF(R18=0,0,R18/TrRoad_act!R31*100)</f>
        <v>7.7274848609051148</v>
      </c>
      <c r="S61" s="32">
        <f>IF(S18=0,0,S18/TrRoad_act!S31*100)</f>
        <v>7.5299272098025467</v>
      </c>
      <c r="T61" s="32">
        <f>IF(T18=0,0,T18/TrRoad_act!T31*100)</f>
        <v>7.3018552317429251</v>
      </c>
      <c r="U61" s="32">
        <f>IF(U18=0,0,U18/TrRoad_act!U31*100)</f>
        <v>7.0032204278625372</v>
      </c>
      <c r="V61" s="32">
        <f>IF(V18=0,0,V18/TrRoad_act!V31*100)</f>
        <v>6.883040102156107</v>
      </c>
      <c r="W61" s="32">
        <f>IF(W18=0,0,W18/TrRoad_act!W31*100)</f>
        <v>6.5906340983910807</v>
      </c>
      <c r="X61" s="32">
        <f>IF(X18=0,0,X18/TrRoad_act!X31*100)</f>
        <v>6.4075795785571588</v>
      </c>
      <c r="Y61" s="32">
        <f>IF(Y18=0,0,Y18/TrRoad_act!Y31*100)</f>
        <v>6.2175320425477185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5.1139589040363544</v>
      </c>
      <c r="C62" s="141">
        <f>IF(C19=0,0,C19/TrRoad_act!C32*100)</f>
        <v>5.0951293407445997</v>
      </c>
      <c r="D62" s="141">
        <f>IF(D19=0,0,D19/TrRoad_act!D32*100)</f>
        <v>5.0639138850604697</v>
      </c>
      <c r="E62" s="141">
        <f>IF(E19=0,0,E19/TrRoad_act!E32*100)</f>
        <v>5.0319076628560362</v>
      </c>
      <c r="F62" s="141">
        <f>IF(F19=0,0,F19/TrRoad_act!F32*100)</f>
        <v>4.9923808363773139</v>
      </c>
      <c r="G62" s="141">
        <f>IF(G19=0,0,G19/TrRoad_act!G32*100)</f>
        <v>4.9512580080190389</v>
      </c>
      <c r="H62" s="141">
        <f>IF(H19=0,0,H19/TrRoad_act!H32*100)</f>
        <v>4.8897702117688588</v>
      </c>
      <c r="I62" s="141">
        <f>IF(I19=0,0,I19/TrRoad_act!I32*100)</f>
        <v>4.7926048398407817</v>
      </c>
      <c r="J62" s="141">
        <f>IF(J19=0,0,J19/TrRoad_act!J32*100)</f>
        <v>4.6960720600154549</v>
      </c>
      <c r="K62" s="141">
        <f>IF(K19=0,0,K19/TrRoad_act!K32*100)</f>
        <v>4.6546679997925073</v>
      </c>
      <c r="L62" s="141">
        <f>IF(L19=0,0,L19/TrRoad_act!L32*100)</f>
        <v>4.6150393245295938</v>
      </c>
      <c r="M62" s="141">
        <f>IF(M19=0,0,M19/TrRoad_act!M32*100)</f>
        <v>4.4776354298127323</v>
      </c>
      <c r="N62" s="141">
        <f>IF(N19=0,0,N19/TrRoad_act!N32*100)</f>
        <v>4.3279299107962146</v>
      </c>
      <c r="O62" s="141">
        <f>IF(O19=0,0,O19/TrRoad_act!O32*100)</f>
        <v>4.1921248896581531</v>
      </c>
      <c r="P62" s="141">
        <f>IF(P19=0,0,P19/TrRoad_act!P32*100)</f>
        <v>4.0447771566367008</v>
      </c>
      <c r="Q62" s="141">
        <f>IF(Q19=0,0,Q19/TrRoad_act!Q32*100)</f>
        <v>3.9086676559739479</v>
      </c>
      <c r="R62" s="141">
        <f>IF(R19=0,0,R19/TrRoad_act!R32*100)</f>
        <v>3.7756634498116948</v>
      </c>
      <c r="S62" s="141">
        <f>IF(S19=0,0,S19/TrRoad_act!S32*100)</f>
        <v>3.6609740954984411</v>
      </c>
      <c r="T62" s="141">
        <f>IF(T19=0,0,T19/TrRoad_act!T32*100)</f>
        <v>3.5691495426191717</v>
      </c>
      <c r="U62" s="141">
        <f>IF(U19=0,0,U19/TrRoad_act!U32*100)</f>
        <v>3.4774536180569076</v>
      </c>
      <c r="V62" s="141">
        <f>IF(V19=0,0,V19/TrRoad_act!V32*100)</f>
        <v>3.4188948313777661</v>
      </c>
      <c r="W62" s="141">
        <f>IF(W19=0,0,W19/TrRoad_act!W32*100)</f>
        <v>3.5148639233802683</v>
      </c>
      <c r="X62" s="141">
        <f>IF(X19=0,0,X19/TrRoad_act!X32*100)</f>
        <v>3.4696892670557524</v>
      </c>
      <c r="Y62" s="141">
        <f>IF(Y19=0,0,Y19/TrRoad_act!Y32*100)</f>
        <v>3.4907070574065293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9.1095962076956738</v>
      </c>
      <c r="C63" s="130">
        <f>IF(C21=0,0,C21/TrRoad_act!C33*100)</f>
        <v>8.5171250564838541</v>
      </c>
      <c r="D63" s="130">
        <f>IF(D21=0,0,D21/TrRoad_act!D33*100)</f>
        <v>8.4552764116432222</v>
      </c>
      <c r="E63" s="130">
        <f>IF(E21=0,0,E21/TrRoad_act!E33*100)</f>
        <v>8.3679676302630703</v>
      </c>
      <c r="F63" s="130">
        <f>IF(F21=0,0,F21/TrRoad_act!F33*100)</f>
        <v>8.1974911484226247</v>
      </c>
      <c r="G63" s="130">
        <f>IF(G21=0,0,G21/TrRoad_act!G33*100)</f>
        <v>8.0753284698431411</v>
      </c>
      <c r="H63" s="130">
        <f>IF(H21=0,0,H21/TrRoad_act!H33*100)</f>
        <v>7.9156502135100837</v>
      </c>
      <c r="I63" s="130">
        <f>IF(I21=0,0,I21/TrRoad_act!I33*100)</f>
        <v>7.8254439006770857</v>
      </c>
      <c r="J63" s="130">
        <f>IF(J21=0,0,J21/TrRoad_act!J33*100)</f>
        <v>7.713374348566739</v>
      </c>
      <c r="K63" s="130">
        <f>IF(K21=0,0,K21/TrRoad_act!K33*100)</f>
        <v>7.7053992689807425</v>
      </c>
      <c r="L63" s="130">
        <f>IF(L21=0,0,L21/TrRoad_act!L33*100)</f>
        <v>7.7085660572117343</v>
      </c>
      <c r="M63" s="130">
        <f>IF(M21=0,0,M21/TrRoad_act!M33*100)</f>
        <v>7.5060581014880237</v>
      </c>
      <c r="N63" s="130">
        <f>IF(N21=0,0,N21/TrRoad_act!N33*100)</f>
        <v>7.336852940508126</v>
      </c>
      <c r="O63" s="130">
        <f>IF(O21=0,0,O21/TrRoad_act!O33*100)</f>
        <v>7.3250317815818962</v>
      </c>
      <c r="P63" s="130">
        <f>IF(P21=0,0,P21/TrRoad_act!P33*100)</f>
        <v>7.1861720425562412</v>
      </c>
      <c r="Q63" s="130">
        <f>IF(Q21=0,0,Q21/TrRoad_act!Q33*100)</f>
        <v>7.1186886812892674</v>
      </c>
      <c r="R63" s="130">
        <f>IF(R21=0,0,R21/TrRoad_act!R33*100)</f>
        <v>7.0398867134233667</v>
      </c>
      <c r="S63" s="130">
        <f>IF(S21=0,0,S21/TrRoad_act!S33*100)</f>
        <v>6.8639232297063728</v>
      </c>
      <c r="T63" s="130">
        <f>IF(T21=0,0,T21/TrRoad_act!T33*100)</f>
        <v>6.6866052138806396</v>
      </c>
      <c r="U63" s="130">
        <f>IF(U21=0,0,U21/TrRoad_act!U33*100)</f>
        <v>6.4589946792938475</v>
      </c>
      <c r="V63" s="130">
        <f>IF(V21=0,0,V21/TrRoad_act!V33*100)</f>
        <v>6.4363818446844592</v>
      </c>
      <c r="W63" s="130">
        <f>IF(W21=0,0,W21/TrRoad_act!W33*100)</f>
        <v>6.2123190344765993</v>
      </c>
      <c r="X63" s="130">
        <f>IF(X21=0,0,X21/TrRoad_act!X33*100)</f>
        <v>5.990190598773335</v>
      </c>
      <c r="Y63" s="130">
        <f>IF(Y21=0,0,Y21/TrRoad_act!Y33*100)</f>
        <v>5.8144092516474437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9.1890678946820366</v>
      </c>
      <c r="C64" s="96">
        <f>IF(C22=0,0,C22/TrRoad_act!C34*100)</f>
        <v>8.5907525257203901</v>
      </c>
      <c r="D64" s="96">
        <f>IF(D22=0,0,D22/TrRoad_act!D34*100)</f>
        <v>8.5323259535163558</v>
      </c>
      <c r="E64" s="96">
        <f>IF(E22=0,0,E22/TrRoad_act!E34*100)</f>
        <v>8.4695769230262865</v>
      </c>
      <c r="F64" s="96">
        <f>IF(F22=0,0,F22/TrRoad_act!F34*100)</f>
        <v>8.3878222908329239</v>
      </c>
      <c r="G64" s="96">
        <f>IF(G22=0,0,G22/TrRoad_act!G34*100)</f>
        <v>8.2985192069691216</v>
      </c>
      <c r="H64" s="96">
        <f>IF(H22=0,0,H22/TrRoad_act!H34*100)</f>
        <v>8.1834619689216979</v>
      </c>
      <c r="I64" s="96">
        <f>IF(I22=0,0,I22/TrRoad_act!I34*100)</f>
        <v>8.0445085220896431</v>
      </c>
      <c r="J64" s="96">
        <f>IF(J22=0,0,J22/TrRoad_act!J34*100)</f>
        <v>7.9444032515143608</v>
      </c>
      <c r="K64" s="96">
        <f>IF(K22=0,0,K22/TrRoad_act!K34*100)</f>
        <v>8.0479283427252781</v>
      </c>
      <c r="L64" s="96">
        <f>IF(L22=0,0,L22/TrRoad_act!L34*100)</f>
        <v>7.8561653073324393</v>
      </c>
      <c r="M64" s="96">
        <f>IF(M22=0,0,M22/TrRoad_act!M34*100)</f>
        <v>7.9814190785521486</v>
      </c>
      <c r="N64" s="96">
        <f>IF(N22=0,0,N22/TrRoad_act!N34*100)</f>
        <v>7.8021005477790437</v>
      </c>
      <c r="O64" s="96">
        <f>IF(O22=0,0,O22/TrRoad_act!O34*100)</f>
        <v>7.5864491562091132</v>
      </c>
      <c r="P64" s="96">
        <f>IF(P22=0,0,P22/TrRoad_act!P34*100)</f>
        <v>7.6380377669368542</v>
      </c>
      <c r="Q64" s="96">
        <f>IF(Q22=0,0,Q22/TrRoad_act!Q34*100)</f>
        <v>7.440319143771883</v>
      </c>
      <c r="R64" s="96">
        <f>IF(R22=0,0,R22/TrRoad_act!R34*100)</f>
        <v>7.9223660229619579</v>
      </c>
      <c r="S64" s="96">
        <f>IF(S22=0,0,S22/TrRoad_act!S34*100)</f>
        <v>7.7012470432549289</v>
      </c>
      <c r="T64" s="96">
        <f>IF(T22=0,0,T22/TrRoad_act!T34*100)</f>
        <v>7.4588184398288622</v>
      </c>
      <c r="U64" s="96">
        <f>IF(U22=0,0,U22/TrRoad_act!U34*100)</f>
        <v>7.1956797235003478</v>
      </c>
      <c r="V64" s="96">
        <f>IF(V22=0,0,V22/TrRoad_act!V34*100)</f>
        <v>7.395270150844242</v>
      </c>
      <c r="W64" s="96">
        <f>IF(W22=0,0,W22/TrRoad_act!W34*100)</f>
        <v>6.9391120544276559</v>
      </c>
      <c r="X64" s="96">
        <f>IF(X22=0,0,X22/TrRoad_act!X34*100)</f>
        <v>6.4094956822819462</v>
      </c>
      <c r="Y64" s="96">
        <f>IF(Y22=0,0,Y22/TrRoad_act!Y34*100)</f>
        <v>6.2149250094844684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8.0637943206090625</v>
      </c>
      <c r="C65" s="96">
        <f>IF(C24=0,0,C24/TrRoad_act!C35*100)</f>
        <v>8.1371713808441992</v>
      </c>
      <c r="D65" s="96">
        <f>IF(D24=0,0,D24/TrRoad_act!D35*100)</f>
        <v>7.9326474763833117</v>
      </c>
      <c r="E65" s="96">
        <f>IF(E24=0,0,E24/TrRoad_act!E35*100)</f>
        <v>7.7553282739961631</v>
      </c>
      <c r="F65" s="96">
        <f>IF(F24=0,0,F24/TrRoad_act!F35*100)</f>
        <v>7.63437670660623</v>
      </c>
      <c r="G65" s="96">
        <f>IF(G24=0,0,G24/TrRoad_act!G35*100)</f>
        <v>7.5089447055503573</v>
      </c>
      <c r="H65" s="96">
        <f>IF(H24=0,0,H24/TrRoad_act!H35*100)</f>
        <v>7.3426615426179387</v>
      </c>
      <c r="I65" s="96">
        <f>IF(I24=0,0,I24/TrRoad_act!I35*100)</f>
        <v>7.4579220026311424</v>
      </c>
      <c r="J65" s="96">
        <f>IF(J24=0,0,J24/TrRoad_act!J35*100)</f>
        <v>7.3853702766464648</v>
      </c>
      <c r="K65" s="96">
        <f>IF(K24=0,0,K24/TrRoad_act!K35*100)</f>
        <v>7.3136906468512581</v>
      </c>
      <c r="L65" s="96">
        <f>IF(L24=0,0,L24/TrRoad_act!L35*100)</f>
        <v>7.5900634158177755</v>
      </c>
      <c r="M65" s="96">
        <f>IF(M24=0,0,M24/TrRoad_act!M35*100)</f>
        <v>6.9967988340233989</v>
      </c>
      <c r="N65" s="96">
        <f>IF(N24=0,0,N24/TrRoad_act!N35*100)</f>
        <v>6.9262845899999608</v>
      </c>
      <c r="O65" s="96">
        <f>IF(O24=0,0,O24/TrRoad_act!O35*100)</f>
        <v>6.9155245716496907</v>
      </c>
      <c r="P65" s="96">
        <f>IF(P24=0,0,P24/TrRoad_act!P35*100)</f>
        <v>6.7462242515596991</v>
      </c>
      <c r="Q65" s="96">
        <f>IF(Q24=0,0,Q24/TrRoad_act!Q35*100)</f>
        <v>6.6437298679227554</v>
      </c>
      <c r="R65" s="96">
        <f>IF(R24=0,0,R24/TrRoad_act!R35*100)</f>
        <v>6.488840021228877</v>
      </c>
      <c r="S65" s="96">
        <f>IF(S24=0,0,S24/TrRoad_act!S35*100)</f>
        <v>6.3802226928980232</v>
      </c>
      <c r="T65" s="96">
        <f>IF(T24=0,0,T24/TrRoad_act!T35*100)</f>
        <v>6.2629166297716896</v>
      </c>
      <c r="U65" s="96">
        <f>IF(U24=0,0,U24/TrRoad_act!U35*100)</f>
        <v>6.1197584426912393</v>
      </c>
      <c r="V65" s="96">
        <f>IF(V24=0,0,V24/TrRoad_act!V35*100)</f>
        <v>6.015327353629047</v>
      </c>
      <c r="W65" s="96">
        <f>IF(W24=0,0,W24/TrRoad_act!W35*100)</f>
        <v>5.8881243035273565</v>
      </c>
      <c r="X65" s="96">
        <f>IF(X24=0,0,X24/TrRoad_act!X35*100)</f>
        <v>5.7795128833068068</v>
      </c>
      <c r="Y65" s="96">
        <f>IF(Y24=0,0,Y24/TrRoad_act!Y35*100)</f>
        <v>5.6645094563542795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9.9319965205026897</v>
      </c>
      <c r="C66" s="96">
        <f>IF(C26=0,0,C26/TrRoad_act!C36*100)</f>
        <v>8.2780094137499347</v>
      </c>
      <c r="D66" s="96">
        <f>IF(D26=0,0,D26/TrRoad_act!D36*100)</f>
        <v>8.8676962681465952</v>
      </c>
      <c r="E66" s="96">
        <f>IF(E26=0,0,E26/TrRoad_act!E36*100)</f>
        <v>9.1578368148104605</v>
      </c>
      <c r="F66" s="96">
        <f>IF(F26=0,0,F26/TrRoad_act!F36*100)</f>
        <v>7.9354330300556972</v>
      </c>
      <c r="G66" s="96">
        <f>IF(G26=0,0,G26/TrRoad_act!G36*100)</f>
        <v>7.9359263183455653</v>
      </c>
      <c r="H66" s="96">
        <f>IF(H26=0,0,H26/TrRoad_act!H36*100)</f>
        <v>7.7192707666440237</v>
      </c>
      <c r="I66" s="96">
        <f>IF(I26=0,0,I26/TrRoad_act!I36*100)</f>
        <v>7.1503641922542922</v>
      </c>
      <c r="J66" s="96">
        <f>IF(J26=0,0,J26/TrRoad_act!J36*100)</f>
        <v>6.959485017243372</v>
      </c>
      <c r="K66" s="96">
        <f>IF(K26=0,0,K26/TrRoad_act!K36*100)</f>
        <v>6.688299801342791</v>
      </c>
      <c r="L66" s="96">
        <f>IF(L26=0,0,L26/TrRoad_act!L36*100)</f>
        <v>7.0320892357488702</v>
      </c>
      <c r="M66" s="96">
        <f>IF(M26=0,0,M26/TrRoad_act!M36*100)</f>
        <v>7.0333806479731722</v>
      </c>
      <c r="N66" s="96">
        <f>IF(N26=0,0,N26/TrRoad_act!N36*100)</f>
        <v>7.0825049931035373</v>
      </c>
      <c r="O66" s="96">
        <f>IF(O26=0,0,O26/TrRoad_act!O36*100)</f>
        <v>8.1575975991436156</v>
      </c>
      <c r="P66" s="96">
        <f>IF(P26=0,0,P26/TrRoad_act!P36*100)</f>
        <v>7.8564886742159761</v>
      </c>
      <c r="Q66" s="96">
        <f>IF(Q26=0,0,Q26/TrRoad_act!Q36*100)</f>
        <v>8.9711455440538792</v>
      </c>
      <c r="R66" s="96">
        <f>IF(R26=0,0,R26/TrRoad_act!R36*100)</f>
        <v>7.7810621358547074</v>
      </c>
      <c r="S66" s="96">
        <f>IF(S26=0,0,S26/TrRoad_act!S36*100)</f>
        <v>7.767497179901377</v>
      </c>
      <c r="T66" s="96">
        <f>IF(T26=0,0,T26/TrRoad_act!T36*100)</f>
        <v>7.7640844675493845</v>
      </c>
      <c r="U66" s="96">
        <f>IF(U26=0,0,U26/TrRoad_act!U36*100)</f>
        <v>7.4165303790493242</v>
      </c>
      <c r="V66" s="96">
        <f>IF(V26=0,0,V26/TrRoad_act!V36*100)</f>
        <v>7.749889935288989</v>
      </c>
      <c r="W66" s="96">
        <f>IF(W26=0,0,W26/TrRoad_act!W36*100)</f>
        <v>7.6243432097453105</v>
      </c>
      <c r="X66" s="96">
        <f>IF(X26=0,0,X26/TrRoad_act!X36*100)</f>
        <v>7.63403526985668</v>
      </c>
      <c r="Y66" s="96">
        <f>IF(Y26=0,0,Y26/TrRoad_act!Y36*100)</f>
        <v>6.8676924409523954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8.1130434782909511</v>
      </c>
      <c r="C67" s="96">
        <f>IF(C27=0,0,C27/TrRoad_act!C37*100)</f>
        <v>8.1068838788262099</v>
      </c>
      <c r="D67" s="96">
        <f>IF(D27=0,0,D27/TrRoad_act!D37*100)</f>
        <v>8.1063617093655065</v>
      </c>
      <c r="E67" s="96">
        <f>IF(E27=0,0,E27/TrRoad_act!E37*100)</f>
        <v>8.1055591018254525</v>
      </c>
      <c r="F67" s="96">
        <f>IF(F27=0,0,F27/TrRoad_act!F37*100)</f>
        <v>8.1044181803533952</v>
      </c>
      <c r="G67" s="96">
        <f>IF(G27=0,0,G27/TrRoad_act!G37*100)</f>
        <v>8.1040513668436223</v>
      </c>
      <c r="H67" s="96">
        <f>IF(H27=0,0,H27/TrRoad_act!H37*100)</f>
        <v>8.1003207606718401</v>
      </c>
      <c r="I67" s="96">
        <f>IF(I27=0,0,I27/TrRoad_act!I37*100)</f>
        <v>8.097375866873918</v>
      </c>
      <c r="J67" s="96">
        <f>IF(J27=0,0,J27/TrRoad_act!J37*100)</f>
        <v>8.0959673253878606</v>
      </c>
      <c r="K67" s="96">
        <f>IF(K27=0,0,K27/TrRoad_act!K37*100)</f>
        <v>8.1638489674907877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3.8653490251312954</v>
      </c>
      <c r="U67" s="96">
        <f>IF(U27=0,0,U27/TrRoad_act!U37*100)</f>
        <v>5.76057428468956</v>
      </c>
      <c r="V67" s="96">
        <f>IF(V27=0,0,V27/TrRoad_act!V37*100)</f>
        <v>5.6309275640914933</v>
      </c>
      <c r="W67" s="96">
        <f>IF(W27=0,0,W27/TrRoad_act!W37*100)</f>
        <v>5.5263693110078869</v>
      </c>
      <c r="X67" s="96">
        <f>IF(X27=0,0,X27/TrRoad_act!X37*100)</f>
        <v>5.4374089396632765</v>
      </c>
      <c r="Y67" s="96">
        <f>IF(Y27=0,0,Y27/TrRoad_act!Y37*100)</f>
        <v>5.3103878793329446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3.1505038921363147</v>
      </c>
      <c r="O68" s="96">
        <f>IF(O29=0,0,O29/TrRoad_act!O38*100)</f>
        <v>3.5964419885268857</v>
      </c>
      <c r="P68" s="96">
        <f>IF(P29=0,0,P29/TrRoad_act!P38*100)</f>
        <v>3.6919151313238494</v>
      </c>
      <c r="Q68" s="96">
        <f>IF(Q29=0,0,Q29/TrRoad_act!Q38*100)</f>
        <v>3.3593261695814247</v>
      </c>
      <c r="R68" s="96">
        <f>IF(R29=0,0,R29/TrRoad_act!R38*100)</f>
        <v>3.1431769638811189</v>
      </c>
      <c r="S68" s="96">
        <f>IF(S29=0,0,S29/TrRoad_act!S38*100)</f>
        <v>3.3283257654896348</v>
      </c>
      <c r="T68" s="96">
        <f>IF(T29=0,0,T29/TrRoad_act!T38*100)</f>
        <v>3.3382178189800653</v>
      </c>
      <c r="U68" s="96">
        <f>IF(U29=0,0,U29/TrRoad_act!U38*100)</f>
        <v>3.3464414853388234</v>
      </c>
      <c r="V68" s="96">
        <f>IF(V29=0,0,V29/TrRoad_act!V38*100)</f>
        <v>3.8246108332679696</v>
      </c>
      <c r="W68" s="96">
        <f>IF(W29=0,0,W29/TrRoad_act!W38*100)</f>
        <v>3.5266374258981994</v>
      </c>
      <c r="X68" s="96">
        <f>IF(X29=0,0,X29/TrRoad_act!X38*100)</f>
        <v>3.2303388420489978</v>
      </c>
      <c r="Y68" s="96">
        <f>IF(Y29=0,0,Y29/TrRoad_act!Y38*100)</f>
        <v>3.0029904653265849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1.5046034526581142</v>
      </c>
      <c r="O69" s="96">
        <f>IF(O32=0,0,O32/TrRoad_act!O39*100)</f>
        <v>1.5286111407917242</v>
      </c>
      <c r="P69" s="96">
        <f>IF(P32=0,0,P32/TrRoad_act!P39*100)</f>
        <v>1.1789533716587255</v>
      </c>
      <c r="Q69" s="96">
        <f>IF(Q32=0,0,Q32/TrRoad_act!Q39*100)</f>
        <v>1.2321336172070383</v>
      </c>
      <c r="R69" s="96">
        <f>IF(R32=0,0,R32/TrRoad_act!R39*100)</f>
        <v>1.2819650796740287</v>
      </c>
      <c r="S69" s="96">
        <f>IF(S32=0,0,S32/TrRoad_act!S39*100)</f>
        <v>1.3054835707730486</v>
      </c>
      <c r="T69" s="96">
        <f>IF(T32=0,0,T32/TrRoad_act!T39*100)</f>
        <v>1.3964694686973642</v>
      </c>
      <c r="U69" s="96">
        <f>IF(U32=0,0,U32/TrRoad_act!U39*100)</f>
        <v>1.517936046210363</v>
      </c>
      <c r="V69" s="96">
        <f>IF(V32=0,0,V32/TrRoad_act!V39*100)</f>
        <v>1.5990849687917192</v>
      </c>
      <c r="W69" s="96">
        <f>IF(W32=0,0,W32/TrRoad_act!W39*100)</f>
        <v>1.6394973829173103</v>
      </c>
      <c r="X69" s="96">
        <f>IF(X32=0,0,X32/TrRoad_act!X39*100)</f>
        <v>1.6707423159031287</v>
      </c>
      <c r="Y69" s="96">
        <f>IF(Y32=0,0,Y32/TrRoad_act!Y39*100)</f>
        <v>1.6610190250406216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58.666539157628939</v>
      </c>
      <c r="C70" s="130">
        <f>IF(C33=0,0,C33/TrRoad_act!C40*100)</f>
        <v>63.483259690811607</v>
      </c>
      <c r="D70" s="130">
        <f>IF(D33=0,0,D33/TrRoad_act!D40*100)</f>
        <v>59.805928605521984</v>
      </c>
      <c r="E70" s="130">
        <f>IF(E33=0,0,E33/TrRoad_act!E40*100)</f>
        <v>58.616063660712506</v>
      </c>
      <c r="F70" s="130">
        <f>IF(F33=0,0,F33/TrRoad_act!F40*100)</f>
        <v>58.631563040628023</v>
      </c>
      <c r="G70" s="130">
        <f>IF(G33=0,0,G33/TrRoad_act!G40*100)</f>
        <v>58.681130895385834</v>
      </c>
      <c r="H70" s="130">
        <f>IF(H33=0,0,H33/TrRoad_act!H40*100)</f>
        <v>59.399391093319963</v>
      </c>
      <c r="I70" s="130">
        <f>IF(I33=0,0,I33/TrRoad_act!I40*100)</f>
        <v>60.209095942738877</v>
      </c>
      <c r="J70" s="130">
        <f>IF(J33=0,0,J33/TrRoad_act!J40*100)</f>
        <v>58.529288750257614</v>
      </c>
      <c r="K70" s="130">
        <f>IF(K33=0,0,K33/TrRoad_act!K40*100)</f>
        <v>55.525183035243487</v>
      </c>
      <c r="L70" s="130">
        <f>IF(L33=0,0,L33/TrRoad_act!L40*100)</f>
        <v>60.05094167118623</v>
      </c>
      <c r="M70" s="130">
        <f>IF(M33=0,0,M33/TrRoad_act!M40*100)</f>
        <v>56.062818379743696</v>
      </c>
      <c r="N70" s="130">
        <f>IF(N33=0,0,N33/TrRoad_act!N40*100)</f>
        <v>55.700574327556453</v>
      </c>
      <c r="O70" s="130">
        <f>IF(O33=0,0,O33/TrRoad_act!O40*100)</f>
        <v>55.493374561269036</v>
      </c>
      <c r="P70" s="130">
        <f>IF(P33=0,0,P33/TrRoad_act!P40*100)</f>
        <v>55.077278067962922</v>
      </c>
      <c r="Q70" s="130">
        <f>IF(Q33=0,0,Q33/TrRoad_act!Q40*100)</f>
        <v>55.367884601186205</v>
      </c>
      <c r="R70" s="130">
        <f>IF(R33=0,0,R33/TrRoad_act!R40*100)</f>
        <v>54.708350826127408</v>
      </c>
      <c r="S70" s="130">
        <f>IF(S33=0,0,S33/TrRoad_act!S40*100)</f>
        <v>55.471449725268798</v>
      </c>
      <c r="T70" s="130">
        <f>IF(T33=0,0,T33/TrRoad_act!T40*100)</f>
        <v>55.347957326343625</v>
      </c>
      <c r="U70" s="130">
        <f>IF(U33=0,0,U33/TrRoad_act!U40*100)</f>
        <v>54.532623128101761</v>
      </c>
      <c r="V70" s="130">
        <f>IF(V33=0,0,V33/TrRoad_act!V40*100)</f>
        <v>53.538155165975219</v>
      </c>
      <c r="W70" s="130">
        <f>IF(W33=0,0,W33/TrRoad_act!W40*100)</f>
        <v>52.806246386245682</v>
      </c>
      <c r="X70" s="130">
        <f>IF(X33=0,0,X33/TrRoad_act!X40*100)</f>
        <v>51.86076465010634</v>
      </c>
      <c r="Y70" s="130">
        <f>IF(Y33=0,0,Y33/TrRoad_act!Y40*100)</f>
        <v>50.499056405345385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22.511439666525281</v>
      </c>
      <c r="C71" s="97">
        <f>IF(C34=0,0,C34/TrRoad_act!C41*100)</f>
        <v>21.318935054550924</v>
      </c>
      <c r="D71" s="97">
        <f>IF(D34=0,0,D34/TrRoad_act!D41*100)</f>
        <v>21.199688842962061</v>
      </c>
      <c r="E71" s="97">
        <f>IF(E34=0,0,E34/TrRoad_act!E41*100)</f>
        <v>21.10551855336869</v>
      </c>
      <c r="F71" s="97">
        <f>IF(F34=0,0,F34/TrRoad_act!F41*100)</f>
        <v>21.032881580817023</v>
      </c>
      <c r="G71" s="97">
        <f>IF(G34=0,0,G34/TrRoad_act!G41*100)</f>
        <v>20.943672724557452</v>
      </c>
      <c r="H71" s="97">
        <f>IF(H34=0,0,H34/TrRoad_act!H41*100)</f>
        <v>20.846880396928082</v>
      </c>
      <c r="I71" s="97">
        <f>IF(I34=0,0,I34/TrRoad_act!I41*100)</f>
        <v>20.650439294262547</v>
      </c>
      <c r="J71" s="97">
        <f>IF(J34=0,0,J34/TrRoad_act!J41*100)</f>
        <v>20.501826612941045</v>
      </c>
      <c r="K71" s="97">
        <f>IF(K34=0,0,K34/TrRoad_act!K41*100)</f>
        <v>20.335280514154423</v>
      </c>
      <c r="L71" s="97">
        <f>IF(L34=0,0,L34/TrRoad_act!L41*100)</f>
        <v>20.124321080244233</v>
      </c>
      <c r="M71" s="97">
        <f>IF(M34=0,0,M34/TrRoad_act!M41*100)</f>
        <v>19.594359697909493</v>
      </c>
      <c r="N71" s="97">
        <f>IF(N34=0,0,N34/TrRoad_act!N41*100)</f>
        <v>19.322555784860576</v>
      </c>
      <c r="O71" s="97">
        <f>IF(O34=0,0,O34/TrRoad_act!O41*100)</f>
        <v>18.914338787002524</v>
      </c>
      <c r="P71" s="97">
        <f>IF(P34=0,0,P34/TrRoad_act!P41*100)</f>
        <v>18.680379270094427</v>
      </c>
      <c r="Q71" s="97">
        <f>IF(Q34=0,0,Q34/TrRoad_act!Q41*100)</f>
        <v>18.567912224197929</v>
      </c>
      <c r="R71" s="97">
        <f>IF(R34=0,0,R34/TrRoad_act!R41*100)</f>
        <v>18.320059499581117</v>
      </c>
      <c r="S71" s="97">
        <f>IF(S34=0,0,S34/TrRoad_act!S41*100)</f>
        <v>18.248232833184833</v>
      </c>
      <c r="T71" s="97">
        <f>IF(T34=0,0,T34/TrRoad_act!T41*100)</f>
        <v>18.145272554037295</v>
      </c>
      <c r="U71" s="97">
        <f>IF(U34=0,0,U34/TrRoad_act!U41*100)</f>
        <v>18.069141244612304</v>
      </c>
      <c r="V71" s="97">
        <f>IF(V34=0,0,V34/TrRoad_act!V41*100)</f>
        <v>18.149401573325811</v>
      </c>
      <c r="W71" s="97">
        <f>IF(W34=0,0,W34/TrRoad_act!W41*100)</f>
        <v>17.963861235199769</v>
      </c>
      <c r="X71" s="97">
        <f>IF(X34=0,0,X34/TrRoad_act!X41*100)</f>
        <v>17.963861235199769</v>
      </c>
      <c r="Y71" s="97">
        <f>IF(Y34=0,0,Y34/TrRoad_act!Y41*100)</f>
        <v>17.590280650019096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63.116020612358717</v>
      </c>
      <c r="C72" s="97">
        <f>IF(C36=0,0,C36/TrRoad_act!C42*100)</f>
        <v>68.549397146055256</v>
      </c>
      <c r="D72" s="97">
        <f>IF(D36=0,0,D36/TrRoad_act!D42*100)</f>
        <v>64.343379412860273</v>
      </c>
      <c r="E72" s="97">
        <f>IF(E36=0,0,E36/TrRoad_act!E42*100)</f>
        <v>62.522400239706258</v>
      </c>
      <c r="F72" s="97">
        <f>IF(F36=0,0,F36/TrRoad_act!F42*100)</f>
        <v>62.378768618257688</v>
      </c>
      <c r="G72" s="97">
        <f>IF(G36=0,0,G36/TrRoad_act!G42*100)</f>
        <v>62.582183846033686</v>
      </c>
      <c r="H72" s="97">
        <f>IF(H36=0,0,H36/TrRoad_act!H42*100)</f>
        <v>63.146575946283271</v>
      </c>
      <c r="I72" s="97">
        <f>IF(I36=0,0,I36/TrRoad_act!I42*100)</f>
        <v>64.037693913720545</v>
      </c>
      <c r="J72" s="97">
        <f>IF(J36=0,0,J36/TrRoad_act!J42*100)</f>
        <v>62.238466565832987</v>
      </c>
      <c r="K72" s="97">
        <f>IF(K36=0,0,K36/TrRoad_act!K42*100)</f>
        <v>59.168248266104641</v>
      </c>
      <c r="L72" s="97">
        <f>IF(L36=0,0,L36/TrRoad_act!L42*100)</f>
        <v>64.705371350347036</v>
      </c>
      <c r="M72" s="97">
        <f>IF(M36=0,0,M36/TrRoad_act!M42*100)</f>
        <v>59.346203894063009</v>
      </c>
      <c r="N72" s="97">
        <f>IF(N36=0,0,N36/TrRoad_act!N42*100)</f>
        <v>58.610693543553879</v>
      </c>
      <c r="O72" s="97">
        <f>IF(O36=0,0,O36/TrRoad_act!O42*100)</f>
        <v>58.094798582793658</v>
      </c>
      <c r="P72" s="97">
        <f>IF(P36=0,0,P36/TrRoad_act!P42*100)</f>
        <v>57.366418963968933</v>
      </c>
      <c r="Q72" s="97">
        <f>IF(Q36=0,0,Q36/TrRoad_act!Q42*100)</f>
        <v>57.697125968523167</v>
      </c>
      <c r="R72" s="97">
        <f>IF(R36=0,0,R36/TrRoad_act!R42*100)</f>
        <v>56.997451477387592</v>
      </c>
      <c r="S72" s="97">
        <f>IF(S36=0,0,S36/TrRoad_act!S42*100)</f>
        <v>57.529054467225585</v>
      </c>
      <c r="T72" s="97">
        <f>IF(T36=0,0,T36/TrRoad_act!T42*100)</f>
        <v>57.426729970548408</v>
      </c>
      <c r="U72" s="97">
        <f>IF(U36=0,0,U36/TrRoad_act!U42*100)</f>
        <v>56.698521401365852</v>
      </c>
      <c r="V72" s="97">
        <f>IF(V36=0,0,V36/TrRoad_act!V42*100)</f>
        <v>56.027884247627888</v>
      </c>
      <c r="W72" s="97">
        <f>IF(W36=0,0,W36/TrRoad_act!W42*100)</f>
        <v>56.04501349985469</v>
      </c>
      <c r="X72" s="97">
        <f>IF(X36=0,0,X36/TrRoad_act!X42*100)</f>
        <v>54.975137291880571</v>
      </c>
      <c r="Y72" s="97">
        <f>IF(Y36=0,0,Y36/TrRoad_act!Y42*100)</f>
        <v>53.546021124458051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46.883277301445553</v>
      </c>
      <c r="S73" s="97">
        <f>IF(S38=0,0,S38/TrRoad_act!S43*100)</f>
        <v>46.883277301445567</v>
      </c>
      <c r="T73" s="97">
        <f>IF(T38=0,0,T38/TrRoad_act!T43*100)</f>
        <v>46.88327730144556</v>
      </c>
      <c r="U73" s="97">
        <f>IF(U38=0,0,U38/TrRoad_act!U43*100)</f>
        <v>46.883277301445546</v>
      </c>
      <c r="V73" s="97">
        <f>IF(V38=0,0,V38/TrRoad_act!V43*100)</f>
        <v>46.883277301445567</v>
      </c>
      <c r="W73" s="97">
        <f>IF(W38=0,0,W38/TrRoad_act!W43*100)</f>
        <v>46.88327730144556</v>
      </c>
      <c r="X73" s="97">
        <f>IF(X38=0,0,X38/TrRoad_act!X43*100)</f>
        <v>46.883277301445553</v>
      </c>
      <c r="Y73" s="97">
        <f>IF(Y38=0,0,Y38/TrRoad_act!Y43*100)</f>
        <v>46.883277301445567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45.774722764719961</v>
      </c>
      <c r="C74" s="97">
        <f>IF(C39=0,0,C39/TrRoad_act!C44*100)</f>
        <v>57.03466401133911</v>
      </c>
      <c r="D74" s="97">
        <f>IF(D39=0,0,D39/TrRoad_act!D44*100)</f>
        <v>46.258840144102429</v>
      </c>
      <c r="E74" s="97">
        <f>IF(E39=0,0,E39/TrRoad_act!E44*100)</f>
        <v>46.191532258831131</v>
      </c>
      <c r="F74" s="97">
        <f>IF(F39=0,0,F39/TrRoad_act!F44*100)</f>
        <v>46.007123969570898</v>
      </c>
      <c r="G74" s="97">
        <f>IF(G39=0,0,G39/TrRoad_act!G44*100)</f>
        <v>44.805919059517272</v>
      </c>
      <c r="H74" s="97">
        <f>IF(H39=0,0,H39/TrRoad_act!H44*100)</f>
        <v>48.043213549866678</v>
      </c>
      <c r="I74" s="97">
        <f>IF(I39=0,0,I39/TrRoad_act!I44*100)</f>
        <v>50.914318954600013</v>
      </c>
      <c r="J74" s="97">
        <f>IF(J39=0,0,J39/TrRoad_act!J44*100)</f>
        <v>68.428256222285611</v>
      </c>
      <c r="K74" s="97">
        <f>IF(K39=0,0,K39/TrRoad_act!K44*100)</f>
        <v>105.46698037032232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40.395622377793842</v>
      </c>
      <c r="V74" s="97">
        <f>IF(V39=0,0,V39/TrRoad_act!V44*100)</f>
        <v>46.607266834262326</v>
      </c>
      <c r="W74" s="97">
        <f>IF(W39=0,0,W39/TrRoad_act!W44*100)</f>
        <v>53.140018140088671</v>
      </c>
      <c r="X74" s="97">
        <f>IF(X39=0,0,X39/TrRoad_act!X44*100)</f>
        <v>45.372125821014137</v>
      </c>
      <c r="Y74" s="97">
        <f>IF(Y39=0,0,Y39/TrRoad_act!Y44*100)</f>
        <v>50.885171068518972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40.342795593448315</v>
      </c>
      <c r="C75" s="97">
        <f>IF(C41=0,0,C41/TrRoad_act!C45*100)</f>
        <v>36.556466700713599</v>
      </c>
      <c r="D75" s="97">
        <f>IF(D41=0,0,D41/TrRoad_act!D45*100)</f>
        <v>36.556466700713599</v>
      </c>
      <c r="E75" s="97">
        <f>IF(E41=0,0,E41/TrRoad_act!E45*100)</f>
        <v>36.550937698548609</v>
      </c>
      <c r="F75" s="97">
        <f>IF(F41=0,0,F41/TrRoad_act!F45*100)</f>
        <v>36.550937698548601</v>
      </c>
      <c r="G75" s="97">
        <f>IF(G41=0,0,G41/TrRoad_act!G45*100)</f>
        <v>36.178829987715076</v>
      </c>
      <c r="H75" s="97">
        <f>IF(H41=0,0,H41/TrRoad_act!H45*100)</f>
        <v>36.158924393849986</v>
      </c>
      <c r="I75" s="97">
        <f>IF(I41=0,0,I41/TrRoad_act!I45*100)</f>
        <v>36.071257232535935</v>
      </c>
      <c r="J75" s="97">
        <f>IF(J41=0,0,J41/TrRoad_act!J45*100)</f>
        <v>36.036994631287108</v>
      </c>
      <c r="K75" s="97">
        <f>IF(K41=0,0,K41/TrRoad_act!K45*100)</f>
        <v>36.052435293632826</v>
      </c>
      <c r="L75" s="97">
        <f>IF(L41=0,0,L41/TrRoad_act!L45*100)</f>
        <v>36.101970209252507</v>
      </c>
      <c r="M75" s="97">
        <f>IF(M41=0,0,M41/TrRoad_act!M45*100)</f>
        <v>36.094668041524628</v>
      </c>
      <c r="N75" s="97">
        <f>IF(N41=0,0,N41/TrRoad_act!N45*100)</f>
        <v>36.096861057185073</v>
      </c>
      <c r="O75" s="97">
        <f>IF(O41=0,0,O41/TrRoad_act!O45*100)</f>
        <v>36.095763776074449</v>
      </c>
      <c r="P75" s="97">
        <f>IF(P41=0,0,P41/TrRoad_act!P45*100)</f>
        <v>36.096809611148352</v>
      </c>
      <c r="Q75" s="97">
        <f>IF(Q41=0,0,Q41/TrRoad_act!Q45*100)</f>
        <v>36.238690106893252</v>
      </c>
      <c r="R75" s="97">
        <f>IF(R41=0,0,R41/TrRoad_act!R45*100)</f>
        <v>36.359119107197053</v>
      </c>
      <c r="S75" s="97">
        <f>IF(S41=0,0,S41/TrRoad_act!S45*100)</f>
        <v>36.402709152267491</v>
      </c>
      <c r="T75" s="97">
        <f>IF(T41=0,0,T41/TrRoad_act!T45*100)</f>
        <v>36.412985461442396</v>
      </c>
      <c r="U75" s="97">
        <f>IF(U41=0,0,U41/TrRoad_act!U45*100)</f>
        <v>36.376849663766727</v>
      </c>
      <c r="V75" s="97">
        <f>IF(V41=0,0,V41/TrRoad_act!V45*100)</f>
        <v>36.096091559604744</v>
      </c>
      <c r="W75" s="97">
        <f>IF(W41=0,0,W41/TrRoad_act!W45*100)</f>
        <v>35.791458071633869</v>
      </c>
      <c r="X75" s="97">
        <f>IF(X41=0,0,X41/TrRoad_act!X45*100)</f>
        <v>35.473900150519569</v>
      </c>
      <c r="Y75" s="97">
        <f>IF(Y41=0,0,Y41/TrRoad_act!Y45*100)</f>
        <v>34.806921078235817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26.051601065071289</v>
      </c>
      <c r="C76" s="32">
        <f>IF(C42=0,0,C42/TrRoad_act!C46*100)</f>
        <v>32.566353813595548</v>
      </c>
      <c r="D76" s="32">
        <f>IF(D42=0,0,D42/TrRoad_act!D46*100)</f>
        <v>28.664397393942735</v>
      </c>
      <c r="E76" s="32">
        <f>IF(E42=0,0,E42/TrRoad_act!E46*100)</f>
        <v>29.431447531140893</v>
      </c>
      <c r="F76" s="32">
        <f>IF(F42=0,0,F42/TrRoad_act!F46*100)</f>
        <v>27.990258688597891</v>
      </c>
      <c r="G76" s="32">
        <f>IF(G42=0,0,G42/TrRoad_act!G46*100)</f>
        <v>30.076926322901663</v>
      </c>
      <c r="H76" s="32">
        <f>IF(H42=0,0,H42/TrRoad_act!H46*100)</f>
        <v>31.444701374438296</v>
      </c>
      <c r="I76" s="32">
        <f>IF(I42=0,0,I42/TrRoad_act!I46*100)</f>
        <v>32.847202587483707</v>
      </c>
      <c r="J76" s="32">
        <f>IF(J42=0,0,J42/TrRoad_act!J46*100)</f>
        <v>30.75957552478884</v>
      </c>
      <c r="K76" s="32">
        <f>IF(K42=0,0,K42/TrRoad_act!K46*100)</f>
        <v>26.999762363997803</v>
      </c>
      <c r="L76" s="32">
        <f>IF(L42=0,0,L42/TrRoad_act!L46*100)</f>
        <v>35.615069206420024</v>
      </c>
      <c r="M76" s="32">
        <f>IF(M42=0,0,M42/TrRoad_act!M46*100)</f>
        <v>28.259745186305445</v>
      </c>
      <c r="N76" s="32">
        <f>IF(N42=0,0,N42/TrRoad_act!N46*100)</f>
        <v>26.17540710167285</v>
      </c>
      <c r="O76" s="32">
        <f>IF(O42=0,0,O42/TrRoad_act!O46*100)</f>
        <v>24.175296879496543</v>
      </c>
      <c r="P76" s="32">
        <f>IF(P42=0,0,P42/TrRoad_act!P46*100)</f>
        <v>22.923421389294383</v>
      </c>
      <c r="Q76" s="32">
        <f>IF(Q42=0,0,Q42/TrRoad_act!Q46*100)</f>
        <v>23.287822637818749</v>
      </c>
      <c r="R76" s="32">
        <f>IF(R42=0,0,R42/TrRoad_act!R46*100)</f>
        <v>22.178850553462031</v>
      </c>
      <c r="S76" s="32">
        <f>IF(S42=0,0,S42/TrRoad_act!S46*100)</f>
        <v>22.907482322614126</v>
      </c>
      <c r="T76" s="32">
        <f>IF(T42=0,0,T42/TrRoad_act!T46*100)</f>
        <v>22.89312385378398</v>
      </c>
      <c r="U76" s="32">
        <f>IF(U42=0,0,U42/TrRoad_act!U46*100)</f>
        <v>21.899900073837276</v>
      </c>
      <c r="V76" s="32">
        <f>IF(V42=0,0,V42/TrRoad_act!V46*100)</f>
        <v>20.584997737666793</v>
      </c>
      <c r="W76" s="32">
        <f>IF(W42=0,0,W42/TrRoad_act!W46*100)</f>
        <v>21.508284621134539</v>
      </c>
      <c r="X76" s="32">
        <f>IF(X42=0,0,X42/TrRoad_act!X46*100)</f>
        <v>20.99176104005058</v>
      </c>
      <c r="Y76" s="32">
        <f>IF(Y42=0,0,Y42/TrRoad_act!Y46*100)</f>
        <v>20.252747260327013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10.380281185966409</v>
      </c>
      <c r="C77" s="141">
        <f>IF(C43=0,0,C43/TrRoad_act!C47*100)</f>
        <v>10.758689176560887</v>
      </c>
      <c r="D77" s="141">
        <f>IF(D43=0,0,D43/TrRoad_act!D47*100)</f>
        <v>10.394835168611015</v>
      </c>
      <c r="E77" s="141">
        <f>IF(E43=0,0,E43/TrRoad_act!E47*100)</f>
        <v>10.108261249198941</v>
      </c>
      <c r="F77" s="141">
        <f>IF(F43=0,0,F43/TrRoad_act!F47*100)</f>
        <v>10.179305656879437</v>
      </c>
      <c r="G77" s="141">
        <f>IF(G43=0,0,G43/TrRoad_act!G47*100)</f>
        <v>10.100406111819169</v>
      </c>
      <c r="H77" s="141">
        <f>IF(H43=0,0,H43/TrRoad_act!H47*100)</f>
        <v>10.21936542078223</v>
      </c>
      <c r="I77" s="141">
        <f>IF(I43=0,0,I43/TrRoad_act!I47*100)</f>
        <v>10.410281260252322</v>
      </c>
      <c r="J77" s="141">
        <f>IF(J43=0,0,J43/TrRoad_act!J47*100)</f>
        <v>10.235502094230629</v>
      </c>
      <c r="K77" s="141">
        <f>IF(K43=0,0,K43/TrRoad_act!K47*100)</f>
        <v>9.8314848578239591</v>
      </c>
      <c r="L77" s="141">
        <f>IF(L43=0,0,L43/TrRoad_act!L47*100)</f>
        <v>10.780894484372597</v>
      </c>
      <c r="M77" s="141">
        <f>IF(M43=0,0,M43/TrRoad_act!M47*100)</f>
        <v>9.9845721132361067</v>
      </c>
      <c r="N77" s="141">
        <f>IF(N43=0,0,N43/TrRoad_act!N47*100)</f>
        <v>9.8449743436319288</v>
      </c>
      <c r="O77" s="141">
        <f>IF(O43=0,0,O43/TrRoad_act!O47*100)</f>
        <v>9.6949095619540007</v>
      </c>
      <c r="P77" s="141">
        <f>IF(P43=0,0,P43/TrRoad_act!P47*100)</f>
        <v>9.4960111719408076</v>
      </c>
      <c r="Q77" s="141">
        <f>IF(Q43=0,0,Q43/TrRoad_act!Q47*100)</f>
        <v>9.4202330523717031</v>
      </c>
      <c r="R77" s="141">
        <f>IF(R43=0,0,R43/TrRoad_act!R47*100)</f>
        <v>9.1971022429650962</v>
      </c>
      <c r="S77" s="141">
        <f>IF(S43=0,0,S43/TrRoad_act!S47*100)</f>
        <v>9.1642686789357324</v>
      </c>
      <c r="T77" s="141">
        <f>IF(T43=0,0,T43/TrRoad_act!T47*100)</f>
        <v>9.0717095704380899</v>
      </c>
      <c r="U77" s="141">
        <f>IF(U43=0,0,U43/TrRoad_act!U47*100)</f>
        <v>8.9055358206082342</v>
      </c>
      <c r="V77" s="141">
        <f>IF(V43=0,0,V43/TrRoad_act!V47*100)</f>
        <v>8.77326531508767</v>
      </c>
      <c r="W77" s="141">
        <f>IF(W43=0,0,W43/TrRoad_act!W47*100)</f>
        <v>8.8364512317132782</v>
      </c>
      <c r="X77" s="141">
        <f>IF(X43=0,0,X43/TrRoad_act!X47*100)</f>
        <v>8.7582435707460409</v>
      </c>
      <c r="Y77" s="141">
        <f>IF(Y43=0,0,Y43/TrRoad_act!Y47*100)</f>
        <v>8.6926574893519817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9.4429891597569835</v>
      </c>
      <c r="C78" s="96">
        <f>IF(C44=0,0,C44/TrRoad_act!C48*100)</f>
        <v>9.3097068090896737</v>
      </c>
      <c r="D78" s="96">
        <f>IF(D44=0,0,D44/TrRoad_act!D48*100)</f>
        <v>9.2653032305800931</v>
      </c>
      <c r="E78" s="96">
        <f>IF(E44=0,0,E44/TrRoad_act!E48*100)</f>
        <v>9.1683488541115441</v>
      </c>
      <c r="F78" s="96">
        <f>IF(F44=0,0,F44/TrRoad_act!F48*100)</f>
        <v>9.0873826539563183</v>
      </c>
      <c r="G78" s="96">
        <f>IF(G44=0,0,G44/TrRoad_act!G48*100)</f>
        <v>8.9916666282959117</v>
      </c>
      <c r="H78" s="96">
        <f>IF(H44=0,0,H44/TrRoad_act!H48*100)</f>
        <v>8.8785569819261898</v>
      </c>
      <c r="I78" s="96">
        <f>IF(I44=0,0,I44/TrRoad_act!I48*100)</f>
        <v>8.7895567728412871</v>
      </c>
      <c r="J78" s="96">
        <f>IF(J44=0,0,J44/TrRoad_act!J48*100)</f>
        <v>8.6887605374493848</v>
      </c>
      <c r="K78" s="96">
        <f>IF(K44=0,0,K44/TrRoad_act!K48*100)</f>
        <v>8.568867674804304</v>
      </c>
      <c r="L78" s="96">
        <f>IF(L44=0,0,L44/TrRoad_act!L48*100)</f>
        <v>8.3413999736062561</v>
      </c>
      <c r="M78" s="96">
        <f>IF(M44=0,0,M44/TrRoad_act!M48*100)</f>
        <v>8.32778582291267</v>
      </c>
      <c r="N78" s="96">
        <f>IF(N44=0,0,N44/TrRoad_act!N48*100)</f>
        <v>8.2702392631535524</v>
      </c>
      <c r="O78" s="96">
        <f>IF(O44=0,0,O44/TrRoad_act!O48*100)</f>
        <v>8.2158577358325928</v>
      </c>
      <c r="P78" s="96">
        <f>IF(P44=0,0,P44/TrRoad_act!P48*100)</f>
        <v>8.1389074032784272</v>
      </c>
      <c r="Q78" s="96">
        <f>IF(Q44=0,0,Q44/TrRoad_act!Q48*100)</f>
        <v>8.0705987876509546</v>
      </c>
      <c r="R78" s="96">
        <f>IF(R44=0,0,R44/TrRoad_act!R48*100)</f>
        <v>7.9941539169494815</v>
      </c>
      <c r="S78" s="96">
        <f>IF(S44=0,0,S44/TrRoad_act!S48*100)</f>
        <v>7.9482209618641244</v>
      </c>
      <c r="T78" s="96">
        <f>IF(T44=0,0,T44/TrRoad_act!T48*100)</f>
        <v>8.0567101337186706</v>
      </c>
      <c r="U78" s="96">
        <f>IF(U44=0,0,U44/TrRoad_act!U48*100)</f>
        <v>8.0729549404424414</v>
      </c>
      <c r="V78" s="96">
        <f>IF(V44=0,0,V44/TrRoad_act!V48*100)</f>
        <v>8.038368991725477</v>
      </c>
      <c r="W78" s="96">
        <f>IF(W44=0,0,W44/TrRoad_act!W48*100)</f>
        <v>8.0064921766620216</v>
      </c>
      <c r="X78" s="96">
        <f>IF(X44=0,0,X44/TrRoad_act!X48*100)</f>
        <v>7.9639869558390215</v>
      </c>
      <c r="Y78" s="96">
        <f>IF(Y44=0,0,Y44/TrRoad_act!Y48*100)</f>
        <v>8.2156897006317102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11.045849373972347</v>
      </c>
      <c r="C79" s="96">
        <f>IF(C46=0,0,C46/TrRoad_act!C49*100)</f>
        <v>11.598832901494406</v>
      </c>
      <c r="D79" s="96">
        <f>IF(D46=0,0,D46/TrRoad_act!D49*100)</f>
        <v>10.821957618382207</v>
      </c>
      <c r="E79" s="96">
        <f>IF(E46=0,0,E46/TrRoad_act!E49*100)</f>
        <v>10.497360387769188</v>
      </c>
      <c r="F79" s="96">
        <f>IF(F46=0,0,F46/TrRoad_act!F49*100)</f>
        <v>10.491455711500489</v>
      </c>
      <c r="G79" s="96">
        <f>IF(G46=0,0,G46/TrRoad_act!G49*100)</f>
        <v>10.441695430146316</v>
      </c>
      <c r="H79" s="96">
        <f>IF(H46=0,0,H46/TrRoad_act!H49*100)</f>
        <v>10.593755092025797</v>
      </c>
      <c r="I79" s="96">
        <f>IF(I46=0,0,I46/TrRoad_act!I49*100)</f>
        <v>10.793112898918189</v>
      </c>
      <c r="J79" s="96">
        <f>IF(J46=0,0,J46/TrRoad_act!J49*100)</f>
        <v>10.524842150289709</v>
      </c>
      <c r="K79" s="96">
        <f>IF(K46=0,0,K46/TrRoad_act!K49*100)</f>
        <v>10.02742967266952</v>
      </c>
      <c r="L79" s="96">
        <f>IF(L46=0,0,L46/TrRoad_act!L49*100)</f>
        <v>10.972308841451317</v>
      </c>
      <c r="M79" s="96">
        <f>IF(M46=0,0,M46/TrRoad_act!M49*100)</f>
        <v>10.096998253501427</v>
      </c>
      <c r="N79" s="96">
        <f>IF(N46=0,0,N46/TrRoad_act!N49*100)</f>
        <v>9.9428506149224685</v>
      </c>
      <c r="O79" s="96">
        <f>IF(O46=0,0,O46/TrRoad_act!O49*100)</f>
        <v>9.7639854611064827</v>
      </c>
      <c r="P79" s="96">
        <f>IF(P46=0,0,P46/TrRoad_act!P49*100)</f>
        <v>9.5402011878078046</v>
      </c>
      <c r="Q79" s="96">
        <f>IF(Q46=0,0,Q46/TrRoad_act!Q49*100)</f>
        <v>9.4600470733795348</v>
      </c>
      <c r="R79" s="96">
        <f>IF(R46=0,0,R46/TrRoad_act!R49*100)</f>
        <v>9.2243078038913886</v>
      </c>
      <c r="S79" s="96">
        <f>IF(S46=0,0,S46/TrRoad_act!S49*100)</f>
        <v>9.1895864712036985</v>
      </c>
      <c r="T79" s="96">
        <f>IF(T46=0,0,T46/TrRoad_act!T49*100)</f>
        <v>9.0919819780583122</v>
      </c>
      <c r="U79" s="96">
        <f>IF(U46=0,0,U46/TrRoad_act!U49*100)</f>
        <v>8.9210085606738954</v>
      </c>
      <c r="V79" s="96">
        <f>IF(V46=0,0,V46/TrRoad_act!V49*100)</f>
        <v>8.7863970871014558</v>
      </c>
      <c r="W79" s="96">
        <f>IF(W46=0,0,W46/TrRoad_act!W49*100)</f>
        <v>8.8525086735624434</v>
      </c>
      <c r="X79" s="96">
        <f>IF(X46=0,0,X46/TrRoad_act!X49*100)</f>
        <v>8.7750959377707343</v>
      </c>
      <c r="Y79" s="96">
        <f>IF(Y46=0,0,Y46/TrRoad_act!Y49*100)</f>
        <v>8.706713887671512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8.8708786080390887</v>
      </c>
      <c r="O80" s="96">
        <f>IF(O48=0,0,O48/TrRoad_act!O50*100)</f>
        <v>8.8708786080390887</v>
      </c>
      <c r="P80" s="96">
        <f>IF(P48=0,0,P48/TrRoad_act!P50*100)</f>
        <v>8.4333007543159866</v>
      </c>
      <c r="Q80" s="96">
        <f>IF(Q48=0,0,Q48/TrRoad_act!Q50*100)</f>
        <v>8.5329277862111965</v>
      </c>
      <c r="R80" s="96">
        <f>IF(R48=0,0,R48/TrRoad_act!R50*100)</f>
        <v>10.33225999615239</v>
      </c>
      <c r="S80" s="96">
        <f>IF(S48=0,0,S48/TrRoad_act!S50*100)</f>
        <v>9.6672519732416315</v>
      </c>
      <c r="T80" s="96">
        <f>IF(T48=0,0,T48/TrRoad_act!T50*100)</f>
        <v>9.2526941981639634</v>
      </c>
      <c r="U80" s="96">
        <f>IF(U48=0,0,U48/TrRoad_act!U50*100)</f>
        <v>8.9529289622272596</v>
      </c>
      <c r="V80" s="96">
        <f>IF(V48=0,0,V48/TrRoad_act!V50*100)</f>
        <v>8.9834892129502055</v>
      </c>
      <c r="W80" s="96">
        <f>IF(W48=0,0,W48/TrRoad_act!W50*100)</f>
        <v>9.0037348537564661</v>
      </c>
      <c r="X80" s="96">
        <f>IF(X48=0,0,X48/TrRoad_act!X50*100)</f>
        <v>8.9636019588989111</v>
      </c>
      <c r="Y80" s="96">
        <f>IF(Y48=0,0,Y48/TrRoad_act!Y50*100)</f>
        <v>8.8959116275094807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X81" s="96">
        <f>IF(X49=0,0,X49/TrRoad_act!X51*100)</f>
        <v>0</v>
      </c>
      <c r="Y81" s="96">
        <f>IF(Y49=0,0,Y49/TrRoad_act!Y51*100)</f>
        <v>0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1.8071744813247999</v>
      </c>
      <c r="N82" s="96">
        <f>IF(N51=0,0,N51/TrRoad_act!N52*100)</f>
        <v>1.8071744813247994</v>
      </c>
      <c r="O82" s="96">
        <f>IF(O51=0,0,O51/TrRoad_act!O52*100)</f>
        <v>1.827344136107157</v>
      </c>
      <c r="P82" s="96">
        <f>IF(P51=0,0,P51/TrRoad_act!P52*100)</f>
        <v>1.8399309634989949</v>
      </c>
      <c r="Q82" s="96">
        <f>IF(Q51=0,0,Q51/TrRoad_act!Q52*100)</f>
        <v>1.8310968941335024</v>
      </c>
      <c r="R82" s="96">
        <f>IF(R51=0,0,R51/TrRoad_act!R52*100)</f>
        <v>1.7521021365177165</v>
      </c>
      <c r="S82" s="96">
        <f>IF(S51=0,0,S51/TrRoad_act!S52*100)</f>
        <v>1.8661341041140349</v>
      </c>
      <c r="T82" s="96">
        <f>IF(T51=0,0,T51/TrRoad_act!T52*100)</f>
        <v>1.8916537625715109</v>
      </c>
      <c r="U82" s="96">
        <f>IF(U51=0,0,U51/TrRoad_act!U52*100)</f>
        <v>2.0216651340828102</v>
      </c>
      <c r="V82" s="96">
        <f>IF(V51=0,0,V51/TrRoad_act!V52*100)</f>
        <v>2.8436767814289072</v>
      </c>
      <c r="W82" s="96">
        <f>IF(W51=0,0,W51/TrRoad_act!W52*100)</f>
        <v>3.1071219339931893</v>
      </c>
      <c r="X82" s="96">
        <f>IF(X51=0,0,X51/TrRoad_act!X52*100)</f>
        <v>3.1942844381851474</v>
      </c>
      <c r="Y82" s="96">
        <f>IF(Y51=0,0,Y51/TrRoad_act!Y52*100)</f>
        <v>3.0870621796494206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42.98726127662146</v>
      </c>
      <c r="C83" s="130">
        <f>IF(C52=0,0,C52/TrRoad_act!C53*100)</f>
        <v>55.120472608275314</v>
      </c>
      <c r="D83" s="130">
        <f>IF(D52=0,0,D52/TrRoad_act!D53*100)</f>
        <v>48.931087449294779</v>
      </c>
      <c r="E83" s="130">
        <f>IF(E52=0,0,E52/TrRoad_act!E53*100)</f>
        <v>47.141313826861158</v>
      </c>
      <c r="F83" s="130">
        <f>IF(F52=0,0,F52/TrRoad_act!F53*100)</f>
        <v>49.493844692749768</v>
      </c>
      <c r="G83" s="130">
        <f>IF(G52=0,0,G52/TrRoad_act!G53*100)</f>
        <v>50.60602770058258</v>
      </c>
      <c r="H83" s="130">
        <f>IF(H52=0,0,H52/TrRoad_act!H53*100)</f>
        <v>54.494926872262795</v>
      </c>
      <c r="I83" s="130">
        <f>IF(I52=0,0,I52/TrRoad_act!I53*100)</f>
        <v>55.627869093703318</v>
      </c>
      <c r="J83" s="130">
        <f>IF(J52=0,0,J52/TrRoad_act!J53*100)</f>
        <v>53.167555281039455</v>
      </c>
      <c r="K83" s="130">
        <f>IF(K52=0,0,K52/TrRoad_act!K53*100)</f>
        <v>46.233023448843255</v>
      </c>
      <c r="L83" s="130">
        <f>IF(L52=0,0,L52/TrRoad_act!L53*100)</f>
        <v>62.064438958832923</v>
      </c>
      <c r="M83" s="130">
        <f>IF(M52=0,0,M52/TrRoad_act!M53*100)</f>
        <v>51.513827318132712</v>
      </c>
      <c r="N83" s="130">
        <f>IF(N52=0,0,N52/TrRoad_act!N53*100)</f>
        <v>51.708595113913347</v>
      </c>
      <c r="O83" s="130">
        <f>IF(O52=0,0,O52/TrRoad_act!O53*100)</f>
        <v>48.331380947677786</v>
      </c>
      <c r="P83" s="130">
        <f>IF(P52=0,0,P52/TrRoad_act!P53*100)</f>
        <v>47.691519725770306</v>
      </c>
      <c r="Q83" s="130">
        <f>IF(Q52=0,0,Q52/TrRoad_act!Q53*100)</f>
        <v>48.71641275363114</v>
      </c>
      <c r="R83" s="130">
        <f>IF(R52=0,0,R52/TrRoad_act!R53*100)</f>
        <v>45.661271680726465</v>
      </c>
      <c r="S83" s="130">
        <f>IF(S52=0,0,S52/TrRoad_act!S53*100)</f>
        <v>46.831842369315055</v>
      </c>
      <c r="T83" s="130">
        <f>IF(T52=0,0,T52/TrRoad_act!T53*100)</f>
        <v>46.390084564288443</v>
      </c>
      <c r="U83" s="130">
        <f>IF(U52=0,0,U52/TrRoad_act!U53*100)</f>
        <v>45.14062366481572</v>
      </c>
      <c r="V83" s="130">
        <f>IF(V52=0,0,V52/TrRoad_act!V53*100)</f>
        <v>41.043054690249583</v>
      </c>
      <c r="W83" s="130">
        <f>IF(W52=0,0,W52/TrRoad_act!W53*100)</f>
        <v>42.600440493643312</v>
      </c>
      <c r="X83" s="130">
        <f>IF(X52=0,0,X52/TrRoad_act!X53*100)</f>
        <v>41.862333906926487</v>
      </c>
      <c r="Y83" s="130">
        <f>IF(Y52=0,0,Y52/TrRoad_act!Y53*100)</f>
        <v>40.535098028615288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31.833263219845705</v>
      </c>
      <c r="C84" s="97">
        <f>IF(C53=0,0,C53/TrRoad_act!C54*100)</f>
        <v>32.951507009788386</v>
      </c>
      <c r="D84" s="97">
        <f>IF(D53=0,0,D53/TrRoad_act!D54*100)</f>
        <v>32.310423209963169</v>
      </c>
      <c r="E84" s="97">
        <f>IF(E53=0,0,E53/TrRoad_act!E54*100)</f>
        <v>32.081249271344142</v>
      </c>
      <c r="F84" s="97">
        <f>IF(F53=0,0,F53/TrRoad_act!F54*100)</f>
        <v>32.224929647981945</v>
      </c>
      <c r="G84" s="97">
        <f>IF(G53=0,0,G53/TrRoad_act!G54*100)</f>
        <v>32.258337300764431</v>
      </c>
      <c r="H84" s="97">
        <f>IF(H53=0,0,H53/TrRoad_act!H54*100)</f>
        <v>32.513649366265099</v>
      </c>
      <c r="I84" s="97">
        <f>IF(I53=0,0,I53/TrRoad_act!I54*100)</f>
        <v>32.532081656873977</v>
      </c>
      <c r="J84" s="97">
        <f>IF(J53=0,0,J53/TrRoad_act!J54*100)</f>
        <v>32.223464881982856</v>
      </c>
      <c r="K84" s="97">
        <f>IF(K53=0,0,K53/TrRoad_act!K54*100)</f>
        <v>31.576673231273432</v>
      </c>
      <c r="L84" s="97">
        <f>IF(L53=0,0,L53/TrRoad_act!L54*100)</f>
        <v>32.765817972495029</v>
      </c>
      <c r="M84" s="97">
        <f>IF(M53=0,0,M53/TrRoad_act!M54*100)</f>
        <v>31.696380265742285</v>
      </c>
      <c r="N84" s="97">
        <f>IF(N53=0,0,N53/TrRoad_act!N54*100)</f>
        <v>31.626111955564074</v>
      </c>
      <c r="O84" s="97">
        <f>IF(O53=0,0,O53/TrRoad_act!O54*100)</f>
        <v>31.131040718574489</v>
      </c>
      <c r="P84" s="97">
        <f>IF(P53=0,0,P53/TrRoad_act!P54*100)</f>
        <v>30.967219546252412</v>
      </c>
      <c r="Q84" s="97">
        <f>IF(Q53=0,0,Q53/TrRoad_act!Q54*100)</f>
        <v>31.03069983529041</v>
      </c>
      <c r="R84" s="97">
        <f>IF(R53=0,0,R53/TrRoad_act!R54*100)</f>
        <v>30.719314854079844</v>
      </c>
      <c r="S84" s="97">
        <f>IF(S53=0,0,S53/TrRoad_act!S54*100)</f>
        <v>30.788143505004463</v>
      </c>
      <c r="T84" s="97">
        <f>IF(T53=0,0,T53/TrRoad_act!T54*100)</f>
        <v>30.674692552476557</v>
      </c>
      <c r="U84" s="97">
        <f>IF(U53=0,0,U53/TrRoad_act!U54*100)</f>
        <v>30.512676529681194</v>
      </c>
      <c r="V84" s="97">
        <f>IF(V53=0,0,V53/TrRoad_act!V54*100)</f>
        <v>30.10064196768576</v>
      </c>
      <c r="W84" s="97">
        <f>IF(W53=0,0,W53/TrRoad_act!W54*100)</f>
        <v>30.299806626031263</v>
      </c>
      <c r="X84" s="97">
        <f>IF(X53=0,0,X53/TrRoad_act!X54*100)</f>
        <v>30.283706461370606</v>
      </c>
      <c r="Y84" s="97">
        <f>IF(Y53=0,0,Y53/TrRoad_act!Y54*100)</f>
        <v>30.208126231321547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103.57592064018981</v>
      </c>
      <c r="C85" s="98">
        <f>IF(C55=0,0,C55/TrRoad_act!C55*100)</f>
        <v>193.17994101088325</v>
      </c>
      <c r="D85" s="98">
        <f>IF(D55=0,0,D55/TrRoad_act!D55*100)</f>
        <v>166.57095238178567</v>
      </c>
      <c r="E85" s="98">
        <f>IF(E55=0,0,E55/TrRoad_act!E55*100)</f>
        <v>165.84120712794891</v>
      </c>
      <c r="F85" s="98">
        <f>IF(F55=0,0,F55/TrRoad_act!F55*100)</f>
        <v>158.62360021059786</v>
      </c>
      <c r="G85" s="98">
        <f>IF(G55=0,0,G55/TrRoad_act!G55*100)</f>
        <v>176.4685595514002</v>
      </c>
      <c r="H85" s="98">
        <f>IF(H55=0,0,H55/TrRoad_act!H55*100)</f>
        <v>179.08317341506884</v>
      </c>
      <c r="I85" s="98">
        <f>IF(I55=0,0,I55/TrRoad_act!I55*100)</f>
        <v>192.18864795418921</v>
      </c>
      <c r="J85" s="98">
        <f>IF(J55=0,0,J55/TrRoad_act!J55*100)</f>
        <v>171.7076378162852</v>
      </c>
      <c r="K85" s="98">
        <f>IF(K55=0,0,K55/TrRoad_act!K55*100)</f>
        <v>144.98307567054027</v>
      </c>
      <c r="L85" s="98">
        <f>IF(L55=0,0,L55/TrRoad_act!L55*100)</f>
        <v>218.8930068675806</v>
      </c>
      <c r="M85" s="98">
        <f>IF(M55=0,0,M55/TrRoad_act!M55*100)</f>
        <v>126.17957334512585</v>
      </c>
      <c r="N85" s="98">
        <f>IF(N55=0,0,N55/TrRoad_act!N55*100)</f>
        <v>108.23151858660943</v>
      </c>
      <c r="O85" s="98">
        <f>IF(O55=0,0,O55/TrRoad_act!O55*100)</f>
        <v>93.28675132961429</v>
      </c>
      <c r="P85" s="98">
        <f>IF(P55=0,0,P55/TrRoad_act!P55*100)</f>
        <v>90.241434371165468</v>
      </c>
      <c r="Q85" s="98">
        <f>IF(Q55=0,0,Q55/TrRoad_act!Q55*100)</f>
        <v>87.490033420289265</v>
      </c>
      <c r="R85" s="98">
        <f>IF(R55=0,0,R55/TrRoad_act!R55*100)</f>
        <v>78.804714735499346</v>
      </c>
      <c r="S85" s="98">
        <f>IF(S55=0,0,S55/TrRoad_act!S55*100)</f>
        <v>87.450366582138287</v>
      </c>
      <c r="T85" s="98">
        <f>IF(T55=0,0,T55/TrRoad_act!T55*100)</f>
        <v>84.207935126030392</v>
      </c>
      <c r="U85" s="98">
        <f>IF(U55=0,0,U55/TrRoad_act!U55*100)</f>
        <v>83.70913806146126</v>
      </c>
      <c r="V85" s="98">
        <f>IF(V55=0,0,V55/TrRoad_act!V55*100)</f>
        <v>65.107806814591029</v>
      </c>
      <c r="W85" s="98">
        <f>IF(W55=0,0,W55/TrRoad_act!W55*100)</f>
        <v>74.542054560741335</v>
      </c>
      <c r="X85" s="98">
        <f>IF(X55=0,0,X55/TrRoad_act!X55*100)</f>
        <v>68.845145696182968</v>
      </c>
      <c r="Y85" s="98">
        <f>IF(Y55=0,0,Y55/TrRoad_act!Y55*100)</f>
        <v>64.070487018441654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33.521249059970785</v>
      </c>
      <c r="C88" s="29">
        <f>IF(TrRoad_act!C4=0,0,C18/TrRoad_act!C4*1000)</f>
        <v>35.36680515991997</v>
      </c>
      <c r="D88" s="29">
        <f>IF(TrRoad_act!D4=0,0,D18/TrRoad_act!D4*1000)</f>
        <v>34.19843876906284</v>
      </c>
      <c r="E88" s="29">
        <f>IF(TrRoad_act!E4=0,0,E18/TrRoad_act!E4*1000)</f>
        <v>34.154120535730762</v>
      </c>
      <c r="F88" s="29">
        <f>IF(TrRoad_act!F4=0,0,F18/TrRoad_act!F4*1000)</f>
        <v>39.115410504479279</v>
      </c>
      <c r="G88" s="29">
        <f>IF(TrRoad_act!G4=0,0,G18/TrRoad_act!G4*1000)</f>
        <v>37.806099977175272</v>
      </c>
      <c r="H88" s="29">
        <f>IF(TrRoad_act!H4=0,0,H18/TrRoad_act!H4*1000)</f>
        <v>38.203172496298023</v>
      </c>
      <c r="I88" s="29">
        <f>IF(TrRoad_act!I4=0,0,I18/TrRoad_act!I4*1000)</f>
        <v>37.887451761038974</v>
      </c>
      <c r="J88" s="29">
        <f>IF(TrRoad_act!J4=0,0,J18/TrRoad_act!J4*1000)</f>
        <v>40.130781567325727</v>
      </c>
      <c r="K88" s="29">
        <f>IF(TrRoad_act!K4=0,0,K18/TrRoad_act!K4*1000)</f>
        <v>41.002919937392299</v>
      </c>
      <c r="L88" s="29">
        <f>IF(TrRoad_act!L4=0,0,L18/TrRoad_act!L4*1000)</f>
        <v>41.93171093847976</v>
      </c>
      <c r="M88" s="29">
        <f>IF(TrRoad_act!M4=0,0,M18/TrRoad_act!M4*1000)</f>
        <v>42.069646638339059</v>
      </c>
      <c r="N88" s="29">
        <f>IF(TrRoad_act!N4=0,0,N18/TrRoad_act!N4*1000)</f>
        <v>39.206570481386287</v>
      </c>
      <c r="O88" s="29">
        <f>IF(TrRoad_act!O4=0,0,O18/TrRoad_act!O4*1000)</f>
        <v>38.877428640816674</v>
      </c>
      <c r="P88" s="29">
        <f>IF(TrRoad_act!P4=0,0,P18/TrRoad_act!P4*1000)</f>
        <v>39.79169011886588</v>
      </c>
      <c r="Q88" s="29">
        <f>IF(TrRoad_act!Q4=0,0,Q18/TrRoad_act!Q4*1000)</f>
        <v>40.205830422187375</v>
      </c>
      <c r="R88" s="29">
        <f>IF(TrRoad_act!R4=0,0,R18/TrRoad_act!R4*1000)</f>
        <v>40.60820830170772</v>
      </c>
      <c r="S88" s="29">
        <f>IF(TrRoad_act!S4=0,0,S18/TrRoad_act!S4*1000)</f>
        <v>39.47009082382192</v>
      </c>
      <c r="T88" s="29">
        <f>IF(TrRoad_act!T4=0,0,T18/TrRoad_act!T4*1000)</f>
        <v>39.736428973199892</v>
      </c>
      <c r="U88" s="29">
        <f>IF(TrRoad_act!U4=0,0,U18/TrRoad_act!U4*1000)</f>
        <v>40.011621742109696</v>
      </c>
      <c r="V88" s="29">
        <f>IF(TrRoad_act!V4=0,0,V18/TrRoad_act!V4*1000)</f>
        <v>42.152297759174097</v>
      </c>
      <c r="W88" s="29">
        <f>IF(TrRoad_act!W4=0,0,W18/TrRoad_act!W4*1000)</f>
        <v>47.010978539743114</v>
      </c>
      <c r="X88" s="29">
        <f>IF(TrRoad_act!X4=0,0,X18/TrRoad_act!X4*1000)</f>
        <v>44.659181731401844</v>
      </c>
      <c r="Y88" s="29">
        <f>IF(TrRoad_act!Y4=0,0,Y18/TrRoad_act!Y4*1000)</f>
        <v>42.801828358038769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44.278722008995913</v>
      </c>
      <c r="C89" s="152">
        <f>IF(TrRoad_act!C5=0,0,C19/TrRoad_act!C5*1000)</f>
        <v>44.116534208868906</v>
      </c>
      <c r="D89" s="152">
        <f>IF(TrRoad_act!D5=0,0,D19/TrRoad_act!D5*1000)</f>
        <v>43.853873186688752</v>
      </c>
      <c r="E89" s="152">
        <f>IF(TrRoad_act!E5=0,0,E19/TrRoad_act!E5*1000)</f>
        <v>43.558403704848544</v>
      </c>
      <c r="F89" s="152">
        <f>IF(TrRoad_act!F5=0,0,F19/TrRoad_act!F5*1000)</f>
        <v>43.21045546057325</v>
      </c>
      <c r="G89" s="152">
        <f>IF(TrRoad_act!G5=0,0,G19/TrRoad_act!G5*1000)</f>
        <v>42.893366939563535</v>
      </c>
      <c r="H89" s="152">
        <f>IF(TrRoad_act!H5=0,0,H19/TrRoad_act!H5*1000)</f>
        <v>42.34887747380845</v>
      </c>
      <c r="I89" s="152">
        <f>IF(TrRoad_act!I5=0,0,I19/TrRoad_act!I5*1000)</f>
        <v>41.440841081073465</v>
      </c>
      <c r="J89" s="152">
        <f>IF(TrRoad_act!J5=0,0,J19/TrRoad_act!J5*1000)</f>
        <v>40.584779717511239</v>
      </c>
      <c r="K89" s="152">
        <f>IF(TrRoad_act!K5=0,0,K19/TrRoad_act!K5*1000)</f>
        <v>40.207658862606053</v>
      </c>
      <c r="L89" s="152">
        <f>IF(TrRoad_act!L5=0,0,L19/TrRoad_act!L5*1000)</f>
        <v>39.933947124813024</v>
      </c>
      <c r="M89" s="152">
        <f>IF(TrRoad_act!M5=0,0,M19/TrRoad_act!M5*1000)</f>
        <v>38.778961326638793</v>
      </c>
      <c r="N89" s="152">
        <f>IF(TrRoad_act!N5=0,0,N19/TrRoad_act!N5*1000)</f>
        <v>37.715193855087982</v>
      </c>
      <c r="O89" s="152">
        <f>IF(TrRoad_act!O5=0,0,O19/TrRoad_act!O5*1000)</f>
        <v>36.550541279318281</v>
      </c>
      <c r="P89" s="152">
        <f>IF(TrRoad_act!P5=0,0,P19/TrRoad_act!P5*1000)</f>
        <v>35.189431306720614</v>
      </c>
      <c r="Q89" s="152">
        <f>IF(TrRoad_act!Q5=0,0,Q19/TrRoad_act!Q5*1000)</f>
        <v>33.94661224900009</v>
      </c>
      <c r="R89" s="152">
        <f>IF(TrRoad_act!R5=0,0,R19/TrRoad_act!R5*1000)</f>
        <v>32.788481085711673</v>
      </c>
      <c r="S89" s="152">
        <f>IF(TrRoad_act!S5=0,0,S19/TrRoad_act!S5*1000)</f>
        <v>31.807410376062947</v>
      </c>
      <c r="T89" s="152">
        <f>IF(TrRoad_act!T5=0,0,T19/TrRoad_act!T5*1000)</f>
        <v>31.021332577519477</v>
      </c>
      <c r="U89" s="152">
        <f>IF(TrRoad_act!U5=0,0,U19/TrRoad_act!U5*1000)</f>
        <v>30.203528607741614</v>
      </c>
      <c r="V89" s="152">
        <f>IF(TrRoad_act!V5=0,0,V19/TrRoad_act!V5*1000)</f>
        <v>29.724043885001194</v>
      </c>
      <c r="W89" s="152">
        <f>IF(TrRoad_act!W5=0,0,W19/TrRoad_act!W5*1000)</f>
        <v>30.542271355016112</v>
      </c>
      <c r="X89" s="152">
        <f>IF(TrRoad_act!X5=0,0,X19/TrRoad_act!X5*1000)</f>
        <v>30.147001682133329</v>
      </c>
      <c r="Y89" s="152">
        <f>IF(TrRoad_act!Y5=0,0,Y19/TrRoad_act!Y5*1000)</f>
        <v>30.291255794345208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33.281733957745324</v>
      </c>
      <c r="C90" s="116">
        <f>IF(TrRoad_act!C6=0,0,C21/TrRoad_act!C6*1000)</f>
        <v>34.685148063451216</v>
      </c>
      <c r="D90" s="116">
        <f>IF(TrRoad_act!D6=0,0,D21/TrRoad_act!D6*1000)</f>
        <v>33.620589522513569</v>
      </c>
      <c r="E90" s="116">
        <f>IF(TrRoad_act!E6=0,0,E21/TrRoad_act!E6*1000)</f>
        <v>33.688328012210256</v>
      </c>
      <c r="F90" s="116">
        <f>IF(TrRoad_act!F6=0,0,F21/TrRoad_act!F6*1000)</f>
        <v>40.000157248836572</v>
      </c>
      <c r="G90" s="116">
        <f>IF(TrRoad_act!G6=0,0,G21/TrRoad_act!G6*1000)</f>
        <v>39.100561880678377</v>
      </c>
      <c r="H90" s="116">
        <f>IF(TrRoad_act!H6=0,0,H21/TrRoad_act!H6*1000)</f>
        <v>39.191105157094995</v>
      </c>
      <c r="I90" s="116">
        <f>IF(TrRoad_act!I6=0,0,I21/TrRoad_act!I6*1000)</f>
        <v>38.398096476186957</v>
      </c>
      <c r="J90" s="116">
        <f>IF(TrRoad_act!J6=0,0,J21/TrRoad_act!J6*1000)</f>
        <v>41.189301097836406</v>
      </c>
      <c r="K90" s="116">
        <f>IF(TrRoad_act!K6=0,0,K21/TrRoad_act!K6*1000)</f>
        <v>41.564090402169214</v>
      </c>
      <c r="L90" s="116">
        <f>IF(TrRoad_act!L6=0,0,L21/TrRoad_act!L6*1000)</f>
        <v>42.793049907795606</v>
      </c>
      <c r="M90" s="116">
        <f>IF(TrRoad_act!M6=0,0,M21/TrRoad_act!M6*1000)</f>
        <v>44.168473071139701</v>
      </c>
      <c r="N90" s="116">
        <f>IF(TrRoad_act!N6=0,0,N21/TrRoad_act!N6*1000)</f>
        <v>42.010219375775776</v>
      </c>
      <c r="O90" s="116">
        <f>IF(TrRoad_act!O6=0,0,O21/TrRoad_act!O6*1000)</f>
        <v>41.587810491207684</v>
      </c>
      <c r="P90" s="116">
        <f>IF(TrRoad_act!P6=0,0,P21/TrRoad_act!P6*1000)</f>
        <v>42.700936820456405</v>
      </c>
      <c r="Q90" s="116">
        <f>IF(TrRoad_act!Q6=0,0,Q21/TrRoad_act!Q6*1000)</f>
        <v>42.816733301746666</v>
      </c>
      <c r="R90" s="116">
        <f>IF(TrRoad_act!R6=0,0,R21/TrRoad_act!R6*1000)</f>
        <v>43.04564078832481</v>
      </c>
      <c r="S90" s="116">
        <f>IF(TrRoad_act!S6=0,0,S21/TrRoad_act!S6*1000)</f>
        <v>41.322107598271188</v>
      </c>
      <c r="T90" s="116">
        <f>IF(TrRoad_act!T6=0,0,T21/TrRoad_act!T6*1000)</f>
        <v>41.819854939803143</v>
      </c>
      <c r="U90" s="116">
        <f>IF(TrRoad_act!U6=0,0,U21/TrRoad_act!U6*1000)</f>
        <v>42.401258185822073</v>
      </c>
      <c r="V90" s="116">
        <f>IF(TrRoad_act!V6=0,0,V21/TrRoad_act!V6*1000)</f>
        <v>43.329129792018314</v>
      </c>
      <c r="W90" s="116">
        <f>IF(TrRoad_act!W6=0,0,W21/TrRoad_act!W6*1000)</f>
        <v>48.376159744739994</v>
      </c>
      <c r="X90" s="116">
        <f>IF(TrRoad_act!X6=0,0,X21/TrRoad_act!X6*1000)</f>
        <v>46.995980600775212</v>
      </c>
      <c r="Y90" s="116">
        <f>IF(TrRoad_act!Y6=0,0,Y21/TrRoad_act!Y6*1000)</f>
        <v>45.165968095270067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33.766756771495494</v>
      </c>
      <c r="C91" s="87">
        <f>IF(TrRoad_act!C7=0,0,C22/TrRoad_act!C7*1000)</f>
        <v>35.245901203407122</v>
      </c>
      <c r="D91" s="87">
        <f>IF(TrRoad_act!D7=0,0,D22/TrRoad_act!D7*1000)</f>
        <v>34.25020621296391</v>
      </c>
      <c r="E91" s="87">
        <f>IF(TrRoad_act!E7=0,0,E22/TrRoad_act!E7*1000)</f>
        <v>34.503050934373547</v>
      </c>
      <c r="F91" s="87">
        <f>IF(TrRoad_act!F7=0,0,F22/TrRoad_act!F7*1000)</f>
        <v>41.499368090181548</v>
      </c>
      <c r="G91" s="87">
        <f>IF(TrRoad_act!G7=0,0,G22/TrRoad_act!G7*1000)</f>
        <v>40.851068746951356</v>
      </c>
      <c r="H91" s="87">
        <f>IF(TrRoad_act!H7=0,0,H22/TrRoad_act!H7*1000)</f>
        <v>41.288568874104307</v>
      </c>
      <c r="I91" s="87">
        <f>IF(TrRoad_act!I7=0,0,I22/TrRoad_act!I7*1000)</f>
        <v>40.264072999819717</v>
      </c>
      <c r="J91" s="87">
        <f>IF(TrRoad_act!J7=0,0,J22/TrRoad_act!J7*1000)</f>
        <v>43.379761832878927</v>
      </c>
      <c r="K91" s="87">
        <f>IF(TrRoad_act!K7=0,0,K22/TrRoad_act!K7*1000)</f>
        <v>44.53100130286461</v>
      </c>
      <c r="L91" s="87">
        <f>IF(TrRoad_act!L7=0,0,L22/TrRoad_act!L7*1000)</f>
        <v>44.789983745946529</v>
      </c>
      <c r="M91" s="87">
        <f>IF(TrRoad_act!M7=0,0,M22/TrRoad_act!M7*1000)</f>
        <v>48.31417134733298</v>
      </c>
      <c r="N91" s="87">
        <f>IF(TrRoad_act!N7=0,0,N22/TrRoad_act!N7*1000)</f>
        <v>46.046240919675689</v>
      </c>
      <c r="O91" s="87">
        <f>IF(TrRoad_act!O7=0,0,O22/TrRoad_act!O7*1000)</f>
        <v>44.476625048034428</v>
      </c>
      <c r="P91" s="87">
        <f>IF(TrRoad_act!P7=0,0,P22/TrRoad_act!P7*1000)</f>
        <v>47.044756002524124</v>
      </c>
      <c r="Q91" s="87">
        <f>IF(TrRoad_act!Q7=0,0,Q22/TrRoad_act!Q7*1000)</f>
        <v>46.511856826866357</v>
      </c>
      <c r="R91" s="87">
        <f>IF(TrRoad_act!R7=0,0,R22/TrRoad_act!R7*1000)</f>
        <v>50.475692965279507</v>
      </c>
      <c r="S91" s="87">
        <f>IF(TrRoad_act!S7=0,0,S22/TrRoad_act!S7*1000)</f>
        <v>48.409570195512458</v>
      </c>
      <c r="T91" s="87">
        <f>IF(TrRoad_act!T7=0,0,T22/TrRoad_act!T7*1000)</f>
        <v>48.788236285497625</v>
      </c>
      <c r="U91" s="87">
        <f>IF(TrRoad_act!U7=0,0,U22/TrRoad_act!U7*1000)</f>
        <v>49.502772299015803</v>
      </c>
      <c r="V91" s="87">
        <f>IF(TrRoad_act!V7=0,0,V22/TrRoad_act!V7*1000)</f>
        <v>52.192879086633326</v>
      </c>
      <c r="W91" s="87">
        <f>IF(TrRoad_act!W7=0,0,W22/TrRoad_act!W7*1000)</f>
        <v>56.660748707192518</v>
      </c>
      <c r="X91" s="87">
        <f>IF(TrRoad_act!X7=0,0,X22/TrRoad_act!X7*1000)</f>
        <v>52.731794071448327</v>
      </c>
      <c r="Y91" s="87">
        <f>IF(TrRoad_act!Y7=0,0,Y22/TrRoad_act!Y7*1000)</f>
        <v>50.583767473431408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27.74789504815492</v>
      </c>
      <c r="C92" s="87">
        <f>IF(TrRoad_act!C8=0,0,C24/TrRoad_act!C8*1000)</f>
        <v>31.262491464890566</v>
      </c>
      <c r="D92" s="87">
        <f>IF(TrRoad_act!D8=0,0,D24/TrRoad_act!D8*1000)</f>
        <v>29.818556763967965</v>
      </c>
      <c r="E92" s="87">
        <f>IF(TrRoad_act!E8=0,0,E24/TrRoad_act!E8*1000)</f>
        <v>29.584802908008616</v>
      </c>
      <c r="F92" s="87">
        <f>IF(TrRoad_act!F8=0,0,F24/TrRoad_act!F8*1000)</f>
        <v>35.370285142892094</v>
      </c>
      <c r="G92" s="87">
        <f>IF(TrRoad_act!G8=0,0,G24/TrRoad_act!G8*1000)</f>
        <v>34.614211098848024</v>
      </c>
      <c r="H92" s="87">
        <f>IF(TrRoad_act!H8=0,0,H24/TrRoad_act!H8*1000)</f>
        <v>34.691172902530319</v>
      </c>
      <c r="I92" s="87">
        <f>IF(TrRoad_act!I8=0,0,I24/TrRoad_act!I8*1000)</f>
        <v>34.95495423555947</v>
      </c>
      <c r="J92" s="87">
        <f>IF(TrRoad_act!J8=0,0,J24/TrRoad_act!J8*1000)</f>
        <v>37.763380901762595</v>
      </c>
      <c r="K92" s="87">
        <f>IF(TrRoad_act!K8=0,0,K24/TrRoad_act!K8*1000)</f>
        <v>37.895501478541746</v>
      </c>
      <c r="L92" s="87">
        <f>IF(TrRoad_act!L8=0,0,L24/TrRoad_act!L8*1000)</f>
        <v>40.521770102301012</v>
      </c>
      <c r="M92" s="87">
        <f>IF(TrRoad_act!M8=0,0,M24/TrRoad_act!M8*1000)</f>
        <v>39.661261183041127</v>
      </c>
      <c r="N92" s="87">
        <f>IF(TrRoad_act!N8=0,0,N24/TrRoad_act!N8*1000)</f>
        <v>38.278568024881835</v>
      </c>
      <c r="O92" s="87">
        <f>IF(TrRoad_act!O8=0,0,O24/TrRoad_act!O8*1000)</f>
        <v>37.965673999084821</v>
      </c>
      <c r="P92" s="87">
        <f>IF(TrRoad_act!P8=0,0,P24/TrRoad_act!P8*1000)</f>
        <v>38.910149960553881</v>
      </c>
      <c r="Q92" s="87">
        <f>IF(TrRoad_act!Q8=0,0,Q24/TrRoad_act!Q8*1000)</f>
        <v>38.891687821446823</v>
      </c>
      <c r="R92" s="87">
        <f>IF(TrRoad_act!R8=0,0,R24/TrRoad_act!R8*1000)</f>
        <v>38.713921545552267</v>
      </c>
      <c r="S92" s="87">
        <f>IF(TrRoad_act!S8=0,0,S24/TrRoad_act!S8*1000)</f>
        <v>37.555947326967946</v>
      </c>
      <c r="T92" s="87">
        <f>IF(TrRoad_act!T8=0,0,T24/TrRoad_act!T8*1000)</f>
        <v>38.361397963234211</v>
      </c>
      <c r="U92" s="87">
        <f>IF(TrRoad_act!U8=0,0,U24/TrRoad_act!U8*1000)</f>
        <v>39.424363349861885</v>
      </c>
      <c r="V92" s="87">
        <f>IF(TrRoad_act!V8=0,0,V24/TrRoad_act!V8*1000)</f>
        <v>39.754764899731256</v>
      </c>
      <c r="W92" s="87">
        <f>IF(TrRoad_act!W8=0,0,W24/TrRoad_act!W8*1000)</f>
        <v>45.022342781774775</v>
      </c>
      <c r="X92" s="87">
        <f>IF(TrRoad_act!X8=0,0,X24/TrRoad_act!X8*1000)</f>
        <v>44.525892801790604</v>
      </c>
      <c r="Y92" s="87">
        <f>IF(TrRoad_act!Y8=0,0,Y24/TrRoad_act!Y8*1000)</f>
        <v>43.172808146568237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37.408616114226575</v>
      </c>
      <c r="C93" s="87">
        <f>IF(TrRoad_act!C9=0,0,C26/TrRoad_act!C9*1000)</f>
        <v>34.753993088504515</v>
      </c>
      <c r="D93" s="87">
        <f>IF(TrRoad_act!D9=0,0,D26/TrRoad_act!D9*1000)</f>
        <v>36.351019019079693</v>
      </c>
      <c r="E93" s="87">
        <f>IF(TrRoad_act!E9=0,0,E26/TrRoad_act!E9*1000)</f>
        <v>38.008491345867114</v>
      </c>
      <c r="F93" s="87">
        <f>IF(TrRoad_act!F9=0,0,F26/TrRoad_act!F9*1000)</f>
        <v>39.918998661970967</v>
      </c>
      <c r="G93" s="87">
        <f>IF(TrRoad_act!G9=0,0,G26/TrRoad_act!G9*1000)</f>
        <v>39.613999737872795</v>
      </c>
      <c r="H93" s="87">
        <f>IF(TrRoad_act!H9=0,0,H26/TrRoad_act!H9*1000)</f>
        <v>39.400837762479441</v>
      </c>
      <c r="I93" s="87">
        <f>IF(TrRoad_act!I9=0,0,I26/TrRoad_act!I9*1000)</f>
        <v>36.170718958349944</v>
      </c>
      <c r="J93" s="87">
        <f>IF(TrRoad_act!J9=0,0,J26/TrRoad_act!J9*1000)</f>
        <v>38.312931540382216</v>
      </c>
      <c r="K93" s="87">
        <f>IF(TrRoad_act!K9=0,0,K26/TrRoad_act!K9*1000)</f>
        <v>37.193507077686974</v>
      </c>
      <c r="L93" s="87">
        <f>IF(TrRoad_act!L9=0,0,L26/TrRoad_act!L9*1000)</f>
        <v>40.245032348289961</v>
      </c>
      <c r="M93" s="87">
        <f>IF(TrRoad_act!M9=0,0,M26/TrRoad_act!M9*1000)</f>
        <v>42.667073090566035</v>
      </c>
      <c r="N93" s="87">
        <f>IF(TrRoad_act!N9=0,0,N26/TrRoad_act!N9*1000)</f>
        <v>41.808086441967887</v>
      </c>
      <c r="O93" s="87">
        <f>IF(TrRoad_act!O9=0,0,O26/TrRoad_act!O9*1000)</f>
        <v>47.747109681207441</v>
      </c>
      <c r="P93" s="87">
        <f>IF(TrRoad_act!P9=0,0,P26/TrRoad_act!P9*1000)</f>
        <v>48.127859565068</v>
      </c>
      <c r="Q93" s="87">
        <f>IF(TrRoad_act!Q9=0,0,Q26/TrRoad_act!Q9*1000)</f>
        <v>55.627519867993961</v>
      </c>
      <c r="R93" s="87">
        <f>IF(TrRoad_act!R9=0,0,R26/TrRoad_act!R9*1000)</f>
        <v>49.049056284167122</v>
      </c>
      <c r="S93" s="87">
        <f>IF(TrRoad_act!S9=0,0,S26/TrRoad_act!S9*1000)</f>
        <v>48.208033570293289</v>
      </c>
      <c r="T93" s="87">
        <f>IF(TrRoad_act!T9=0,0,T26/TrRoad_act!T9*1000)</f>
        <v>50.060520023583877</v>
      </c>
      <c r="U93" s="87">
        <f>IF(TrRoad_act!U9=0,0,U26/TrRoad_act!U9*1000)</f>
        <v>50.192966338861801</v>
      </c>
      <c r="V93" s="87">
        <f>IF(TrRoad_act!V9=0,0,V26/TrRoad_act!V9*1000)</f>
        <v>53.785098231716226</v>
      </c>
      <c r="W93" s="87">
        <f>IF(TrRoad_act!W9=0,0,W26/TrRoad_act!W9*1000)</f>
        <v>61.208021623975974</v>
      </c>
      <c r="X93" s="87">
        <f>IF(TrRoad_act!X9=0,0,X26/TrRoad_act!X9*1000)</f>
        <v>61.745100590950415</v>
      </c>
      <c r="Y93" s="87">
        <f>IF(TrRoad_act!Y9=0,0,Y26/TrRoad_act!Y9*1000)</f>
        <v>54.99773830650966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28.889074820054201</v>
      </c>
      <c r="C94" s="87">
        <f>IF(TrRoad_act!C10=0,0,C27/TrRoad_act!C10*1000)</f>
        <v>32.17714395750486</v>
      </c>
      <c r="D94" s="87">
        <f>IF(TrRoad_act!D10=0,0,D27/TrRoad_act!D10*1000)</f>
        <v>31.415682949021555</v>
      </c>
      <c r="E94" s="87">
        <f>IF(TrRoad_act!E10=0,0,E27/TrRoad_act!E10*1000)</f>
        <v>31.804271684275161</v>
      </c>
      <c r="F94" s="87">
        <f>IF(TrRoad_act!F10=0,0,F27/TrRoad_act!F10*1000)</f>
        <v>38.543007258873253</v>
      </c>
      <c r="G94" s="87">
        <f>IF(TrRoad_act!G10=0,0,G27/TrRoad_act!G10*1000)</f>
        <v>38.244412980442199</v>
      </c>
      <c r="H94" s="87">
        <f>IF(TrRoad_act!H10=0,0,H27/TrRoad_act!H10*1000)</f>
        <v>39.088242562942789</v>
      </c>
      <c r="I94" s="87">
        <f>IF(TrRoad_act!I10=0,0,I27/TrRoad_act!I10*1000)</f>
        <v>38.724696656764181</v>
      </c>
      <c r="J94" s="87">
        <f>IF(TrRoad_act!J10=0,0,J27/TrRoad_act!J10*1000)</f>
        <v>42.135851312703977</v>
      </c>
      <c r="K94" s="87">
        <f>IF(TrRoad_act!K10=0,0,K27/TrRoad_act!K10*1000)</f>
        <v>42.9201377766734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23.561805515230628</v>
      </c>
      <c r="U94" s="87">
        <f>IF(TrRoad_act!U10=0,0,U27/TrRoad_act!U10*1000)</f>
        <v>36.857223042051046</v>
      </c>
      <c r="V94" s="87">
        <f>IF(TrRoad_act!V10=0,0,V27/TrRoad_act!V10*1000)</f>
        <v>36.945463454261684</v>
      </c>
      <c r="W94" s="87">
        <f>IF(TrRoad_act!W10=0,0,W27/TrRoad_act!W10*1000)</f>
        <v>41.943102855646558</v>
      </c>
      <c r="X94" s="87">
        <f>IF(TrRoad_act!X10=0,0,X27/TrRoad_act!X10*1000)</f>
        <v>41.577185199785383</v>
      </c>
      <c r="Y94" s="87">
        <f>IF(TrRoad_act!Y10=0,0,Y27/TrRoad_act!Y10*1000)</f>
        <v>40.204529400940771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19.00594531013207</v>
      </c>
      <c r="O95" s="87">
        <f>IF(TrRoad_act!O11=0,0,O29/TrRoad_act!O11*1000)</f>
        <v>21.512650514853245</v>
      </c>
      <c r="P95" s="87">
        <f>IF(TrRoad_act!P11=0,0,P29/TrRoad_act!P11*1000)</f>
        <v>23.112973501705387</v>
      </c>
      <c r="Q95" s="87">
        <f>IF(TrRoad_act!Q11=0,0,Q29/TrRoad_act!Q11*1000)</f>
        <v>21.287762776707883</v>
      </c>
      <c r="R95" s="87">
        <f>IF(TrRoad_act!R11=0,0,R29/TrRoad_act!R11*1000)</f>
        <v>20.248677300875329</v>
      </c>
      <c r="S95" s="87">
        <f>IF(TrRoad_act!S11=0,0,S29/TrRoad_act!S11*1000)</f>
        <v>21.110581354705829</v>
      </c>
      <c r="T95" s="87">
        <f>IF(TrRoad_act!T11=0,0,T29/TrRoad_act!T11*1000)</f>
        <v>21.996613805782189</v>
      </c>
      <c r="U95" s="87">
        <f>IF(TrRoad_act!U11=0,0,U29/TrRoad_act!U11*1000)</f>
        <v>23.145223132882634</v>
      </c>
      <c r="V95" s="87">
        <f>IF(TrRoad_act!V11=0,0,V29/TrRoad_act!V11*1000)</f>
        <v>27.126248511660243</v>
      </c>
      <c r="W95" s="87">
        <f>IF(TrRoad_act!W11=0,0,W29/TrRoad_act!W11*1000)</f>
        <v>28.93361980592281</v>
      </c>
      <c r="X95" s="87">
        <f>IF(TrRoad_act!X11=0,0,X29/TrRoad_act!X11*1000)</f>
        <v>26.701304142523139</v>
      </c>
      <c r="Y95" s="87">
        <f>IF(TrRoad_act!Y11=0,0,Y29/TrRoad_act!Y11*1000)</f>
        <v>24.576724410756817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10.752485022533607</v>
      </c>
      <c r="O96" s="87">
        <f>IF(TrRoad_act!O12=0,0,O32/TrRoad_act!O12*1000)</f>
        <v>10.83166501664974</v>
      </c>
      <c r="P96" s="87">
        <f>IF(TrRoad_act!P12=0,0,P32/TrRoad_act!P12*1000)</f>
        <v>8.7433543263420681</v>
      </c>
      <c r="Q96" s="87">
        <f>IF(TrRoad_act!Q12=0,0,Q32/TrRoad_act!Q12*1000)</f>
        <v>9.2493878979798456</v>
      </c>
      <c r="R96" s="87">
        <f>IF(TrRoad_act!R12=0,0,R32/TrRoad_act!R12*1000)</f>
        <v>9.7832096194941585</v>
      </c>
      <c r="S96" s="87">
        <f>IF(TrRoad_act!S12=0,0,S32/TrRoad_act!S12*1000)</f>
        <v>9.8089634087240469</v>
      </c>
      <c r="T96" s="87">
        <f>IF(TrRoad_act!T12=0,0,T32/TrRoad_act!T12*1000)</f>
        <v>10.900588405894439</v>
      </c>
      <c r="U96" s="87">
        <f>IF(TrRoad_act!U12=0,0,U32/TrRoad_act!U12*1000)</f>
        <v>12.436808527942885</v>
      </c>
      <c r="V96" s="87">
        <f>IF(TrRoad_act!V12=0,0,V32/TrRoad_act!V12*1000)</f>
        <v>13.435423601296945</v>
      </c>
      <c r="W96" s="87">
        <f>IF(TrRoad_act!W12=0,0,W32/TrRoad_act!W12*1000)</f>
        <v>15.934191179630416</v>
      </c>
      <c r="X96" s="87">
        <f>IF(TrRoad_act!X12=0,0,X32/TrRoad_act!X12*1000)</f>
        <v>16.359544372769335</v>
      </c>
      <c r="Y96" s="87">
        <f>IF(TrRoad_act!Y12=0,0,Y32/TrRoad_act!Y12*1000)</f>
        <v>16.103563515391528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34.395709795140299</v>
      </c>
      <c r="C97" s="116">
        <f>IF(TrRoad_act!C13=0,0,C33/TrRoad_act!C13*1000)</f>
        <v>38.666466476631435</v>
      </c>
      <c r="D97" s="116">
        <f>IF(TrRoad_act!D13=0,0,D33/TrRoad_act!D13*1000)</f>
        <v>36.989739308620216</v>
      </c>
      <c r="E97" s="116">
        <f>IF(TrRoad_act!E13=0,0,E33/TrRoad_act!E13*1000)</f>
        <v>36.287191088543587</v>
      </c>
      <c r="F97" s="116">
        <f>IF(TrRoad_act!F13=0,0,F33/TrRoad_act!F13*1000)</f>
        <v>35.180570513082543</v>
      </c>
      <c r="G97" s="116">
        <f>IF(TrRoad_act!G13=0,0,G33/TrRoad_act!G13*1000)</f>
        <v>32.269350848636883</v>
      </c>
      <c r="H97" s="116">
        <f>IF(TrRoad_act!H13=0,0,H33/TrRoad_act!H13*1000)</f>
        <v>33.126187875394024</v>
      </c>
      <c r="I97" s="116">
        <f>IF(TrRoad_act!I13=0,0,I33/TrRoad_act!I13*1000)</f>
        <v>34.723171996385759</v>
      </c>
      <c r="J97" s="116">
        <f>IF(TrRoad_act!J13=0,0,J33/TrRoad_act!J13*1000)</f>
        <v>34.126272662382028</v>
      </c>
      <c r="K97" s="116">
        <f>IF(TrRoad_act!K13=0,0,K33/TrRoad_act!K13*1000)</f>
        <v>37.697542950610433</v>
      </c>
      <c r="L97" s="116">
        <f>IF(TrRoad_act!L13=0,0,L33/TrRoad_act!L13*1000)</f>
        <v>37.392467471670393</v>
      </c>
      <c r="M97" s="116">
        <f>IF(TrRoad_act!M13=0,0,M33/TrRoad_act!M13*1000)</f>
        <v>32.271921048284419</v>
      </c>
      <c r="N97" s="116">
        <f>IF(TrRoad_act!N13=0,0,N33/TrRoad_act!N13*1000)</f>
        <v>27.479029528492109</v>
      </c>
      <c r="O97" s="116">
        <f>IF(TrRoad_act!O13=0,0,O33/TrRoad_act!O13*1000)</f>
        <v>27.286571732403043</v>
      </c>
      <c r="P97" s="116">
        <f>IF(TrRoad_act!P13=0,0,P33/TrRoad_act!P13*1000)</f>
        <v>26.405311188703795</v>
      </c>
      <c r="Q97" s="116">
        <f>IF(TrRoad_act!Q13=0,0,Q33/TrRoad_act!Q13*1000)</f>
        <v>27.057284027146963</v>
      </c>
      <c r="R97" s="116">
        <f>IF(TrRoad_act!R13=0,0,R33/TrRoad_act!R13*1000)</f>
        <v>27.745696515458153</v>
      </c>
      <c r="S97" s="116">
        <f>IF(TrRoad_act!S13=0,0,S33/TrRoad_act!S13*1000)</f>
        <v>28.762068682764767</v>
      </c>
      <c r="T97" s="116">
        <f>IF(TrRoad_act!T13=0,0,T33/TrRoad_act!T13*1000)</f>
        <v>27.599259191444894</v>
      </c>
      <c r="U97" s="116">
        <f>IF(TrRoad_act!U13=0,0,U33/TrRoad_act!U13*1000)</f>
        <v>25.925347541762637</v>
      </c>
      <c r="V97" s="116">
        <f>IF(TrRoad_act!V13=0,0,V33/TrRoad_act!V13*1000)</f>
        <v>32.289484395422164</v>
      </c>
      <c r="W97" s="116">
        <f>IF(TrRoad_act!W13=0,0,W33/TrRoad_act!W13*1000)</f>
        <v>34.687617375790985</v>
      </c>
      <c r="X97" s="116">
        <f>IF(TrRoad_act!X13=0,0,X33/TrRoad_act!X13*1000)</f>
        <v>28.452974890339711</v>
      </c>
      <c r="Y97" s="116">
        <f>IF(TrRoad_act!Y13=0,0,Y33/TrRoad_act!Y13*1000)</f>
        <v>26.652045712139504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33.821204414647262</v>
      </c>
      <c r="C98" s="101">
        <f>IF(TrRoad_act!C14=0,0,C34/TrRoad_act!C14*1000)</f>
        <v>32.148138060563426</v>
      </c>
      <c r="D98" s="101">
        <f>IF(TrRoad_act!D14=0,0,D34/TrRoad_act!D14*1000)</f>
        <v>32.014724879555786</v>
      </c>
      <c r="E98" s="101">
        <f>IF(TrRoad_act!E14=0,0,E34/TrRoad_act!E14*1000)</f>
        <v>31.875267019418008</v>
      </c>
      <c r="F98" s="101">
        <f>IF(TrRoad_act!F14=0,0,F34/TrRoad_act!F14*1000)</f>
        <v>31.671276301858473</v>
      </c>
      <c r="G98" s="101">
        <f>IF(TrRoad_act!G14=0,0,G34/TrRoad_act!G14*1000)</f>
        <v>29.944560602842344</v>
      </c>
      <c r="H98" s="101">
        <f>IF(TrRoad_act!H14=0,0,H34/TrRoad_act!H14*1000)</f>
        <v>30.227615573615591</v>
      </c>
      <c r="I98" s="101">
        <f>IF(TrRoad_act!I14=0,0,I34/TrRoad_act!I14*1000)</f>
        <v>30.964204575561283</v>
      </c>
      <c r="J98" s="101">
        <f>IF(TrRoad_act!J14=0,0,J34/TrRoad_act!J14*1000)</f>
        <v>30.785159006200956</v>
      </c>
      <c r="K98" s="101">
        <f>IF(TrRoad_act!K14=0,0,K34/TrRoad_act!K14*1000)</f>
        <v>30.968195538255944</v>
      </c>
      <c r="L98" s="101">
        <f>IF(TrRoad_act!L14=0,0,L34/TrRoad_act!L14*1000)</f>
        <v>30.40994159073913</v>
      </c>
      <c r="M98" s="101">
        <f>IF(TrRoad_act!M14=0,0,M34/TrRoad_act!M14*1000)</f>
        <v>29.326100316370358</v>
      </c>
      <c r="N98" s="101">
        <f>IF(TrRoad_act!N14=0,0,N34/TrRoad_act!N14*1000)</f>
        <v>24.784469948636403</v>
      </c>
      <c r="O98" s="101">
        <f>IF(TrRoad_act!O14=0,0,O34/TrRoad_act!O14*1000)</f>
        <v>24.180893881899461</v>
      </c>
      <c r="P98" s="101">
        <f>IF(TrRoad_act!P14=0,0,P34/TrRoad_act!P14*1000)</f>
        <v>23.285086648020258</v>
      </c>
      <c r="Q98" s="101">
        <f>IF(TrRoad_act!Q14=0,0,Q34/TrRoad_act!Q14*1000)</f>
        <v>23.591887679943699</v>
      </c>
      <c r="R98" s="101">
        <f>IF(TrRoad_act!R14=0,0,R34/TrRoad_act!R14*1000)</f>
        <v>24.156957552121586</v>
      </c>
      <c r="S98" s="101">
        <f>IF(TrRoad_act!S14=0,0,S34/TrRoad_act!S14*1000)</f>
        <v>24.600547030681831</v>
      </c>
      <c r="T98" s="101">
        <f>IF(TrRoad_act!T14=0,0,T34/TrRoad_act!T14*1000)</f>
        <v>23.525164644293145</v>
      </c>
      <c r="U98" s="101">
        <f>IF(TrRoad_act!U14=0,0,U34/TrRoad_act!U14*1000)</f>
        <v>22.334645266615873</v>
      </c>
      <c r="V98" s="101">
        <f>IF(TrRoad_act!V14=0,0,V34/TrRoad_act!V14*1000)</f>
        <v>27.342831520191393</v>
      </c>
      <c r="W98" s="101">
        <f>IF(TrRoad_act!W14=0,0,W34/TrRoad_act!W14*1000)</f>
        <v>27.277841205066142</v>
      </c>
      <c r="X98" s="101">
        <f>IF(TrRoad_act!X14=0,0,X34/TrRoad_act!X14*1000)</f>
        <v>25.624877879810789</v>
      </c>
      <c r="Y98" s="101">
        <f>IF(TrRoad_act!Y14=0,0,Y34/TrRoad_act!Y14*1000)</f>
        <v>24.137562027842613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34.711811044564215</v>
      </c>
      <c r="C99" s="101">
        <f>IF(TrRoad_act!C15=0,0,C36/TrRoad_act!C15*1000)</f>
        <v>39.274088381190232</v>
      </c>
      <c r="D99" s="101">
        <f>IF(TrRoad_act!D15=0,0,D36/TrRoad_act!D15*1000)</f>
        <v>37.561227748318693</v>
      </c>
      <c r="E99" s="101">
        <f>IF(TrRoad_act!E15=0,0,E36/TrRoad_act!E15*1000)</f>
        <v>36.756230607842731</v>
      </c>
      <c r="F99" s="101">
        <f>IF(TrRoad_act!F15=0,0,F36/TrRoad_act!F15*1000)</f>
        <v>35.597762807894455</v>
      </c>
      <c r="G99" s="101">
        <f>IF(TrRoad_act!G15=0,0,G36/TrRoad_act!G15*1000)</f>
        <v>32.757361571088914</v>
      </c>
      <c r="H99" s="101">
        <f>IF(TrRoad_act!H15=0,0,H36/TrRoad_act!H15*1000)</f>
        <v>33.61043543673015</v>
      </c>
      <c r="I99" s="101">
        <f>IF(TrRoad_act!I15=0,0,I36/TrRoad_act!I15*1000)</f>
        <v>35.342620826106398</v>
      </c>
      <c r="J99" s="101">
        <f>IF(TrRoad_act!J15=0,0,J36/TrRoad_act!J15*1000)</f>
        <v>34.814279831473236</v>
      </c>
      <c r="K99" s="101">
        <f>IF(TrRoad_act!K15=0,0,K36/TrRoad_act!K15*1000)</f>
        <v>38.856057031283676</v>
      </c>
      <c r="L99" s="101">
        <f>IF(TrRoad_act!L15=0,0,L36/TrRoad_act!L15*1000)</f>
        <v>39.057471337864243</v>
      </c>
      <c r="M99" s="101">
        <f>IF(TrRoad_act!M15=0,0,M36/TrRoad_act!M15*1000)</f>
        <v>33.452452208720366</v>
      </c>
      <c r="N99" s="101">
        <f>IF(TrRoad_act!N15=0,0,N36/TrRoad_act!N15*1000)</f>
        <v>28.440106220845788</v>
      </c>
      <c r="O99" s="101">
        <f>IF(TrRoad_act!O15=0,0,O36/TrRoad_act!O15*1000)</f>
        <v>28.222468219803424</v>
      </c>
      <c r="P99" s="101">
        <f>IF(TrRoad_act!P15=0,0,P36/TrRoad_act!P15*1000)</f>
        <v>27.282281689900515</v>
      </c>
      <c r="Q99" s="101">
        <f>IF(TrRoad_act!Q15=0,0,Q36/TrRoad_act!Q15*1000)</f>
        <v>28.00593622950554</v>
      </c>
      <c r="R99" s="101">
        <f>IF(TrRoad_act!R15=0,0,R36/TrRoad_act!R15*1000)</f>
        <v>28.761103472639384</v>
      </c>
      <c r="S99" s="101">
        <f>IF(TrRoad_act!S15=0,0,S36/TrRoad_act!S15*1000)</f>
        <v>29.693251161499173</v>
      </c>
      <c r="T99" s="101">
        <f>IF(TrRoad_act!T15=0,0,T36/TrRoad_act!T15*1000)</f>
        <v>28.520407982266242</v>
      </c>
      <c r="U99" s="101">
        <f>IF(TrRoad_act!U15=0,0,U36/TrRoad_act!U15*1000)</f>
        <v>26.852483004305025</v>
      </c>
      <c r="V99" s="101">
        <f>IF(TrRoad_act!V15=0,0,V36/TrRoad_act!V15*1000)</f>
        <v>33.680169720051516</v>
      </c>
      <c r="W99" s="101">
        <f>IF(TrRoad_act!W15=0,0,W36/TrRoad_act!W15*1000)</f>
        <v>36.726178243857355</v>
      </c>
      <c r="X99" s="101">
        <f>IF(TrRoad_act!X15=0,0,X36/TrRoad_act!X15*1000)</f>
        <v>30.084438886029403</v>
      </c>
      <c r="Y99" s="101">
        <f>IF(TrRoad_act!Y15=0,0,Y36/TrRoad_act!Y15*1000)</f>
        <v>28.181705723408758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23.657457564366243</v>
      </c>
      <c r="S100" s="101">
        <f>IF(TrRoad_act!S16=0,0,S38/TrRoad_act!S16*1000)</f>
        <v>24.198501801887392</v>
      </c>
      <c r="T100" s="101">
        <f>IF(TrRoad_act!T16=0,0,T38/TrRoad_act!T16*1000)</f>
        <v>23.284108234418074</v>
      </c>
      <c r="U100" s="101">
        <f>IF(TrRoad_act!U16=0,0,U38/TrRoad_act!U16*1000)</f>
        <v>22.203972445970326</v>
      </c>
      <c r="V100" s="101">
        <f>IF(TrRoad_act!V16=0,0,V38/TrRoad_act!V16*1000)</f>
        <v>28.183051310058687</v>
      </c>
      <c r="W100" s="101">
        <f>IF(TrRoad_act!W16=0,0,W38/TrRoad_act!W16*1000)</f>
        <v>30.722511982864383</v>
      </c>
      <c r="X100" s="101">
        <f>IF(TrRoad_act!X16=0,0,X38/TrRoad_act!X16*1000)</f>
        <v>25.656272275656914</v>
      </c>
      <c r="Y100" s="101">
        <f>IF(TrRoad_act!Y16=0,0,Y38/TrRoad_act!Y16*1000)</f>
        <v>24.67504954639486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25.174646814079164</v>
      </c>
      <c r="C101" s="101">
        <f>IF(TrRoad_act!C17=0,0,C39/TrRoad_act!C17*1000)</f>
        <v>32.676938506113821</v>
      </c>
      <c r="D101" s="101">
        <f>IF(TrRoad_act!D17=0,0,D39/TrRoad_act!D17*1000)</f>
        <v>27.004158716575244</v>
      </c>
      <c r="E101" s="101">
        <f>IF(TrRoad_act!E17=0,0,E39/TrRoad_act!E17*1000)</f>
        <v>27.155493156466516</v>
      </c>
      <c r="F101" s="101">
        <f>IF(TrRoad_act!F17=0,0,F39/TrRoad_act!F17*1000)</f>
        <v>26.254937742756702</v>
      </c>
      <c r="G101" s="101">
        <f>IF(TrRoad_act!G17=0,0,G39/TrRoad_act!G17*1000)</f>
        <v>23.452740076448642</v>
      </c>
      <c r="H101" s="101">
        <f>IF(TrRoad_act!H17=0,0,H39/TrRoad_act!H17*1000)</f>
        <v>25.571510457898011</v>
      </c>
      <c r="I101" s="101">
        <f>IF(TrRoad_act!I17=0,0,I39/TrRoad_act!I17*1000)</f>
        <v>28.099785602153386</v>
      </c>
      <c r="J101" s="101">
        <f>IF(TrRoad_act!J17=0,0,J39/TrRoad_act!J17*1000)</f>
        <v>38.276657378480458</v>
      </c>
      <c r="K101" s="101">
        <f>IF(TrRoad_act!K17=0,0,K39/TrRoad_act!K17*1000)</f>
        <v>69.260644421243313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19.131411834699136</v>
      </c>
      <c r="V101" s="101">
        <f>IF(TrRoad_act!V17=0,0,V39/TrRoad_act!V17*1000)</f>
        <v>28.017132509017479</v>
      </c>
      <c r="W101" s="101">
        <f>IF(TrRoad_act!W17=0,0,W39/TrRoad_act!W17*1000)</f>
        <v>34.822540958077745</v>
      </c>
      <c r="X101" s="101">
        <f>IF(TrRoad_act!X17=0,0,X39/TrRoad_act!X17*1000)</f>
        <v>24.829314006881727</v>
      </c>
      <c r="Y101" s="101">
        <f>IF(TrRoad_act!Y17=0,0,Y39/TrRoad_act!Y17*1000)</f>
        <v>26.781278732273481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22.187259020177354</v>
      </c>
      <c r="C102" s="101">
        <f>IF(TrRoad_act!C18=0,0,C41/TrRoad_act!C18*1000)</f>
        <v>20.944340342612094</v>
      </c>
      <c r="D102" s="101">
        <f>IF(TrRoad_act!D18=0,0,D41/TrRoad_act!D18*1000)</f>
        <v>21.340280599947633</v>
      </c>
      <c r="E102" s="101">
        <f>IF(TrRoad_act!E18=0,0,E41/TrRoad_act!E18*1000)</f>
        <v>21.487893776150031</v>
      </c>
      <c r="F102" s="101">
        <f>IF(TrRoad_act!F18=0,0,F41/TrRoad_act!F18*1000)</f>
        <v>20.858565172417205</v>
      </c>
      <c r="G102" s="101">
        <f>IF(TrRoad_act!G18=0,0,G41/TrRoad_act!G18*1000)</f>
        <v>18.937067105906809</v>
      </c>
      <c r="H102" s="101">
        <f>IF(TrRoad_act!H18=0,0,H41/TrRoad_act!H18*1000)</f>
        <v>19.24597138623847</v>
      </c>
      <c r="I102" s="101">
        <f>IF(TrRoad_act!I18=0,0,I41/TrRoad_act!I18*1000)</f>
        <v>19.907849411443578</v>
      </c>
      <c r="J102" s="101">
        <f>IF(TrRoad_act!J18=0,0,J41/TrRoad_act!J18*1000)</f>
        <v>20.157984034710552</v>
      </c>
      <c r="K102" s="101">
        <f>IF(TrRoad_act!K18=0,0,K41/TrRoad_act!K18*1000)</f>
        <v>23.675797795902664</v>
      </c>
      <c r="L102" s="101">
        <f>IF(TrRoad_act!L18=0,0,L41/TrRoad_act!L18*1000)</f>
        <v>21.791879673382724</v>
      </c>
      <c r="M102" s="101">
        <f>IF(TrRoad_act!M18=0,0,M41/TrRoad_act!M18*1000)</f>
        <v>20.345954390008135</v>
      </c>
      <c r="N102" s="101">
        <f>IF(TrRoad_act!N18=0,0,N41/TrRoad_act!N18*1000)</f>
        <v>17.515550501762704</v>
      </c>
      <c r="O102" s="101">
        <f>IF(TrRoad_act!O18=0,0,O41/TrRoad_act!O18*1000)</f>
        <v>17.535331404720832</v>
      </c>
      <c r="P102" s="101">
        <f>IF(TrRoad_act!P18=0,0,P41/TrRoad_act!P18*1000)</f>
        <v>17.166895645631971</v>
      </c>
      <c r="Q102" s="101">
        <f>IF(TrRoad_act!Q18=0,0,Q41/TrRoad_act!Q18*1000)</f>
        <v>17.590103963378461</v>
      </c>
      <c r="R102" s="101">
        <f>IF(TrRoad_act!R18=0,0,R41/TrRoad_act!R18*1000)</f>
        <v>18.346932357685898</v>
      </c>
      <c r="S102" s="101">
        <f>IF(TrRoad_act!S18=0,0,S41/TrRoad_act!S18*1000)</f>
        <v>18.789024012780924</v>
      </c>
      <c r="T102" s="101">
        <f>IF(TrRoad_act!T18=0,0,T41/TrRoad_act!T18*1000)</f>
        <v>18.084143076669573</v>
      </c>
      <c r="U102" s="101">
        <f>IF(TrRoad_act!U18=0,0,U41/TrRoad_act!U18*1000)</f>
        <v>17.228116592876862</v>
      </c>
      <c r="V102" s="101">
        <f>IF(TrRoad_act!V18=0,0,V41/TrRoad_act!V18*1000)</f>
        <v>21.698525765935525</v>
      </c>
      <c r="W102" s="101">
        <f>IF(TrRoad_act!W18=0,0,W41/TrRoad_act!W18*1000)</f>
        <v>23.454066413058872</v>
      </c>
      <c r="X102" s="101">
        <f>IF(TrRoad_act!X18=0,0,X41/TrRoad_act!X18*1000)</f>
        <v>19.412636942791856</v>
      </c>
      <c r="Y102" s="101">
        <f>IF(TrRoad_act!Y18=0,0,Y41/TrRoad_act!Y18*1000)</f>
        <v>18.319165203419828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77.845670153656854</v>
      </c>
      <c r="C103" s="29">
        <f>IF(TrRoad_act!C19=0,0,C42/TrRoad_act!C19*1000)</f>
        <v>104.35572107381803</v>
      </c>
      <c r="D103" s="29">
        <f>IF(TrRoad_act!D19=0,0,D42/TrRoad_act!D19*1000)</f>
        <v>96.854901147959808</v>
      </c>
      <c r="E103" s="29">
        <f>IF(TrRoad_act!E19=0,0,E42/TrRoad_act!E19*1000)</f>
        <v>89.077302808052167</v>
      </c>
      <c r="F103" s="29">
        <f>IF(TrRoad_act!F19=0,0,F42/TrRoad_act!F19*1000)</f>
        <v>90.213790720137823</v>
      </c>
      <c r="G103" s="29">
        <f>IF(TrRoad_act!G19=0,0,G42/TrRoad_act!G19*1000)</f>
        <v>89.165220791677029</v>
      </c>
      <c r="H103" s="29">
        <f>IF(TrRoad_act!H19=0,0,H42/TrRoad_act!H19*1000)</f>
        <v>93.79387104728238</v>
      </c>
      <c r="I103" s="29">
        <f>IF(TrRoad_act!I19=0,0,I42/TrRoad_act!I19*1000)</f>
        <v>99.978147720632137</v>
      </c>
      <c r="J103" s="29">
        <f>IF(TrRoad_act!J19=0,0,J42/TrRoad_act!J19*1000)</f>
        <v>103.25112391911652</v>
      </c>
      <c r="K103" s="29">
        <f>IF(TrRoad_act!K19=0,0,K42/TrRoad_act!K19*1000)</f>
        <v>102.40225662750865</v>
      </c>
      <c r="L103" s="29">
        <f>IF(TrRoad_act!L19=0,0,L42/TrRoad_act!L19*1000)</f>
        <v>100.92146089707836</v>
      </c>
      <c r="M103" s="29">
        <f>IF(TrRoad_act!M19=0,0,M42/TrRoad_act!M19*1000)</f>
        <v>71.469339592241653</v>
      </c>
      <c r="N103" s="29">
        <f>IF(TrRoad_act!N19=0,0,N42/TrRoad_act!N19*1000)</f>
        <v>64.356031160255355</v>
      </c>
      <c r="O103" s="29">
        <f>IF(TrRoad_act!O19=0,0,O42/TrRoad_act!O19*1000)</f>
        <v>61.065568176303614</v>
      </c>
      <c r="P103" s="29">
        <f>IF(TrRoad_act!P19=0,0,P42/TrRoad_act!P19*1000)</f>
        <v>61.541225454193707</v>
      </c>
      <c r="Q103" s="29">
        <f>IF(TrRoad_act!Q19=0,0,Q42/TrRoad_act!Q19*1000)</f>
        <v>61.805666480718408</v>
      </c>
      <c r="R103" s="29">
        <f>IF(TrRoad_act!R19=0,0,R42/TrRoad_act!R19*1000)</f>
        <v>58.544806195994248</v>
      </c>
      <c r="S103" s="29">
        <f>IF(TrRoad_act!S19=0,0,S42/TrRoad_act!S19*1000)</f>
        <v>59.001008156629936</v>
      </c>
      <c r="T103" s="29">
        <f>IF(TrRoad_act!T19=0,0,T42/TrRoad_act!T19*1000)</f>
        <v>56.424058690603424</v>
      </c>
      <c r="U103" s="29">
        <f>IF(TrRoad_act!U19=0,0,U42/TrRoad_act!U19*1000)</f>
        <v>57.527433641292866</v>
      </c>
      <c r="V103" s="29">
        <f>IF(TrRoad_act!V19=0,0,V42/TrRoad_act!V19*1000)</f>
        <v>49.715394581450553</v>
      </c>
      <c r="W103" s="29">
        <f>IF(TrRoad_act!W19=0,0,W42/TrRoad_act!W19*1000)</f>
        <v>52.106974715331205</v>
      </c>
      <c r="X103" s="29">
        <f>IF(TrRoad_act!X19=0,0,X42/TrRoad_act!X19*1000)</f>
        <v>50.838898928780516</v>
      </c>
      <c r="Y103" s="29">
        <f>IF(TrRoad_act!Y19=0,0,Y42/TrRoad_act!Y19*1000)</f>
        <v>49.284144621683481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565.84616982275691</v>
      </c>
      <c r="C104" s="152">
        <f>IF(TrRoad_act!C20=0,0,C43/TrRoad_act!C20*1000)</f>
        <v>578.04123691368886</v>
      </c>
      <c r="D104" s="152">
        <f>IF(TrRoad_act!D20=0,0,D43/TrRoad_act!D20*1000)</f>
        <v>543.98700854079641</v>
      </c>
      <c r="E104" s="152">
        <f>IF(TrRoad_act!E20=0,0,E43/TrRoad_act!E20*1000)</f>
        <v>530.03965053144066</v>
      </c>
      <c r="F104" s="152">
        <f>IF(TrRoad_act!F20=0,0,F43/TrRoad_act!F20*1000)</f>
        <v>523.7558347494205</v>
      </c>
      <c r="G104" s="152">
        <f>IF(TrRoad_act!G20=0,0,G43/TrRoad_act!G20*1000)</f>
        <v>522.31558709834064</v>
      </c>
      <c r="H104" s="152">
        <f>IF(TrRoad_act!H20=0,0,H43/TrRoad_act!H20*1000)</f>
        <v>521.15691354561091</v>
      </c>
      <c r="I104" s="152">
        <f>IF(TrRoad_act!I20=0,0,I43/TrRoad_act!I20*1000)</f>
        <v>530.75012636131498</v>
      </c>
      <c r="J104" s="152">
        <f>IF(TrRoad_act!J20=0,0,J43/TrRoad_act!J20*1000)</f>
        <v>516.16919462696967</v>
      </c>
      <c r="K104" s="152">
        <f>IF(TrRoad_act!K20=0,0,K43/TrRoad_act!K20*1000)</f>
        <v>491.56993837340866</v>
      </c>
      <c r="L104" s="152">
        <f>IF(TrRoad_act!L20=0,0,L43/TrRoad_act!L20*1000)</f>
        <v>528.3120473658031</v>
      </c>
      <c r="M104" s="152">
        <f>IF(TrRoad_act!M20=0,0,M43/TrRoad_act!M20*1000)</f>
        <v>487.274349415968</v>
      </c>
      <c r="N104" s="152">
        <f>IF(TrRoad_act!N20=0,0,N43/TrRoad_act!N20*1000)</f>
        <v>479.30093029364997</v>
      </c>
      <c r="O104" s="152">
        <f>IF(TrRoad_act!O20=0,0,O43/TrRoad_act!O20*1000)</f>
        <v>469.93574598906264</v>
      </c>
      <c r="P104" s="152">
        <f>IF(TrRoad_act!P20=0,0,P43/TrRoad_act!P20*1000)</f>
        <v>458.19265258090479</v>
      </c>
      <c r="Q104" s="152">
        <f>IF(TrRoad_act!Q20=0,0,Q43/TrRoad_act!Q20*1000)</f>
        <v>452.66593325758828</v>
      </c>
      <c r="R104" s="152">
        <f>IF(TrRoad_act!R20=0,0,R43/TrRoad_act!R20*1000)</f>
        <v>441.76341567199268</v>
      </c>
      <c r="S104" s="152">
        <f>IF(TrRoad_act!S20=0,0,S43/TrRoad_act!S20*1000)</f>
        <v>440.11780555927476</v>
      </c>
      <c r="T104" s="152">
        <f>IF(TrRoad_act!T20=0,0,T43/TrRoad_act!T20*1000)</f>
        <v>434.81578906246943</v>
      </c>
      <c r="U104" s="152">
        <f>IF(TrRoad_act!U20=0,0,U43/TrRoad_act!U20*1000)</f>
        <v>425.99189341284551</v>
      </c>
      <c r="V104" s="152">
        <f>IF(TrRoad_act!V20=0,0,V43/TrRoad_act!V20*1000)</f>
        <v>420.47559327904634</v>
      </c>
      <c r="W104" s="152">
        <f>IF(TrRoad_act!W20=0,0,W43/TrRoad_act!W20*1000)</f>
        <v>422.70901567284562</v>
      </c>
      <c r="X104" s="152">
        <f>IF(TrRoad_act!X20=0,0,X43/TrRoad_act!X20*1000)</f>
        <v>418.20040266765176</v>
      </c>
      <c r="Y104" s="152">
        <f>IF(TrRoad_act!Y20=0,0,Y43/TrRoad_act!Y20*1000)</f>
        <v>414.37209128110482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617.03135828498159</v>
      </c>
      <c r="C105" s="87">
        <f>IF(TrRoad_act!C21=0,0,C44/TrRoad_act!C21*1000)</f>
        <v>607.76296202623269</v>
      </c>
      <c r="D105" s="87">
        <f>IF(TrRoad_act!D21=0,0,D44/TrRoad_act!D21*1000)</f>
        <v>603.47755892738451</v>
      </c>
      <c r="E105" s="87">
        <f>IF(TrRoad_act!E21=0,0,E44/TrRoad_act!E21*1000)</f>
        <v>594.46380622133699</v>
      </c>
      <c r="F105" s="87">
        <f>IF(TrRoad_act!F21=0,0,F44/TrRoad_act!F21*1000)</f>
        <v>589.18263951346955</v>
      </c>
      <c r="G105" s="87">
        <f>IF(TrRoad_act!G21=0,0,G44/TrRoad_act!G21*1000)</f>
        <v>583.8858593910586</v>
      </c>
      <c r="H105" s="87">
        <f>IF(TrRoad_act!H21=0,0,H44/TrRoad_act!H21*1000)</f>
        <v>576.02371713373589</v>
      </c>
      <c r="I105" s="87">
        <f>IF(TrRoad_act!I21=0,0,I44/TrRoad_act!I21*1000)</f>
        <v>569.35251402719348</v>
      </c>
      <c r="J105" s="87">
        <f>IF(TrRoad_act!J21=0,0,J44/TrRoad_act!J21*1000)</f>
        <v>561.61559288940043</v>
      </c>
      <c r="K105" s="87">
        <f>IF(TrRoad_act!K21=0,0,K44/TrRoad_act!K21*1000)</f>
        <v>553.46279873786546</v>
      </c>
      <c r="L105" s="87">
        <f>IF(TrRoad_act!L21=0,0,L44/TrRoad_act!L21*1000)</f>
        <v>537.55381559991122</v>
      </c>
      <c r="M105" s="87">
        <f>IF(TrRoad_act!M21=0,0,M44/TrRoad_act!M21*1000)</f>
        <v>535.76022926789756</v>
      </c>
      <c r="N105" s="87">
        <f>IF(TrRoad_act!N21=0,0,N44/TrRoad_act!N21*1000)</f>
        <v>531.44107879017554</v>
      </c>
      <c r="O105" s="87">
        <f>IF(TrRoad_act!O21=0,0,O44/TrRoad_act!O21*1000)</f>
        <v>527.61421858533856</v>
      </c>
      <c r="P105" s="87">
        <f>IF(TrRoad_act!P21=0,0,P44/TrRoad_act!P21*1000)</f>
        <v>522.05270593916168</v>
      </c>
      <c r="Q105" s="87">
        <f>IF(TrRoad_act!Q21=0,0,Q44/TrRoad_act!Q21*1000)</f>
        <v>515.91688868044184</v>
      </c>
      <c r="R105" s="87">
        <f>IF(TrRoad_act!R21=0,0,R44/TrRoad_act!R21*1000)</f>
        <v>513.1035339123556</v>
      </c>
      <c r="S105" s="87">
        <f>IF(TrRoad_act!S21=0,0,S44/TrRoad_act!S21*1000)</f>
        <v>510.14668091155011</v>
      </c>
      <c r="T105" s="87">
        <f>IF(TrRoad_act!T21=0,0,T44/TrRoad_act!T21*1000)</f>
        <v>516.17229776159104</v>
      </c>
      <c r="U105" s="87">
        <f>IF(TrRoad_act!U21=0,0,U44/TrRoad_act!U21*1000)</f>
        <v>516.32232567865833</v>
      </c>
      <c r="V105" s="87">
        <f>IF(TrRoad_act!V21=0,0,V44/TrRoad_act!V21*1000)</f>
        <v>515.14726731906842</v>
      </c>
      <c r="W105" s="87">
        <f>IF(TrRoad_act!W21=0,0,W44/TrRoad_act!W21*1000)</f>
        <v>512.22960341767407</v>
      </c>
      <c r="X105" s="87">
        <f>IF(TrRoad_act!X21=0,0,X44/TrRoad_act!X21*1000)</f>
        <v>508.61728821896071</v>
      </c>
      <c r="Y105" s="87">
        <f>IF(TrRoad_act!Y21=0,0,Y44/TrRoad_act!Y21*1000)</f>
        <v>523.78521777966671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538.71763901779229</v>
      </c>
      <c r="C106" s="87">
        <f>IF(TrRoad_act!C22=0,0,C46/TrRoad_act!C22*1000)</f>
        <v>565.17837755707694</v>
      </c>
      <c r="D106" s="87">
        <f>IF(TrRoad_act!D22=0,0,D46/TrRoad_act!D22*1000)</f>
        <v>527.16262479383704</v>
      </c>
      <c r="E106" s="87">
        <f>IF(TrRoad_act!E22=0,0,E46/TrRoad_act!E22*1000)</f>
        <v>510.05377409438381</v>
      </c>
      <c r="F106" s="87">
        <f>IF(TrRoad_act!F22=0,0,F46/TrRoad_act!F22*1000)</f>
        <v>509.73968653189183</v>
      </c>
      <c r="G106" s="87">
        <f>IF(TrRoad_act!G22=0,0,G46/TrRoad_act!G22*1000)</f>
        <v>508.1130534569125</v>
      </c>
      <c r="H106" s="87">
        <f>IF(TrRoad_act!H22=0,0,H46/TrRoad_act!H22*1000)</f>
        <v>509.79338845664722</v>
      </c>
      <c r="I106" s="87">
        <f>IF(TrRoad_act!I22=0,0,I46/TrRoad_act!I22*1000)</f>
        <v>523.91708001689426</v>
      </c>
      <c r="J106" s="87">
        <f>IF(TrRoad_act!J22=0,0,J46/TrRoad_act!J22*1000)</f>
        <v>509.79842578580656</v>
      </c>
      <c r="K106" s="87">
        <f>IF(TrRoad_act!K22=0,0,K46/TrRoad_act!K22*1000)</f>
        <v>484.38637496808207</v>
      </c>
      <c r="L106" s="87">
        <f>IF(TrRoad_act!L22=0,0,L46/TrRoad_act!L22*1000)</f>
        <v>527.77080214940986</v>
      </c>
      <c r="M106" s="87">
        <f>IF(TrRoad_act!M22=0,0,M46/TrRoad_act!M22*1000)</f>
        <v>484.8389921630764</v>
      </c>
      <c r="N106" s="87">
        <f>IF(TrRoad_act!N22=0,0,N46/TrRoad_act!N22*1000)</f>
        <v>476.88349918488655</v>
      </c>
      <c r="O106" s="87">
        <f>IF(TrRoad_act!O22=0,0,O46/TrRoad_act!O22*1000)</f>
        <v>468.00989841370193</v>
      </c>
      <c r="P106" s="87">
        <f>IF(TrRoad_act!P22=0,0,P46/TrRoad_act!P22*1000)</f>
        <v>456.74111862482141</v>
      </c>
      <c r="Q106" s="87">
        <f>IF(TrRoad_act!Q22=0,0,Q46/TrRoad_act!Q22*1000)</f>
        <v>451.36888589879885</v>
      </c>
      <c r="R106" s="87">
        <f>IF(TrRoad_act!R22=0,0,R46/TrRoad_act!R22*1000)</f>
        <v>440.14257991764418</v>
      </c>
      <c r="S106" s="87">
        <f>IF(TrRoad_act!S22=0,0,S46/TrRoad_act!S22*1000)</f>
        <v>438.47839601166311</v>
      </c>
      <c r="T106" s="87">
        <f>IF(TrRoad_act!T22=0,0,T46/TrRoad_act!T22*1000)</f>
        <v>433.03462016567795</v>
      </c>
      <c r="U106" s="87">
        <f>IF(TrRoad_act!U22=0,0,U46/TrRoad_act!U22*1000)</f>
        <v>424.1597264143204</v>
      </c>
      <c r="V106" s="87">
        <f>IF(TrRoad_act!V22=0,0,V46/TrRoad_act!V22*1000)</f>
        <v>418.60208507894765</v>
      </c>
      <c r="W106" s="87">
        <f>IF(TrRoad_act!W22=0,0,W46/TrRoad_act!W22*1000)</f>
        <v>421.03272197834394</v>
      </c>
      <c r="X106" s="87">
        <f>IF(TrRoad_act!X22=0,0,X46/TrRoad_act!X22*1000)</f>
        <v>416.61945803780696</v>
      </c>
      <c r="Y106" s="87">
        <f>IF(TrRoad_act!Y22=0,0,Y46/TrRoad_act!Y22*1000)</f>
        <v>412.65829675061332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575.7043506120782</v>
      </c>
      <c r="O107" s="87">
        <f>IF(TrRoad_act!O23=0,0,O48/TrRoad_act!O23*1000)</f>
        <v>573.06780504113169</v>
      </c>
      <c r="P107" s="87">
        <f>IF(TrRoad_act!P23=0,0,P48/TrRoad_act!P23*1000)</f>
        <v>542.00287717998197</v>
      </c>
      <c r="Q107" s="87">
        <f>IF(TrRoad_act!Q23=0,0,Q48/TrRoad_act!Q23*1000)</f>
        <v>545.47149110336431</v>
      </c>
      <c r="R107" s="87">
        <f>IF(TrRoad_act!R23=0,0,R48/TrRoad_act!R23*1000)</f>
        <v>664.48255800359323</v>
      </c>
      <c r="S107" s="87">
        <f>IF(TrRoad_act!S23=0,0,S48/TrRoad_act!S23*1000)</f>
        <v>624.17154468607146</v>
      </c>
      <c r="T107" s="87">
        <f>IF(TrRoad_act!T23=0,0,T48/TrRoad_act!T23*1000)</f>
        <v>598.68860385112635</v>
      </c>
      <c r="U107" s="87">
        <f>IF(TrRoad_act!U23=0,0,U48/TrRoad_act!U23*1000)</f>
        <v>580.58976696873845</v>
      </c>
      <c r="V107" s="87">
        <f>IF(TrRoad_act!V23=0,0,V48/TrRoad_act!V23*1000)</f>
        <v>586.06314316438727</v>
      </c>
      <c r="W107" s="87">
        <f>IF(TrRoad_act!W23=0,0,W48/TrRoad_act!W23*1000)</f>
        <v>588.70946613226556</v>
      </c>
      <c r="X107" s="87">
        <f>IF(TrRoad_act!X23=0,0,X48/TrRoad_act!X23*1000)</f>
        <v>587.37993458560834</v>
      </c>
      <c r="Y107" s="87">
        <f>IF(TrRoad_act!Y23=0,0,Y48/TrRoad_act!Y23*1000)</f>
        <v>584.24589503025038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X108" s="87">
        <f>IF(TrRoad_act!X24=0,0,X49/TrRoad_act!X24*1000)</f>
        <v>0</v>
      </c>
      <c r="Y108" s="87">
        <f>IF(TrRoad_act!Y24=0,0,Y49/TrRoad_act!Y24*1000)</f>
        <v>0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91.036473686131856</v>
      </c>
      <c r="N109" s="87">
        <f>IF(TrRoad_act!N25=0,0,N51/TrRoad_act!N25*1000)</f>
        <v>91.041503464709166</v>
      </c>
      <c r="O109" s="87">
        <f>IF(TrRoad_act!O25=0,0,O51/TrRoad_act!O25*1000)</f>
        <v>92.060366989211786</v>
      </c>
      <c r="P109" s="87">
        <f>IF(TrRoad_act!P25=0,0,P51/TrRoad_act!P25*1000)</f>
        <v>92.699720732817767</v>
      </c>
      <c r="Q109" s="87">
        <f>IF(TrRoad_act!Q25=0,0,Q51/TrRoad_act!Q25*1000)</f>
        <v>92.260811557857068</v>
      </c>
      <c r="R109" s="87">
        <f>IF(TrRoad_act!R25=0,0,R51/TrRoad_act!R25*1000)</f>
        <v>88.271962259169186</v>
      </c>
      <c r="S109" s="87">
        <f>IF(TrRoad_act!S25=0,0,S51/TrRoad_act!S25*1000)</f>
        <v>94.016885614183465</v>
      </c>
      <c r="T109" s="87">
        <f>IF(TrRoad_act!T25=0,0,T51/TrRoad_act!T25*1000)</f>
        <v>95.294344530210921</v>
      </c>
      <c r="U109" s="87">
        <f>IF(TrRoad_act!U25=0,0,U51/TrRoad_act!U25*1000)</f>
        <v>101.83546557475491</v>
      </c>
      <c r="V109" s="87">
        <f>IF(TrRoad_act!V25=0,0,V51/TrRoad_act!V25*1000)</f>
        <v>143.03588328923146</v>
      </c>
      <c r="W109" s="87">
        <f>IF(TrRoad_act!W25=0,0,W51/TrRoad_act!W25*1000)</f>
        <v>156.5098759164994</v>
      </c>
      <c r="X109" s="87">
        <f>IF(TrRoad_act!X25=0,0,X51/TrRoad_act!X25*1000)</f>
        <v>160.89165630703937</v>
      </c>
      <c r="Y109" s="87">
        <f>IF(TrRoad_act!Y25=0,0,Y51/TrRoad_act!Y25*1000)</f>
        <v>155.47821091201629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63.54465654037979</v>
      </c>
      <c r="C110" s="116">
        <f>IF(TrRoad_act!C26=0,0,C52/TrRoad_act!C26*1000)</f>
        <v>89.543257218657601</v>
      </c>
      <c r="D110" s="116">
        <f>IF(TrRoad_act!D26=0,0,D52/TrRoad_act!D26*1000)</f>
        <v>81.138238607637533</v>
      </c>
      <c r="E110" s="116">
        <f>IF(TrRoad_act!E26=0,0,E52/TrRoad_act!E26*1000)</f>
        <v>76.560108181412375</v>
      </c>
      <c r="F110" s="116">
        <f>IF(TrRoad_act!F26=0,0,F52/TrRoad_act!F26*1000)</f>
        <v>74.832778616601971</v>
      </c>
      <c r="G110" s="116">
        <f>IF(TrRoad_act!G26=0,0,G52/TrRoad_act!G26*1000)</f>
        <v>76.203381549477911</v>
      </c>
      <c r="H110" s="116">
        <f>IF(TrRoad_act!H26=0,0,H52/TrRoad_act!H26*1000)</f>
        <v>80.371771378479508</v>
      </c>
      <c r="I110" s="116">
        <f>IF(TrRoad_act!I26=0,0,I52/TrRoad_act!I26*1000)</f>
        <v>86.619933994835648</v>
      </c>
      <c r="J110" s="116">
        <f>IF(TrRoad_act!J26=0,0,J52/TrRoad_act!J26*1000)</f>
        <v>88.389270869725024</v>
      </c>
      <c r="K110" s="116">
        <f>IF(TrRoad_act!K26=0,0,K52/TrRoad_act!K26*1000)</f>
        <v>86.153586106534064</v>
      </c>
      <c r="L110" s="116">
        <f>IF(TrRoad_act!L26=0,0,L52/TrRoad_act!L26*1000)</f>
        <v>87.783580966263997</v>
      </c>
      <c r="M110" s="116">
        <f>IF(TrRoad_act!M26=0,0,M52/TrRoad_act!M26*1000)</f>
        <v>59.043361442244468</v>
      </c>
      <c r="N110" s="116">
        <f>IF(TrRoad_act!N26=0,0,N52/TrRoad_act!N26*1000)</f>
        <v>51.168969697869464</v>
      </c>
      <c r="O110" s="116">
        <f>IF(TrRoad_act!O26=0,0,O52/TrRoad_act!O26*1000)</f>
        <v>47.295706363461306</v>
      </c>
      <c r="P110" s="116">
        <f>IF(TrRoad_act!P26=0,0,P52/TrRoad_act!P26*1000)</f>
        <v>46.694593028719346</v>
      </c>
      <c r="Q110" s="116">
        <f>IF(TrRoad_act!Q26=0,0,Q52/TrRoad_act!Q26*1000)</f>
        <v>47.318528661134998</v>
      </c>
      <c r="R110" s="116">
        <f>IF(TrRoad_act!R26=0,0,R52/TrRoad_act!R26*1000)</f>
        <v>44.484906436455184</v>
      </c>
      <c r="S110" s="116">
        <f>IF(TrRoad_act!S26=0,0,S52/TrRoad_act!S26*1000)</f>
        <v>45.561203872625462</v>
      </c>
      <c r="T110" s="116">
        <f>IF(TrRoad_act!T26=0,0,T52/TrRoad_act!T26*1000)</f>
        <v>43.763077465974831</v>
      </c>
      <c r="U110" s="116">
        <f>IF(TrRoad_act!U26=0,0,U52/TrRoad_act!U26*1000)</f>
        <v>44.07564452418989</v>
      </c>
      <c r="V110" s="116">
        <f>IF(TrRoad_act!V26=0,0,V52/TrRoad_act!V26*1000)</f>
        <v>37.479866468595226</v>
      </c>
      <c r="W110" s="116">
        <f>IF(TrRoad_act!W26=0,0,W52/TrRoad_act!W26*1000)</f>
        <v>39.999230327338331</v>
      </c>
      <c r="X110" s="116">
        <f>IF(TrRoad_act!X26=0,0,X52/TrRoad_act!X26*1000)</f>
        <v>38.703883214817388</v>
      </c>
      <c r="Y110" s="116">
        <f>IF(TrRoad_act!Y26=0,0,Y52/TrRoad_act!Y26*1000)</f>
        <v>37.013962663095782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59.10853543641435</v>
      </c>
      <c r="C111" s="101">
        <f>IF(TrRoad_act!C27=0,0,C53/TrRoad_act!C27*1000)</f>
        <v>67.846265068450933</v>
      </c>
      <c r="D111" s="101">
        <f>IF(TrRoad_act!D27=0,0,D53/TrRoad_act!D27*1000)</f>
        <v>66.526290798348171</v>
      </c>
      <c r="E111" s="101">
        <f>IF(TrRoad_act!E27=0,0,E53/TrRoad_act!E27*1000)</f>
        <v>62.534697311161302</v>
      </c>
      <c r="F111" s="101">
        <f>IF(TrRoad_act!F27=0,0,F53/TrRoad_act!F27*1000)</f>
        <v>59.169303597345007</v>
      </c>
      <c r="G111" s="101">
        <f>IF(TrRoad_act!G27=0,0,G53/TrRoad_act!G27*1000)</f>
        <v>57.932858868600349</v>
      </c>
      <c r="H111" s="101">
        <f>IF(TrRoad_act!H27=0,0,H53/TrRoad_act!H27*1000)</f>
        <v>59.213599839224521</v>
      </c>
      <c r="I111" s="101">
        <f>IF(TrRoad_act!I27=0,0,I53/TrRoad_act!I27*1000)</f>
        <v>63.527385005272869</v>
      </c>
      <c r="J111" s="101">
        <f>IF(TrRoad_act!J27=0,0,J53/TrRoad_act!J27*1000)</f>
        <v>69.758210647510197</v>
      </c>
      <c r="K111" s="101">
        <f>IF(TrRoad_act!K27=0,0,K53/TrRoad_act!K27*1000)</f>
        <v>76.553963487638256</v>
      </c>
      <c r="L111" s="101">
        <f>IF(TrRoad_act!L27=0,0,L53/TrRoad_act!L27*1000)</f>
        <v>57.061908690873807</v>
      </c>
      <c r="M111" s="101">
        <f>IF(TrRoad_act!M27=0,0,M53/TrRoad_act!M27*1000)</f>
        <v>43.483696282934432</v>
      </c>
      <c r="N111" s="101">
        <f>IF(TrRoad_act!N27=0,0,N53/TrRoad_act!N27*1000)</f>
        <v>36.389371936639094</v>
      </c>
      <c r="O111" s="101">
        <f>IF(TrRoad_act!O27=0,0,O53/TrRoad_act!O27*1000)</f>
        <v>35.651316698759935</v>
      </c>
      <c r="P111" s="101">
        <f>IF(TrRoad_act!P27=0,0,P53/TrRoad_act!P27*1000)</f>
        <v>35.714019622685264</v>
      </c>
      <c r="Q111" s="101">
        <f>IF(TrRoad_act!Q27=0,0,Q53/TrRoad_act!Q27*1000)</f>
        <v>36.069102605495566</v>
      </c>
      <c r="R111" s="101">
        <f>IF(TrRoad_act!R27=0,0,R53/TrRoad_act!R27*1000)</f>
        <v>35.676867269077412</v>
      </c>
      <c r="S111" s="101">
        <f>IF(TrRoad_act!S27=0,0,S53/TrRoad_act!S27*1000)</f>
        <v>34.969249413091482</v>
      </c>
      <c r="T111" s="101">
        <f>IF(TrRoad_act!T27=0,0,T53/TrRoad_act!T27*1000)</f>
        <v>33.610027399215426</v>
      </c>
      <c r="U111" s="101">
        <f>IF(TrRoad_act!U27=0,0,U53/TrRoad_act!U27*1000)</f>
        <v>34.702476888980705</v>
      </c>
      <c r="V111" s="101">
        <f>IF(TrRoad_act!V27=0,0,V53/TrRoad_act!V27*1000)</f>
        <v>31.267082345335581</v>
      </c>
      <c r="W111" s="101">
        <f>IF(TrRoad_act!W27=0,0,W53/TrRoad_act!W27*1000)</f>
        <v>32.432125694693895</v>
      </c>
      <c r="X111" s="101">
        <f>IF(TrRoad_act!X27=0,0,X53/TrRoad_act!X27*1000)</f>
        <v>32.037413203054385</v>
      </c>
      <c r="Y111" s="101">
        <f>IF(TrRoad_act!Y27=0,0,Y53/TrRoad_act!Y27*1000)</f>
        <v>31.190746404444873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72.647019105682077</v>
      </c>
      <c r="C112" s="88">
        <f>IF(TrRoad_act!C28=0,0,C55/TrRoad_act!C28*1000)</f>
        <v>135.61189835225872</v>
      </c>
      <c r="D112" s="88">
        <f>IF(TrRoad_act!D28=0,0,D55/TrRoad_act!D28*1000)</f>
        <v>116.1695768898676</v>
      </c>
      <c r="E112" s="88">
        <f>IF(TrRoad_act!E28=0,0,E55/TrRoad_act!E28*1000)</f>
        <v>116.34589092223359</v>
      </c>
      <c r="F112" s="88">
        <f>IF(TrRoad_act!F28=0,0,F55/TrRoad_act!F28*1000)</f>
        <v>113.35813402838015</v>
      </c>
      <c r="G112" s="88">
        <f>IF(TrRoad_act!G28=0,0,G55/TrRoad_act!G28*1000)</f>
        <v>126.05433999355562</v>
      </c>
      <c r="H112" s="88">
        <f>IF(TrRoad_act!H28=0,0,H55/TrRoad_act!H28*1000)</f>
        <v>127.10986729047671</v>
      </c>
      <c r="I112" s="88">
        <f>IF(TrRoad_act!I28=0,0,I55/TrRoad_act!I28*1000)</f>
        <v>136.15662737230627</v>
      </c>
      <c r="J112" s="88">
        <f>IF(TrRoad_act!J28=0,0,J55/TrRoad_act!J28*1000)</f>
        <v>123.39353907641542</v>
      </c>
      <c r="K112" s="88">
        <f>IF(TrRoad_act!K28=0,0,K55/TrRoad_act!K28*1000)</f>
        <v>105.58197704881889</v>
      </c>
      <c r="L112" s="88">
        <f>IF(TrRoad_act!L28=0,0,L55/TrRoad_act!L28*1000)</f>
        <v>154.38157521256684</v>
      </c>
      <c r="M112" s="88">
        <f>IF(TrRoad_act!M28=0,0,M55/TrRoad_act!M28*1000)</f>
        <v>89.278819075454166</v>
      </c>
      <c r="N112" s="88">
        <f>IF(TrRoad_act!N28=0,0,N55/TrRoad_act!N28*1000)</f>
        <v>76.833908897786799</v>
      </c>
      <c r="O112" s="88">
        <f>IF(TrRoad_act!O28=0,0,O55/TrRoad_act!O28*1000)</f>
        <v>66.13658396364238</v>
      </c>
      <c r="P112" s="88">
        <f>IF(TrRoad_act!P28=0,0,P55/TrRoad_act!P28*1000)</f>
        <v>63.828040706515836</v>
      </c>
      <c r="Q112" s="88">
        <f>IF(TrRoad_act!Q28=0,0,Q55/TrRoad_act!Q28*1000)</f>
        <v>62.46808868954156</v>
      </c>
      <c r="R112" s="88">
        <f>IF(TrRoad_act!R28=0,0,R55/TrRoad_act!R28*1000)</f>
        <v>56.558617511386423</v>
      </c>
      <c r="S112" s="88">
        <f>IF(TrRoad_act!S28=0,0,S55/TrRoad_act!S28*1000)</f>
        <v>62.410882607742913</v>
      </c>
      <c r="T112" s="88">
        <f>IF(TrRoad_act!T28=0,0,T55/TrRoad_act!T28*1000)</f>
        <v>59.525824405346832</v>
      </c>
      <c r="U112" s="88">
        <f>IF(TrRoad_act!U28=0,0,U55/TrRoad_act!U28*1000)</f>
        <v>59.528455340110561</v>
      </c>
      <c r="V112" s="88">
        <f>IF(TrRoad_act!V28=0,0,V55/TrRoad_act!V28*1000)</f>
        <v>46.968853645756283</v>
      </c>
      <c r="W112" s="88">
        <f>IF(TrRoad_act!W28=0,0,W55/TrRoad_act!W28*1000)</f>
        <v>53.068806709432259</v>
      </c>
      <c r="X112" s="88">
        <f>IF(TrRoad_act!X28=0,0,X55/TrRoad_act!X28*1000)</f>
        <v>49.198180324889456</v>
      </c>
      <c r="Y112" s="88">
        <f>IF(TrRoad_act!Y28=0,0,Y55/TrRoad_act!Y28*1000)</f>
        <v>46.302725075676527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88.402361409856837</v>
      </c>
      <c r="C116" s="152">
        <f>IF(C19=0,0,1000000*C19/TrRoad_act!C59)</f>
        <v>89.117141712983795</v>
      </c>
      <c r="D116" s="152">
        <f>IF(D19=0,0,1000000*D19/TrRoad_act!D59)</f>
        <v>88.335680153262999</v>
      </c>
      <c r="E116" s="152">
        <f>IF(E19=0,0,1000000*E19/TrRoad_act!E59)</f>
        <v>87.519249143110642</v>
      </c>
      <c r="F116" s="152">
        <f>IF(F19=0,0,1000000*F19/TrRoad_act!F59)</f>
        <v>85.791051738343839</v>
      </c>
      <c r="G116" s="152">
        <f>IF(G19=0,0,1000000*G19/TrRoad_act!G59)</f>
        <v>83.908546268758457</v>
      </c>
      <c r="H116" s="152">
        <f>IF(H19=0,0,1000000*H19/TrRoad_act!H59)</f>
        <v>80.008030366914781</v>
      </c>
      <c r="I116" s="152">
        <f>IF(I19=0,0,1000000*I19/TrRoad_act!I59)</f>
        <v>72.569777173871387</v>
      </c>
      <c r="J116" s="152">
        <f>IF(J19=0,0,1000000*J19/TrRoad_act!J59)</f>
        <v>65.796082541454069</v>
      </c>
      <c r="K116" s="152">
        <f>IF(K19=0,0,1000000*K19/TrRoad_act!K59)</f>
        <v>62.908898036454246</v>
      </c>
      <c r="L116" s="152">
        <f>IF(L19=0,0,1000000*L19/TrRoad_act!L59)</f>
        <v>62.630339527141267</v>
      </c>
      <c r="M116" s="152">
        <f>IF(M19=0,0,1000000*M19/TrRoad_act!M59)</f>
        <v>57.775392077908528</v>
      </c>
      <c r="N116" s="152">
        <f>IF(N19=0,0,1000000*N19/TrRoad_act!N59)</f>
        <v>48.689932624829318</v>
      </c>
      <c r="O116" s="152">
        <f>IF(O19=0,0,1000000*O19/TrRoad_act!O59)</f>
        <v>46.840446863298524</v>
      </c>
      <c r="P116" s="152">
        <f>IF(P19=0,0,1000000*P19/TrRoad_act!P59)</f>
        <v>51.705967953118005</v>
      </c>
      <c r="Q116" s="152">
        <f>IF(Q19=0,0,1000000*Q19/TrRoad_act!Q59)</f>
        <v>60.404489425991081</v>
      </c>
      <c r="R116" s="152">
        <f>IF(R19=0,0,1000000*R19/TrRoad_act!R59)</f>
        <v>58.531166036280368</v>
      </c>
      <c r="S116" s="152">
        <f>IF(S19=0,0,1000000*S19/TrRoad_act!S59)</f>
        <v>50.875911949087843</v>
      </c>
      <c r="T116" s="152">
        <f>IF(T19=0,0,1000000*T19/TrRoad_act!T59)</f>
        <v>45.131224205578292</v>
      </c>
      <c r="U116" s="152">
        <f>IF(U19=0,0,1000000*U19/TrRoad_act!U59)</f>
        <v>43.556744940572791</v>
      </c>
      <c r="V116" s="152">
        <f>IF(V19=0,0,1000000*V19/TrRoad_act!V59)</f>
        <v>36.445898203202951</v>
      </c>
      <c r="W116" s="152">
        <f>IF(W19=0,0,1000000*W19/TrRoad_act!W59)</f>
        <v>36.798569765524086</v>
      </c>
      <c r="X116" s="152">
        <f>IF(X19=0,0,1000000*X19/TrRoad_act!X59)</f>
        <v>35.044579036012472</v>
      </c>
      <c r="Y116" s="152">
        <f>IF(Y19=0,0,1000000*Y19/TrRoad_act!Y59)</f>
        <v>36.426488462335584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668.19123693099016</v>
      </c>
      <c r="C117" s="116">
        <f>IF(C21=0,0,1000000*C21/TrRoad_act!C60)</f>
        <v>722.35643311595732</v>
      </c>
      <c r="D117" s="116">
        <f>IF(D21=0,0,1000000*D21/TrRoad_act!D60)</f>
        <v>719.49558128988122</v>
      </c>
      <c r="E117" s="116">
        <f>IF(E21=0,0,1000000*E21/TrRoad_act!E60)</f>
        <v>731.25440667679629</v>
      </c>
      <c r="F117" s="116">
        <f>IF(F21=0,0,1000000*F21/TrRoad_act!F60)</f>
        <v>735.11868610128272</v>
      </c>
      <c r="G117" s="116">
        <f>IF(G21=0,0,1000000*G21/TrRoad_act!G60)</f>
        <v>731.37676481519077</v>
      </c>
      <c r="H117" s="116">
        <f>IF(H21=0,0,1000000*H21/TrRoad_act!H60)</f>
        <v>817.61226449072024</v>
      </c>
      <c r="I117" s="116">
        <f>IF(I21=0,0,1000000*I21/TrRoad_act!I60)</f>
        <v>894.66045393988713</v>
      </c>
      <c r="J117" s="116">
        <f>IF(J21=0,0,1000000*J21/TrRoad_act!J60)</f>
        <v>859.73157871932005</v>
      </c>
      <c r="K117" s="116">
        <f>IF(K21=0,0,1000000*K21/TrRoad_act!K60)</f>
        <v>794.8357236849256</v>
      </c>
      <c r="L117" s="116">
        <f>IF(L21=0,0,1000000*L21/TrRoad_act!L60)</f>
        <v>827.57292762502482</v>
      </c>
      <c r="M117" s="116">
        <f>IF(M21=0,0,1000000*M21/TrRoad_act!M60)</f>
        <v>818.70223495905475</v>
      </c>
      <c r="N117" s="116">
        <f>IF(N21=0,0,1000000*N21/TrRoad_act!N60)</f>
        <v>783.3047195625586</v>
      </c>
      <c r="O117" s="116">
        <f>IF(O21=0,0,1000000*O21/TrRoad_act!O60)</f>
        <v>768.9414754568445</v>
      </c>
      <c r="P117" s="116">
        <f>IF(P21=0,0,1000000*P21/TrRoad_act!P60)</f>
        <v>819.60217043157343</v>
      </c>
      <c r="Q117" s="116">
        <f>IF(Q21=0,0,1000000*Q21/TrRoad_act!Q60)</f>
        <v>853.91591229520509</v>
      </c>
      <c r="R117" s="116">
        <f>IF(R21=0,0,1000000*R21/TrRoad_act!R60)</f>
        <v>900.78812152298065</v>
      </c>
      <c r="S117" s="116">
        <f>IF(S21=0,0,1000000*S21/TrRoad_act!S60)</f>
        <v>897.59276906050707</v>
      </c>
      <c r="T117" s="116">
        <f>IF(T21=0,0,1000000*T21/TrRoad_act!T60)</f>
        <v>901.3375983612658</v>
      </c>
      <c r="U117" s="116">
        <f>IF(U21=0,0,1000000*U21/TrRoad_act!U60)</f>
        <v>903.81193496961066</v>
      </c>
      <c r="V117" s="116">
        <f>IF(V21=0,0,1000000*V21/TrRoad_act!V60)</f>
        <v>866.08547895519359</v>
      </c>
      <c r="W117" s="116">
        <f>IF(W21=0,0,1000000*W21/TrRoad_act!W60)</f>
        <v>856.68666731311725</v>
      </c>
      <c r="X117" s="116">
        <f>IF(X21=0,0,1000000*X21/TrRoad_act!X60)</f>
        <v>775.04722782650481</v>
      </c>
      <c r="Y117" s="116">
        <f>IF(Y21=0,0,1000000*Y21/TrRoad_act!Y60)</f>
        <v>774.41818851986727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645.22313765092349</v>
      </c>
      <c r="C118" s="87">
        <f>IF(C22=0,0,1000000*C22/TrRoad_act!C61)</f>
        <v>689.05728520092146</v>
      </c>
      <c r="D118" s="87">
        <f>IF(D22=0,0,1000000*D22/TrRoad_act!D61)</f>
        <v>683.83969993330732</v>
      </c>
      <c r="E118" s="87">
        <f>IF(E22=0,0,1000000*E22/TrRoad_act!E61)</f>
        <v>687.94687811415861</v>
      </c>
      <c r="F118" s="87">
        <f>IF(F22=0,0,1000000*F22/TrRoad_act!F61)</f>
        <v>687.34801990935853</v>
      </c>
      <c r="G118" s="87">
        <f>IF(G22=0,0,1000000*G22/TrRoad_act!G61)</f>
        <v>676.90199399866617</v>
      </c>
      <c r="H118" s="87">
        <f>IF(H22=0,0,1000000*H22/TrRoad_act!H61)</f>
        <v>759.55377034065293</v>
      </c>
      <c r="I118" s="87">
        <f>IF(I22=0,0,1000000*I22/TrRoad_act!I61)</f>
        <v>844.90938737388944</v>
      </c>
      <c r="J118" s="87">
        <f>IF(J22=0,0,1000000*J22/TrRoad_act!J61)</f>
        <v>804.09129463328247</v>
      </c>
      <c r="K118" s="87">
        <f>IF(K22=0,0,1000000*K22/TrRoad_act!K61)</f>
        <v>719.66623892951122</v>
      </c>
      <c r="L118" s="87">
        <f>IF(L22=0,0,1000000*L22/TrRoad_act!L61)</f>
        <v>718.09926809435751</v>
      </c>
      <c r="M118" s="87">
        <f>IF(M22=0,0,1000000*M22/TrRoad_act!M61)</f>
        <v>732.88275485099177</v>
      </c>
      <c r="N118" s="87">
        <f>IF(N22=0,0,1000000*N22/TrRoad_act!N61)</f>
        <v>669.08110342557791</v>
      </c>
      <c r="O118" s="87">
        <f>IF(O22=0,0,1000000*O22/TrRoad_act!O61)</f>
        <v>632.34280078195718</v>
      </c>
      <c r="P118" s="87">
        <f>IF(P22=0,0,1000000*P22/TrRoad_act!P61)</f>
        <v>696.50479281250341</v>
      </c>
      <c r="Q118" s="87">
        <f>IF(Q22=0,0,1000000*Q22/TrRoad_act!Q61)</f>
        <v>719.59701756039863</v>
      </c>
      <c r="R118" s="87">
        <f>IF(R22=0,0,1000000*R22/TrRoad_act!R61)</f>
        <v>792.04095337908473</v>
      </c>
      <c r="S118" s="87">
        <f>IF(S22=0,0,1000000*S22/TrRoad_act!S61)</f>
        <v>784.09909129853747</v>
      </c>
      <c r="T118" s="87">
        <f>IF(T22=0,0,1000000*T22/TrRoad_act!T61)</f>
        <v>789.74406587276405</v>
      </c>
      <c r="U118" s="87">
        <f>IF(U22=0,0,1000000*U22/TrRoad_act!U61)</f>
        <v>771.71872719427574</v>
      </c>
      <c r="V118" s="87">
        <f>IF(V22=0,0,1000000*V22/TrRoad_act!V61)</f>
        <v>790.27982293954733</v>
      </c>
      <c r="W118" s="87">
        <f>IF(W22=0,0,1000000*W22/TrRoad_act!W61)</f>
        <v>789.94517224832509</v>
      </c>
      <c r="X118" s="87">
        <f>IF(X22=0,0,1000000*X22/TrRoad_act!X61)</f>
        <v>684.30402814326987</v>
      </c>
      <c r="Y118" s="87">
        <f>IF(Y22=0,0,1000000*Y22/TrRoad_act!Y61)</f>
        <v>705.48234065485246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702.59012692218107</v>
      </c>
      <c r="C119" s="87">
        <f>IF(C24=0,0,1000000*C24/TrRoad_act!C62)</f>
        <v>850.3760312977447</v>
      </c>
      <c r="D119" s="87">
        <f>IF(D24=0,0,1000000*D24/TrRoad_act!D62)</f>
        <v>836.44640550435179</v>
      </c>
      <c r="E119" s="87">
        <f>IF(E24=0,0,1000000*E24/TrRoad_act!E62)</f>
        <v>861.81911137142174</v>
      </c>
      <c r="F119" s="87">
        <f>IF(F24=0,0,1000000*F24/TrRoad_act!F62)</f>
        <v>888.2091329579938</v>
      </c>
      <c r="G119" s="87">
        <f>IF(G24=0,0,1000000*G24/TrRoad_act!G62)</f>
        <v>891.61166656541729</v>
      </c>
      <c r="H119" s="87">
        <f>IF(H24=0,0,1000000*H24/TrRoad_act!H62)</f>
        <v>977.56185201929259</v>
      </c>
      <c r="I119" s="87">
        <f>IF(I24=0,0,1000000*I24/TrRoad_act!I62)</f>
        <v>1028.7138924045967</v>
      </c>
      <c r="J119" s="87">
        <f>IF(J24=0,0,1000000*J24/TrRoad_act!J62)</f>
        <v>996.07405575320888</v>
      </c>
      <c r="K119" s="87">
        <f>IF(K24=0,0,1000000*K24/TrRoad_act!K62)</f>
        <v>955.15245296552666</v>
      </c>
      <c r="L119" s="87">
        <f>IF(L24=0,0,1000000*L24/TrRoad_act!L62)</f>
        <v>1026.3965906903481</v>
      </c>
      <c r="M119" s="87">
        <f>IF(M24=0,0,1000000*M24/TrRoad_act!M62)</f>
        <v>937.87799956459241</v>
      </c>
      <c r="N119" s="87">
        <f>IF(N24=0,0,1000000*N24/TrRoad_act!N62)</f>
        <v>910.43600766236682</v>
      </c>
      <c r="O119" s="87">
        <f>IF(O24=0,0,1000000*O24/TrRoad_act!O62)</f>
        <v>873.23913604305608</v>
      </c>
      <c r="P119" s="87">
        <f>IF(P24=0,0,1000000*P24/TrRoad_act!P62)</f>
        <v>885.36168238925609</v>
      </c>
      <c r="Q119" s="87">
        <f>IF(Q24=0,0,1000000*Q24/TrRoad_act!Q62)</f>
        <v>911.38699251386356</v>
      </c>
      <c r="R119" s="87">
        <f>IF(R24=0,0,1000000*R24/TrRoad_act!R62)</f>
        <v>939.15254456684488</v>
      </c>
      <c r="S119" s="87">
        <f>IF(S24=0,0,1000000*S24/TrRoad_act!S62)</f>
        <v>942.46437558724995</v>
      </c>
      <c r="T119" s="87">
        <f>IF(T24=0,0,1000000*T24/TrRoad_act!T62)</f>
        <v>944.25512849244615</v>
      </c>
      <c r="U119" s="87">
        <f>IF(U24=0,0,1000000*U24/TrRoad_act!U62)</f>
        <v>965.63929773914458</v>
      </c>
      <c r="V119" s="87">
        <f>IF(V24=0,0,1000000*V24/TrRoad_act!V62)</f>
        <v>900.72093054418235</v>
      </c>
      <c r="W119" s="87">
        <f>IF(W24=0,0,1000000*W24/TrRoad_act!W62)</f>
        <v>894.50929372443795</v>
      </c>
      <c r="X119" s="87">
        <f>IF(X24=0,0,1000000*X24/TrRoad_act!X62)</f>
        <v>822.87100406757679</v>
      </c>
      <c r="Y119" s="87">
        <f>IF(Y24=0,0,1000000*Y24/TrRoad_act!Y62)</f>
        <v>821.86053528742127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1291.6487532244194</v>
      </c>
      <c r="C120" s="87">
        <f>IF(C26=0,0,1000000*C26/TrRoad_act!C63)</f>
        <v>1291.2452390872047</v>
      </c>
      <c r="D120" s="87">
        <f>IF(D26=0,0,1000000*D26/TrRoad_act!D63)</f>
        <v>1291.7294863173142</v>
      </c>
      <c r="E120" s="87">
        <f>IF(E26=0,0,1000000*E26/TrRoad_act!E63)</f>
        <v>1278.0767948788014</v>
      </c>
      <c r="F120" s="87">
        <f>IF(F26=0,0,1000000*F26/TrRoad_act!F63)</f>
        <v>1054.0657666030665</v>
      </c>
      <c r="G120" s="87">
        <f>IF(G26=0,0,1000000*G26/TrRoad_act!G63)</f>
        <v>978.04132920455595</v>
      </c>
      <c r="H120" s="87">
        <f>IF(H26=0,0,1000000*H26/TrRoad_act!H63)</f>
        <v>969.69927116589054</v>
      </c>
      <c r="I120" s="87">
        <f>IF(I26=0,0,1000000*I26/TrRoad_act!I63)</f>
        <v>935.3578099465692</v>
      </c>
      <c r="J120" s="87">
        <f>IF(J26=0,0,1000000*J26/TrRoad_act!J63)</f>
        <v>858.64929246199313</v>
      </c>
      <c r="K120" s="87">
        <f>IF(K26=0,0,1000000*K26/TrRoad_act!K63)</f>
        <v>823.65709025509989</v>
      </c>
      <c r="L120" s="87">
        <f>IF(L26=0,0,1000000*L26/TrRoad_act!L63)</f>
        <v>1032.7345686986127</v>
      </c>
      <c r="M120" s="87">
        <f>IF(M26=0,0,1000000*M26/TrRoad_act!M63)</f>
        <v>1083.9105263992192</v>
      </c>
      <c r="N120" s="87">
        <f>IF(N26=0,0,1000000*N26/TrRoad_act!N63)</f>
        <v>1034.9190114349451</v>
      </c>
      <c r="O120" s="87">
        <f>IF(O26=0,0,1000000*O26/TrRoad_act!O63)</f>
        <v>1169.0023458790222</v>
      </c>
      <c r="P120" s="87">
        <f>IF(P26=0,0,1000000*P26/TrRoad_act!P63)</f>
        <v>1118.7533983499652</v>
      </c>
      <c r="Q120" s="87">
        <f>IF(Q26=0,0,1000000*Q26/TrRoad_act!Q63)</f>
        <v>1224.5958214700229</v>
      </c>
      <c r="R120" s="87">
        <f>IF(R26=0,0,1000000*R26/TrRoad_act!R63)</f>
        <v>1176.9642024944528</v>
      </c>
      <c r="S120" s="87">
        <f>IF(S26=0,0,1000000*S26/TrRoad_act!S63)</f>
        <v>1111.1646830506536</v>
      </c>
      <c r="T120" s="87">
        <f>IF(T26=0,0,1000000*T26/TrRoad_act!T63)</f>
        <v>1081.1503409111033</v>
      </c>
      <c r="U120" s="87">
        <f>IF(U26=0,0,1000000*U26/TrRoad_act!U63)</f>
        <v>972.76303070116762</v>
      </c>
      <c r="V120" s="87">
        <f>IF(V26=0,0,1000000*V26/TrRoad_act!V63)</f>
        <v>902.44459110568459</v>
      </c>
      <c r="W120" s="87">
        <f>IF(W26=0,0,1000000*W26/TrRoad_act!W63)</f>
        <v>810.6751452900362</v>
      </c>
      <c r="X120" s="87">
        <f>IF(X26=0,0,1000000*X26/TrRoad_act!X63)</f>
        <v>736.34611556619768</v>
      </c>
      <c r="Y120" s="87">
        <f>IF(Y26=0,0,1000000*Y26/TrRoad_act!Y63)</f>
        <v>664.61132115730811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456.11339597480719</v>
      </c>
      <c r="C121" s="87">
        <f>IF(C27=0,0,1000000*C27/TrRoad_act!C64)</f>
        <v>546.66078854692387</v>
      </c>
      <c r="D121" s="87">
        <f>IF(D27=0,0,1000000*D27/TrRoad_act!D64)</f>
        <v>551.53409630758415</v>
      </c>
      <c r="E121" s="87">
        <f>IF(E27=0,0,1000000*E27/TrRoad_act!E64)</f>
        <v>581.19963804487281</v>
      </c>
      <c r="F121" s="87">
        <f>IF(F27=0,0,1000000*F27/TrRoad_act!F64)</f>
        <v>608.40099314656379</v>
      </c>
      <c r="G121" s="87">
        <f>IF(G27=0,0,1000000*G27/TrRoad_act!G64)</f>
        <v>623.9285824802887</v>
      </c>
      <c r="H121" s="87">
        <f>IF(H27=0,0,1000000*H27/TrRoad_act!H64)</f>
        <v>706.30717415546883</v>
      </c>
      <c r="I121" s="87">
        <f>IF(I27=0,0,1000000*I27/TrRoad_act!I64)</f>
        <v>816.92466824768201</v>
      </c>
      <c r="J121" s="87">
        <f>IF(J27=0,0,1000000*J27/TrRoad_act!J64)</f>
        <v>786.50343744617919</v>
      </c>
      <c r="K121" s="87">
        <f>IF(K27=0,0,1000000*K27/TrRoad_act!K64)</f>
        <v>719.65799062633084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367.8543160244401</v>
      </c>
      <c r="U121" s="87">
        <f>IF(U27=0,0,1000000*U27/TrRoad_act!U64)</f>
        <v>568.01008488437128</v>
      </c>
      <c r="V121" s="87">
        <f>IF(V27=0,0,1000000*V27/TrRoad_act!V64)</f>
        <v>521.62180455120722</v>
      </c>
      <c r="W121" s="87">
        <f>IF(W27=0,0,1000000*W27/TrRoad_act!W64)</f>
        <v>524.58271165820622</v>
      </c>
      <c r="X121" s="87">
        <f>IF(X27=0,0,1000000*X27/TrRoad_act!X64)</f>
        <v>488.5624398308691</v>
      </c>
      <c r="Y121" s="87">
        <f>IF(Y27=0,0,1000000*Y27/TrRoad_act!Y64)</f>
        <v>491.10119859354484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280.71733841634506</v>
      </c>
      <c r="O122" s="87">
        <f>IF(O29=0,0,1000000*O29/TrRoad_act!O65)</f>
        <v>307.03653243086166</v>
      </c>
      <c r="P122" s="87">
        <f>IF(P29=0,0,1000000*P29/TrRoad_act!P65)</f>
        <v>344.31486583377614</v>
      </c>
      <c r="Q122" s="87">
        <f>IF(Q29=0,0,1000000*Q29/TrRoad_act!Q65)</f>
        <v>331.69680058175726</v>
      </c>
      <c r="R122" s="87">
        <f>IF(R29=0,0,1000000*R29/TrRoad_act!R65)</f>
        <v>317.28238697629092</v>
      </c>
      <c r="S122" s="87">
        <f>IF(S29=0,0,1000000*S29/TrRoad_act!S65)</f>
        <v>342.37303007052685</v>
      </c>
      <c r="T122" s="87">
        <f>IF(T29=0,0,1000000*T29/TrRoad_act!T65)</f>
        <v>356.57302002924865</v>
      </c>
      <c r="U122" s="87">
        <f>IF(U29=0,0,1000000*U29/TrRoad_act!U65)</f>
        <v>363.43424337021179</v>
      </c>
      <c r="V122" s="87">
        <f>IF(V29=0,0,1000000*V29/TrRoad_act!V65)</f>
        <v>413.87528810398516</v>
      </c>
      <c r="W122" s="87">
        <f>IF(W29=0,0,1000000*W29/TrRoad_act!W65)</f>
        <v>406.54559105344185</v>
      </c>
      <c r="X122" s="87">
        <f>IF(X29=0,0,1000000*X29/TrRoad_act!X65)</f>
        <v>345.77938568856308</v>
      </c>
      <c r="Y122" s="87">
        <f>IF(Y29=0,0,1000000*Y29/TrRoad_act!Y65)</f>
        <v>340.96265277451715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189.67483693249523</v>
      </c>
      <c r="O123" s="87">
        <f>IF(O32=0,0,1000000*O32/TrRoad_act!O66)</f>
        <v>192.97557582208779</v>
      </c>
      <c r="P123" s="87">
        <f>IF(P32=0,0,1000000*P32/TrRoad_act!P66)</f>
        <v>149.50419121510788</v>
      </c>
      <c r="Q123" s="87">
        <f>IF(Q32=0,0,1000000*Q32/TrRoad_act!Q66)</f>
        <v>156.70841574346198</v>
      </c>
      <c r="R123" s="87">
        <f>IF(R32=0,0,1000000*R32/TrRoad_act!R66)</f>
        <v>162.77622083565379</v>
      </c>
      <c r="S123" s="87">
        <f>IF(S32=0,0,1000000*S32/TrRoad_act!S66)</f>
        <v>165.61143436275077</v>
      </c>
      <c r="T123" s="87">
        <f>IF(T32=0,0,1000000*T32/TrRoad_act!T66)</f>
        <v>176.80723439159095</v>
      </c>
      <c r="U123" s="87">
        <f>IF(U32=0,0,1000000*U32/TrRoad_act!U66)</f>
        <v>192.06291508355292</v>
      </c>
      <c r="V123" s="87">
        <f>IF(V32=0,0,1000000*V32/TrRoad_act!V66)</f>
        <v>201.78612938081841</v>
      </c>
      <c r="W123" s="87">
        <f>IF(W32=0,0,1000000*W32/TrRoad_act!W66)</f>
        <v>206.82616440161928</v>
      </c>
      <c r="X123" s="87">
        <f>IF(X32=0,0,1000000*X32/TrRoad_act!X66)</f>
        <v>211.34959283373209</v>
      </c>
      <c r="Y123" s="87">
        <f>IF(Y32=0,0,1000000*Y32/TrRoad_act!Y66)</f>
        <v>209.57115012043471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21213.849907798642</v>
      </c>
      <c r="C124" s="116">
        <f>IF(C33=0,0,1000000*C33/TrRoad_act!C67)</f>
        <v>23423.444212519178</v>
      </c>
      <c r="D124" s="116">
        <f>IF(D33=0,0,1000000*D33/TrRoad_act!D67)</f>
        <v>22537.49019552318</v>
      </c>
      <c r="E124" s="116">
        <f>IF(E33=0,0,1000000*E33/TrRoad_act!E67)</f>
        <v>22601.938758130469</v>
      </c>
      <c r="F124" s="116">
        <f>IF(F33=0,0,1000000*F33/TrRoad_act!F67)</f>
        <v>23057.125330099767</v>
      </c>
      <c r="G124" s="116">
        <f>IF(G33=0,0,1000000*G33/TrRoad_act!G67)</f>
        <v>23522.615558096128</v>
      </c>
      <c r="H124" s="116">
        <f>IF(H33=0,0,1000000*H33/TrRoad_act!H67)</f>
        <v>23337.760337961325</v>
      </c>
      <c r="I124" s="116">
        <f>IF(I33=0,0,1000000*I33/TrRoad_act!I67)</f>
        <v>23195.570176463854</v>
      </c>
      <c r="J124" s="116">
        <f>IF(J33=0,0,1000000*J33/TrRoad_act!J67)</f>
        <v>22086.867650094002</v>
      </c>
      <c r="K124" s="116">
        <f>IF(K33=0,0,1000000*K33/TrRoad_act!K67)</f>
        <v>21315.523626163103</v>
      </c>
      <c r="L124" s="116">
        <f>IF(L33=0,0,1000000*L33/TrRoad_act!L67)</f>
        <v>23488.445862199045</v>
      </c>
      <c r="M124" s="116">
        <f>IF(M33=0,0,1000000*M33/TrRoad_act!M67)</f>
        <v>22316.477513893929</v>
      </c>
      <c r="N124" s="116">
        <f>IF(N33=0,0,1000000*N33/TrRoad_act!N67)</f>
        <v>22577.80872078018</v>
      </c>
      <c r="O124" s="116">
        <f>IF(O33=0,0,1000000*O33/TrRoad_act!O67)</f>
        <v>22920.552492711751</v>
      </c>
      <c r="P124" s="116">
        <f>IF(P33=0,0,1000000*P33/TrRoad_act!P67)</f>
        <v>23157.849480615307</v>
      </c>
      <c r="Q124" s="116">
        <f>IF(Q33=0,0,1000000*Q33/TrRoad_act!Q67)</f>
        <v>23363.161687367534</v>
      </c>
      <c r="R124" s="116">
        <f>IF(R33=0,0,1000000*R33/TrRoad_act!R67)</f>
        <v>23562.836408782761</v>
      </c>
      <c r="S124" s="116">
        <f>IF(S33=0,0,1000000*S33/TrRoad_act!S67)</f>
        <v>24240.809451786525</v>
      </c>
      <c r="T124" s="116">
        <f>IF(T33=0,0,1000000*T33/TrRoad_act!T67)</f>
        <v>23881.427250346569</v>
      </c>
      <c r="U124" s="116">
        <f>IF(U33=0,0,1000000*U33/TrRoad_act!U67)</f>
        <v>22760.434984716285</v>
      </c>
      <c r="V124" s="116">
        <f>IF(V33=0,0,1000000*V33/TrRoad_act!V67)</f>
        <v>19601.131166023973</v>
      </c>
      <c r="W124" s="116">
        <f>IF(W33=0,0,1000000*W33/TrRoad_act!W67)</f>
        <v>17201.41083478638</v>
      </c>
      <c r="X124" s="116">
        <f>IF(X33=0,0,1000000*X33/TrRoad_act!X67)</f>
        <v>17204.192780125777</v>
      </c>
      <c r="Y124" s="116">
        <f>IF(Y33=0,0,1000000*Y33/TrRoad_act!Y67)</f>
        <v>17203.677047794965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7609.5203255997449</v>
      </c>
      <c r="C125" s="101">
        <f>IF(C34=0,0,1000000*C34/TrRoad_act!C68)</f>
        <v>7216.3898207579914</v>
      </c>
      <c r="D125" s="101">
        <f>IF(D34=0,0,1000000*D34/TrRoad_act!D68)</f>
        <v>7193.0331031152655</v>
      </c>
      <c r="E125" s="101">
        <f>IF(E34=0,0,1000000*E34/TrRoad_act!E68)</f>
        <v>7191.914985685361</v>
      </c>
      <c r="F125" s="101">
        <f>IF(F34=0,0,1000000*F34/TrRoad_act!F68)</f>
        <v>7173.3000910457604</v>
      </c>
      <c r="G125" s="101">
        <f>IF(G34=0,0,1000000*G34/TrRoad_act!G68)</f>
        <v>7144.9963956746542</v>
      </c>
      <c r="H125" s="101">
        <f>IF(H34=0,0,1000000*H34/TrRoad_act!H68)</f>
        <v>6827.2314072877898</v>
      </c>
      <c r="I125" s="101">
        <f>IF(I34=0,0,1000000*I34/TrRoad_act!I68)</f>
        <v>6494.8888550520496</v>
      </c>
      <c r="J125" s="101">
        <f>IF(J34=0,0,1000000*J34/TrRoad_act!J68)</f>
        <v>6185.9106966050003</v>
      </c>
      <c r="K125" s="101">
        <f>IF(K34=0,0,1000000*K34/TrRoad_act!K68)</f>
        <v>6124.6103863682665</v>
      </c>
      <c r="L125" s="101">
        <f>IF(L34=0,0,1000000*L34/TrRoad_act!L68)</f>
        <v>6307.5156515228009</v>
      </c>
      <c r="M125" s="101">
        <f>IF(M34=0,0,1000000*M34/TrRoad_act!M68)</f>
        <v>6383.2105703961724</v>
      </c>
      <c r="N125" s="101">
        <f>IF(N34=0,0,1000000*N34/TrRoad_act!N68)</f>
        <v>6289.8090381997872</v>
      </c>
      <c r="O125" s="101">
        <f>IF(O34=0,0,1000000*O34/TrRoad_act!O68)</f>
        <v>6156.4988766026363</v>
      </c>
      <c r="P125" s="101">
        <f>IF(P34=0,0,1000000*P34/TrRoad_act!P68)</f>
        <v>6073.7520684934716</v>
      </c>
      <c r="Q125" s="101">
        <f>IF(Q34=0,0,1000000*Q34/TrRoad_act!Q68)</f>
        <v>5941.0005868651215</v>
      </c>
      <c r="R125" s="101">
        <f>IF(R34=0,0,1000000*R34/TrRoad_act!R68)</f>
        <v>6108.9820187145197</v>
      </c>
      <c r="S125" s="101">
        <f>IF(S34=0,0,1000000*S34/TrRoad_act!S68)</f>
        <v>6302.049237144879</v>
      </c>
      <c r="T125" s="101">
        <f>IF(T34=0,0,1000000*T34/TrRoad_act!T68)</f>
        <v>6307.1009096767993</v>
      </c>
      <c r="U125" s="101">
        <f>IF(U34=0,0,1000000*U34/TrRoad_act!U68)</f>
        <v>6186.5386514344809</v>
      </c>
      <c r="V125" s="101">
        <f>IF(V34=0,0,1000000*V34/TrRoad_act!V68)</f>
        <v>5523.5837259453519</v>
      </c>
      <c r="W125" s="101">
        <f>IF(W34=0,0,1000000*W34/TrRoad_act!W68)</f>
        <v>4932.6759402460675</v>
      </c>
      <c r="X125" s="101">
        <f>IF(X34=0,0,1000000*X34/TrRoad_act!X68)</f>
        <v>5128.557167053882</v>
      </c>
      <c r="Y125" s="101">
        <f>IF(Y34=0,0,1000000*Y34/TrRoad_act!Y68)</f>
        <v>5267.3019458074259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23048.111983233841</v>
      </c>
      <c r="C126" s="101">
        <f>IF(C36=0,0,1000000*C36/TrRoad_act!C69)</f>
        <v>25596.80429382428</v>
      </c>
      <c r="D126" s="101">
        <f>IF(D36=0,0,1000000*D36/TrRoad_act!D69)</f>
        <v>24612.305267500538</v>
      </c>
      <c r="E126" s="101">
        <f>IF(E36=0,0,1000000*E36/TrRoad_act!E69)</f>
        <v>24469.557489709343</v>
      </c>
      <c r="F126" s="101">
        <f>IF(F36=0,0,1000000*F36/TrRoad_act!F69)</f>
        <v>24955.46440939173</v>
      </c>
      <c r="G126" s="101">
        <f>IF(G36=0,0,1000000*G36/TrRoad_act!G69)</f>
        <v>25584.73806410189</v>
      </c>
      <c r="H126" s="101">
        <f>IF(H36=0,0,1000000*H36/TrRoad_act!H69)</f>
        <v>25348.946991290995</v>
      </c>
      <c r="I126" s="101">
        <f>IF(I36=0,0,1000000*I36/TrRoad_act!I69)</f>
        <v>25272.259067626524</v>
      </c>
      <c r="J126" s="101">
        <f>IF(J36=0,0,1000000*J36/TrRoad_act!J69)</f>
        <v>23913.323309257114</v>
      </c>
      <c r="K126" s="101">
        <f>IF(K36=0,0,1000000*K36/TrRoad_act!K69)</f>
        <v>22977.635014455307</v>
      </c>
      <c r="L126" s="101">
        <f>IF(L36=0,0,1000000*L36/TrRoad_act!L69)</f>
        <v>25485.684112865056</v>
      </c>
      <c r="M126" s="101">
        <f>IF(M36=0,0,1000000*M36/TrRoad_act!M69)</f>
        <v>23676.717295174298</v>
      </c>
      <c r="N126" s="101">
        <f>IF(N36=0,0,1000000*N36/TrRoad_act!N69)</f>
        <v>23823.901220703287</v>
      </c>
      <c r="O126" s="101">
        <f>IF(O36=0,0,1000000*O36/TrRoad_act!O69)</f>
        <v>24065.677750317584</v>
      </c>
      <c r="P126" s="101">
        <f>IF(P36=0,0,1000000*P36/TrRoad_act!P69)</f>
        <v>24190.071929419777</v>
      </c>
      <c r="Q126" s="101">
        <f>IF(Q36=0,0,1000000*Q36/TrRoad_act!Q69)</f>
        <v>24413.849029669778</v>
      </c>
      <c r="R126" s="101">
        <f>IF(R36=0,0,1000000*R36/TrRoad_act!R69)</f>
        <v>24684.712810867815</v>
      </c>
      <c r="S126" s="101">
        <f>IF(S36=0,0,1000000*S36/TrRoad_act!S69)</f>
        <v>25287.904986889203</v>
      </c>
      <c r="T126" s="101">
        <f>IF(T36=0,0,1000000*T36/TrRoad_act!T69)</f>
        <v>24880.567940650493</v>
      </c>
      <c r="U126" s="101">
        <f>IF(U36=0,0,1000000*U36/TrRoad_act!U69)</f>
        <v>23753.158537522973</v>
      </c>
      <c r="V126" s="101">
        <f>IF(V36=0,0,1000000*V36/TrRoad_act!V69)</f>
        <v>20725.955125061555</v>
      </c>
      <c r="W126" s="101">
        <f>IF(W36=0,0,1000000*W36/TrRoad_act!W69)</f>
        <v>18200.866420228242</v>
      </c>
      <c r="X126" s="101">
        <f>IF(X36=0,0,1000000*X36/TrRoad_act!X69)</f>
        <v>18836.974702429266</v>
      </c>
      <c r="Y126" s="101">
        <f>IF(Y36=0,0,1000000*Y36/TrRoad_act!Y69)</f>
        <v>18807.356988997872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12272.650814729315</v>
      </c>
      <c r="S127" s="101">
        <f>IF(S38=0,0,1000000*S38/TrRoad_act!S70)</f>
        <v>12336.51275010053</v>
      </c>
      <c r="T127" s="101">
        <f>IF(T38=0,0,1000000*T38/TrRoad_act!T70)</f>
        <v>12051.267871265158</v>
      </c>
      <c r="U127" s="101">
        <f>IF(U38=0,0,1000000*U38/TrRoad_act!U70)</f>
        <v>11521.5709106452</v>
      </c>
      <c r="V127" s="101">
        <f>IF(V38=0,0,1000000*V38/TrRoad_act!V70)</f>
        <v>9940.2002489813312</v>
      </c>
      <c r="W127" s="101">
        <f>IF(W38=0,0,1000000*W38/TrRoad_act!W70)</f>
        <v>8704.7122243994727</v>
      </c>
      <c r="X127" s="101">
        <f>IF(X38=0,0,1000000*X38/TrRoad_act!X70)</f>
        <v>8784.1967978113462</v>
      </c>
      <c r="Y127" s="101">
        <f>IF(Y38=0,0,1000000*Y38/TrRoad_act!Y70)</f>
        <v>8942.4602175153268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15209.871230406365</v>
      </c>
      <c r="C128" s="101">
        <f>IF(C39=0,0,1000000*C39/TrRoad_act!C71)</f>
        <v>19361.507304741106</v>
      </c>
      <c r="D128" s="101">
        <f>IF(D39=0,0,1000000*D39/TrRoad_act!D71)</f>
        <v>15059.785264168151</v>
      </c>
      <c r="E128" s="101">
        <f>IF(E39=0,0,1000000*E39/TrRoad_act!E71)</f>
        <v>15733.516796246615</v>
      </c>
      <c r="F128" s="101">
        <f>IF(F39=0,0,1000000*F39/TrRoad_act!F71)</f>
        <v>15489.360989483554</v>
      </c>
      <c r="G128" s="101">
        <f>IF(G39=0,0,1000000*G39/TrRoad_act!G71)</f>
        <v>14760.161371310181</v>
      </c>
      <c r="H128" s="101">
        <f>IF(H39=0,0,1000000*H39/TrRoad_act!H71)</f>
        <v>14890.234354465434</v>
      </c>
      <c r="I128" s="101">
        <f>IF(I39=0,0,1000000*I39/TrRoad_act!I71)</f>
        <v>14052.571043504549</v>
      </c>
      <c r="J128" s="101">
        <f>IF(J39=0,0,1000000*J39/TrRoad_act!J71)</f>
        <v>16800.703642161163</v>
      </c>
      <c r="K128" s="101">
        <f>IF(K39=0,0,1000000*K39/TrRoad_act!K71)</f>
        <v>25000.811627290994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6482.0727817462912</v>
      </c>
      <c r="V128" s="101">
        <f>IF(V39=0,0,1000000*V39/TrRoad_act!V71)</f>
        <v>7169.2572121150633</v>
      </c>
      <c r="W128" s="101">
        <f>IF(W39=0,0,1000000*W39/TrRoad_act!W71)</f>
        <v>7953.5130816210403</v>
      </c>
      <c r="X128" s="101">
        <f>IF(X39=0,0,1000000*X39/TrRoad_act!X71)</f>
        <v>6924.7292962457141</v>
      </c>
      <c r="Y128" s="101">
        <f>IF(Y39=0,0,1000000*Y39/TrRoad_act!Y71)</f>
        <v>8784.5063675872061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16975.649076491674</v>
      </c>
      <c r="C129" s="101">
        <f>IF(C41=0,0,1000000*C41/TrRoad_act!C72)</f>
        <v>15397.944072524102</v>
      </c>
      <c r="D129" s="101">
        <f>IF(D41=0,0,1000000*D41/TrRoad_act!D72)</f>
        <v>15414.208412747783</v>
      </c>
      <c r="E129" s="101">
        <f>IF(E41=0,0,1000000*E41/TrRoad_act!E72)</f>
        <v>15429.573556975924</v>
      </c>
      <c r="F129" s="101">
        <f>IF(F41=0,0,1000000*F41/TrRoad_act!F72)</f>
        <v>15444.759691791</v>
      </c>
      <c r="G129" s="101">
        <f>IF(G41=0,0,1000000*G41/TrRoad_act!G72)</f>
        <v>15302.162955052358</v>
      </c>
      <c r="H129" s="101">
        <f>IF(H41=0,0,1000000*H41/TrRoad_act!H72)</f>
        <v>15309.087510000612</v>
      </c>
      <c r="I129" s="101">
        <f>IF(I41=0,0,1000000*I41/TrRoad_act!I72)</f>
        <v>15286.983391438824</v>
      </c>
      <c r="J129" s="101">
        <f>IF(J41=0,0,1000000*J41/TrRoad_act!J72)</f>
        <v>15288.264312993724</v>
      </c>
      <c r="K129" s="101">
        <f>IF(K41=0,0,1000000*K41/TrRoad_act!K72)</f>
        <v>15307.930425616767</v>
      </c>
      <c r="L129" s="101">
        <f>IF(L41=0,0,1000000*L41/TrRoad_act!L72)</f>
        <v>15343.31494887155</v>
      </c>
      <c r="M129" s="101">
        <f>IF(M41=0,0,1000000*M41/TrRoad_act!M72)</f>
        <v>15353.668559947278</v>
      </c>
      <c r="N129" s="101">
        <f>IF(N41=0,0,1000000*N41/TrRoad_act!N72)</f>
        <v>15368.522486109636</v>
      </c>
      <c r="O129" s="101">
        <f>IF(O41=0,0,1000000*O41/TrRoad_act!O72)</f>
        <v>15382.502927989648</v>
      </c>
      <c r="P129" s="101">
        <f>IF(P41=0,0,1000000*P41/TrRoad_act!P72)</f>
        <v>15396.665690418631</v>
      </c>
      <c r="Q129" s="101">
        <f>IF(Q41=0,0,1000000*Q41/TrRoad_act!Q72)</f>
        <v>15459.938025895539</v>
      </c>
      <c r="R129" s="101">
        <f>IF(R41=0,0,1000000*R41/TrRoad_act!R72)</f>
        <v>15495.428741102891</v>
      </c>
      <c r="S129" s="101">
        <f>IF(S41=0,0,1000000*S41/TrRoad_act!S72)</f>
        <v>15502.750848637046</v>
      </c>
      <c r="T129" s="101">
        <f>IF(T41=0,0,1000000*T41/TrRoad_act!T72)</f>
        <v>15497.277268634038</v>
      </c>
      <c r="U129" s="101">
        <f>IF(U41=0,0,1000000*U41/TrRoad_act!U72)</f>
        <v>15456.190974589783</v>
      </c>
      <c r="V129" s="101">
        <f>IF(V41=0,0,1000000*V41/TrRoad_act!V72)</f>
        <v>13901.374466677771</v>
      </c>
      <c r="W129" s="101">
        <f>IF(W41=0,0,1000000*W41/TrRoad_act!W72)</f>
        <v>15020.158343494961</v>
      </c>
      <c r="X129" s="101">
        <f>IF(X41=0,0,1000000*X41/TrRoad_act!X72)</f>
        <v>14900.467342977099</v>
      </c>
      <c r="Y129" s="101">
        <f>IF(Y41=0,0,1000000*Y41/TrRoad_act!Y72)</f>
        <v>14639.751027369279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1360.6881262007878</v>
      </c>
      <c r="C131" s="152">
        <f>IF(C43=0,0,1000000*C43/TrRoad_act!C74)</f>
        <v>1451.8593626375384</v>
      </c>
      <c r="D131" s="152">
        <f>IF(D43=0,0,1000000*D43/TrRoad_act!D74)</f>
        <v>1492.683695105929</v>
      </c>
      <c r="E131" s="152">
        <f>IF(E43=0,0,1000000*E43/TrRoad_act!E74)</f>
        <v>1406.8550070679109</v>
      </c>
      <c r="F131" s="152">
        <f>IF(F43=0,0,1000000*F43/TrRoad_act!F74)</f>
        <v>1497.8237645129968</v>
      </c>
      <c r="G131" s="152">
        <f>IF(G43=0,0,1000000*G43/TrRoad_act!G74)</f>
        <v>1482.0496956288032</v>
      </c>
      <c r="H131" s="152">
        <f>IF(H43=0,0,1000000*H43/TrRoad_act!H74)</f>
        <v>1464.211072842319</v>
      </c>
      <c r="I131" s="152">
        <f>IF(I43=0,0,1000000*I43/TrRoad_act!I74)</f>
        <v>1564.7315312001776</v>
      </c>
      <c r="J131" s="152">
        <f>IF(J43=0,0,1000000*J43/TrRoad_act!J74)</f>
        <v>1565.9555147434228</v>
      </c>
      <c r="K131" s="152">
        <f>IF(K43=0,0,1000000*K43/TrRoad_act!K74)</f>
        <v>1517.726303907976</v>
      </c>
      <c r="L131" s="152">
        <f>IF(L43=0,0,1000000*L43/TrRoad_act!L74)</f>
        <v>1722.9996164560325</v>
      </c>
      <c r="M131" s="152">
        <f>IF(M43=0,0,1000000*M43/TrRoad_act!M74)</f>
        <v>1595.5075269949905</v>
      </c>
      <c r="N131" s="152">
        <f>IF(N43=0,0,1000000*N43/TrRoad_act!N74)</f>
        <v>1571.3611956113818</v>
      </c>
      <c r="O131" s="152">
        <f>IF(O43=0,0,1000000*O43/TrRoad_act!O74)</f>
        <v>1563.0193445435582</v>
      </c>
      <c r="P131" s="152">
        <f>IF(P43=0,0,1000000*P43/TrRoad_act!P74)</f>
        <v>1540.6989011827445</v>
      </c>
      <c r="Q131" s="152">
        <f>IF(Q43=0,0,1000000*Q43/TrRoad_act!Q74)</f>
        <v>1506.6775039405281</v>
      </c>
      <c r="R131" s="152">
        <f>IF(R43=0,0,1000000*R43/TrRoad_act!R74)</f>
        <v>1477.2154013241038</v>
      </c>
      <c r="S131" s="152">
        <f>IF(S43=0,0,1000000*S43/TrRoad_act!S74)</f>
        <v>1474.0516896987863</v>
      </c>
      <c r="T131" s="152">
        <f>IF(T43=0,0,1000000*T43/TrRoad_act!T74)</f>
        <v>1447.8661858828052</v>
      </c>
      <c r="U131" s="152">
        <f>IF(U43=0,0,1000000*U43/TrRoad_act!U74)</f>
        <v>1411.6944221862389</v>
      </c>
      <c r="V131" s="152">
        <f>IF(V43=0,0,1000000*V43/TrRoad_act!V74)</f>
        <v>1405.7717998015703</v>
      </c>
      <c r="W131" s="152">
        <f>IF(W43=0,0,1000000*W43/TrRoad_act!W74)</f>
        <v>1404.9183089429239</v>
      </c>
      <c r="X131" s="152">
        <f>IF(X43=0,0,1000000*X43/TrRoad_act!X74)</f>
        <v>1380.8867892935521</v>
      </c>
      <c r="Y131" s="152">
        <f>IF(Y43=0,0,1000000*Y43/TrRoad_act!Y74)</f>
        <v>1358.8197715430128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883.72357823366247</v>
      </c>
      <c r="C132" s="87">
        <f>IF(C44=0,0,1000000*C44/TrRoad_act!C75)</f>
        <v>867.25210227345622</v>
      </c>
      <c r="D132" s="87">
        <f>IF(D44=0,0,1000000*D44/TrRoad_act!D75)</f>
        <v>853.26769354339615</v>
      </c>
      <c r="E132" s="87">
        <f>IF(E44=0,0,1000000*E44/TrRoad_act!E75)</f>
        <v>825.43104171475386</v>
      </c>
      <c r="F132" s="87">
        <f>IF(F44=0,0,1000000*F44/TrRoad_act!F75)</f>
        <v>817.92347377664817</v>
      </c>
      <c r="G132" s="87">
        <f>IF(G44=0,0,1000000*G44/TrRoad_act!G75)</f>
        <v>815.63758083611981</v>
      </c>
      <c r="H132" s="87">
        <f>IF(H44=0,0,1000000*H44/TrRoad_act!H75)</f>
        <v>801.77130448552589</v>
      </c>
      <c r="I132" s="87">
        <f>IF(I44=0,0,1000000*I44/TrRoad_act!I75)</f>
        <v>787.51083496103104</v>
      </c>
      <c r="J132" s="87">
        <f>IF(J44=0,0,1000000*J44/TrRoad_act!J75)</f>
        <v>770.1630880058583</v>
      </c>
      <c r="K132" s="87">
        <f>IF(K44=0,0,1000000*K44/TrRoad_act!K75)</f>
        <v>756.77479031883684</v>
      </c>
      <c r="L132" s="87">
        <f>IF(L44=0,0,1000000*L44/TrRoad_act!L75)</f>
        <v>728.40377213193347</v>
      </c>
      <c r="M132" s="87">
        <f>IF(M44=0,0,1000000*M44/TrRoad_act!M75)</f>
        <v>721.02844249929797</v>
      </c>
      <c r="N132" s="87">
        <f>IF(N44=0,0,1000000*N44/TrRoad_act!N75)</f>
        <v>711.90416795386352</v>
      </c>
      <c r="O132" s="87">
        <f>IF(O44=0,0,1000000*O44/TrRoad_act!O75)</f>
        <v>704.99987316016018</v>
      </c>
      <c r="P132" s="87">
        <f>IF(P44=0,0,1000000*P44/TrRoad_act!P75)</f>
        <v>694.26544936100663</v>
      </c>
      <c r="Q132" s="87">
        <f>IF(Q44=0,0,1000000*Q44/TrRoad_act!Q75)</f>
        <v>676.85231707468927</v>
      </c>
      <c r="R132" s="87">
        <f>IF(R44=0,0,1000000*R44/TrRoad_act!R75)</f>
        <v>684.15299565158796</v>
      </c>
      <c r="S132" s="87">
        <f>IF(S44=0,0,1000000*S44/TrRoad_act!S75)</f>
        <v>680.16428843826827</v>
      </c>
      <c r="T132" s="87">
        <f>IF(T44=0,0,1000000*T44/TrRoad_act!T75)</f>
        <v>683.22025993496061</v>
      </c>
      <c r="U132" s="87">
        <f>IF(U44=0,0,1000000*U44/TrRoad_act!U75)</f>
        <v>678.72310640793773</v>
      </c>
      <c r="V132" s="87">
        <f>IF(V44=0,0,1000000*V44/TrRoad_act!V75)</f>
        <v>682.658459908601</v>
      </c>
      <c r="W132" s="87">
        <f>IF(W44=0,0,1000000*W44/TrRoad_act!W75)</f>
        <v>674.17471976667991</v>
      </c>
      <c r="X132" s="87">
        <f>IF(X44=0,0,1000000*X44/TrRoad_act!X75)</f>
        <v>664.73976173384381</v>
      </c>
      <c r="Y132" s="87">
        <f>IF(Y44=0,0,1000000*Y44/TrRoad_act!Y75)</f>
        <v>679.84248833517222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2023.7510685275763</v>
      </c>
      <c r="C133" s="87">
        <f>IF(C46=0,0,1000000*C46/TrRoad_act!C76)</f>
        <v>2115.5247173225985</v>
      </c>
      <c r="D133" s="87">
        <f>IF(D46=0,0,1000000*D46/TrRoad_act!D76)</f>
        <v>1970.8216420403789</v>
      </c>
      <c r="E133" s="87">
        <f>IF(E46=0,0,1000000*E46/TrRoad_act!E76)</f>
        <v>1887.5869976458737</v>
      </c>
      <c r="F133" s="87">
        <f>IF(F46=0,0,1000000*F46/TrRoad_act!F76)</f>
        <v>1886.0222434195807</v>
      </c>
      <c r="G133" s="87">
        <f>IF(G46=0,0,1000000*G46/TrRoad_act!G76)</f>
        <v>1891.7565863667148</v>
      </c>
      <c r="H133" s="87">
        <f>IF(H46=0,0,1000000*H46/TrRoad_act!H76)</f>
        <v>1815.176492886058</v>
      </c>
      <c r="I133" s="87">
        <f>IF(I46=0,0,1000000*I46/TrRoad_act!I76)</f>
        <v>1931.4055913345896</v>
      </c>
      <c r="J133" s="87">
        <f>IF(J46=0,0,1000000*J46/TrRoad_act!J76)</f>
        <v>1863.2780390681546</v>
      </c>
      <c r="K133" s="87">
        <f>IF(K46=0,0,1000000*K46/TrRoad_act!K76)</f>
        <v>1751.2521175533786</v>
      </c>
      <c r="L133" s="87">
        <f>IF(L46=0,0,1000000*L46/TrRoad_act!L76)</f>
        <v>1875.7816644264121</v>
      </c>
      <c r="M133" s="87">
        <f>IF(M46=0,0,1000000*M46/TrRoad_act!M76)</f>
        <v>1711.4576370107475</v>
      </c>
      <c r="N133" s="87">
        <f>IF(N46=0,0,1000000*N46/TrRoad_act!N76)</f>
        <v>1675.5808917457321</v>
      </c>
      <c r="O133" s="87">
        <f>IF(O46=0,0,1000000*O46/TrRoad_act!O76)</f>
        <v>1640.2659727169757</v>
      </c>
      <c r="P133" s="87">
        <f>IF(P46=0,0,1000000*P46/TrRoad_act!P76)</f>
        <v>1593.1915774385645</v>
      </c>
      <c r="Q133" s="87">
        <f>IF(Q46=0,0,1000000*Q46/TrRoad_act!Q76)</f>
        <v>1553.2182427120988</v>
      </c>
      <c r="R133" s="87">
        <f>IF(R46=0,0,1000000*R46/TrRoad_act!R76)</f>
        <v>1514.8839261849091</v>
      </c>
      <c r="S133" s="87">
        <f>IF(S46=0,0,1000000*S46/TrRoad_act!S76)</f>
        <v>1509.0537414440662</v>
      </c>
      <c r="T133" s="87">
        <f>IF(T46=0,0,1000000*T46/TrRoad_act!T76)</f>
        <v>1479.5389665564442</v>
      </c>
      <c r="U133" s="87">
        <f>IF(U46=0,0,1000000*U46/TrRoad_act!U76)</f>
        <v>1439.2588418493217</v>
      </c>
      <c r="V133" s="87">
        <f>IF(V46=0,0,1000000*V46/TrRoad_act!V76)</f>
        <v>1431.8951204203327</v>
      </c>
      <c r="W133" s="87">
        <f>IF(W46=0,0,1000000*W46/TrRoad_act!W76)</f>
        <v>1430.41278954772</v>
      </c>
      <c r="X133" s="87">
        <f>IF(X46=0,0,1000000*X46/TrRoad_act!X76)</f>
        <v>1405.5226035250002</v>
      </c>
      <c r="Y133" s="87">
        <f>IF(Y46=0,0,1000000*Y46/TrRoad_act!Y76)</f>
        <v>1382.5581052319499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1102.2823544621158</v>
      </c>
      <c r="O134" s="87">
        <f>IF(O48=0,0,1000000*O48/TrRoad_act!O77)</f>
        <v>1077.2719463241178</v>
      </c>
      <c r="P134" s="87">
        <f>IF(P48=0,0,1000000*P48/TrRoad_act!P77)</f>
        <v>998.11239291643096</v>
      </c>
      <c r="Q134" s="87">
        <f>IF(Q48=0,0,1000000*Q48/TrRoad_act!Q77)</f>
        <v>983.17278485780753</v>
      </c>
      <c r="R134" s="87">
        <f>IF(R48=0,0,1000000*R48/TrRoad_act!R77)</f>
        <v>1226.8697743279242</v>
      </c>
      <c r="S134" s="87">
        <f>IF(S48=0,0,1000000*S48/TrRoad_act!S77)</f>
        <v>1170.7644265028009</v>
      </c>
      <c r="T134" s="87">
        <f>IF(T48=0,0,1000000*T48/TrRoad_act!T77)</f>
        <v>1132.6453958638085</v>
      </c>
      <c r="U134" s="87">
        <f>IF(U48=0,0,1000000*U48/TrRoad_act!U77)</f>
        <v>1108.2766260373412</v>
      </c>
      <c r="V134" s="87">
        <f>IF(V48=0,0,1000000*V48/TrRoad_act!V77)</f>
        <v>1145.7864716835322</v>
      </c>
      <c r="W134" s="87">
        <f>IF(W48=0,0,1000000*W48/TrRoad_act!W77)</f>
        <v>1161.3848318133205</v>
      </c>
      <c r="X134" s="87">
        <f>IF(X48=0,0,1000000*X48/TrRoad_act!X77)</f>
        <v>1169.0339519592244</v>
      </c>
      <c r="Y134" s="87">
        <f>IF(Y48=0,0,1000000*Y48/TrRoad_act!Y77)</f>
        <v>1173.2170116316445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X135" s="87">
        <f>IF(X49=0,0,1000000*X49/TrRoad_act!X78)</f>
        <v>0</v>
      </c>
      <c r="Y135" s="87">
        <f>IF(Y49=0,0,1000000*Y49/TrRoad_act!Y78)</f>
        <v>0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181.13227108192865</v>
      </c>
      <c r="N136" s="87">
        <f>IF(N51=0,0,1000000*N51/TrRoad_act!N79)</f>
        <v>181.18231453469477</v>
      </c>
      <c r="O136" s="87">
        <f>IF(O51=0,0,1000000*O51/TrRoad_act!O79)</f>
        <v>183.23193710807547</v>
      </c>
      <c r="P136" s="87">
        <f>IF(P51=0,0,1000000*P51/TrRoad_act!P79)</f>
        <v>184.54617841746295</v>
      </c>
      <c r="Q136" s="87">
        <f>IF(Q51=0,0,1000000*Q51/TrRoad_act!Q79)</f>
        <v>183.72154459112528</v>
      </c>
      <c r="R136" s="87">
        <f>IF(R51=0,0,1000000*R51/TrRoad_act!R79)</f>
        <v>175.70950987365907</v>
      </c>
      <c r="S136" s="87">
        <f>IF(S51=0,0,1000000*S51/TrRoad_act!S79)</f>
        <v>187.14444648726052</v>
      </c>
      <c r="T136" s="87">
        <f>IF(T51=0,0,1000000*T51/TrRoad_act!T79)</f>
        <v>189.62171973291035</v>
      </c>
      <c r="U136" s="87">
        <f>IF(U51=0,0,1000000*U51/TrRoad_act!U79)</f>
        <v>202.57106937660092</v>
      </c>
      <c r="V136" s="87">
        <f>IF(V51=0,0,1000000*V51/TrRoad_act!V79)</f>
        <v>282.89360014049259</v>
      </c>
      <c r="W136" s="87">
        <f>IF(W51=0,0,1000000*W51/TrRoad_act!W79)</f>
        <v>311.31108709547271</v>
      </c>
      <c r="X136" s="87">
        <f>IF(X51=0,0,1000000*X51/TrRoad_act!X79)</f>
        <v>319.95751088811346</v>
      </c>
      <c r="Y136" s="87">
        <f>IF(Y51=0,0,1000000*Y51/TrRoad_act!Y79)</f>
        <v>309.09017735510849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2673.8292018081574</v>
      </c>
      <c r="C137" s="116">
        <f>IF(C52=0,0,1000000*C52/TrRoad_act!C80)</f>
        <v>4028.9341300348729</v>
      </c>
      <c r="D137" s="116">
        <f>IF(D52=0,0,1000000*D52/TrRoad_act!D80)</f>
        <v>4116.2111660859573</v>
      </c>
      <c r="E137" s="116">
        <f>IF(E52=0,0,1000000*E52/TrRoad_act!E80)</f>
        <v>4421.3498188133872</v>
      </c>
      <c r="F137" s="116">
        <f>IF(F52=0,0,1000000*F52/TrRoad_act!F80)</f>
        <v>4525.0166450171409</v>
      </c>
      <c r="G137" s="116">
        <f>IF(G52=0,0,1000000*G52/TrRoad_act!G80)</f>
        <v>5386.587016744309</v>
      </c>
      <c r="H137" s="116">
        <f>IF(H52=0,0,1000000*H52/TrRoad_act!H80)</f>
        <v>6212.6514426989488</v>
      </c>
      <c r="I137" s="116">
        <f>IF(I52=0,0,1000000*I52/TrRoad_act!I80)</f>
        <v>7798.5168160493058</v>
      </c>
      <c r="J137" s="116">
        <f>IF(J52=0,0,1000000*J52/TrRoad_act!J80)</f>
        <v>7333.6045957898577</v>
      </c>
      <c r="K137" s="116">
        <f>IF(K52=0,0,1000000*K52/TrRoad_act!K80)</f>
        <v>5861.9253170687352</v>
      </c>
      <c r="L137" s="116">
        <f>IF(L52=0,0,1000000*L52/TrRoad_act!L80)</f>
        <v>9984.2084031762952</v>
      </c>
      <c r="M137" s="116">
        <f>IF(M52=0,0,1000000*M52/TrRoad_act!M80)</f>
        <v>7534.9196823314187</v>
      </c>
      <c r="N137" s="116">
        <f>IF(N52=0,0,1000000*N52/TrRoad_act!N80)</f>
        <v>6741.7455429181828</v>
      </c>
      <c r="O137" s="116">
        <f>IF(O52=0,0,1000000*O52/TrRoad_act!O80)</f>
        <v>7296.0258168608816</v>
      </c>
      <c r="P137" s="116">
        <f>IF(P52=0,0,1000000*P52/TrRoad_act!P80)</f>
        <v>8044.9142114487158</v>
      </c>
      <c r="Q137" s="116">
        <f>IF(Q52=0,0,1000000*Q52/TrRoad_act!Q80)</f>
        <v>9220.4955356879</v>
      </c>
      <c r="R137" s="116">
        <f>IF(R52=0,0,1000000*R52/TrRoad_act!R80)</f>
        <v>9198.5656855845882</v>
      </c>
      <c r="S137" s="116">
        <f>IF(S52=0,0,1000000*S52/TrRoad_act!S80)</f>
        <v>10209.500722547084</v>
      </c>
      <c r="T137" s="116">
        <f>IF(T52=0,0,1000000*T52/TrRoad_act!T80)</f>
        <v>10451.460191869939</v>
      </c>
      <c r="U137" s="116">
        <f>IF(U52=0,0,1000000*U52/TrRoad_act!U80)</f>
        <v>10030.661712088882</v>
      </c>
      <c r="V137" s="116">
        <f>IF(V52=0,0,1000000*V52/TrRoad_act!V80)</f>
        <v>9285.0287625555811</v>
      </c>
      <c r="W137" s="116">
        <f>IF(W52=0,0,1000000*W52/TrRoad_act!W80)</f>
        <v>10914.911592555287</v>
      </c>
      <c r="X137" s="116">
        <f>IF(X52=0,0,1000000*X52/TrRoad_act!X80)</f>
        <v>10184.575021592393</v>
      </c>
      <c r="Y137" s="116">
        <f>IF(Y52=0,0,1000000*Y52/TrRoad_act!Y80)</f>
        <v>9453.968643676817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1691.4531052978057</v>
      </c>
      <c r="C138" s="101">
        <f>IF(C53=0,0,1000000*C53/TrRoad_act!C81)</f>
        <v>2100.2861558855416</v>
      </c>
      <c r="D138" s="101">
        <f>IF(D53=0,0,1000000*D53/TrRoad_act!D81)</f>
        <v>2411.0923295257462</v>
      </c>
      <c r="E138" s="101">
        <f>IF(E53=0,0,1000000*E53/TrRoad_act!E81)</f>
        <v>2703.6902276173469</v>
      </c>
      <c r="F138" s="101">
        <f>IF(F53=0,0,1000000*F53/TrRoad_act!F81)</f>
        <v>2581.6334707355195</v>
      </c>
      <c r="G138" s="101">
        <f>IF(G53=0,0,1000000*G53/TrRoad_act!G81)</f>
        <v>3045.2872689768192</v>
      </c>
      <c r="H138" s="101">
        <f>IF(H53=0,0,1000000*H53/TrRoad_act!H81)</f>
        <v>3215.4429177674115</v>
      </c>
      <c r="I138" s="101">
        <f>IF(I53=0,0,1000000*I53/TrRoad_act!I81)</f>
        <v>3996.3025913121323</v>
      </c>
      <c r="J138" s="101">
        <f>IF(J53=0,0,1000000*J53/TrRoad_act!J81)</f>
        <v>3871.6394677978215</v>
      </c>
      <c r="K138" s="101">
        <f>IF(K53=0,0,1000000*K53/TrRoad_act!K81)</f>
        <v>3554.7637756036002</v>
      </c>
      <c r="L138" s="101">
        <f>IF(L53=0,0,1000000*L53/TrRoad_act!L81)</f>
        <v>4577.6076981997185</v>
      </c>
      <c r="M138" s="101">
        <f>IF(M53=0,0,1000000*M53/TrRoad_act!M81)</f>
        <v>3800.9269718425057</v>
      </c>
      <c r="N138" s="101">
        <f>IF(N53=0,0,1000000*N53/TrRoad_act!N81)</f>
        <v>3169.8776925925827</v>
      </c>
      <c r="O138" s="101">
        <f>IF(O53=0,0,1000000*O53/TrRoad_act!O81)</f>
        <v>3574.6965017572566</v>
      </c>
      <c r="P138" s="101">
        <f>IF(P53=0,0,1000000*P53/TrRoad_act!P81)</f>
        <v>3972.2514213987261</v>
      </c>
      <c r="Q138" s="101">
        <f>IF(Q53=0,0,1000000*Q53/TrRoad_act!Q81)</f>
        <v>4335.7889910457307</v>
      </c>
      <c r="R138" s="101">
        <f>IF(R53=0,0,1000000*R53/TrRoad_act!R81)</f>
        <v>4604.5779771162033</v>
      </c>
      <c r="S138" s="101">
        <f>IF(S53=0,0,1000000*S53/TrRoad_act!S81)</f>
        <v>5188.220903856416</v>
      </c>
      <c r="T138" s="101">
        <f>IF(T53=0,0,1000000*T53/TrRoad_act!T81)</f>
        <v>5294.0384687562</v>
      </c>
      <c r="U138" s="101">
        <f>IF(U53=0,0,1000000*U53/TrRoad_act!U81)</f>
        <v>5296.5190932655396</v>
      </c>
      <c r="V138" s="101">
        <f>IF(V53=0,0,1000000*V53/TrRoad_act!V81)</f>
        <v>5105.8392509785117</v>
      </c>
      <c r="W138" s="101">
        <f>IF(W53=0,0,1000000*W53/TrRoad_act!W81)</f>
        <v>6117.6216673583649</v>
      </c>
      <c r="X138" s="101">
        <f>IF(X53=0,0,1000000*X53/TrRoad_act!X81)</f>
        <v>5640.0212395509052</v>
      </c>
      <c r="Y138" s="101">
        <f>IF(Y53=0,0,1000000*Y53/TrRoad_act!Y81)</f>
        <v>5343.9750436663408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88008.907910234208</v>
      </c>
      <c r="C139" s="88">
        <f>IF(C55=0,0,1000000*C55/TrRoad_act!C82)</f>
        <v>164163.97272116196</v>
      </c>
      <c r="D139" s="88">
        <f>IF(D55=0,0,1000000*D55/TrRoad_act!D82)</f>
        <v>141622.77077475213</v>
      </c>
      <c r="E139" s="88">
        <f>IF(E55=0,0,1000000*E55/TrRoad_act!E82)</f>
        <v>140987.77031011367</v>
      </c>
      <c r="F139" s="88">
        <f>IF(F55=0,0,1000000*F55/TrRoad_act!F82)</f>
        <v>134755.56380805626</v>
      </c>
      <c r="G139" s="88">
        <f>IF(G55=0,0,1000000*G55/TrRoad_act!G82)</f>
        <v>150010.50765942235</v>
      </c>
      <c r="H139" s="88">
        <f>IF(H55=0,0,1000000*H55/TrRoad_act!H82)</f>
        <v>152287.89808184039</v>
      </c>
      <c r="I139" s="88">
        <f>IF(I55=0,0,1000000*I55/TrRoad_act!I82)</f>
        <v>163354.0020292906</v>
      </c>
      <c r="J139" s="88">
        <f>IF(J55=0,0,1000000*J55/TrRoad_act!J82)</f>
        <v>145973.01966444904</v>
      </c>
      <c r="K139" s="88">
        <f>IF(K55=0,0,1000000*K55/TrRoad_act!K82)</f>
        <v>123197.56942586708</v>
      </c>
      <c r="L139" s="88">
        <f>IF(L55=0,0,1000000*L55/TrRoad_act!L82)</f>
        <v>186106.98483753574</v>
      </c>
      <c r="M139" s="88">
        <f>IF(M55=0,0,1000000*M55/TrRoad_act!M82)</f>
        <v>107298.10886080438</v>
      </c>
      <c r="N139" s="88">
        <f>IF(N55=0,0,1000000*N55/TrRoad_act!N82)</f>
        <v>92009.443009633673</v>
      </c>
      <c r="O139" s="88">
        <f>IF(O55=0,0,1000000*O55/TrRoad_act!O82)</f>
        <v>79288.940006287754</v>
      </c>
      <c r="P139" s="88">
        <f>IF(P55=0,0,1000000*P55/TrRoad_act!P82)</f>
        <v>76717.089319512714</v>
      </c>
      <c r="Q139" s="88">
        <f>IF(Q55=0,0,1000000*Q55/TrRoad_act!Q82)</f>
        <v>74374.571997769992</v>
      </c>
      <c r="R139" s="88">
        <f>IF(R55=0,0,1000000*R55/TrRoad_act!R82)</f>
        <v>66986.095281581642</v>
      </c>
      <c r="S139" s="88">
        <f>IF(S55=0,0,1000000*S55/TrRoad_act!S82)</f>
        <v>74335.061354457473</v>
      </c>
      <c r="T139" s="88">
        <f>IF(T55=0,0,1000000*T55/TrRoad_act!T82)</f>
        <v>71572.335010854149</v>
      </c>
      <c r="U139" s="88">
        <f>IF(U55=0,0,1000000*U55/TrRoad_act!U82)</f>
        <v>71154.012500649798</v>
      </c>
      <c r="V139" s="88">
        <f>IF(V55=0,0,1000000*V55/TrRoad_act!V82)</f>
        <v>55339.090033958862</v>
      </c>
      <c r="W139" s="88">
        <f>IF(W55=0,0,1000000*W55/TrRoad_act!W82)</f>
        <v>63354.085330945767</v>
      </c>
      <c r="X139" s="88">
        <f>IF(X55=0,0,1000000*X55/TrRoad_act!X82)</f>
        <v>58529.666170549237</v>
      </c>
      <c r="Y139" s="88">
        <f>IF(Y55=0,0,1000000*Y55/TrRoad_act!Y82)</f>
        <v>54458.683584152146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0.72505180750941867</v>
      </c>
      <c r="C142" s="46">
        <f t="shared" si="42"/>
        <v>0.6612118587454715</v>
      </c>
      <c r="D142" s="46">
        <f t="shared" si="42"/>
        <v>0.6462123214321337</v>
      </c>
      <c r="E142" s="46">
        <f t="shared" si="42"/>
        <v>0.64540507743294173</v>
      </c>
      <c r="F142" s="46">
        <f t="shared" si="42"/>
        <v>0.64022066405130318</v>
      </c>
      <c r="G142" s="46">
        <f t="shared" si="42"/>
        <v>0.62410054064371523</v>
      </c>
      <c r="H142" s="46">
        <f t="shared" si="42"/>
        <v>0.62778130787277409</v>
      </c>
      <c r="I142" s="46">
        <f t="shared" si="42"/>
        <v>0.60882658694341674</v>
      </c>
      <c r="J142" s="46">
        <f t="shared" si="42"/>
        <v>0.61901500213097138</v>
      </c>
      <c r="K142" s="46">
        <f t="shared" si="42"/>
        <v>0.64082024477728183</v>
      </c>
      <c r="L142" s="46">
        <f t="shared" ref="L142" si="43">IF(L18=0,0,L18/L$17)</f>
        <v>0.6125972891109005</v>
      </c>
      <c r="M142" s="46">
        <f t="shared" ref="M142:V142" si="44">IF(M18=0,0,M18/M$17)</f>
        <v>0.66339865539541465</v>
      </c>
      <c r="N142" s="46">
        <f t="shared" si="44"/>
        <v>0.67239735939835088</v>
      </c>
      <c r="O142" s="46">
        <f t="shared" si="44"/>
        <v>0.66353460845766021</v>
      </c>
      <c r="P142" s="46">
        <f t="shared" si="44"/>
        <v>0.68120606301932241</v>
      </c>
      <c r="Q142" s="46">
        <f t="shared" si="44"/>
        <v>0.68034843222100483</v>
      </c>
      <c r="R142" s="46">
        <f t="shared" si="44"/>
        <v>0.69542711444618488</v>
      </c>
      <c r="S142" s="46">
        <f t="shared" si="44"/>
        <v>0.68298084029418338</v>
      </c>
      <c r="T142" s="46">
        <f t="shared" si="44"/>
        <v>0.68199407984180194</v>
      </c>
      <c r="U142" s="46">
        <f t="shared" si="44"/>
        <v>0.6935965838094007</v>
      </c>
      <c r="V142" s="46">
        <f t="shared" si="44"/>
        <v>0.68795239272501374</v>
      </c>
      <c r="W142" s="46">
        <f t="shared" ref="W142:Y142" si="45">IF(W18=0,0,W18/W$17)</f>
        <v>0.66975289530569204</v>
      </c>
      <c r="X142" s="46">
        <f t="shared" si="45"/>
        <v>0.65453037451983487</v>
      </c>
      <c r="Y142" s="46">
        <f t="shared" si="45"/>
        <v>0.66195075847069806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4.4868633099238242E-3</v>
      </c>
      <c r="C143" s="154">
        <f t="shared" si="46"/>
        <v>3.766286805094859E-3</v>
      </c>
      <c r="D143" s="154">
        <f t="shared" si="46"/>
        <v>3.638731836336151E-3</v>
      </c>
      <c r="E143" s="154">
        <f t="shared" si="46"/>
        <v>3.4525602003549279E-3</v>
      </c>
      <c r="F143" s="154">
        <f t="shared" si="46"/>
        <v>3.2383031236293226E-3</v>
      </c>
      <c r="G143" s="154">
        <f t="shared" si="46"/>
        <v>3.0379932733934586E-3</v>
      </c>
      <c r="H143" s="154">
        <f t="shared" si="46"/>
        <v>2.6239319704112274E-3</v>
      </c>
      <c r="I143" s="154">
        <f t="shared" si="46"/>
        <v>2.1880771932453942E-3</v>
      </c>
      <c r="J143" s="154">
        <f t="shared" si="46"/>
        <v>2.1958872161792539E-3</v>
      </c>
      <c r="K143" s="154">
        <f t="shared" si="46"/>
        <v>2.4129757807599163E-3</v>
      </c>
      <c r="L143" s="154">
        <f t="shared" ref="L143" si="47">IF(L19=0,0,L19/L$17)</f>
        <v>2.2857256806130669E-3</v>
      </c>
      <c r="M143" s="154">
        <f t="shared" ref="M143:V143" si="48">IF(M19=0,0,M19/M$17)</f>
        <v>2.5462678606185843E-3</v>
      </c>
      <c r="N143" s="154">
        <f t="shared" si="48"/>
        <v>2.3942402582438362E-3</v>
      </c>
      <c r="O143" s="154">
        <f t="shared" si="48"/>
        <v>2.3995775477076518E-3</v>
      </c>
      <c r="P143" s="154">
        <f t="shared" si="48"/>
        <v>2.6657590746377341E-3</v>
      </c>
      <c r="Q143" s="154">
        <f t="shared" si="48"/>
        <v>3.0949928333451992E-3</v>
      </c>
      <c r="R143" s="154">
        <f t="shared" si="48"/>
        <v>2.9997724377793366E-3</v>
      </c>
      <c r="S143" s="154">
        <f t="shared" si="48"/>
        <v>2.6421510551740798E-3</v>
      </c>
      <c r="T143" s="154">
        <f t="shared" si="48"/>
        <v>2.4191754831449502E-3</v>
      </c>
      <c r="U143" s="154">
        <f t="shared" si="48"/>
        <v>2.5125213617485666E-3</v>
      </c>
      <c r="V143" s="154">
        <f t="shared" si="48"/>
        <v>2.3200683030483284E-3</v>
      </c>
      <c r="W143" s="154">
        <f t="shared" ref="W143:Y143" si="49">IF(W19=0,0,W19/W$17)</f>
        <v>2.4324986742064584E-3</v>
      </c>
      <c r="X143" s="154">
        <f t="shared" si="49"/>
        <v>2.5898246646465905E-3</v>
      </c>
      <c r="Y143" s="154">
        <f t="shared" si="49"/>
        <v>2.8310670840188093E-3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0.59501261905868963</v>
      </c>
      <c r="C144" s="156">
        <f t="shared" si="50"/>
        <v>0.54149452224850447</v>
      </c>
      <c r="D144" s="156">
        <f t="shared" si="50"/>
        <v>0.53201641050348358</v>
      </c>
      <c r="E144" s="156">
        <f t="shared" si="50"/>
        <v>0.5299760063498643</v>
      </c>
      <c r="F144" s="156">
        <f t="shared" si="50"/>
        <v>0.52952159872143201</v>
      </c>
      <c r="G144" s="156">
        <f t="shared" si="50"/>
        <v>0.51885098352199677</v>
      </c>
      <c r="H144" s="156">
        <f t="shared" si="50"/>
        <v>0.53541746094536491</v>
      </c>
      <c r="I144" s="156">
        <f t="shared" si="50"/>
        <v>0.52758725712564658</v>
      </c>
      <c r="J144" s="156">
        <f t="shared" si="50"/>
        <v>0.53808744574606526</v>
      </c>
      <c r="K144" s="156">
        <f t="shared" si="50"/>
        <v>0.55369308239413295</v>
      </c>
      <c r="L144" s="156">
        <f t="shared" ref="L144" si="51">IF(L21=0,0,L21/L$17)</f>
        <v>0.52431816133038034</v>
      </c>
      <c r="M144" s="156">
        <f t="shared" ref="M144:V144" si="52">IF(M21=0,0,M21/M$17)</f>
        <v>0.57203105083791683</v>
      </c>
      <c r="N144" s="156">
        <f t="shared" si="52"/>
        <v>0.5795921177745188</v>
      </c>
      <c r="O144" s="156">
        <f t="shared" si="52"/>
        <v>0.57350439503857398</v>
      </c>
      <c r="P144" s="156">
        <f t="shared" si="52"/>
        <v>0.59875986955076066</v>
      </c>
      <c r="Q144" s="156">
        <f t="shared" si="52"/>
        <v>0.60278830128916983</v>
      </c>
      <c r="R144" s="156">
        <f t="shared" si="52"/>
        <v>0.61843254379528101</v>
      </c>
      <c r="S144" s="156">
        <f t="shared" si="52"/>
        <v>0.60876237693546742</v>
      </c>
      <c r="T144" s="156">
        <f t="shared" si="52"/>
        <v>0.61181087332873119</v>
      </c>
      <c r="U144" s="156">
        <f t="shared" si="52"/>
        <v>0.62749868445828549</v>
      </c>
      <c r="V144" s="156">
        <f t="shared" si="52"/>
        <v>0.63256143713757618</v>
      </c>
      <c r="W144" s="156">
        <f t="shared" ref="W144:Y144" si="53">IF(W21=0,0,W21/W$17)</f>
        <v>0.62163374721943943</v>
      </c>
      <c r="X144" s="156">
        <f t="shared" si="53"/>
        <v>0.60160970381319012</v>
      </c>
      <c r="Y144" s="156">
        <f t="shared" si="53"/>
        <v>0.60848672617151145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0.50845745028925615</v>
      </c>
      <c r="C145" s="103">
        <f t="shared" si="54"/>
        <v>0.44886174901827813</v>
      </c>
      <c r="D145" s="103">
        <f t="shared" si="54"/>
        <v>0.42860556418056522</v>
      </c>
      <c r="E145" s="103">
        <f t="shared" si="54"/>
        <v>0.40985939987113545</v>
      </c>
      <c r="F145" s="103">
        <f t="shared" si="54"/>
        <v>0.39274249071883444</v>
      </c>
      <c r="G145" s="103">
        <f t="shared" si="54"/>
        <v>0.36624674184928041</v>
      </c>
      <c r="H145" s="103">
        <f t="shared" si="54"/>
        <v>0.3640918215897137</v>
      </c>
      <c r="I145" s="103">
        <f t="shared" si="54"/>
        <v>0.35302711861943997</v>
      </c>
      <c r="J145" s="103">
        <f t="shared" si="54"/>
        <v>0.34333319518886374</v>
      </c>
      <c r="K145" s="103">
        <f t="shared" si="54"/>
        <v>0.3306887928305921</v>
      </c>
      <c r="L145" s="103">
        <f t="shared" ref="L145" si="55">IF(L22=0,0,L22/L$17)</f>
        <v>0.29374804780261776</v>
      </c>
      <c r="M145" s="103">
        <f t="shared" ref="M145:V145" si="56">IF(M22=0,0,M22/M$17)</f>
        <v>0.31323892129185016</v>
      </c>
      <c r="N145" s="103">
        <f t="shared" si="56"/>
        <v>0.27853391461792398</v>
      </c>
      <c r="O145" s="103">
        <f t="shared" si="56"/>
        <v>0.24828465161235813</v>
      </c>
      <c r="P145" s="103">
        <f t="shared" si="56"/>
        <v>0.23047193330856586</v>
      </c>
      <c r="Q145" s="103">
        <f t="shared" si="56"/>
        <v>0.21553735359825521</v>
      </c>
      <c r="R145" s="103">
        <f t="shared" si="56"/>
        <v>0.20999911939621821</v>
      </c>
      <c r="S145" s="103">
        <f t="shared" si="56"/>
        <v>0.19211120884342642</v>
      </c>
      <c r="T145" s="103">
        <f t="shared" si="56"/>
        <v>0.18051215419578709</v>
      </c>
      <c r="U145" s="103">
        <f t="shared" si="56"/>
        <v>0.16968817681403531</v>
      </c>
      <c r="V145" s="103">
        <f t="shared" si="56"/>
        <v>0.1744313556611698</v>
      </c>
      <c r="W145" s="103">
        <f t="shared" ref="W145:Y145" si="57">IF(W22=0,0,W22/W$17)</f>
        <v>0.16605738347300469</v>
      </c>
      <c r="X145" s="103">
        <f t="shared" si="57"/>
        <v>0.14920835553725423</v>
      </c>
      <c r="Y145" s="103">
        <f t="shared" si="57"/>
        <v>0.15306191263448332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5.428512256094143E-2</v>
      </c>
      <c r="C146" s="103">
        <f t="shared" si="58"/>
        <v>6.5636786117923007E-2</v>
      </c>
      <c r="D146" s="103">
        <f t="shared" si="58"/>
        <v>7.7152303766418975E-2</v>
      </c>
      <c r="E146" s="103">
        <f t="shared" si="58"/>
        <v>9.2389882857037781E-2</v>
      </c>
      <c r="F146" s="103">
        <f t="shared" si="58"/>
        <v>0.10792429962642348</v>
      </c>
      <c r="G146" s="103">
        <f t="shared" si="58"/>
        <v>0.12393471479641793</v>
      </c>
      <c r="H146" s="103">
        <f t="shared" si="58"/>
        <v>0.1437197764203636</v>
      </c>
      <c r="I146" s="103">
        <f t="shared" si="58"/>
        <v>0.15204384939897428</v>
      </c>
      <c r="J146" s="103">
        <f t="shared" si="58"/>
        <v>0.17378154086992753</v>
      </c>
      <c r="K146" s="103">
        <f t="shared" si="58"/>
        <v>0.2012952381182059</v>
      </c>
      <c r="L146" s="103">
        <f t="shared" ref="L146" si="59">IF(L24=0,0,L24/L$17)</f>
        <v>0.20675708936769943</v>
      </c>
      <c r="M146" s="103">
        <f t="shared" ref="M146:V146" si="60">IF(M24=0,0,M24/M$17)</f>
        <v>0.22652210159290759</v>
      </c>
      <c r="N146" s="103">
        <f t="shared" si="60"/>
        <v>0.24770731665144405</v>
      </c>
      <c r="O146" s="103">
        <f t="shared" si="60"/>
        <v>0.25876029814873497</v>
      </c>
      <c r="P146" s="103">
        <f t="shared" si="60"/>
        <v>0.2982169510960051</v>
      </c>
      <c r="Q146" s="103">
        <f t="shared" si="60"/>
        <v>0.32052299553468078</v>
      </c>
      <c r="R146" s="103">
        <f t="shared" si="60"/>
        <v>0.34465986561649364</v>
      </c>
      <c r="S146" s="103">
        <f t="shared" si="60"/>
        <v>0.35970480353350415</v>
      </c>
      <c r="T146" s="103">
        <f t="shared" si="60"/>
        <v>0.3786683975973113</v>
      </c>
      <c r="U146" s="103">
        <f t="shared" si="60"/>
        <v>0.41184910151864751</v>
      </c>
      <c r="V146" s="103">
        <f t="shared" si="60"/>
        <v>0.4150432546563444</v>
      </c>
      <c r="W146" s="103">
        <f t="shared" ref="W146:Y146" si="61">IF(W24=0,0,W24/W$17)</f>
        <v>0.41774832380846494</v>
      </c>
      <c r="X146" s="103">
        <f t="shared" si="61"/>
        <v>0.41559798100633721</v>
      </c>
      <c r="Y146" s="103">
        <f t="shared" si="61"/>
        <v>0.42150567152840157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3.2128230214079692E-2</v>
      </c>
      <c r="C147" s="103">
        <f t="shared" si="62"/>
        <v>2.6886463461177464E-2</v>
      </c>
      <c r="D147" s="103">
        <f t="shared" si="62"/>
        <v>2.6162190465543227E-2</v>
      </c>
      <c r="E147" s="103">
        <f t="shared" si="62"/>
        <v>2.7641620771695369E-2</v>
      </c>
      <c r="F147" s="103">
        <f t="shared" si="62"/>
        <v>2.8782012669420716E-2</v>
      </c>
      <c r="G147" s="103">
        <f t="shared" si="62"/>
        <v>2.8601167735759523E-2</v>
      </c>
      <c r="H147" s="103">
        <f t="shared" si="62"/>
        <v>2.7558371848802429E-2</v>
      </c>
      <c r="I147" s="103">
        <f t="shared" si="62"/>
        <v>2.2477601433771081E-2</v>
      </c>
      <c r="J147" s="103">
        <f t="shared" si="62"/>
        <v>2.0936664439402914E-2</v>
      </c>
      <c r="K147" s="103">
        <f t="shared" si="62"/>
        <v>2.1671318814575735E-2</v>
      </c>
      <c r="L147" s="103">
        <f t="shared" ref="L147" si="63">IF(L26=0,0,L26/L$17)</f>
        <v>2.3813024160063166E-2</v>
      </c>
      <c r="M147" s="103">
        <f t="shared" ref="M147:V147" si="64">IF(M26=0,0,M26/M$17)</f>
        <v>3.2270027953159121E-2</v>
      </c>
      <c r="N147" s="103">
        <f t="shared" si="64"/>
        <v>5.3347608649756219E-2</v>
      </c>
      <c r="O147" s="103">
        <f t="shared" si="64"/>
        <v>6.6453878078938489E-2</v>
      </c>
      <c r="P147" s="103">
        <f t="shared" si="64"/>
        <v>7.0036328285848104E-2</v>
      </c>
      <c r="Q147" s="103">
        <f t="shared" si="64"/>
        <v>6.6685647811376897E-2</v>
      </c>
      <c r="R147" s="103">
        <f t="shared" si="64"/>
        <v>6.372448132787481E-2</v>
      </c>
      <c r="S147" s="103">
        <f t="shared" si="64"/>
        <v>5.6879041130231546E-2</v>
      </c>
      <c r="T147" s="103">
        <f t="shared" si="64"/>
        <v>5.2471683351954783E-2</v>
      </c>
      <c r="U147" s="103">
        <f t="shared" si="64"/>
        <v>4.570769019624852E-2</v>
      </c>
      <c r="V147" s="103">
        <f t="shared" si="64"/>
        <v>4.2663307749935361E-2</v>
      </c>
      <c r="W147" s="103">
        <f t="shared" ref="W147:Y147" si="65">IF(W26=0,0,W26/W$17)</f>
        <v>3.7170144393256249E-2</v>
      </c>
      <c r="X147" s="103">
        <f t="shared" si="65"/>
        <v>3.5671314996119176E-2</v>
      </c>
      <c r="Y147" s="103">
        <f t="shared" si="65"/>
        <v>3.215723811034478E-2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1.4181599441239691E-4</v>
      </c>
      <c r="C148" s="103">
        <f t="shared" si="66"/>
        <v>1.0952365112593971E-4</v>
      </c>
      <c r="D148" s="103">
        <f t="shared" si="66"/>
        <v>9.6352090956185145E-5</v>
      </c>
      <c r="E148" s="103">
        <f t="shared" si="66"/>
        <v>8.5102849995805335E-5</v>
      </c>
      <c r="F148" s="103">
        <f t="shared" si="66"/>
        <v>7.2795706753334998E-5</v>
      </c>
      <c r="G148" s="103">
        <f t="shared" si="66"/>
        <v>6.835914053888641E-5</v>
      </c>
      <c r="H148" s="103">
        <f t="shared" si="66"/>
        <v>4.7491086485169954E-5</v>
      </c>
      <c r="I148" s="103">
        <f t="shared" si="66"/>
        <v>3.8687673461333064E-5</v>
      </c>
      <c r="J148" s="103">
        <f t="shared" si="66"/>
        <v>3.6045247871142358E-5</v>
      </c>
      <c r="K148" s="103">
        <f t="shared" si="66"/>
        <v>3.773263075920192E-5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0</v>
      </c>
      <c r="O148" s="103">
        <f t="shared" si="68"/>
        <v>0</v>
      </c>
      <c r="P148" s="103">
        <f t="shared" si="68"/>
        <v>0</v>
      </c>
      <c r="Q148" s="103">
        <f t="shared" si="68"/>
        <v>0</v>
      </c>
      <c r="R148" s="103">
        <f t="shared" si="68"/>
        <v>0</v>
      </c>
      <c r="S148" s="103">
        <f t="shared" si="68"/>
        <v>0</v>
      </c>
      <c r="T148" s="103">
        <f t="shared" si="68"/>
        <v>5.3265596188904993E-5</v>
      </c>
      <c r="U148" s="103">
        <f t="shared" si="68"/>
        <v>9.0025701125287527E-5</v>
      </c>
      <c r="V148" s="103">
        <f t="shared" si="68"/>
        <v>1.0308853878279891E-4</v>
      </c>
      <c r="W148" s="103">
        <f t="shared" ref="W148:Y148" si="69">IF(W27=0,0,W27/W$17)</f>
        <v>1.098771658985709E-4</v>
      </c>
      <c r="X148" s="103">
        <f t="shared" si="69"/>
        <v>1.1725982305258054E-4</v>
      </c>
      <c r="Y148" s="103">
        <f t="shared" si="69"/>
        <v>1.2686596447515232E-4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1.0078689030745131E-6</v>
      </c>
      <c r="O149" s="103">
        <f t="shared" si="72"/>
        <v>2.1651506556695256E-6</v>
      </c>
      <c r="P149" s="103">
        <f t="shared" si="72"/>
        <v>3.4415545654037654E-6</v>
      </c>
      <c r="Q149" s="103">
        <f t="shared" si="72"/>
        <v>7.9308247399698252E-6</v>
      </c>
      <c r="R149" s="103">
        <f t="shared" si="72"/>
        <v>8.5271747798090964E-6</v>
      </c>
      <c r="S149" s="103">
        <f t="shared" si="72"/>
        <v>1.6500881296275382E-5</v>
      </c>
      <c r="T149" s="103">
        <f t="shared" si="72"/>
        <v>3.0432138729623579E-5</v>
      </c>
      <c r="U149" s="103">
        <f t="shared" si="72"/>
        <v>4.3027875937541135E-5</v>
      </c>
      <c r="V149" s="103">
        <f t="shared" si="72"/>
        <v>8.0158617508609243E-5</v>
      </c>
      <c r="W149" s="103">
        <f t="shared" ref="W149:Y149" si="73">IF(W29=0,0,W29/W$17)</f>
        <v>1.3142419218102711E-4</v>
      </c>
      <c r="X149" s="103">
        <f t="shared" si="73"/>
        <v>1.9806130476959869E-4</v>
      </c>
      <c r="Y149" s="103">
        <f t="shared" si="73"/>
        <v>2.9337397416728464E-4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0</v>
      </c>
      <c r="M150" s="103">
        <f t="shared" ref="M150:V150" si="76">IF(M32=0,0,M32/M$17)</f>
        <v>0</v>
      </c>
      <c r="N150" s="103">
        <f t="shared" si="76"/>
        <v>2.2699864914941803E-6</v>
      </c>
      <c r="O150" s="103">
        <f t="shared" si="76"/>
        <v>3.4020478867077681E-6</v>
      </c>
      <c r="P150" s="103">
        <f t="shared" si="76"/>
        <v>3.1215305776250591E-5</v>
      </c>
      <c r="Q150" s="103">
        <f t="shared" si="76"/>
        <v>3.437352011705582E-5</v>
      </c>
      <c r="R150" s="103">
        <f t="shared" si="76"/>
        <v>4.0550279914558427E-5</v>
      </c>
      <c r="S150" s="103">
        <f t="shared" si="76"/>
        <v>5.0822547009066795E-5</v>
      </c>
      <c r="T150" s="103">
        <f t="shared" si="76"/>
        <v>7.4940448759467667E-5</v>
      </c>
      <c r="U150" s="103">
        <f t="shared" si="76"/>
        <v>1.206623522914493E-4</v>
      </c>
      <c r="V150" s="103">
        <f t="shared" si="76"/>
        <v>2.4027191383511507E-4</v>
      </c>
      <c r="W150" s="103">
        <f t="shared" ref="W150:Y150" si="77">IF(W32=0,0,W32/W$17)</f>
        <v>4.165941866339842E-4</v>
      </c>
      <c r="X150" s="103">
        <f t="shared" si="77"/>
        <v>8.1673114565724528E-4</v>
      </c>
      <c r="Y150" s="103">
        <f t="shared" si="77"/>
        <v>1.3416639596393462E-3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0.12555232514080519</v>
      </c>
      <c r="C151" s="156">
        <f t="shared" si="78"/>
        <v>0.11595104969187223</v>
      </c>
      <c r="D151" s="156">
        <f t="shared" si="78"/>
        <v>0.11055717909231394</v>
      </c>
      <c r="E151" s="156">
        <f t="shared" si="78"/>
        <v>0.11197651088272251</v>
      </c>
      <c r="F151" s="156">
        <f t="shared" si="78"/>
        <v>0.1074607622062419</v>
      </c>
      <c r="G151" s="156">
        <f t="shared" si="78"/>
        <v>0.1022115638483251</v>
      </c>
      <c r="H151" s="156">
        <f t="shared" si="78"/>
        <v>8.9739914956998026E-2</v>
      </c>
      <c r="I151" s="156">
        <f t="shared" si="78"/>
        <v>7.9051252624524726E-2</v>
      </c>
      <c r="J151" s="156">
        <f t="shared" si="78"/>
        <v>7.8731669168726731E-2</v>
      </c>
      <c r="K151" s="156">
        <f t="shared" si="78"/>
        <v>8.4714186602389024E-2</v>
      </c>
      <c r="L151" s="156">
        <f t="shared" ref="L151" si="79">IF(L33=0,0,L33/L$17)</f>
        <v>8.5993402099907024E-2</v>
      </c>
      <c r="M151" s="156">
        <f t="shared" ref="M151:V151" si="80">IF(M33=0,0,M33/M$17)</f>
        <v>8.8821336696879236E-2</v>
      </c>
      <c r="N151" s="156">
        <f t="shared" si="80"/>
        <v>9.0411001365588176E-2</v>
      </c>
      <c r="O151" s="156">
        <f t="shared" si="80"/>
        <v>8.7630635871378509E-2</v>
      </c>
      <c r="P151" s="156">
        <f t="shared" si="80"/>
        <v>7.9780434393923974E-2</v>
      </c>
      <c r="Q151" s="156">
        <f t="shared" si="80"/>
        <v>7.4465138098489744E-2</v>
      </c>
      <c r="R151" s="156">
        <f t="shared" si="80"/>
        <v>7.3994798213124574E-2</v>
      </c>
      <c r="S151" s="156">
        <f t="shared" si="80"/>
        <v>7.1576312303541778E-2</v>
      </c>
      <c r="T151" s="156">
        <f t="shared" si="80"/>
        <v>6.7764031029925828E-2</v>
      </c>
      <c r="U151" s="156">
        <f t="shared" si="80"/>
        <v>6.3585377989366629E-2</v>
      </c>
      <c r="V151" s="156">
        <f t="shared" si="80"/>
        <v>5.307088728438928E-2</v>
      </c>
      <c r="W151" s="156">
        <f t="shared" ref="W151:Y151" si="81">IF(W33=0,0,W33/W$17)</f>
        <v>4.5686649412046115E-2</v>
      </c>
      <c r="X151" s="156">
        <f t="shared" si="81"/>
        <v>5.0330846041998202E-2</v>
      </c>
      <c r="Y151" s="156">
        <f t="shared" si="81"/>
        <v>5.0632965215167823E-2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4.7082850141752916E-3</v>
      </c>
      <c r="C152" s="103">
        <f t="shared" si="82"/>
        <v>3.7271747978586105E-3</v>
      </c>
      <c r="D152" s="103">
        <f t="shared" si="82"/>
        <v>3.587715295565013E-3</v>
      </c>
      <c r="E152" s="103">
        <f t="shared" si="82"/>
        <v>3.324614592929629E-3</v>
      </c>
      <c r="F152" s="103">
        <f t="shared" si="82"/>
        <v>3.0370317457791961E-3</v>
      </c>
      <c r="G152" s="103">
        <f t="shared" si="82"/>
        <v>2.7711943734061192E-3</v>
      </c>
      <c r="H152" s="103">
        <f t="shared" si="82"/>
        <v>2.2686547012546483E-3</v>
      </c>
      <c r="I152" s="103">
        <f t="shared" si="82"/>
        <v>1.8454979923489515E-3</v>
      </c>
      <c r="J152" s="103">
        <f t="shared" si="82"/>
        <v>1.7860416682714858E-3</v>
      </c>
      <c r="K152" s="103">
        <f t="shared" si="82"/>
        <v>1.7854356081106421E-3</v>
      </c>
      <c r="L152" s="103">
        <f t="shared" ref="L152" si="83">IF(L34=0,0,L34/L$17)</f>
        <v>1.4687749440289103E-3</v>
      </c>
      <c r="M152" s="103">
        <f t="shared" ref="M152:V152" si="84">IF(M34=0,0,M34/M$17)</f>
        <v>1.0342908876770464E-3</v>
      </c>
      <c r="N152" s="103">
        <f t="shared" si="84"/>
        <v>8.280254755911688E-4</v>
      </c>
      <c r="O152" s="103">
        <f t="shared" si="84"/>
        <v>5.788560934978851E-4</v>
      </c>
      <c r="P152" s="103">
        <f t="shared" si="84"/>
        <v>3.5076542632682162E-4</v>
      </c>
      <c r="Q152" s="103">
        <f t="shared" si="84"/>
        <v>2.7174496492518178E-4</v>
      </c>
      <c r="R152" s="103">
        <f t="shared" si="84"/>
        <v>2.0207131967681942E-4</v>
      </c>
      <c r="S152" s="103">
        <f t="shared" si="84"/>
        <v>1.735606775601943E-4</v>
      </c>
      <c r="T152" s="103">
        <f t="shared" si="84"/>
        <v>1.4515600609651597E-4</v>
      </c>
      <c r="U152" s="103">
        <f t="shared" si="84"/>
        <v>1.2994895432716911E-4</v>
      </c>
      <c r="V152" s="103">
        <f t="shared" si="84"/>
        <v>9.8246728408499554E-5</v>
      </c>
      <c r="W152" s="103">
        <f t="shared" ref="W152:Y152" si="85">IF(W34=0,0,W34/W$17)</f>
        <v>6.6048047080444688E-5</v>
      </c>
      <c r="X152" s="103">
        <f t="shared" si="85"/>
        <v>7.2406147083504092E-5</v>
      </c>
      <c r="Y152" s="103">
        <f t="shared" si="85"/>
        <v>7.9418280879493198E-5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0.1182419781127927</v>
      </c>
      <c r="C153" s="103">
        <f t="shared" si="86"/>
        <v>0.10876050043749919</v>
      </c>
      <c r="D153" s="103">
        <f t="shared" si="86"/>
        <v>0.10459557834106173</v>
      </c>
      <c r="E153" s="103">
        <f t="shared" si="86"/>
        <v>0.10639390070646194</v>
      </c>
      <c r="F153" s="103">
        <f t="shared" si="86"/>
        <v>0.10226854675697335</v>
      </c>
      <c r="G153" s="103">
        <f t="shared" si="86"/>
        <v>9.6904080961669775E-2</v>
      </c>
      <c r="H153" s="103">
        <f t="shared" si="86"/>
        <v>8.517194744709343E-2</v>
      </c>
      <c r="I153" s="103">
        <f t="shared" si="86"/>
        <v>7.4834895129638895E-2</v>
      </c>
      <c r="J153" s="103">
        <f t="shared" si="86"/>
        <v>7.4304825865321139E-2</v>
      </c>
      <c r="K153" s="103">
        <f t="shared" si="86"/>
        <v>7.9489281550794696E-2</v>
      </c>
      <c r="L153" s="103">
        <f t="shared" ref="L153" si="87">IF(L36=0,0,L36/L$17)</f>
        <v>8.0218871615270221E-2</v>
      </c>
      <c r="M153" s="103">
        <f t="shared" ref="M153:V153" si="88">IF(M36=0,0,M36/M$17)</f>
        <v>8.2969120777998465E-2</v>
      </c>
      <c r="N153" s="103">
        <f t="shared" si="88"/>
        <v>8.4708908335491093E-2</v>
      </c>
      <c r="O153" s="103">
        <f t="shared" si="88"/>
        <v>8.2278930157627397E-2</v>
      </c>
      <c r="P153" s="103">
        <f t="shared" si="88"/>
        <v>7.5035101061648901E-2</v>
      </c>
      <c r="Q153" s="103">
        <f t="shared" si="88"/>
        <v>6.9870153957697287E-2</v>
      </c>
      <c r="R153" s="103">
        <f t="shared" si="88"/>
        <v>6.8995476564265523E-2</v>
      </c>
      <c r="S153" s="103">
        <f t="shared" si="88"/>
        <v>6.7405239410386578E-2</v>
      </c>
      <c r="T153" s="103">
        <f t="shared" si="88"/>
        <v>6.3703829457954414E-2</v>
      </c>
      <c r="U153" s="103">
        <f t="shared" si="88"/>
        <v>5.9373600692067235E-2</v>
      </c>
      <c r="V153" s="103">
        <f t="shared" si="88"/>
        <v>4.8579594916333679E-2</v>
      </c>
      <c r="W153" s="103">
        <f t="shared" ref="W153:Y153" si="89">IF(W36=0,0,W36/W$17)</f>
        <v>3.9863635676666606E-2</v>
      </c>
      <c r="X153" s="103">
        <f t="shared" si="89"/>
        <v>4.3804896557159703E-2</v>
      </c>
      <c r="Y153" s="103">
        <f t="shared" si="89"/>
        <v>4.2762331584240504E-2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1.5223183288565659E-4</v>
      </c>
      <c r="S154" s="103">
        <f t="shared" si="92"/>
        <v>1.0920598363894312E-4</v>
      </c>
      <c r="T154" s="103">
        <f t="shared" si="92"/>
        <v>8.0895575502297067E-5</v>
      </c>
      <c r="U154" s="103">
        <f t="shared" si="92"/>
        <v>5.500270890196526E-5</v>
      </c>
      <c r="V154" s="103">
        <f t="shared" si="92"/>
        <v>3.9289796167840344E-5</v>
      </c>
      <c r="W154" s="103">
        <f t="shared" ref="W154:Y154" si="93">IF(W38=0,0,W38/W$17)</f>
        <v>3.3301497997869882E-5</v>
      </c>
      <c r="X154" s="103">
        <f t="shared" si="93"/>
        <v>3.543351610182533E-5</v>
      </c>
      <c r="Y154" s="103">
        <f t="shared" si="93"/>
        <v>3.5954894282507796E-5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2.3645468785395249E-3</v>
      </c>
      <c r="C155" s="103">
        <f t="shared" si="94"/>
        <v>3.0226626476590368E-3</v>
      </c>
      <c r="D155" s="103">
        <f t="shared" si="94"/>
        <v>1.9445926614005268E-3</v>
      </c>
      <c r="E155" s="103">
        <f t="shared" si="94"/>
        <v>1.86588675839602E-3</v>
      </c>
      <c r="F155" s="103">
        <f t="shared" si="94"/>
        <v>1.7820341181362972E-3</v>
      </c>
      <c r="G155" s="103">
        <f t="shared" si="94"/>
        <v>1.6980173253553529E-3</v>
      </c>
      <c r="H155" s="103">
        <f t="shared" si="94"/>
        <v>1.5235623405900674E-3</v>
      </c>
      <c r="I155" s="103">
        <f t="shared" si="94"/>
        <v>1.3309948908494871E-3</v>
      </c>
      <c r="J155" s="103">
        <f t="shared" si="94"/>
        <v>6.9297468837759457E-4</v>
      </c>
      <c r="K155" s="103">
        <f t="shared" si="94"/>
        <v>5.243303936593116E-5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0</v>
      </c>
      <c r="P155" s="103">
        <f t="shared" si="96"/>
        <v>0</v>
      </c>
      <c r="Q155" s="103">
        <f t="shared" si="96"/>
        <v>0</v>
      </c>
      <c r="R155" s="103">
        <f t="shared" si="96"/>
        <v>0</v>
      </c>
      <c r="S155" s="103">
        <f t="shared" si="96"/>
        <v>0</v>
      </c>
      <c r="T155" s="103">
        <f t="shared" si="96"/>
        <v>0</v>
      </c>
      <c r="U155" s="103">
        <f t="shared" si="96"/>
        <v>8.6645161685871039E-5</v>
      </c>
      <c r="V155" s="103">
        <f t="shared" si="96"/>
        <v>4.2505982900246881E-4</v>
      </c>
      <c r="W155" s="103">
        <f t="shared" ref="W155:Y155" si="97">IF(W39=0,0,W39/W$17)</f>
        <v>1.141036715814179E-3</v>
      </c>
      <c r="X155" s="103">
        <f t="shared" si="97"/>
        <v>1.9552983484649117E-3</v>
      </c>
      <c r="Y155" s="103">
        <f t="shared" si="97"/>
        <v>2.6489857663999717E-3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2.3751513529766751E-4</v>
      </c>
      <c r="C156" s="103">
        <f t="shared" si="98"/>
        <v>4.4071180885540566E-4</v>
      </c>
      <c r="D156" s="103">
        <f t="shared" si="98"/>
        <v>4.2929279428666157E-4</v>
      </c>
      <c r="E156" s="103">
        <f t="shared" si="98"/>
        <v>3.9210882493489747E-4</v>
      </c>
      <c r="F156" s="103">
        <f t="shared" si="98"/>
        <v>3.7314958535304628E-4</v>
      </c>
      <c r="G156" s="103">
        <f t="shared" si="98"/>
        <v>8.3827118789385805E-4</v>
      </c>
      <c r="H156" s="103">
        <f t="shared" si="98"/>
        <v>7.757504680598982E-4</v>
      </c>
      <c r="I156" s="103">
        <f t="shared" si="98"/>
        <v>1.0398646116873977E-3</v>
      </c>
      <c r="J156" s="103">
        <f t="shared" si="98"/>
        <v>1.9478269467565067E-3</v>
      </c>
      <c r="K156" s="103">
        <f t="shared" si="98"/>
        <v>3.3870364041177561E-3</v>
      </c>
      <c r="L156" s="103">
        <f t="shared" ref="L156" si="99">IF(L41=0,0,L41/L$17)</f>
        <v>4.3057555406078958E-3</v>
      </c>
      <c r="M156" s="103">
        <f t="shared" ref="M156:V156" si="100">IF(M41=0,0,M41/M$17)</f>
        <v>4.8179250312037148E-3</v>
      </c>
      <c r="N156" s="103">
        <f t="shared" si="100"/>
        <v>4.8740675545059188E-3</v>
      </c>
      <c r="O156" s="103">
        <f t="shared" si="100"/>
        <v>4.7728496202532351E-3</v>
      </c>
      <c r="P156" s="103">
        <f t="shared" si="100"/>
        <v>4.394567905948255E-3</v>
      </c>
      <c r="Q156" s="103">
        <f t="shared" si="100"/>
        <v>4.3232391758672752E-3</v>
      </c>
      <c r="R156" s="103">
        <f t="shared" si="100"/>
        <v>4.645018496296561E-3</v>
      </c>
      <c r="S156" s="103">
        <f t="shared" si="100"/>
        <v>3.8883062319560605E-3</v>
      </c>
      <c r="T156" s="103">
        <f t="shared" si="100"/>
        <v>3.8341499903726027E-3</v>
      </c>
      <c r="U156" s="103">
        <f t="shared" si="100"/>
        <v>3.9401804723843926E-3</v>
      </c>
      <c r="V156" s="103">
        <f t="shared" si="100"/>
        <v>3.9286960144767919E-3</v>
      </c>
      <c r="W156" s="103">
        <f t="shared" ref="W156:Y156" si="101">IF(W41=0,0,W41/W$17)</f>
        <v>4.5826274744870136E-3</v>
      </c>
      <c r="X156" s="103">
        <f t="shared" si="101"/>
        <v>4.4628114731882582E-3</v>
      </c>
      <c r="Y156" s="103">
        <f t="shared" si="101"/>
        <v>5.1062746893653461E-3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0.27494819249058139</v>
      </c>
      <c r="C157" s="46">
        <f t="shared" si="102"/>
        <v>0.3387881412545285</v>
      </c>
      <c r="D157" s="46">
        <f t="shared" si="102"/>
        <v>0.35378767856786641</v>
      </c>
      <c r="E157" s="46">
        <f t="shared" si="102"/>
        <v>0.35459492256705827</v>
      </c>
      <c r="F157" s="46">
        <f t="shared" si="102"/>
        <v>0.35977933594869688</v>
      </c>
      <c r="G157" s="46">
        <f t="shared" si="102"/>
        <v>0.37589945935628472</v>
      </c>
      <c r="H157" s="46">
        <f t="shared" si="102"/>
        <v>0.37221869212722586</v>
      </c>
      <c r="I157" s="46">
        <f t="shared" si="102"/>
        <v>0.39117341305658337</v>
      </c>
      <c r="J157" s="46">
        <f t="shared" si="102"/>
        <v>0.38098499786902862</v>
      </c>
      <c r="K157" s="46">
        <f t="shared" si="102"/>
        <v>0.35917975522271811</v>
      </c>
      <c r="L157" s="46">
        <f t="shared" ref="L157" si="103">IF(L42=0,0,L42/L$17)</f>
        <v>0.38740271088909944</v>
      </c>
      <c r="M157" s="46">
        <f t="shared" ref="M157:V157" si="104">IF(M42=0,0,M42/M$17)</f>
        <v>0.33660134460458535</v>
      </c>
      <c r="N157" s="46">
        <f t="shared" si="104"/>
        <v>0.32760264060164923</v>
      </c>
      <c r="O157" s="46">
        <f t="shared" si="104"/>
        <v>0.33646539154233984</v>
      </c>
      <c r="P157" s="46">
        <f t="shared" si="104"/>
        <v>0.31879393698067754</v>
      </c>
      <c r="Q157" s="46">
        <f t="shared" si="104"/>
        <v>0.31965156777899517</v>
      </c>
      <c r="R157" s="46">
        <f t="shared" si="104"/>
        <v>0.30457288555381512</v>
      </c>
      <c r="S157" s="46">
        <f t="shared" si="104"/>
        <v>0.31701915970581662</v>
      </c>
      <c r="T157" s="46">
        <f t="shared" si="104"/>
        <v>0.31800592015819801</v>
      </c>
      <c r="U157" s="46">
        <f t="shared" si="104"/>
        <v>0.30640341619059924</v>
      </c>
      <c r="V157" s="46">
        <f t="shared" si="104"/>
        <v>0.31204760727498626</v>
      </c>
      <c r="W157" s="46">
        <f t="shared" ref="W157:Y157" si="105">IF(W42=0,0,W42/W$17)</f>
        <v>0.33024710469430796</v>
      </c>
      <c r="X157" s="46">
        <f t="shared" si="105"/>
        <v>0.34546962548016519</v>
      </c>
      <c r="Y157" s="46">
        <f t="shared" si="105"/>
        <v>0.33804924152930188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5.6900636074927069E-2</v>
      </c>
      <c r="C158" s="154">
        <f t="shared" si="106"/>
        <v>5.6903016591234409E-2</v>
      </c>
      <c r="D158" s="154">
        <f t="shared" si="106"/>
        <v>6.7473127950144776E-2</v>
      </c>
      <c r="E158" s="154">
        <f t="shared" si="106"/>
        <v>5.8240234975294014E-2</v>
      </c>
      <c r="F158" s="154">
        <f t="shared" si="106"/>
        <v>7.1565739152491703E-2</v>
      </c>
      <c r="G158" s="154">
        <f t="shared" si="106"/>
        <v>6.3978156712770934E-2</v>
      </c>
      <c r="H158" s="154">
        <f t="shared" si="106"/>
        <v>6.2977546061766809E-2</v>
      </c>
      <c r="I158" s="154">
        <f t="shared" si="106"/>
        <v>6.2458627851384729E-2</v>
      </c>
      <c r="J158" s="154">
        <f t="shared" si="106"/>
        <v>6.6169481709747499E-2</v>
      </c>
      <c r="K158" s="154">
        <f t="shared" si="106"/>
        <v>6.9104162766538885E-2</v>
      </c>
      <c r="L158" s="154">
        <f t="shared" ref="L158" si="107">IF(L43=0,0,L43/L$17)</f>
        <v>6.0481277008449581E-2</v>
      </c>
      <c r="M158" s="154">
        <f t="shared" ref="M158:V158" si="108">IF(M43=0,0,M43/M$17)</f>
        <v>6.6592009812441497E-2</v>
      </c>
      <c r="N158" s="154">
        <f t="shared" si="108"/>
        <v>7.5151351115937834E-2</v>
      </c>
      <c r="O158" s="154">
        <f t="shared" si="108"/>
        <v>8.4360942326333621E-2</v>
      </c>
      <c r="P158" s="154">
        <f t="shared" si="108"/>
        <v>8.5635176779947517E-2</v>
      </c>
      <c r="Q158" s="154">
        <f t="shared" si="108"/>
        <v>8.3672270017322706E-2</v>
      </c>
      <c r="R158" s="154">
        <f t="shared" si="108"/>
        <v>8.1335429484918412E-2</v>
      </c>
      <c r="S158" s="154">
        <f t="shared" si="108"/>
        <v>8.0552430127928981E-2</v>
      </c>
      <c r="T158" s="154">
        <f t="shared" si="108"/>
        <v>7.934293315200136E-2</v>
      </c>
      <c r="U158" s="154">
        <f t="shared" si="108"/>
        <v>7.9915652858743233E-2</v>
      </c>
      <c r="V158" s="154">
        <f t="shared" si="108"/>
        <v>8.4313971944042526E-2</v>
      </c>
      <c r="W158" s="154">
        <f t="shared" ref="W158:Y158" si="109">IF(W43=0,0,W43/W$17)</f>
        <v>8.475754082377486E-2</v>
      </c>
      <c r="X158" s="154">
        <f t="shared" si="109"/>
        <v>9.0872133745400333E-2</v>
      </c>
      <c r="Y158" s="154">
        <f t="shared" si="109"/>
        <v>9.2418844289550967E-2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2.1493859277406952E-2</v>
      </c>
      <c r="C159" s="103">
        <f t="shared" si="110"/>
        <v>1.8071566729705869E-2</v>
      </c>
      <c r="D159" s="103">
        <f t="shared" si="110"/>
        <v>1.6501866624837311E-2</v>
      </c>
      <c r="E159" s="103">
        <f t="shared" si="110"/>
        <v>1.5465690324386105E-2</v>
      </c>
      <c r="F159" s="103">
        <f t="shared" si="110"/>
        <v>1.4203635907102335E-2</v>
      </c>
      <c r="G159" s="103">
        <f t="shared" si="110"/>
        <v>1.3405380680216638E-2</v>
      </c>
      <c r="H159" s="103">
        <f t="shared" si="110"/>
        <v>1.194300904066738E-2</v>
      </c>
      <c r="I159" s="103">
        <f t="shared" si="110"/>
        <v>1.0076350385479294E-2</v>
      </c>
      <c r="J159" s="103">
        <f t="shared" si="110"/>
        <v>8.8516246487591876E-3</v>
      </c>
      <c r="K159" s="103">
        <f t="shared" si="110"/>
        <v>8.0912833994273015E-3</v>
      </c>
      <c r="L159" s="103">
        <f t="shared" ref="L159" si="111">IF(L44=0,0,L44/L$17)</f>
        <v>3.404660462057021E-3</v>
      </c>
      <c r="M159" s="103">
        <f t="shared" ref="M159:V159" si="112">IF(M44=0,0,M44/M$17)</f>
        <v>3.5205447257379637E-3</v>
      </c>
      <c r="N159" s="103">
        <f t="shared" si="112"/>
        <v>3.6703779197429492E-3</v>
      </c>
      <c r="O159" s="103">
        <f t="shared" si="112"/>
        <v>3.1187852488390451E-3</v>
      </c>
      <c r="P159" s="103">
        <f t="shared" si="112"/>
        <v>2.2237050646942338E-3</v>
      </c>
      <c r="Q159" s="103">
        <f t="shared" si="112"/>
        <v>1.967344072848278E-3</v>
      </c>
      <c r="R159" s="103">
        <f t="shared" si="112"/>
        <v>1.654835934349644E-3</v>
      </c>
      <c r="S159" s="103">
        <f t="shared" si="112"/>
        <v>1.4764803540045196E-3</v>
      </c>
      <c r="T159" s="103">
        <f t="shared" si="112"/>
        <v>1.3699627485102481E-3</v>
      </c>
      <c r="U159" s="103">
        <f t="shared" si="112"/>
        <v>1.2500495840602661E-3</v>
      </c>
      <c r="V159" s="103">
        <f t="shared" si="112"/>
        <v>1.266171110209959E-3</v>
      </c>
      <c r="W159" s="103">
        <f t="shared" ref="W159:Y159" si="113">IF(W44=0,0,W44/W$17)</f>
        <v>1.1915816061245992E-3</v>
      </c>
      <c r="X159" s="103">
        <f t="shared" si="113"/>
        <v>1.2381428502913361E-3</v>
      </c>
      <c r="Y159" s="103">
        <f t="shared" si="113"/>
        <v>1.2956498359380224E-3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3.540677679752012E-2</v>
      </c>
      <c r="C160" s="103">
        <f t="shared" si="114"/>
        <v>3.883144986152854E-2</v>
      </c>
      <c r="D160" s="103">
        <f t="shared" si="114"/>
        <v>5.0971261325307465E-2</v>
      </c>
      <c r="E160" s="103">
        <f t="shared" si="114"/>
        <v>4.2774544650907909E-2</v>
      </c>
      <c r="F160" s="103">
        <f t="shared" si="114"/>
        <v>5.7362103245389373E-2</v>
      </c>
      <c r="G160" s="103">
        <f t="shared" si="114"/>
        <v>5.0572776032554299E-2</v>
      </c>
      <c r="H160" s="103">
        <f t="shared" si="114"/>
        <v>5.103453702109944E-2</v>
      </c>
      <c r="I160" s="103">
        <f t="shared" si="114"/>
        <v>5.238227746590543E-2</v>
      </c>
      <c r="J160" s="103">
        <f t="shared" si="114"/>
        <v>5.7317857060988311E-2</v>
      </c>
      <c r="K160" s="103">
        <f t="shared" si="114"/>
        <v>6.1012879367111576E-2</v>
      </c>
      <c r="L160" s="103">
        <f t="shared" ref="L160" si="115">IF(L46=0,0,L46/L$17)</f>
        <v>5.707661654639256E-2</v>
      </c>
      <c r="M160" s="103">
        <f t="shared" ref="M160:V160" si="116">IF(M46=0,0,M46/M$17)</f>
        <v>6.3071051714746501E-2</v>
      </c>
      <c r="N160" s="103">
        <f t="shared" si="116"/>
        <v>7.1456794157723255E-2</v>
      </c>
      <c r="O160" s="103">
        <f t="shared" si="116"/>
        <v>8.1218048952820074E-2</v>
      </c>
      <c r="P160" s="103">
        <f t="shared" si="116"/>
        <v>8.3380889817897264E-2</v>
      </c>
      <c r="Q160" s="103">
        <f t="shared" si="116"/>
        <v>8.167446531211954E-2</v>
      </c>
      <c r="R160" s="103">
        <f t="shared" si="116"/>
        <v>7.9468076112536049E-2</v>
      </c>
      <c r="S160" s="103">
        <f t="shared" si="116"/>
        <v>7.873518658452415E-2</v>
      </c>
      <c r="T160" s="103">
        <f t="shared" si="116"/>
        <v>7.7565656139495606E-2</v>
      </c>
      <c r="U160" s="103">
        <f t="shared" si="116"/>
        <v>7.8183549919957143E-2</v>
      </c>
      <c r="V160" s="103">
        <f t="shared" si="116"/>
        <v>8.248776107146627E-2</v>
      </c>
      <c r="W160" s="103">
        <f t="shared" ref="W160:Y160" si="117">IF(W46=0,0,W46/W$17)</f>
        <v>8.2990325832365E-2</v>
      </c>
      <c r="X160" s="103">
        <f t="shared" si="117"/>
        <v>8.8995220927432492E-2</v>
      </c>
      <c r="Y160" s="103">
        <f t="shared" si="117"/>
        <v>9.0446541340025124E-2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2.3745368499235619E-5</v>
      </c>
      <c r="O161" s="103">
        <f t="shared" si="120"/>
        <v>2.1523906141112381E-5</v>
      </c>
      <c r="P161" s="103">
        <f t="shared" si="120"/>
        <v>2.7712508096892402E-5</v>
      </c>
      <c r="Q161" s="103">
        <f t="shared" si="120"/>
        <v>2.7595790973769693E-5</v>
      </c>
      <c r="R161" s="103">
        <f t="shared" si="120"/>
        <v>2.1051953776502174E-4</v>
      </c>
      <c r="S161" s="103">
        <f t="shared" si="120"/>
        <v>3.385543217053945E-4</v>
      </c>
      <c r="T161" s="103">
        <f t="shared" si="120"/>
        <v>4.0513222093804065E-4</v>
      </c>
      <c r="U161" s="103">
        <f t="shared" si="120"/>
        <v>4.7934560927926148E-4</v>
      </c>
      <c r="V161" s="103">
        <f t="shared" si="120"/>
        <v>5.5025577647339603E-4</v>
      </c>
      <c r="W161" s="103">
        <f t="shared" ref="W161:Y161" si="121">IF(W48=0,0,W48/W$17)</f>
        <v>5.5538674993440033E-4</v>
      </c>
      <c r="X161" s="103">
        <f t="shared" si="121"/>
        <v>6.0360007774905669E-4</v>
      </c>
      <c r="Y161" s="103">
        <f t="shared" si="121"/>
        <v>6.2973903845028282E-4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0</v>
      </c>
      <c r="R162" s="103">
        <f t="shared" si="124"/>
        <v>0</v>
      </c>
      <c r="S162" s="103">
        <f t="shared" si="124"/>
        <v>0</v>
      </c>
      <c r="T162" s="103">
        <f t="shared" si="124"/>
        <v>0</v>
      </c>
      <c r="U162" s="103">
        <f t="shared" si="124"/>
        <v>0</v>
      </c>
      <c r="V162" s="103">
        <f t="shared" si="124"/>
        <v>0</v>
      </c>
      <c r="W162" s="103">
        <f t="shared" ref="W162:Y162" si="125">IF(W49=0,0,W49/W$17)</f>
        <v>0</v>
      </c>
      <c r="X162" s="103">
        <f t="shared" si="125"/>
        <v>0</v>
      </c>
      <c r="Y162" s="103">
        <f t="shared" si="125"/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4.1337195704174026E-7</v>
      </c>
      <c r="N163" s="103">
        <f t="shared" si="128"/>
        <v>4.3366997240417378E-7</v>
      </c>
      <c r="O163" s="103">
        <f t="shared" si="128"/>
        <v>2.5842185333986675E-6</v>
      </c>
      <c r="P163" s="103">
        <f t="shared" si="128"/>
        <v>2.8693892591319704E-6</v>
      </c>
      <c r="Q163" s="103">
        <f t="shared" si="128"/>
        <v>2.864841381109746E-6</v>
      </c>
      <c r="R163" s="103">
        <f t="shared" si="128"/>
        <v>1.9979002677064274E-6</v>
      </c>
      <c r="S163" s="103">
        <f t="shared" si="128"/>
        <v>2.2088676949154097E-6</v>
      </c>
      <c r="T163" s="103">
        <f t="shared" si="128"/>
        <v>2.1820430574807982E-6</v>
      </c>
      <c r="U163" s="103">
        <f t="shared" si="128"/>
        <v>2.7077454465555806E-6</v>
      </c>
      <c r="V163" s="103">
        <f t="shared" si="128"/>
        <v>9.7839858929047607E-6</v>
      </c>
      <c r="W163" s="103">
        <f t="shared" ref="W163:Y163" si="129">IF(W51=0,0,W51/W$17)</f>
        <v>2.0246635350863252E-5</v>
      </c>
      <c r="X163" s="103">
        <f t="shared" si="129"/>
        <v>3.516988992746828E-5</v>
      </c>
      <c r="Y163" s="103">
        <f t="shared" si="129"/>
        <v>4.691407513752144E-5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0.21804755641565426</v>
      </c>
      <c r="C164" s="156">
        <f t="shared" si="130"/>
        <v>0.28188512466329413</v>
      </c>
      <c r="D164" s="156">
        <f t="shared" si="130"/>
        <v>0.28631455061772165</v>
      </c>
      <c r="E164" s="156">
        <f t="shared" si="130"/>
        <v>0.2963546875917642</v>
      </c>
      <c r="F164" s="156">
        <f t="shared" si="130"/>
        <v>0.28821359679620517</v>
      </c>
      <c r="G164" s="156">
        <f t="shared" si="130"/>
        <v>0.31192130264351381</v>
      </c>
      <c r="H164" s="156">
        <f t="shared" si="130"/>
        <v>0.30924114606545899</v>
      </c>
      <c r="I164" s="156">
        <f t="shared" si="130"/>
        <v>0.32871478520519865</v>
      </c>
      <c r="J164" s="156">
        <f t="shared" si="130"/>
        <v>0.31481551615928116</v>
      </c>
      <c r="K164" s="156">
        <f t="shared" si="130"/>
        <v>0.29007559245617925</v>
      </c>
      <c r="L164" s="156">
        <f t="shared" ref="L164" si="131">IF(L52=0,0,L52/L$17)</f>
        <v>0.32692143388064987</v>
      </c>
      <c r="M164" s="156">
        <f t="shared" ref="M164:V164" si="132">IF(M52=0,0,M52/M$17)</f>
        <v>0.27000933479214384</v>
      </c>
      <c r="N164" s="156">
        <f t="shared" si="132"/>
        <v>0.25245128948571138</v>
      </c>
      <c r="O164" s="156">
        <f t="shared" si="132"/>
        <v>0.25210444921600622</v>
      </c>
      <c r="P164" s="156">
        <f t="shared" si="132"/>
        <v>0.23315876020073001</v>
      </c>
      <c r="Q164" s="156">
        <f t="shared" si="132"/>
        <v>0.23597929776167251</v>
      </c>
      <c r="R164" s="156">
        <f t="shared" si="132"/>
        <v>0.22323745606889675</v>
      </c>
      <c r="S164" s="156">
        <f t="shared" si="132"/>
        <v>0.23646672957788764</v>
      </c>
      <c r="T164" s="156">
        <f t="shared" si="132"/>
        <v>0.23866298700619668</v>
      </c>
      <c r="U164" s="156">
        <f t="shared" si="132"/>
        <v>0.22648776333185605</v>
      </c>
      <c r="V164" s="156">
        <f t="shared" si="132"/>
        <v>0.22773363533094371</v>
      </c>
      <c r="W164" s="156">
        <f t="shared" ref="W164:Y164" si="133">IF(W52=0,0,W52/W$17)</f>
        <v>0.24548956387053308</v>
      </c>
      <c r="X164" s="156">
        <f t="shared" si="133"/>
        <v>0.25459749173476487</v>
      </c>
      <c r="Y164" s="156">
        <f t="shared" si="133"/>
        <v>0.24563039723975089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0.13636612227183451</v>
      </c>
      <c r="C165" s="104">
        <f t="shared" si="134"/>
        <v>0.1451981610227269</v>
      </c>
      <c r="D165" s="104">
        <f t="shared" si="134"/>
        <v>0.16565607270945437</v>
      </c>
      <c r="E165" s="104">
        <f t="shared" si="134"/>
        <v>0.17897220797285154</v>
      </c>
      <c r="F165" s="104">
        <f t="shared" si="134"/>
        <v>0.16201526223815582</v>
      </c>
      <c r="G165" s="104">
        <f t="shared" si="134"/>
        <v>0.17353424206419338</v>
      </c>
      <c r="H165" s="104">
        <f t="shared" si="134"/>
        <v>0.15683403422691608</v>
      </c>
      <c r="I165" s="104">
        <f t="shared" si="134"/>
        <v>0.16442879292692594</v>
      </c>
      <c r="J165" s="104">
        <f t="shared" si="134"/>
        <v>0.16215187252265892</v>
      </c>
      <c r="K165" s="104">
        <f t="shared" si="134"/>
        <v>0.17251427035889222</v>
      </c>
      <c r="L165" s="104">
        <f t="shared" ref="L165" si="135">IF(L53=0,0,L53/L$17)</f>
        <v>0.1454242839079263</v>
      </c>
      <c r="M165" s="104">
        <f t="shared" ref="M165:V165" si="136">IF(M53=0,0,M53/M$17)</f>
        <v>0.13128994802493132</v>
      </c>
      <c r="N165" s="104">
        <f t="shared" si="136"/>
        <v>0.11392678792649828</v>
      </c>
      <c r="O165" s="104">
        <f t="shared" si="136"/>
        <v>0.11744796324095619</v>
      </c>
      <c r="P165" s="104">
        <f t="shared" si="136"/>
        <v>0.10867900962149665</v>
      </c>
      <c r="Q165" s="104">
        <f t="shared" si="136"/>
        <v>0.10322640027384669</v>
      </c>
      <c r="R165" s="104">
        <f t="shared" si="136"/>
        <v>0.1035177867112106</v>
      </c>
      <c r="S165" s="104">
        <f t="shared" si="136"/>
        <v>0.1114404441828008</v>
      </c>
      <c r="T165" s="104">
        <f t="shared" si="136"/>
        <v>0.11148422460567382</v>
      </c>
      <c r="U165" s="104">
        <f t="shared" si="136"/>
        <v>0.11099608439111534</v>
      </c>
      <c r="V165" s="104">
        <f t="shared" si="136"/>
        <v>0.11481211402037565</v>
      </c>
      <c r="W165" s="104">
        <f t="shared" ref="W165:Y165" si="137">IF(W53=0,0,W53/W$17)</f>
        <v>0.12606034002076752</v>
      </c>
      <c r="X165" s="104">
        <f t="shared" si="137"/>
        <v>0.12887648439669513</v>
      </c>
      <c r="Y165" s="104">
        <f t="shared" si="137"/>
        <v>0.1272268628251304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8.1681434143819759E-2</v>
      </c>
      <c r="C166" s="105">
        <f t="shared" si="138"/>
        <v>0.13668696364056723</v>
      </c>
      <c r="D166" s="105">
        <f t="shared" si="138"/>
        <v>0.12065847790826732</v>
      </c>
      <c r="E166" s="105">
        <f t="shared" si="138"/>
        <v>0.11738247961891268</v>
      </c>
      <c r="F166" s="105">
        <f t="shared" si="138"/>
        <v>0.12619833455804935</v>
      </c>
      <c r="G166" s="105">
        <f t="shared" si="138"/>
        <v>0.13838706057932043</v>
      </c>
      <c r="H166" s="105">
        <f t="shared" si="138"/>
        <v>0.15240711183854291</v>
      </c>
      <c r="I166" s="105">
        <f t="shared" si="138"/>
        <v>0.16428599227827267</v>
      </c>
      <c r="J166" s="105">
        <f t="shared" si="138"/>
        <v>0.15266364363662224</v>
      </c>
      <c r="K166" s="105">
        <f t="shared" si="138"/>
        <v>0.11756132209728699</v>
      </c>
      <c r="L166" s="105">
        <f t="shared" ref="L166" si="139">IF(L55=0,0,L55/L$17)</f>
        <v>0.18149714997272359</v>
      </c>
      <c r="M166" s="105">
        <f t="shared" ref="M166:V166" si="140">IF(M55=0,0,M55/M$17)</f>
        <v>0.13871938676721252</v>
      </c>
      <c r="N166" s="105">
        <f t="shared" si="140"/>
        <v>0.13852450155921311</v>
      </c>
      <c r="O166" s="105">
        <f t="shared" si="140"/>
        <v>0.13465648597505001</v>
      </c>
      <c r="P166" s="105">
        <f t="shared" si="140"/>
        <v>0.12447975057923336</v>
      </c>
      <c r="Q166" s="105">
        <f t="shared" si="140"/>
        <v>0.13275289748782582</v>
      </c>
      <c r="R166" s="105">
        <f t="shared" si="140"/>
        <v>0.11971966935768615</v>
      </c>
      <c r="S166" s="105">
        <f t="shared" si="140"/>
        <v>0.12502628539508681</v>
      </c>
      <c r="T166" s="105">
        <f t="shared" si="140"/>
        <v>0.12717876240052287</v>
      </c>
      <c r="U166" s="105">
        <f t="shared" si="140"/>
        <v>0.11549167894074072</v>
      </c>
      <c r="V166" s="105">
        <f t="shared" si="140"/>
        <v>0.11292152131056807</v>
      </c>
      <c r="W166" s="105">
        <f t="shared" ref="W166:Y166" si="141">IF(W55=0,0,W55/W$17)</f>
        <v>0.11942922384976554</v>
      </c>
      <c r="X166" s="105">
        <f t="shared" si="141"/>
        <v>0.12572100733806976</v>
      </c>
      <c r="Y166" s="105">
        <f t="shared" si="141"/>
        <v>0.11840353441462047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1914.7180028400001</v>
      </c>
      <c r="C4" s="146">
        <f t="shared" si="0"/>
        <v>2299.0161221999997</v>
      </c>
      <c r="D4" s="146">
        <f t="shared" si="0"/>
        <v>2367.1103436000003</v>
      </c>
      <c r="E4" s="146">
        <f t="shared" si="0"/>
        <v>2479.1999194800001</v>
      </c>
      <c r="F4" s="146">
        <f t="shared" si="0"/>
        <v>2610.6845587200005</v>
      </c>
      <c r="G4" s="146">
        <f t="shared" si="0"/>
        <v>2737.0598144400001</v>
      </c>
      <c r="H4" s="146">
        <f t="shared" si="0"/>
        <v>3079.1959664400001</v>
      </c>
      <c r="I4" s="146">
        <f t="shared" si="0"/>
        <v>3494.8984949999999</v>
      </c>
      <c r="J4" s="146">
        <f t="shared" si="0"/>
        <v>3283.4064074399998</v>
      </c>
      <c r="K4" s="146">
        <f t="shared" si="0"/>
        <v>2860.2775475999997</v>
      </c>
      <c r="L4" s="146">
        <f t="shared" ref="L4" si="1">L5+L9+L10+L15</f>
        <v>2950.3492311599998</v>
      </c>
      <c r="M4" s="146">
        <f t="shared" ref="M4:V4" si="2">M5+M9+M10+M15</f>
        <v>2567.1592162799998</v>
      </c>
      <c r="N4" s="146">
        <f t="shared" si="2"/>
        <v>2456.7913065599996</v>
      </c>
      <c r="O4" s="146">
        <f t="shared" si="2"/>
        <v>2503.1241190799997</v>
      </c>
      <c r="P4" s="146">
        <f t="shared" si="2"/>
        <v>2646.7113049199997</v>
      </c>
      <c r="Q4" s="146">
        <f t="shared" si="2"/>
        <v>2835.4483591199996</v>
      </c>
      <c r="R4" s="146">
        <f t="shared" si="2"/>
        <v>2890.0297551599997</v>
      </c>
      <c r="S4" s="146">
        <f t="shared" si="2"/>
        <v>3049.7608371599999</v>
      </c>
      <c r="T4" s="146">
        <f t="shared" si="2"/>
        <v>3048.5501135999998</v>
      </c>
      <c r="U4" s="146">
        <f t="shared" si="2"/>
        <v>3074.3317893600006</v>
      </c>
      <c r="V4" s="146">
        <f t="shared" si="2"/>
        <v>2935.3586349599996</v>
      </c>
      <c r="W4" s="146">
        <f t="shared" ref="W4:Y4" si="3">W5+W9+W10+W15</f>
        <v>3032.58195432</v>
      </c>
      <c r="X4" s="146">
        <f t="shared" si="3"/>
        <v>2966.1641244000002</v>
      </c>
      <c r="Y4" s="146">
        <f t="shared" si="3"/>
        <v>2984.7553765199996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1910.9312528400001</v>
      </c>
      <c r="C5" s="101">
        <f t="shared" si="4"/>
        <v>2293.3612421999997</v>
      </c>
      <c r="D5" s="101">
        <f t="shared" si="4"/>
        <v>2363.3235936000001</v>
      </c>
      <c r="E5" s="101">
        <f t="shared" si="4"/>
        <v>2475.4131694799999</v>
      </c>
      <c r="F5" s="101">
        <f t="shared" si="4"/>
        <v>2606.8978087200003</v>
      </c>
      <c r="G5" s="101">
        <f t="shared" si="4"/>
        <v>2733.2730644399999</v>
      </c>
      <c r="H5" s="101">
        <f t="shared" si="4"/>
        <v>3075.4092164399999</v>
      </c>
      <c r="I5" s="101">
        <f t="shared" si="4"/>
        <v>3491.1622349999998</v>
      </c>
      <c r="J5" s="101">
        <f t="shared" si="4"/>
        <v>3281.53827744</v>
      </c>
      <c r="K5" s="101">
        <f t="shared" si="4"/>
        <v>2860.0755875999998</v>
      </c>
      <c r="L5" s="101">
        <f t="shared" ref="L5" si="5">SUM(L6:L8)</f>
        <v>2950.3492311599998</v>
      </c>
      <c r="M5" s="101">
        <f t="shared" ref="M5:V5" si="6">SUM(M6:M8)</f>
        <v>2567.1592162799998</v>
      </c>
      <c r="N5" s="101">
        <f t="shared" si="6"/>
        <v>2456.7913065599996</v>
      </c>
      <c r="O5" s="101">
        <f t="shared" si="6"/>
        <v>2503.1241190799997</v>
      </c>
      <c r="P5" s="101">
        <f t="shared" si="6"/>
        <v>2646.7113049199997</v>
      </c>
      <c r="Q5" s="101">
        <f t="shared" si="6"/>
        <v>2835.4483591199996</v>
      </c>
      <c r="R5" s="101">
        <f t="shared" si="6"/>
        <v>2890.0297551599997</v>
      </c>
      <c r="S5" s="101">
        <f t="shared" si="6"/>
        <v>3049.7608371599999</v>
      </c>
      <c r="T5" s="101">
        <f t="shared" si="6"/>
        <v>3048.4196474399996</v>
      </c>
      <c r="U5" s="101">
        <f t="shared" si="6"/>
        <v>3073.8971714400004</v>
      </c>
      <c r="V5" s="101">
        <f t="shared" si="6"/>
        <v>2934.1032515999996</v>
      </c>
      <c r="W5" s="101">
        <f t="shared" ref="W5:Y5" si="7">SUM(W6:W8)</f>
        <v>3029.5099407600001</v>
      </c>
      <c r="X5" s="101">
        <f t="shared" si="7"/>
        <v>2961.3368764800002</v>
      </c>
      <c r="Y5" s="101">
        <f t="shared" si="7"/>
        <v>2978.2690271999995</v>
      </c>
      <c r="DA5" s="175"/>
    </row>
    <row r="6" spans="1:105" ht="11.45" customHeight="1" x14ac:dyDescent="0.25">
      <c r="A6" s="128" t="s">
        <v>52</v>
      </c>
      <c r="B6" s="101">
        <v>54.597906000000002</v>
      </c>
      <c r="C6" s="101">
        <v>54.597906000000002</v>
      </c>
      <c r="D6" s="101">
        <v>54.597906000000002</v>
      </c>
      <c r="E6" s="101">
        <v>60.34505399999999</v>
      </c>
      <c r="F6" s="101">
        <v>66.092202000000015</v>
      </c>
      <c r="G6" s="101">
        <v>68.96577600000002</v>
      </c>
      <c r="H6" s="101">
        <v>74.712924000000015</v>
      </c>
      <c r="I6" s="101">
        <v>68.96577600000002</v>
      </c>
      <c r="J6" s="101">
        <v>60.34505399999999</v>
      </c>
      <c r="K6" s="101">
        <v>54.597906000000002</v>
      </c>
      <c r="L6" s="101">
        <v>63.218628000000002</v>
      </c>
      <c r="M6" s="101">
        <v>74.712924000000015</v>
      </c>
      <c r="N6" s="101">
        <v>117.816534</v>
      </c>
      <c r="O6" s="101">
        <v>149.425848</v>
      </c>
      <c r="P6" s="101">
        <v>166.66729200000003</v>
      </c>
      <c r="Q6" s="101">
        <v>169.54086599999999</v>
      </c>
      <c r="R6" s="101">
        <v>163.79371800000004</v>
      </c>
      <c r="S6" s="101">
        <v>153.97768008000003</v>
      </c>
      <c r="T6" s="101">
        <v>145.89714456000002</v>
      </c>
      <c r="U6" s="101">
        <v>127.95173172000001</v>
      </c>
      <c r="V6" s="101">
        <v>115.63829675999999</v>
      </c>
      <c r="W6" s="101">
        <v>104.29915104000001</v>
      </c>
      <c r="X6" s="101">
        <v>95.12393148000001</v>
      </c>
      <c r="Y6" s="101">
        <v>86.267644559999994</v>
      </c>
      <c r="DA6" s="175" t="s">
        <v>741</v>
      </c>
    </row>
    <row r="7" spans="1:105" ht="11.45" customHeight="1" x14ac:dyDescent="0.25">
      <c r="A7" s="128" t="s">
        <v>53</v>
      </c>
      <c r="B7" s="101">
        <v>1006.23591684</v>
      </c>
      <c r="C7" s="101">
        <v>1058.0723722799999</v>
      </c>
      <c r="D7" s="101">
        <v>1036.7281108799998</v>
      </c>
      <c r="E7" s="101">
        <v>1036.0210845599997</v>
      </c>
      <c r="F7" s="101">
        <v>1042.115382</v>
      </c>
      <c r="G7" s="101">
        <v>1020.7855904400001</v>
      </c>
      <c r="H7" s="101">
        <v>1130.4819464400002</v>
      </c>
      <c r="I7" s="101">
        <v>1237.1311537200002</v>
      </c>
      <c r="J7" s="101">
        <v>1127.43479772</v>
      </c>
      <c r="K7" s="101">
        <v>941.56047216000002</v>
      </c>
      <c r="L7" s="101">
        <v>853.19390771999986</v>
      </c>
      <c r="M7" s="101">
        <v>792.2514322799999</v>
      </c>
      <c r="N7" s="101">
        <v>673.41363011999988</v>
      </c>
      <c r="O7" s="101">
        <v>609.42425543999991</v>
      </c>
      <c r="P7" s="101">
        <v>597.23566056000004</v>
      </c>
      <c r="Q7" s="101">
        <v>594.18851183999993</v>
      </c>
      <c r="R7" s="101">
        <v>578.95301772000005</v>
      </c>
      <c r="S7" s="101">
        <v>556.44094043999985</v>
      </c>
      <c r="T7" s="101">
        <v>533.58433128000001</v>
      </c>
      <c r="U7" s="101">
        <v>506.37055392000002</v>
      </c>
      <c r="V7" s="101">
        <v>486.13772591999987</v>
      </c>
      <c r="W7" s="101">
        <v>481.1586040799998</v>
      </c>
      <c r="X7" s="101">
        <v>411.45888167999993</v>
      </c>
      <c r="Y7" s="101">
        <v>429.08339627999987</v>
      </c>
      <c r="DA7" s="175" t="s">
        <v>742</v>
      </c>
    </row>
    <row r="8" spans="1:105" ht="11.45" customHeight="1" x14ac:dyDescent="0.25">
      <c r="A8" s="128" t="s">
        <v>54</v>
      </c>
      <c r="B8" s="101">
        <v>850.09742999999992</v>
      </c>
      <c r="C8" s="101">
        <v>1180.6909639200001</v>
      </c>
      <c r="D8" s="101">
        <v>1271.9975767200001</v>
      </c>
      <c r="E8" s="101">
        <v>1379.0470309200002</v>
      </c>
      <c r="F8" s="101">
        <v>1498.6902247200003</v>
      </c>
      <c r="G8" s="101">
        <v>1643.521698</v>
      </c>
      <c r="H8" s="101">
        <v>1870.214346</v>
      </c>
      <c r="I8" s="101">
        <v>2185.0653052799998</v>
      </c>
      <c r="J8" s="101">
        <v>2093.7584257200001</v>
      </c>
      <c r="K8" s="101">
        <v>1863.9172094399999</v>
      </c>
      <c r="L8" s="101">
        <v>2033.93669544</v>
      </c>
      <c r="M8" s="101">
        <v>1700.1948599999998</v>
      </c>
      <c r="N8" s="101">
        <v>1665.5611424399999</v>
      </c>
      <c r="O8" s="101">
        <v>1744.2740156399998</v>
      </c>
      <c r="P8" s="101">
        <v>1882.8083523599998</v>
      </c>
      <c r="Q8" s="101">
        <v>2071.7189812799998</v>
      </c>
      <c r="R8" s="101">
        <v>2147.2830194399999</v>
      </c>
      <c r="S8" s="101">
        <v>2339.3422166400001</v>
      </c>
      <c r="T8" s="101">
        <v>2368.9381715999998</v>
      </c>
      <c r="U8" s="101">
        <v>2439.5748858000002</v>
      </c>
      <c r="V8" s="101">
        <v>2332.3272289199999</v>
      </c>
      <c r="W8" s="101">
        <v>2444.0521856400001</v>
      </c>
      <c r="X8" s="101">
        <v>2454.7540633200001</v>
      </c>
      <c r="Y8" s="101">
        <v>2462.9179863599998</v>
      </c>
      <c r="DA8" s="175" t="s">
        <v>743</v>
      </c>
    </row>
    <row r="9" spans="1:105" ht="11.45" customHeight="1" x14ac:dyDescent="0.25">
      <c r="A9" s="92" t="s">
        <v>55</v>
      </c>
      <c r="B9" s="101">
        <v>3.7867500000000014</v>
      </c>
      <c r="C9" s="101">
        <v>5.6548800000000004</v>
      </c>
      <c r="D9" s="101">
        <v>3.7867500000000014</v>
      </c>
      <c r="E9" s="101">
        <v>3.7867500000000014</v>
      </c>
      <c r="F9" s="101">
        <v>3.7867500000000014</v>
      </c>
      <c r="G9" s="101">
        <v>3.7867500000000014</v>
      </c>
      <c r="H9" s="101">
        <v>3.7867500000000014</v>
      </c>
      <c r="I9" s="101">
        <v>3.7362600000000006</v>
      </c>
      <c r="J9" s="101">
        <v>1.8681300000000001</v>
      </c>
      <c r="K9" s="101">
        <v>0.20196000000000003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0.13046616</v>
      </c>
      <c r="U9" s="101">
        <v>0.43461792000000016</v>
      </c>
      <c r="V9" s="101">
        <v>1.2553833599999999</v>
      </c>
      <c r="W9" s="101">
        <v>3.0720135600000011</v>
      </c>
      <c r="X9" s="101">
        <v>4.8272479200000005</v>
      </c>
      <c r="Y9" s="101">
        <v>6.4863493199999995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1914.7180028399996</v>
      </c>
      <c r="C17" s="79">
        <f t="shared" si="12"/>
        <v>2299.0161222000002</v>
      </c>
      <c r="D17" s="79">
        <f t="shared" si="12"/>
        <v>2367.1103436000003</v>
      </c>
      <c r="E17" s="79">
        <f t="shared" si="12"/>
        <v>2479.1999194800001</v>
      </c>
      <c r="F17" s="79">
        <f t="shared" si="12"/>
        <v>2610.68455872</v>
      </c>
      <c r="G17" s="79">
        <f t="shared" si="12"/>
        <v>2737.0598144400001</v>
      </c>
      <c r="H17" s="79">
        <f t="shared" si="12"/>
        <v>3079.1959664400001</v>
      </c>
      <c r="I17" s="79">
        <f t="shared" si="12"/>
        <v>3494.8984949999999</v>
      </c>
      <c r="J17" s="79">
        <f t="shared" si="12"/>
        <v>3283.4064074400003</v>
      </c>
      <c r="K17" s="79">
        <f t="shared" si="12"/>
        <v>2860.2775475999997</v>
      </c>
      <c r="L17" s="79">
        <f t="shared" ref="L17" si="13">SUM(L18,L33)</f>
        <v>2950.3492311599994</v>
      </c>
      <c r="M17" s="79">
        <f t="shared" ref="M17:V17" si="14">SUM(M18,M33)</f>
        <v>2567.1592162799998</v>
      </c>
      <c r="N17" s="79">
        <f t="shared" si="14"/>
        <v>2456.7913065599996</v>
      </c>
      <c r="O17" s="79">
        <f t="shared" si="14"/>
        <v>2503.1241190800001</v>
      </c>
      <c r="P17" s="79">
        <f t="shared" si="14"/>
        <v>2646.7113049199997</v>
      </c>
      <c r="Q17" s="79">
        <f t="shared" si="14"/>
        <v>2835.4483591199996</v>
      </c>
      <c r="R17" s="79">
        <f t="shared" si="14"/>
        <v>2890.0297551599997</v>
      </c>
      <c r="S17" s="79">
        <f t="shared" si="14"/>
        <v>3049.7608371599999</v>
      </c>
      <c r="T17" s="79">
        <f t="shared" si="14"/>
        <v>3048.5501136000003</v>
      </c>
      <c r="U17" s="79">
        <f t="shared" si="14"/>
        <v>3074.3317893600001</v>
      </c>
      <c r="V17" s="79">
        <f t="shared" si="14"/>
        <v>2935.35863496</v>
      </c>
      <c r="W17" s="79">
        <f t="shared" ref="W17:Y17" si="15">SUM(W18,W33)</f>
        <v>3032.58195432</v>
      </c>
      <c r="X17" s="79">
        <f t="shared" si="15"/>
        <v>2966.1641244000002</v>
      </c>
      <c r="Y17" s="79">
        <f t="shared" si="15"/>
        <v>2984.75537652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1368.8041903790008</v>
      </c>
      <c r="C18" s="32">
        <f t="shared" si="16"/>
        <v>1493.9044524882229</v>
      </c>
      <c r="D18" s="32">
        <f t="shared" si="16"/>
        <v>1502.7013906123132</v>
      </c>
      <c r="E18" s="32">
        <f t="shared" si="16"/>
        <v>1572.6936712265797</v>
      </c>
      <c r="F18" s="32">
        <f t="shared" si="16"/>
        <v>1642.9815967222346</v>
      </c>
      <c r="G18" s="32">
        <f t="shared" si="16"/>
        <v>1680.2439824343126</v>
      </c>
      <c r="H18" s="32">
        <f t="shared" si="16"/>
        <v>1900.117102761023</v>
      </c>
      <c r="I18" s="32">
        <f t="shared" si="16"/>
        <v>2091.2815039138377</v>
      </c>
      <c r="J18" s="32">
        <f t="shared" si="16"/>
        <v>1999.1266462041185</v>
      </c>
      <c r="K18" s="32">
        <f t="shared" si="16"/>
        <v>1802.4140611184637</v>
      </c>
      <c r="L18" s="32">
        <f t="shared" ref="L18" si="17">SUM(L19,L20,L27)</f>
        <v>1776.6748085901295</v>
      </c>
      <c r="M18" s="32">
        <f t="shared" ref="M18:V18" si="18">SUM(M19,M20,M27)</f>
        <v>1677.1473701998525</v>
      </c>
      <c r="N18" s="32">
        <f t="shared" si="18"/>
        <v>1626.0943280164711</v>
      </c>
      <c r="O18" s="32">
        <f t="shared" si="18"/>
        <v>1633.4469532033345</v>
      </c>
      <c r="P18" s="32">
        <f t="shared" si="18"/>
        <v>1777.0061001848719</v>
      </c>
      <c r="Q18" s="32">
        <f t="shared" si="18"/>
        <v>1900.6426806972493</v>
      </c>
      <c r="R18" s="32">
        <f t="shared" si="18"/>
        <v>1977.6765232665894</v>
      </c>
      <c r="S18" s="32">
        <f t="shared" si="18"/>
        <v>2051.332675119862</v>
      </c>
      <c r="T18" s="32">
        <f t="shared" si="18"/>
        <v>2055.9610245855079</v>
      </c>
      <c r="U18" s="32">
        <f t="shared" si="18"/>
        <v>2111.4082984958764</v>
      </c>
      <c r="V18" s="32">
        <f t="shared" si="18"/>
        <v>1995.4411152292428</v>
      </c>
      <c r="W18" s="32">
        <f t="shared" ref="W18:Y18" si="19">SUM(W19,W20,W27)</f>
        <v>2006.3889995400173</v>
      </c>
      <c r="X18" s="32">
        <f t="shared" si="19"/>
        <v>1910.8961473299178</v>
      </c>
      <c r="Y18" s="32">
        <f t="shared" si="19"/>
        <v>1945.3516258524564</v>
      </c>
      <c r="DA18" s="173" t="s">
        <v>403</v>
      </c>
    </row>
    <row r="19" spans="1:105" ht="11.45" customHeight="1" x14ac:dyDescent="0.25">
      <c r="A19" s="136" t="s">
        <v>173</v>
      </c>
      <c r="B19" s="141">
        <v>8.3740567156090258</v>
      </c>
      <c r="C19" s="141">
        <v>8.3996186657184371</v>
      </c>
      <c r="D19" s="141">
        <v>8.3398033326315772</v>
      </c>
      <c r="E19" s="141">
        <v>8.2779597634672548</v>
      </c>
      <c r="F19" s="141">
        <v>8.1667720851202166</v>
      </c>
      <c r="G19" s="141">
        <v>8.0452685534518018</v>
      </c>
      <c r="H19" s="141">
        <v>7.7870680515615627</v>
      </c>
      <c r="I19" s="141">
        <v>7.3731008770213284</v>
      </c>
      <c r="J19" s="141">
        <v>6.9510128844758059</v>
      </c>
      <c r="K19" s="141">
        <v>6.6242131721319657</v>
      </c>
      <c r="L19" s="141">
        <v>6.4809588065919437</v>
      </c>
      <c r="M19" s="141">
        <v>6.2973222313318811</v>
      </c>
      <c r="N19" s="141">
        <v>5.6487749266508285</v>
      </c>
      <c r="O19" s="141">
        <v>5.7486504677138353</v>
      </c>
      <c r="P19" s="141">
        <v>6.7543009925772539</v>
      </c>
      <c r="Q19" s="141">
        <v>8.3259620635195279</v>
      </c>
      <c r="R19" s="141">
        <v>8.0830250125016985</v>
      </c>
      <c r="S19" s="141">
        <v>7.4852257918754237</v>
      </c>
      <c r="T19" s="141">
        <v>6.9977018107672091</v>
      </c>
      <c r="U19" s="141">
        <v>7.3284220741483352</v>
      </c>
      <c r="V19" s="141">
        <v>6.3305218354560902</v>
      </c>
      <c r="W19" s="141">
        <v>6.8921002741320123</v>
      </c>
      <c r="X19" s="141">
        <v>6.9554365066042907</v>
      </c>
      <c r="Y19" s="141">
        <v>7.7179088284105024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1112.1041833950694</v>
      </c>
      <c r="C20" s="130">
        <f t="shared" si="20"/>
        <v>1212.3756839016935</v>
      </c>
      <c r="D20" s="130">
        <f t="shared" si="20"/>
        <v>1226.1980052817812</v>
      </c>
      <c r="E20" s="130">
        <f t="shared" si="20"/>
        <v>1280.0610162526798</v>
      </c>
      <c r="F20" s="130">
        <f t="shared" si="20"/>
        <v>1347.739272183645</v>
      </c>
      <c r="G20" s="130">
        <f t="shared" si="20"/>
        <v>1388.1956393322173</v>
      </c>
      <c r="H20" s="130">
        <f t="shared" si="20"/>
        <v>1611.5608057626282</v>
      </c>
      <c r="I20" s="130">
        <f t="shared" si="20"/>
        <v>1805.1023104313999</v>
      </c>
      <c r="J20" s="130">
        <f t="shared" si="20"/>
        <v>1733.9055081430424</v>
      </c>
      <c r="K20" s="130">
        <f t="shared" si="20"/>
        <v>1556.2911639384804</v>
      </c>
      <c r="L20" s="130">
        <f t="shared" ref="L20" si="21">SUM(L21:L26)</f>
        <v>1522.8602368258682</v>
      </c>
      <c r="M20" s="130">
        <f t="shared" ref="M20:V20" si="22">SUM(M21:M26)</f>
        <v>1448.7621963891111</v>
      </c>
      <c r="N20" s="130">
        <f t="shared" si="22"/>
        <v>1403.5252844378929</v>
      </c>
      <c r="O20" s="130">
        <f t="shared" si="22"/>
        <v>1413.4925241415897</v>
      </c>
      <c r="P20" s="130">
        <f t="shared" si="22"/>
        <v>1564.5523652320765</v>
      </c>
      <c r="Q20" s="130">
        <f t="shared" si="22"/>
        <v>1687.1482101213567</v>
      </c>
      <c r="R20" s="130">
        <f t="shared" si="22"/>
        <v>1761.8468317510944</v>
      </c>
      <c r="S20" s="130">
        <f t="shared" si="22"/>
        <v>1830.6397122949666</v>
      </c>
      <c r="T20" s="130">
        <f t="shared" si="22"/>
        <v>1849.3879930085095</v>
      </c>
      <c r="U20" s="130">
        <f t="shared" si="22"/>
        <v>1916.6523451013811</v>
      </c>
      <c r="V20" s="130">
        <f t="shared" si="22"/>
        <v>1841.3106981711078</v>
      </c>
      <c r="W20" s="130">
        <f t="shared" ref="W20:Y20" si="23">SUM(W21:W26)</f>
        <v>1872.4748596276715</v>
      </c>
      <c r="X20" s="130">
        <f t="shared" si="23"/>
        <v>1765.187909006813</v>
      </c>
      <c r="Y20" s="130">
        <f t="shared" si="23"/>
        <v>1799.5394064160555</v>
      </c>
      <c r="DA20" s="176" t="s">
        <v>405</v>
      </c>
    </row>
    <row r="21" spans="1:105" ht="11.45" customHeight="1" x14ac:dyDescent="0.25">
      <c r="A21" s="111" t="s">
        <v>110</v>
      </c>
      <c r="B21" s="96">
        <v>948.95949176318345</v>
      </c>
      <c r="C21" s="96">
        <v>1001.0569349845342</v>
      </c>
      <c r="D21" s="96">
        <v>982.34392456265073</v>
      </c>
      <c r="E21" s="96">
        <v>982.6909377172658</v>
      </c>
      <c r="F21" s="96">
        <v>990.46886205279998</v>
      </c>
      <c r="G21" s="96">
        <v>969.90122420938621</v>
      </c>
      <c r="H21" s="96">
        <v>1080.5187877229048</v>
      </c>
      <c r="I21" s="96">
        <v>1189.5853427568668</v>
      </c>
      <c r="J21" s="96">
        <v>1086.8105820017779</v>
      </c>
      <c r="K21" s="96">
        <v>907.82223129274769</v>
      </c>
      <c r="L21" s="96">
        <v>832.89478412604012</v>
      </c>
      <c r="M21" s="96">
        <v>774.68928280403873</v>
      </c>
      <c r="N21" s="96">
        <v>657.15017016282854</v>
      </c>
      <c r="O21" s="96">
        <v>594.81373293439481</v>
      </c>
      <c r="P21" s="96">
        <v>583.95254946990701</v>
      </c>
      <c r="Q21" s="96">
        <v>579.82552010979452</v>
      </c>
      <c r="R21" s="96">
        <v>565.85230042967191</v>
      </c>
      <c r="S21" s="96">
        <v>544.25191645541179</v>
      </c>
      <c r="T21" s="96">
        <v>522.14906983069136</v>
      </c>
      <c r="U21" s="96">
        <v>494.93970464017349</v>
      </c>
      <c r="V21" s="96">
        <v>475.95215380098261</v>
      </c>
      <c r="W21" s="96">
        <v>470.49733275982129</v>
      </c>
      <c r="X21" s="96">
        <v>400.72567744111387</v>
      </c>
      <c r="Y21" s="96">
        <v>417.26947887725413</v>
      </c>
      <c r="DA21" s="171" t="s">
        <v>751</v>
      </c>
    </row>
    <row r="22" spans="1:105" ht="11.45" customHeight="1" x14ac:dyDescent="0.25">
      <c r="A22" s="111" t="s">
        <v>111</v>
      </c>
      <c r="B22" s="96">
        <v>108.33252227735072</v>
      </c>
      <c r="C22" s="96">
        <v>156.52310783846391</v>
      </c>
      <c r="D22" s="96">
        <v>189.07740394152526</v>
      </c>
      <c r="E22" s="96">
        <v>236.85984517421434</v>
      </c>
      <c r="F22" s="96">
        <v>291.02959118558715</v>
      </c>
      <c r="G22" s="96">
        <v>349.18209110182102</v>
      </c>
      <c r="H22" s="96">
        <v>456.21462506709116</v>
      </c>
      <c r="I22" s="96">
        <v>546.44565831183058</v>
      </c>
      <c r="J22" s="96">
        <v>586.6575053820618</v>
      </c>
      <c r="K22" s="96">
        <v>593.78651019842471</v>
      </c>
      <c r="L22" s="96">
        <v>626.74682469982804</v>
      </c>
      <c r="M22" s="96">
        <v>599.3599895850723</v>
      </c>
      <c r="N22" s="96">
        <v>628.60947840510198</v>
      </c>
      <c r="O22" s="96">
        <v>669.29786584901012</v>
      </c>
      <c r="P22" s="96">
        <v>813.99263657045321</v>
      </c>
      <c r="Q22" s="96">
        <v>937.83838613075784</v>
      </c>
      <c r="R22" s="96">
        <v>1033.1137606861867</v>
      </c>
      <c r="S22" s="96">
        <v>1133.5835589220521</v>
      </c>
      <c r="T22" s="96">
        <v>1182.495376269796</v>
      </c>
      <c r="U22" s="96">
        <v>1294.940681048095</v>
      </c>
      <c r="V22" s="96">
        <v>1250.9192761326449</v>
      </c>
      <c r="W22" s="96">
        <v>1298.8287627026482</v>
      </c>
      <c r="X22" s="96">
        <v>1270.4812392508334</v>
      </c>
      <c r="Y22" s="96">
        <v>1297.108091374703</v>
      </c>
      <c r="DA22" s="171" t="s">
        <v>752</v>
      </c>
    </row>
    <row r="23" spans="1:105" ht="11.45" customHeight="1" x14ac:dyDescent="0.25">
      <c r="A23" s="111" t="s">
        <v>112</v>
      </c>
      <c r="B23" s="96">
        <v>54.597906000000002</v>
      </c>
      <c r="C23" s="96">
        <v>54.597906000000002</v>
      </c>
      <c r="D23" s="96">
        <v>54.597906000000002</v>
      </c>
      <c r="E23" s="96">
        <v>60.34505399999999</v>
      </c>
      <c r="F23" s="96">
        <v>66.092202000000015</v>
      </c>
      <c r="G23" s="96">
        <v>68.96577600000002</v>
      </c>
      <c r="H23" s="96">
        <v>74.712924000000015</v>
      </c>
      <c r="I23" s="96">
        <v>68.96577600000002</v>
      </c>
      <c r="J23" s="96">
        <v>60.34505399999999</v>
      </c>
      <c r="K23" s="96">
        <v>54.597906000000002</v>
      </c>
      <c r="L23" s="96">
        <v>63.218628000000002</v>
      </c>
      <c r="M23" s="96">
        <v>74.712924000000015</v>
      </c>
      <c r="N23" s="96">
        <v>117.76411642381906</v>
      </c>
      <c r="O23" s="96">
        <v>149.37746577392292</v>
      </c>
      <c r="P23" s="96">
        <v>166.6013699003509</v>
      </c>
      <c r="Q23" s="96">
        <v>169.47073578226488</v>
      </c>
      <c r="R23" s="96">
        <v>162.86660048834253</v>
      </c>
      <c r="S23" s="96">
        <v>152.77501236922058</v>
      </c>
      <c r="T23" s="96">
        <v>144.55815036746904</v>
      </c>
      <c r="U23" s="96">
        <v>126.47318979474248</v>
      </c>
      <c r="V23" s="96">
        <v>114.06212222709243</v>
      </c>
      <c r="W23" s="96">
        <v>102.67304980244256</v>
      </c>
      <c r="X23" s="96">
        <v>93.449825057026132</v>
      </c>
      <c r="Y23" s="96">
        <v>84.518018795325133</v>
      </c>
      <c r="DA23" s="171" t="s">
        <v>753</v>
      </c>
    </row>
    <row r="24" spans="1:105" ht="11.45" customHeight="1" x14ac:dyDescent="0.25">
      <c r="A24" s="111" t="s">
        <v>113</v>
      </c>
      <c r="B24" s="96">
        <v>0.21426335453519363</v>
      </c>
      <c r="C24" s="96">
        <v>0.19773507869544887</v>
      </c>
      <c r="D24" s="96">
        <v>0.17877077760533353</v>
      </c>
      <c r="E24" s="96">
        <v>0.16517936119980323</v>
      </c>
      <c r="F24" s="96">
        <v>0.14861694525781843</v>
      </c>
      <c r="G24" s="96">
        <v>0.14654802101010736</v>
      </c>
      <c r="H24" s="96">
        <v>0.11446897263227511</v>
      </c>
      <c r="I24" s="96">
        <v>0.10553336270245345</v>
      </c>
      <c r="J24" s="96">
        <v>9.2366759202785559E-2</v>
      </c>
      <c r="K24" s="96">
        <v>8.4516447308078751E-2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0.13046616</v>
      </c>
      <c r="U24" s="96">
        <v>0.22146709619817898</v>
      </c>
      <c r="V24" s="96">
        <v>0.24503651641929841</v>
      </c>
      <c r="W24" s="96">
        <v>0.26983803482348001</v>
      </c>
      <c r="X24" s="96">
        <v>0.27311283451971385</v>
      </c>
      <c r="Y24" s="96">
        <v>0.29644845697328337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1.5194461431091988E-3</v>
      </c>
      <c r="O25" s="96">
        <v>3.4595842617076468E-3</v>
      </c>
      <c r="P25" s="96">
        <v>5.8092913654205248E-3</v>
      </c>
      <c r="Q25" s="96">
        <v>1.3568098539177684E-2</v>
      </c>
      <c r="R25" s="96">
        <v>1.417014689340554E-2</v>
      </c>
      <c r="S25" s="96">
        <v>2.9224548282231682E-2</v>
      </c>
      <c r="T25" s="96">
        <v>5.4930380553100469E-2</v>
      </c>
      <c r="U25" s="96">
        <v>7.7302522171969507E-2</v>
      </c>
      <c r="V25" s="96">
        <v>0.13210949396843999</v>
      </c>
      <c r="W25" s="96">
        <v>0.20587632793583219</v>
      </c>
      <c r="X25" s="96">
        <v>0.25805442331979267</v>
      </c>
      <c r="Y25" s="96">
        <v>0.34736891179974272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248.32595026832254</v>
      </c>
      <c r="C27" s="130">
        <f t="shared" si="24"/>
        <v>273.1291499208109</v>
      </c>
      <c r="D27" s="130">
        <f t="shared" si="24"/>
        <v>268.16358199790028</v>
      </c>
      <c r="E27" s="130">
        <f t="shared" si="24"/>
        <v>284.35469521043268</v>
      </c>
      <c r="F27" s="130">
        <f t="shared" si="24"/>
        <v>287.0755524534693</v>
      </c>
      <c r="G27" s="130">
        <f t="shared" si="24"/>
        <v>284.00307454864355</v>
      </c>
      <c r="H27" s="130">
        <f t="shared" si="24"/>
        <v>280.76922894683315</v>
      </c>
      <c r="I27" s="130">
        <f t="shared" si="24"/>
        <v>278.8060926054165</v>
      </c>
      <c r="J27" s="130">
        <f t="shared" si="24"/>
        <v>258.27012517660012</v>
      </c>
      <c r="K27" s="130">
        <f t="shared" si="24"/>
        <v>239.49868400785127</v>
      </c>
      <c r="L27" s="130">
        <f t="shared" ref="L27" si="25">SUM(L28:L32)</f>
        <v>247.33361295766949</v>
      </c>
      <c r="M27" s="130">
        <f t="shared" ref="M27:V27" si="26">SUM(M28:M32)</f>
        <v>222.0878515794094</v>
      </c>
      <c r="N27" s="130">
        <f t="shared" si="26"/>
        <v>216.92026865192747</v>
      </c>
      <c r="O27" s="130">
        <f t="shared" si="26"/>
        <v>214.20577859403102</v>
      </c>
      <c r="P27" s="130">
        <f t="shared" si="26"/>
        <v>205.69943396021816</v>
      </c>
      <c r="Q27" s="130">
        <f t="shared" si="26"/>
        <v>205.16850851237314</v>
      </c>
      <c r="R27" s="130">
        <f t="shared" si="26"/>
        <v>207.74666650299329</v>
      </c>
      <c r="S27" s="130">
        <f t="shared" si="26"/>
        <v>213.20773703301987</v>
      </c>
      <c r="T27" s="130">
        <f t="shared" si="26"/>
        <v>199.57532976623099</v>
      </c>
      <c r="U27" s="130">
        <f t="shared" si="26"/>
        <v>187.42753132034676</v>
      </c>
      <c r="V27" s="130">
        <f t="shared" si="26"/>
        <v>147.79989522267886</v>
      </c>
      <c r="W27" s="130">
        <f t="shared" ref="W27:Y27" si="27">SUM(W28:W32)</f>
        <v>127.02203963821371</v>
      </c>
      <c r="X27" s="130">
        <f t="shared" si="27"/>
        <v>138.75280181650058</v>
      </c>
      <c r="Y27" s="130">
        <f t="shared" si="27"/>
        <v>138.09431060799022</v>
      </c>
      <c r="DA27" s="176" t="s">
        <v>406</v>
      </c>
    </row>
    <row r="28" spans="1:105" ht="11.45" customHeight="1" x14ac:dyDescent="0.25">
      <c r="A28" s="111" t="s">
        <v>110</v>
      </c>
      <c r="B28" s="97">
        <v>8.787307082600945</v>
      </c>
      <c r="C28" s="97">
        <v>8.3123905912152178</v>
      </c>
      <c r="D28" s="97">
        <v>8.2228758051634152</v>
      </c>
      <c r="E28" s="97">
        <v>7.9711936164004715</v>
      </c>
      <c r="F28" s="97">
        <v>7.6591798655512591</v>
      </c>
      <c r="G28" s="97">
        <v>7.3387268968384376</v>
      </c>
      <c r="H28" s="97">
        <v>6.7327082955570452</v>
      </c>
      <c r="I28" s="97">
        <v>6.2187215825539282</v>
      </c>
      <c r="J28" s="97">
        <v>5.6536595126078293</v>
      </c>
      <c r="K28" s="97">
        <v>4.9014607471589553</v>
      </c>
      <c r="L28" s="97">
        <v>4.1645723234174783</v>
      </c>
      <c r="M28" s="97">
        <v>2.5579645807767974</v>
      </c>
      <c r="N28" s="97">
        <v>1.9535756819068444</v>
      </c>
      <c r="O28" s="97">
        <v>1.3867613304702573</v>
      </c>
      <c r="P28" s="97">
        <v>0.88874320629406323</v>
      </c>
      <c r="Q28" s="97">
        <v>0.7310318281008944</v>
      </c>
      <c r="R28" s="97">
        <v>0.54449047890648938</v>
      </c>
      <c r="S28" s="97">
        <v>0.49169817811319105</v>
      </c>
      <c r="T28" s="97">
        <v>0.41987795171635539</v>
      </c>
      <c r="U28" s="97">
        <v>0.37902992583552031</v>
      </c>
      <c r="V28" s="97">
        <v>0.26807532288379138</v>
      </c>
      <c r="W28" s="97">
        <v>0.18713669537251346</v>
      </c>
      <c r="X28" s="97">
        <v>0.19445963489419776</v>
      </c>
      <c r="Y28" s="97">
        <v>0.21650601449787238</v>
      </c>
      <c r="DA28" s="175" t="s">
        <v>757</v>
      </c>
    </row>
    <row r="29" spans="1:105" ht="11.45" customHeight="1" x14ac:dyDescent="0.25">
      <c r="A29" s="111" t="s">
        <v>111</v>
      </c>
      <c r="B29" s="97">
        <v>235.9661565402568</v>
      </c>
      <c r="C29" s="97">
        <v>259.35961440829112</v>
      </c>
      <c r="D29" s="97">
        <v>256.33272697034221</v>
      </c>
      <c r="E29" s="97">
        <v>272.761930955232</v>
      </c>
      <c r="F29" s="97">
        <v>275.77823953317585</v>
      </c>
      <c r="G29" s="97">
        <v>273.02414567281517</v>
      </c>
      <c r="H29" s="97">
        <v>270.36423962390842</v>
      </c>
      <c r="I29" s="97">
        <v>268.95664438556503</v>
      </c>
      <c r="J29" s="97">
        <v>250.84070242319504</v>
      </c>
      <c r="K29" s="97">
        <v>234.47977970800039</v>
      </c>
      <c r="L29" s="97">
        <v>243.16904063425201</v>
      </c>
      <c r="M29" s="97">
        <v>219.52988699863261</v>
      </c>
      <c r="N29" s="97">
        <v>214.96669297002063</v>
      </c>
      <c r="O29" s="97">
        <v>212.81901726356077</v>
      </c>
      <c r="P29" s="97">
        <v>204.81069075392409</v>
      </c>
      <c r="Q29" s="97">
        <v>204.43747668427224</v>
      </c>
      <c r="R29" s="97">
        <v>206.81310293017447</v>
      </c>
      <c r="S29" s="97">
        <v>212.42271559963183</v>
      </c>
      <c r="T29" s="97">
        <v>198.93258656567011</v>
      </c>
      <c r="U29" s="97">
        <v>186.68315806191461</v>
      </c>
      <c r="V29" s="97">
        <v>146.41643015707862</v>
      </c>
      <c r="W29" s="97">
        <v>123.94074051747249</v>
      </c>
      <c r="X29" s="97">
        <v>133.91138024403972</v>
      </c>
      <c r="Y29" s="97">
        <v>131.59340443235038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0.38907309391235512</v>
      </c>
      <c r="S30" s="97">
        <v>0.29332325527486469</v>
      </c>
      <c r="T30" s="97">
        <v>0.22286524884451511</v>
      </c>
      <c r="U30" s="97">
        <v>0.15219250879481483</v>
      </c>
      <c r="V30" s="97">
        <v>0.10504289913574606</v>
      </c>
      <c r="W30" s="97">
        <v>9.1986900192176077E-2</v>
      </c>
      <c r="X30" s="97">
        <v>9.2826852086365208E-2</v>
      </c>
      <c r="Y30" s="97">
        <v>9.4499298115261574E-2</v>
      </c>
      <c r="DA30" s="175" t="s">
        <v>759</v>
      </c>
    </row>
    <row r="31" spans="1:105" ht="11.45" customHeight="1" x14ac:dyDescent="0.25">
      <c r="A31" s="111" t="s">
        <v>113</v>
      </c>
      <c r="B31" s="97">
        <v>3.5724866454648074</v>
      </c>
      <c r="C31" s="97">
        <v>5.4571449213045522</v>
      </c>
      <c r="D31" s="97">
        <v>3.6079792223946678</v>
      </c>
      <c r="E31" s="97">
        <v>3.6215706388001978</v>
      </c>
      <c r="F31" s="97">
        <v>3.6381330547421831</v>
      </c>
      <c r="G31" s="97">
        <v>3.6402019789898938</v>
      </c>
      <c r="H31" s="97">
        <v>3.6722810273677262</v>
      </c>
      <c r="I31" s="97">
        <v>3.6307266372975473</v>
      </c>
      <c r="J31" s="97">
        <v>1.7757632407972144</v>
      </c>
      <c r="K31" s="97">
        <v>0.11744355269192126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0.21315082380182115</v>
      </c>
      <c r="V31" s="97">
        <v>1.0103468435807017</v>
      </c>
      <c r="W31" s="97">
        <v>2.8021755251765215</v>
      </c>
      <c r="X31" s="97">
        <v>4.5541350854802864</v>
      </c>
      <c r="Y31" s="97">
        <v>6.1899008630267165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545.91381246099877</v>
      </c>
      <c r="C33" s="32">
        <f t="shared" si="28"/>
        <v>805.11166971177738</v>
      </c>
      <c r="D33" s="32">
        <f t="shared" si="28"/>
        <v>864.40895298768692</v>
      </c>
      <c r="E33" s="32">
        <f t="shared" si="28"/>
        <v>906.50624825342015</v>
      </c>
      <c r="F33" s="32">
        <f t="shared" si="28"/>
        <v>967.70296199776556</v>
      </c>
      <c r="G33" s="32">
        <f t="shared" si="28"/>
        <v>1056.8158320056875</v>
      </c>
      <c r="H33" s="32">
        <f t="shared" si="28"/>
        <v>1179.0788636789771</v>
      </c>
      <c r="I33" s="32">
        <f t="shared" si="28"/>
        <v>1403.6169910861622</v>
      </c>
      <c r="J33" s="32">
        <f t="shared" si="28"/>
        <v>1284.2797612358818</v>
      </c>
      <c r="K33" s="32">
        <f t="shared" si="28"/>
        <v>1057.863486481536</v>
      </c>
      <c r="L33" s="32">
        <f t="shared" ref="L33" si="29">L34+L40</f>
        <v>1173.6744225698701</v>
      </c>
      <c r="M33" s="32">
        <f t="shared" ref="M33:V33" si="30">M34+M40</f>
        <v>890.01184608014751</v>
      </c>
      <c r="N33" s="32">
        <f t="shared" si="30"/>
        <v>830.69697854352864</v>
      </c>
      <c r="O33" s="32">
        <f t="shared" si="30"/>
        <v>869.67716587666553</v>
      </c>
      <c r="P33" s="32">
        <f t="shared" si="30"/>
        <v>869.70520473512795</v>
      </c>
      <c r="Q33" s="32">
        <f t="shared" si="30"/>
        <v>934.80567842275047</v>
      </c>
      <c r="R33" s="32">
        <f t="shared" si="30"/>
        <v>912.35323189341011</v>
      </c>
      <c r="S33" s="32">
        <f t="shared" si="30"/>
        <v>998.42816204013786</v>
      </c>
      <c r="T33" s="32">
        <f t="shared" si="30"/>
        <v>992.5890890144924</v>
      </c>
      <c r="U33" s="32">
        <f t="shared" si="30"/>
        <v>962.92349086412378</v>
      </c>
      <c r="V33" s="32">
        <f t="shared" si="30"/>
        <v>939.91751973075725</v>
      </c>
      <c r="W33" s="32">
        <f t="shared" ref="W33:Y33" si="31">W34+W40</f>
        <v>1026.1929547799828</v>
      </c>
      <c r="X33" s="32">
        <f t="shared" si="31"/>
        <v>1055.2679770700822</v>
      </c>
      <c r="Y33" s="32">
        <f t="shared" si="31"/>
        <v>1039.4037506675438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110.77356318915298</v>
      </c>
      <c r="C34" s="141">
        <f t="shared" si="32"/>
        <v>132.90423276532314</v>
      </c>
      <c r="D34" s="141">
        <f t="shared" si="32"/>
        <v>162.73694452270956</v>
      </c>
      <c r="E34" s="141">
        <f t="shared" si="32"/>
        <v>146.74204844102815</v>
      </c>
      <c r="F34" s="141">
        <f t="shared" si="32"/>
        <v>190.50370714903713</v>
      </c>
      <c r="G34" s="141">
        <f t="shared" si="32"/>
        <v>177.98754813720231</v>
      </c>
      <c r="H34" s="141">
        <f t="shared" si="32"/>
        <v>197.44406698316658</v>
      </c>
      <c r="I34" s="141">
        <f t="shared" si="32"/>
        <v>222.21591561787352</v>
      </c>
      <c r="J34" s="141">
        <f t="shared" si="32"/>
        <v>221.51507149356638</v>
      </c>
      <c r="K34" s="141">
        <f t="shared" si="32"/>
        <v>202.19012158479907</v>
      </c>
      <c r="L34" s="141">
        <f t="shared" ref="L34" si="33">SUM(L35:L39)</f>
        <v>182.67106090704087</v>
      </c>
      <c r="M34" s="141">
        <f t="shared" ref="M34:V34" si="34">SUM(M35:M39)</f>
        <v>175.58799537913208</v>
      </c>
      <c r="N34" s="141">
        <f t="shared" si="34"/>
        <v>190.0486700819331</v>
      </c>
      <c r="O34" s="141">
        <f t="shared" si="34"/>
        <v>217.59502252434314</v>
      </c>
      <c r="P34" s="141">
        <f t="shared" si="34"/>
        <v>233.29096584703984</v>
      </c>
      <c r="Q34" s="141">
        <f t="shared" si="34"/>
        <v>244.33901345259065</v>
      </c>
      <c r="R34" s="141">
        <f t="shared" si="34"/>
        <v>243.20166893777673</v>
      </c>
      <c r="S34" s="141">
        <f t="shared" si="34"/>
        <v>253.22044101899553</v>
      </c>
      <c r="T34" s="141">
        <f t="shared" si="34"/>
        <v>247.29880228270667</v>
      </c>
      <c r="U34" s="141">
        <f t="shared" si="34"/>
        <v>250.79806090313582</v>
      </c>
      <c r="V34" s="141">
        <f t="shared" si="34"/>
        <v>253.53991676232116</v>
      </c>
      <c r="W34" s="141">
        <f t="shared" ref="W34:Y34" si="35">SUM(W35:W39)</f>
        <v>262.93697426151289</v>
      </c>
      <c r="X34" s="141">
        <f t="shared" si="35"/>
        <v>276.9645405950007</v>
      </c>
      <c r="Y34" s="141">
        <f t="shared" si="35"/>
        <v>283.52026612991034</v>
      </c>
      <c r="DA34" s="174" t="s">
        <v>412</v>
      </c>
    </row>
    <row r="35" spans="1:105" ht="11.45" customHeight="1" x14ac:dyDescent="0.25">
      <c r="A35" s="111" t="s">
        <v>110</v>
      </c>
      <c r="B35" s="96">
        <v>40.115061278606426</v>
      </c>
      <c r="C35" s="96">
        <v>40.303428038532125</v>
      </c>
      <c r="D35" s="96">
        <v>37.82150717955416</v>
      </c>
      <c r="E35" s="96">
        <v>37.080993462866175</v>
      </c>
      <c r="F35" s="96">
        <v>35.820567996528418</v>
      </c>
      <c r="G35" s="96">
        <v>35.500370780323756</v>
      </c>
      <c r="H35" s="96">
        <v>35.443382369976831</v>
      </c>
      <c r="I35" s="96">
        <v>33.953988503558001</v>
      </c>
      <c r="J35" s="96">
        <v>28.019543321138467</v>
      </c>
      <c r="K35" s="96">
        <v>22.212566947961388</v>
      </c>
      <c r="L35" s="96">
        <v>9.6535924639502451</v>
      </c>
      <c r="M35" s="96">
        <v>8.7068626638526361</v>
      </c>
      <c r="N35" s="96">
        <v>8.6595899024705467</v>
      </c>
      <c r="O35" s="96">
        <v>7.471651123159246</v>
      </c>
      <c r="P35" s="96">
        <v>5.634257599856217</v>
      </c>
      <c r="Q35" s="96">
        <v>5.2924297400458045</v>
      </c>
      <c r="R35" s="96">
        <v>4.4590316520265114</v>
      </c>
      <c r="S35" s="96">
        <v>4.1828754663172845</v>
      </c>
      <c r="T35" s="96">
        <v>3.9627513062719748</v>
      </c>
      <c r="U35" s="96">
        <v>3.6460947576707401</v>
      </c>
      <c r="V35" s="96">
        <v>3.454865466709002</v>
      </c>
      <c r="W35" s="96">
        <v>3.3761580227381356</v>
      </c>
      <c r="X35" s="96">
        <v>3.3252536740677874</v>
      </c>
      <c r="Y35" s="96">
        <v>3.5321336480376546</v>
      </c>
      <c r="DA35" s="171" t="s">
        <v>762</v>
      </c>
    </row>
    <row r="36" spans="1:105" ht="11.45" customHeight="1" x14ac:dyDescent="0.25">
      <c r="A36" s="111" t="s">
        <v>111</v>
      </c>
      <c r="B36" s="96">
        <v>70.658501910546548</v>
      </c>
      <c r="C36" s="96">
        <v>92.600804726791011</v>
      </c>
      <c r="D36" s="96">
        <v>124.91543734315542</v>
      </c>
      <c r="E36" s="96">
        <v>109.66105497816199</v>
      </c>
      <c r="F36" s="96">
        <v>154.68313915250872</v>
      </c>
      <c r="G36" s="96">
        <v>142.48717735687856</v>
      </c>
      <c r="H36" s="96">
        <v>162.00068461318975</v>
      </c>
      <c r="I36" s="96">
        <v>188.26192711431551</v>
      </c>
      <c r="J36" s="96">
        <v>193.49552817242792</v>
      </c>
      <c r="K36" s="96">
        <v>179.97755463683768</v>
      </c>
      <c r="L36" s="96">
        <v>173.01746844309062</v>
      </c>
      <c r="M36" s="96">
        <v>166.88113271527945</v>
      </c>
      <c r="N36" s="96">
        <v>181.33666260328161</v>
      </c>
      <c r="O36" s="96">
        <v>210.07498917510679</v>
      </c>
      <c r="P36" s="96">
        <v>227.59078614753452</v>
      </c>
      <c r="Q36" s="96">
        <v>238.97645349480973</v>
      </c>
      <c r="R36" s="96">
        <v>238.20459286800511</v>
      </c>
      <c r="S36" s="96">
        <v>248.12822109717362</v>
      </c>
      <c r="T36" s="96">
        <v>242.21992203274823</v>
      </c>
      <c r="U36" s="96">
        <v>245.82561672900238</v>
      </c>
      <c r="V36" s="96">
        <v>248.61391966184033</v>
      </c>
      <c r="W36" s="96">
        <v>258.02670190140947</v>
      </c>
      <c r="X36" s="96">
        <v>272.05800735004544</v>
      </c>
      <c r="Y36" s="96">
        <v>278.33300601531306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5.2417576180956847E-2</v>
      </c>
      <c r="O37" s="96">
        <v>4.8382226077098529E-2</v>
      </c>
      <c r="P37" s="96">
        <v>6.592209964910116E-2</v>
      </c>
      <c r="Q37" s="96">
        <v>7.0130217735104153E-2</v>
      </c>
      <c r="R37" s="96">
        <v>0.53804441774512257</v>
      </c>
      <c r="S37" s="96">
        <v>0.90934445550460996</v>
      </c>
      <c r="T37" s="96">
        <v>1.116128943686465</v>
      </c>
      <c r="U37" s="96">
        <v>1.326349416462709</v>
      </c>
      <c r="V37" s="96">
        <v>1.471131633771815</v>
      </c>
      <c r="W37" s="96">
        <v>1.5341143373652613</v>
      </c>
      <c r="X37" s="96">
        <v>1.5812795708875154</v>
      </c>
      <c r="Y37" s="96">
        <v>1.6551264665596099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435.14024927184585</v>
      </c>
      <c r="C40" s="130">
        <f t="shared" si="36"/>
        <v>672.20743694645421</v>
      </c>
      <c r="D40" s="130">
        <f t="shared" si="36"/>
        <v>701.67200846497735</v>
      </c>
      <c r="E40" s="130">
        <f t="shared" si="36"/>
        <v>759.76419981239201</v>
      </c>
      <c r="F40" s="130">
        <f t="shared" si="36"/>
        <v>777.1992548487284</v>
      </c>
      <c r="G40" s="130">
        <f t="shared" si="36"/>
        <v>878.82828386848519</v>
      </c>
      <c r="H40" s="130">
        <f t="shared" si="36"/>
        <v>981.63479669581056</v>
      </c>
      <c r="I40" s="130">
        <f t="shared" si="36"/>
        <v>1181.4010754682888</v>
      </c>
      <c r="J40" s="130">
        <f t="shared" si="36"/>
        <v>1062.7646897423153</v>
      </c>
      <c r="K40" s="130">
        <f t="shared" si="36"/>
        <v>855.67336489673698</v>
      </c>
      <c r="L40" s="130">
        <f t="shared" ref="L40" si="37">SUM(L41:L42)</f>
        <v>991.00336166282921</v>
      </c>
      <c r="M40" s="130">
        <f t="shared" ref="M40:V40" si="38">SUM(M41:M42)</f>
        <v>714.42385070101545</v>
      </c>
      <c r="N40" s="130">
        <f t="shared" si="38"/>
        <v>640.64830846159555</v>
      </c>
      <c r="O40" s="130">
        <f t="shared" si="38"/>
        <v>652.08214335232242</v>
      </c>
      <c r="P40" s="130">
        <f t="shared" si="38"/>
        <v>636.41423888808811</v>
      </c>
      <c r="Q40" s="130">
        <f t="shared" si="38"/>
        <v>690.46666497015985</v>
      </c>
      <c r="R40" s="130">
        <f t="shared" si="38"/>
        <v>669.15156295563338</v>
      </c>
      <c r="S40" s="130">
        <f t="shared" si="38"/>
        <v>745.20772102114233</v>
      </c>
      <c r="T40" s="130">
        <f t="shared" si="38"/>
        <v>745.29028673178573</v>
      </c>
      <c r="U40" s="130">
        <f t="shared" si="38"/>
        <v>712.12542996098796</v>
      </c>
      <c r="V40" s="130">
        <f t="shared" si="38"/>
        <v>686.37760296843612</v>
      </c>
      <c r="W40" s="130">
        <f t="shared" ref="W40:Y40" si="39">SUM(W41:W42)</f>
        <v>763.25598051846987</v>
      </c>
      <c r="X40" s="130">
        <f t="shared" si="39"/>
        <v>778.30343647508153</v>
      </c>
      <c r="Y40" s="130">
        <f t="shared" si="39"/>
        <v>755.88348453763342</v>
      </c>
      <c r="DA40" s="176" t="s">
        <v>413</v>
      </c>
    </row>
    <row r="41" spans="1:105" ht="11.45" customHeight="1" x14ac:dyDescent="0.25">
      <c r="A41" s="128" t="s">
        <v>27</v>
      </c>
      <c r="B41" s="97">
        <v>272.13507646234279</v>
      </c>
      <c r="C41" s="97">
        <v>346.25198398464931</v>
      </c>
      <c r="D41" s="97">
        <v>405.97388083031166</v>
      </c>
      <c r="E41" s="97">
        <v>458.83086069642911</v>
      </c>
      <c r="F41" s="97">
        <v>436.89174447467968</v>
      </c>
      <c r="G41" s="97">
        <v>488.92717122302207</v>
      </c>
      <c r="H41" s="97">
        <v>497.84366427983105</v>
      </c>
      <c r="I41" s="97">
        <v>590.95715052962794</v>
      </c>
      <c r="J41" s="97">
        <v>547.39768419002871</v>
      </c>
      <c r="K41" s="97">
        <v>508.88757982283039</v>
      </c>
      <c r="L41" s="97">
        <v>440.82748723284215</v>
      </c>
      <c r="M41" s="97">
        <v>347.38306473186685</v>
      </c>
      <c r="N41" s="97">
        <v>289.11321515632454</v>
      </c>
      <c r="O41" s="97">
        <v>303.78567233023284</v>
      </c>
      <c r="P41" s="97">
        <v>296.64280738082022</v>
      </c>
      <c r="Q41" s="97">
        <v>302.03661511842176</v>
      </c>
      <c r="R41" s="97">
        <v>310.29330826156826</v>
      </c>
      <c r="S41" s="97">
        <v>351.1964646666919</v>
      </c>
      <c r="T41" s="97">
        <v>348.13990541514562</v>
      </c>
      <c r="U41" s="97">
        <v>348.99516494051363</v>
      </c>
      <c r="V41" s="97">
        <v>346.03787665587981</v>
      </c>
      <c r="W41" s="97">
        <v>391.93645102479974</v>
      </c>
      <c r="X41" s="97">
        <v>393.97485813124587</v>
      </c>
      <c r="Y41" s="97">
        <v>391.51784746406742</v>
      </c>
      <c r="DA41" s="175" t="s">
        <v>767</v>
      </c>
    </row>
    <row r="42" spans="1:105" ht="11.45" customHeight="1" x14ac:dyDescent="0.25">
      <c r="A42" s="138" t="s">
        <v>116</v>
      </c>
      <c r="B42" s="98">
        <v>163.00517280950305</v>
      </c>
      <c r="C42" s="98">
        <v>325.95545296180484</v>
      </c>
      <c r="D42" s="98">
        <v>295.69812763466575</v>
      </c>
      <c r="E42" s="98">
        <v>300.93333911596284</v>
      </c>
      <c r="F42" s="98">
        <v>340.30751037404872</v>
      </c>
      <c r="G42" s="98">
        <v>389.90111264546306</v>
      </c>
      <c r="H42" s="98">
        <v>483.79113241597952</v>
      </c>
      <c r="I42" s="98">
        <v>590.44392493866087</v>
      </c>
      <c r="J42" s="98">
        <v>515.36700555228663</v>
      </c>
      <c r="K42" s="98">
        <v>346.78578507390654</v>
      </c>
      <c r="L42" s="98">
        <v>550.17587442998706</v>
      </c>
      <c r="M42" s="98">
        <v>367.0407859691486</v>
      </c>
      <c r="N42" s="98">
        <v>351.535093305271</v>
      </c>
      <c r="O42" s="98">
        <v>348.29647102208952</v>
      </c>
      <c r="P42" s="98">
        <v>339.77143150726789</v>
      </c>
      <c r="Q42" s="98">
        <v>388.43004985173809</v>
      </c>
      <c r="R42" s="98">
        <v>358.85825469406518</v>
      </c>
      <c r="S42" s="98">
        <v>394.01125635445044</v>
      </c>
      <c r="T42" s="98">
        <v>397.15038131664005</v>
      </c>
      <c r="U42" s="98">
        <v>363.13026502047438</v>
      </c>
      <c r="V42" s="98">
        <v>340.33972631255631</v>
      </c>
      <c r="W42" s="98">
        <v>371.31952949367013</v>
      </c>
      <c r="X42" s="98">
        <v>384.3285783438356</v>
      </c>
      <c r="Y42" s="98">
        <v>364.36563707356606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2.9766461584815103</v>
      </c>
      <c r="C47" s="145">
        <f>IF(C4=0,0,C4/TrRoad_ene!C4)</f>
        <v>2.9909646881496514</v>
      </c>
      <c r="D47" s="145">
        <f>IF(D4=0,0,D4/TrRoad_ene!D4)</f>
        <v>2.9965959934746267</v>
      </c>
      <c r="E47" s="145">
        <f>IF(E4=0,0,E4/TrRoad_ene!E4)</f>
        <v>3.000163671827432</v>
      </c>
      <c r="F47" s="145">
        <f>IF(F4=0,0,F4/TrRoad_ene!F4)</f>
        <v>3.0035641615489017</v>
      </c>
      <c r="G47" s="145">
        <f>IF(G4=0,0,G4/TrRoad_ene!G4)</f>
        <v>2.9987896335002935</v>
      </c>
      <c r="H47" s="145">
        <f>IF(H4=0,0,H4/TrRoad_ene!H4)</f>
        <v>3.0005904746415113</v>
      </c>
      <c r="I47" s="145">
        <f>IF(I4=0,0,I4/TrRoad_ene!I4)</f>
        <v>3.0092791797067875</v>
      </c>
      <c r="J47" s="145">
        <f>IF(J4=0,0,J4/TrRoad_ene!J4)</f>
        <v>3.0095532246410723</v>
      </c>
      <c r="K47" s="145">
        <f>IF(K4=0,0,K4/TrRoad_ene!K4)</f>
        <v>2.9993635304041208</v>
      </c>
      <c r="L47" s="145">
        <f>IF(L4=0,0,L4/TrRoad_ene!L4)</f>
        <v>2.9359894264592703</v>
      </c>
      <c r="M47" s="145">
        <f>IF(M4=0,0,M4/TrRoad_ene!M4)</f>
        <v>2.9293278964945229</v>
      </c>
      <c r="N47" s="145">
        <f>IF(N4=0,0,N4/TrRoad_ene!N4)</f>
        <v>2.9402334903792928</v>
      </c>
      <c r="O47" s="145">
        <f>IF(O4=0,0,O4/TrRoad_ene!O4)</f>
        <v>2.9419087823958199</v>
      </c>
      <c r="P47" s="145">
        <f>IF(P4=0,0,P4/TrRoad_ene!P4)</f>
        <v>2.9394288253817238</v>
      </c>
      <c r="Q47" s="145">
        <f>IF(Q4=0,0,Q4/TrRoad_ene!Q4)</f>
        <v>2.9476164817014392</v>
      </c>
      <c r="R47" s="145">
        <f>IF(R4=0,0,R4/TrRoad_ene!R4)</f>
        <v>2.9873641628293672</v>
      </c>
      <c r="S47" s="145">
        <f>IF(S4=0,0,S4/TrRoad_ene!S4)</f>
        <v>2.9996963650568325</v>
      </c>
      <c r="T47" s="145">
        <f>IF(T4=0,0,T4/TrRoad_ene!T4)</f>
        <v>2.9233938408764915</v>
      </c>
      <c r="U47" s="145">
        <f>IF(U4=0,0,U4/TrRoad_ene!U4)</f>
        <v>2.9353041835986371</v>
      </c>
      <c r="V47" s="145">
        <f>IF(V4=0,0,V4/TrRoad_ene!V4)</f>
        <v>2.9005864962053303</v>
      </c>
      <c r="W47" s="145">
        <f>IF(W4=0,0,W4/TrRoad_ene!W4)</f>
        <v>2.9004267825502676</v>
      </c>
      <c r="X47" s="145">
        <f>IF(X4=0,0,X4/TrRoad_ene!X4)</f>
        <v>2.9912132742964892</v>
      </c>
      <c r="Y47" s="145">
        <f>IF(Y4=0,0,Y4/TrRoad_ene!Y4)</f>
        <v>3.0001968533146406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2.9014523999999997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2.8919501067248956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2.8787388347185368</v>
      </c>
      <c r="L48" s="97">
        <f>IF(L7=0,0,(L7+L12)/(TrRoad_ene!L7+TrRoad_ene!L12))</f>
        <v>2.8216049875588451</v>
      </c>
      <c r="M48" s="97">
        <f>IF(M7=0,0,(M7+M12)/(TrRoad_ene!M7+TrRoad_ene!M12))</f>
        <v>2.8220649902161874</v>
      </c>
      <c r="N48" s="97">
        <f>IF(N7=0,0,(N7+N12)/(TrRoad_ene!N7+TrRoad_ene!N12))</f>
        <v>2.8235799876539498</v>
      </c>
      <c r="O48" s="97">
        <f>IF(O7=0,0,(O7+O12)/(TrRoad_ene!O7+TrRoad_ene!O12))</f>
        <v>2.8156452195186601</v>
      </c>
      <c r="P48" s="97">
        <f>IF(P7=0,0,(P7+P12)/(TrRoad_ene!P7+TrRoad_ene!P12))</f>
        <v>2.813946850796357</v>
      </c>
      <c r="Q48" s="97">
        <f>IF(Q7=0,0,(Q7+Q12)/(TrRoad_ene!Q7+TrRoad_ene!Q12))</f>
        <v>2.7965591799970944</v>
      </c>
      <c r="R48" s="97">
        <f>IF(R7=0,0,(R7+R12)/(TrRoad_ene!R7+TrRoad_ene!R12))</f>
        <v>2.785296701431156</v>
      </c>
      <c r="S48" s="97">
        <f>IF(S7=0,0,(S7+S12)/(TrRoad_ene!S7+TrRoad_ene!S12))</f>
        <v>2.7864982575547188</v>
      </c>
      <c r="T48" s="97">
        <f>IF(T7=0,0,(T7+T12)/(TrRoad_ene!T7+TrRoad_ene!T12))</f>
        <v>2.7738441013376223</v>
      </c>
      <c r="U48" s="97">
        <f>IF(U7=0,0,(U7+U12)/(TrRoad_ene!U7+TrRoad_ene!U12))</f>
        <v>2.7848582160767439</v>
      </c>
      <c r="V48" s="97">
        <f>IF(V7=0,0,(V7+V12)/(TrRoad_ene!V7+TrRoad_ene!V12))</f>
        <v>2.6962700725596478</v>
      </c>
      <c r="W48" s="97">
        <f>IF(W7=0,0,(W7+W12)/(TrRoad_ene!W7+TrRoad_ene!W12))</f>
        <v>2.7098692422222204</v>
      </c>
      <c r="X48" s="97">
        <f>IF(X7=0,0,(X7+X12)/(TrRoad_ene!X7+TrRoad_ene!X12))</f>
        <v>2.7083589923193299</v>
      </c>
      <c r="Y48" s="97">
        <f>IF(Y7=0,0,(Y7+Y12)/(TrRoad_ene!Y7+TrRoad_ene!Y12))</f>
        <v>2.7402519256270979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3.0868867899548618</v>
      </c>
      <c r="H49" s="97">
        <f>IF(H8=0,0,(H8+H13+H14)/(TrRoad_ene!H8+TrRoad_ene!H13+TrRoad_ene!H14))</f>
        <v>3.0933001860025371</v>
      </c>
      <c r="I49" s="97">
        <f>IF(I8=0,0,(I8+I13+I14)/(TrRoad_ene!I8+TrRoad_ene!I13+TrRoad_ene!I14))</f>
        <v>3.094610800733141</v>
      </c>
      <c r="J49" s="97">
        <f>IF(J8=0,0,(J8+J13+J14)/(TrRoad_ene!J8+TrRoad_ene!J13+TrRoad_ene!J14))</f>
        <v>3.0942711952890107</v>
      </c>
      <c r="K49" s="97">
        <f>IF(K8=0,0,(K8+K13+K14)/(TrRoad_ene!K8+TrRoad_ene!K13+TrRoad_ene!K14))</f>
        <v>3.0932694701441275</v>
      </c>
      <c r="L49" s="97">
        <f>IF(L8=0,0,(L8+L13+L14)/(TrRoad_ene!L8+TrRoad_ene!L13+TrRoad_ene!L14))</f>
        <v>3.01656573497266</v>
      </c>
      <c r="M49" s="97">
        <f>IF(M8=0,0,(M8+M13+M14)/(TrRoad_ene!M8+TrRoad_ene!M13+TrRoad_ene!M14))</f>
        <v>3.0192032394043395</v>
      </c>
      <c r="N49" s="97">
        <f>IF(N8=0,0,(N8+N13+N14)/(TrRoad_ene!N8+TrRoad_ene!N13+TrRoad_ene!N14))</f>
        <v>3.0370758878058051</v>
      </c>
      <c r="O49" s="97">
        <f>IF(O8=0,0,(O8+O13+O14)/(TrRoad_ene!O8+TrRoad_ene!O13+TrRoad_ene!O14))</f>
        <v>3.0399652216989717</v>
      </c>
      <c r="P49" s="97">
        <f>IF(P8=0,0,(P8+P13+P14)/(TrRoad_ene!P8+TrRoad_ene!P13+TrRoad_ene!P14))</f>
        <v>3.0314089385054728</v>
      </c>
      <c r="Q49" s="97">
        <f>IF(Q8=0,0,(Q8+Q13+Q14)/(TrRoad_ene!Q8+TrRoad_ene!Q13+TrRoad_ene!Q14))</f>
        <v>3.041711683123677</v>
      </c>
      <c r="R49" s="97">
        <f>IF(R8=0,0,(R8+R13+R14)/(TrRoad_ene!R8+TrRoad_ene!R13+TrRoad_ene!R14))</f>
        <v>3.0984413829338027</v>
      </c>
      <c r="S49" s="97">
        <f>IF(S8=0,0,(S8+S13+S14)/(TrRoad_ene!S8+TrRoad_ene!S13+TrRoad_ene!S14))</f>
        <v>3.0996939424030039</v>
      </c>
      <c r="T49" s="97">
        <f>IF(T8=0,0,(T8+T13+T14)/(TrRoad_ene!T8+TrRoad_ene!T13+TrRoad_ene!T14))</f>
        <v>2.994569372630143</v>
      </c>
      <c r="U49" s="97">
        <f>IF(U8=0,0,(U8+U13+U14)/(TrRoad_ene!U8+TrRoad_ene!U13+TrRoad_ene!U14))</f>
        <v>3.0020237895282036</v>
      </c>
      <c r="V49" s="97">
        <f>IF(V8=0,0,(V8+V13+V14)/(TrRoad_ene!V8+TrRoad_ene!V13+TrRoad_ene!V14))</f>
        <v>2.978246058701068</v>
      </c>
      <c r="W49" s="97">
        <f>IF(W8=0,0,(W8+W13+W14)/(TrRoad_ene!W8+TrRoad_ene!W13+TrRoad_ene!W14))</f>
        <v>2.9736273462389762</v>
      </c>
      <c r="X49" s="97">
        <f>IF(X8=0,0,(X8+X13+X14)/(TrRoad_ene!X8+TrRoad_ene!X13+TrRoad_ene!X14))</f>
        <v>3.082811915385439</v>
      </c>
      <c r="Y49" s="97">
        <f>IF(Y8=0,0,(Y8+Y13+Y14)/(TrRoad_ene!Y8+TrRoad_ene!Y13+TrRoad_ene!Y14))</f>
        <v>3.0932409709573268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2.6418708000000009</v>
      </c>
      <c r="T50" s="97">
        <f>IF(T6=0,0,T6/TrRoad_ene!T6)</f>
        <v>2.6418708000000009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X51" s="97">
        <f>IF(X9=0,0,(X9+X11)/(TrRoad_ene!X9+TrRoad_ene!X11))</f>
        <v>2.3487948000000003</v>
      </c>
      <c r="Y51" s="97">
        <f>IF(Y9=0,0,(Y9+Y11)/(TrRoad_ene!Y9+TrRoad_ene!Y11))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377.322799454407</v>
      </c>
      <c r="C54" s="62">
        <f>IF(TrRoad_act!C30=0,0,C17/TrRoad_act!C30*1000
)</f>
        <v>390.74166210591972</v>
      </c>
      <c r="D54" s="62">
        <f>IF(TrRoad_act!D30=0,0,D17/TrRoad_act!D30*1000
)</f>
        <v>385.01415788295975</v>
      </c>
      <c r="E54" s="62">
        <f>IF(TrRoad_act!E30=0,0,E17/TrRoad_act!E30*1000
)</f>
        <v>384.742250978257</v>
      </c>
      <c r="F54" s="62">
        <f>IF(TrRoad_act!F30=0,0,F17/TrRoad_act!F30*1000
)</f>
        <v>375.77072459175764</v>
      </c>
      <c r="G54" s="62">
        <f>IF(TrRoad_act!G30=0,0,G17/TrRoad_act!G30*1000
)</f>
        <v>379.09117977853697</v>
      </c>
      <c r="H54" s="62">
        <f>IF(TrRoad_act!H30=0,0,H17/TrRoad_act!H30*1000
)</f>
        <v>368.05763777159518</v>
      </c>
      <c r="I54" s="62">
        <f>IF(TrRoad_act!I30=0,0,I17/TrRoad_act!I30*1000
)</f>
        <v>371.06770849491903</v>
      </c>
      <c r="J54" s="62">
        <f>IF(TrRoad_act!J30=0,0,J17/TrRoad_act!J30*1000
)</f>
        <v>358.45517128801271</v>
      </c>
      <c r="K54" s="62">
        <f>IF(TrRoad_act!K30=0,0,K17/TrRoad_act!K30*1000
)</f>
        <v>343.94412364456707</v>
      </c>
      <c r="L54" s="62">
        <f>IF(TrRoad_act!L30=0,0,L17/TrRoad_act!L30*1000
)</f>
        <v>363.26441430217574</v>
      </c>
      <c r="M54" s="62">
        <f>IF(TrRoad_act!M30=0,0,M17/TrRoad_act!M30*1000
)</f>
        <v>324.49580337072075</v>
      </c>
      <c r="N54" s="62">
        <f>IF(TrRoad_act!N30=0,0,N17/TrRoad_act!N30*1000
)</f>
        <v>313.82773830384872</v>
      </c>
      <c r="O54" s="62">
        <f>IF(TrRoad_act!O30=0,0,O17/TrRoad_act!O30*1000
)</f>
        <v>311.76497157868266</v>
      </c>
      <c r="P54" s="62">
        <f>IF(TrRoad_act!P30=0,0,P17/TrRoad_act!P30*1000
)</f>
        <v>295.90888772574044</v>
      </c>
      <c r="Q54" s="62">
        <f>IF(TrRoad_act!Q30=0,0,Q17/TrRoad_act!Q30*1000
)</f>
        <v>293.17923526537209</v>
      </c>
      <c r="R54" s="62">
        <f>IF(TrRoad_act!R30=0,0,R17/TrRoad_act!R30*1000
)</f>
        <v>288.00377804863899</v>
      </c>
      <c r="S54" s="62">
        <f>IF(TrRoad_act!S30=0,0,S17/TrRoad_act!S30*1000
)</f>
        <v>286.93889961500633</v>
      </c>
      <c r="T54" s="62">
        <f>IF(TrRoad_act!T30=0,0,T17/TrRoad_act!T30*1000
)</f>
        <v>272.4733465962596</v>
      </c>
      <c r="U54" s="62">
        <f>IF(TrRoad_act!U30=0,0,U17/TrRoad_act!U30*1000
)</f>
        <v>259.69076556289923</v>
      </c>
      <c r="V54" s="62">
        <f>IF(TrRoad_act!V30=0,0,V17/TrRoad_act!V30*1000
)</f>
        <v>251.98848782629253</v>
      </c>
      <c r="W54" s="62">
        <f>IF(TrRoad_act!W30=0,0,W17/TrRoad_act!W30*1000
)</f>
        <v>247.94987751944893</v>
      </c>
      <c r="X54" s="62">
        <f>IF(TrRoad_act!X30=0,0,X17/TrRoad_act!X30*1000
)</f>
        <v>252.19579577540628</v>
      </c>
      <c r="Y54" s="62">
        <f>IF(TrRoad_act!Y30=0,0,Y17/TrRoad_act!Y30*1000
)</f>
        <v>243.60805153969699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311.40319193871409</v>
      </c>
      <c r="C55" s="29">
        <f>IF(TrRoad_act!C31=0,0,C18/TrRoad_act!C31*1000
)</f>
        <v>293.8389453409759</v>
      </c>
      <c r="D55" s="29">
        <f>IF(TrRoad_act!D31=0,0,D18/TrRoad_act!D31*1000
)</f>
        <v>290.48121361422784</v>
      </c>
      <c r="E55" s="29">
        <f>IF(TrRoad_act!E31=0,0,E18/TrRoad_act!E31*1000
)</f>
        <v>288.66360313035369</v>
      </c>
      <c r="F55" s="29">
        <f>IF(TrRoad_act!F31=0,0,F18/TrRoad_act!F31*1000
)</f>
        <v>281.80025223607799</v>
      </c>
      <c r="G55" s="29">
        <f>IF(TrRoad_act!G31=0,0,G18/TrRoad_act!G31*1000
)</f>
        <v>276.38576952906953</v>
      </c>
      <c r="H55" s="29">
        <f>IF(TrRoad_act!H31=0,0,H18/TrRoad_act!H31*1000
)</f>
        <v>265.70100862400028</v>
      </c>
      <c r="I55" s="29">
        <f>IF(TrRoad_act!I31=0,0,I18/TrRoad_act!I31*1000
)</f>
        <v>260.25769243605743</v>
      </c>
      <c r="J55" s="29">
        <f>IF(TrRoad_act!J31=0,0,J18/TrRoad_act!J31*1000
)</f>
        <v>256.01649880352619</v>
      </c>
      <c r="K55" s="29">
        <f>IF(TrRoad_act!K31=0,0,K18/TrRoad_act!K31*1000
)</f>
        <v>255.75252293762557</v>
      </c>
      <c r="L55" s="29">
        <f>IF(TrRoad_act!L31=0,0,L18/TrRoad_act!L31*1000
)</f>
        <v>252.77437489662174</v>
      </c>
      <c r="M55" s="29">
        <f>IF(TrRoad_act!M31=0,0,M18/TrRoad_act!M31*1000
)</f>
        <v>244.21909565004151</v>
      </c>
      <c r="N55" s="29">
        <f>IF(TrRoad_act!N31=0,0,N18/TrRoad_act!N31*1000
)</f>
        <v>239.74177749624485</v>
      </c>
      <c r="O55" s="29">
        <f>IF(TrRoad_act!O31=0,0,O18/TrRoad_act!O31*1000
)</f>
        <v>238.6443737903279</v>
      </c>
      <c r="P55" s="29">
        <f>IF(TrRoad_act!P31=0,0,P18/TrRoad_act!P31*1000
)</f>
        <v>231.01571307668905</v>
      </c>
      <c r="Q55" s="29">
        <f>IF(TrRoad_act!Q31=0,0,Q18/TrRoad_act!Q31*1000
)</f>
        <v>227.59455037759292</v>
      </c>
      <c r="R55" s="29">
        <f>IF(TrRoad_act!R31=0,0,R18/TrRoad_act!R31*1000
)</f>
        <v>227.15780001058579</v>
      </c>
      <c r="S55" s="29">
        <f>IF(TrRoad_act!S31=0,0,S18/TrRoad_act!S31*1000
)</f>
        <v>222.44869837252008</v>
      </c>
      <c r="T55" s="29">
        <f>IF(TrRoad_act!T31=0,0,T18/TrRoad_act!T31*1000
)</f>
        <v>211.08699626719118</v>
      </c>
      <c r="U55" s="29">
        <f>IF(TrRoad_act!U31=0,0,U18/TrRoad_act!U31*1000
)</f>
        <v>203.5473499509518</v>
      </c>
      <c r="V55" s="29">
        <f>IF(TrRoad_act!V31=0,0,V18/TrRoad_act!V31*1000
)</f>
        <v>197.28110041175501</v>
      </c>
      <c r="W55" s="29">
        <f>IF(TrRoad_act!W31=0,0,W18/TrRoad_act!W31*1000
)</f>
        <v>188.83265513948373</v>
      </c>
      <c r="X55" s="29">
        <f>IF(TrRoad_act!X31=0,0,X18/TrRoad_act!X31*1000
)</f>
        <v>188.64855785908122</v>
      </c>
      <c r="Y55" s="29">
        <f>IF(TrRoad_act!Y31=0,0,Y18/TrRoad_act!Y31*1000
)</f>
        <v>183.66714209398407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148.37908335617649</v>
      </c>
      <c r="C56" s="152">
        <f>IF(TrRoad_act!C32=0,0,C19/TrRoad_act!C32*1000
)</f>
        <v>147.83275254013836</v>
      </c>
      <c r="D56" s="152">
        <f>IF(TrRoad_act!D32=0,0,D19/TrRoad_act!D32*1000
)</f>
        <v>146.92705095202024</v>
      </c>
      <c r="E56" s="152">
        <f>IF(TrRoad_act!E32=0,0,E19/TrRoad_act!E32*1000
)</f>
        <v>145.99840564972035</v>
      </c>
      <c r="F56" s="152">
        <f>IF(TrRoad_act!F32=0,0,F19/TrRoad_act!F32*1000
)</f>
        <v>144.85155359420963</v>
      </c>
      <c r="G56" s="152">
        <f>IF(TrRoad_act!G32=0,0,G19/TrRoad_act!G32*1000
)</f>
        <v>143.6583943038606</v>
      </c>
      <c r="H56" s="152">
        <f>IF(TrRoad_act!H32=0,0,H19/TrRoad_act!H32*1000
)</f>
        <v>141.40971485785167</v>
      </c>
      <c r="I56" s="152">
        <f>IF(TrRoad_act!I32=0,0,I19/TrRoad_act!I32*1000
)</f>
        <v>139.05514814807654</v>
      </c>
      <c r="J56" s="152">
        <f>IF(TrRoad_act!J32=0,0,J19/TrRoad_act!J32*1000
)</f>
        <v>136.25429549104783</v>
      </c>
      <c r="K56" s="152">
        <f>IF(TrRoad_act!K32=0,0,K19/TrRoad_act!K32*1000
)</f>
        <v>133.99573533724345</v>
      </c>
      <c r="L56" s="152">
        <f>IF(TrRoad_act!L32=0,0,L19/TrRoad_act!L32*1000
)</f>
        <v>130.21817975872904</v>
      </c>
      <c r="M56" s="152">
        <f>IF(TrRoad_act!M32=0,0,M19/TrRoad_act!M32*1000
)</f>
        <v>126.36178185426125</v>
      </c>
      <c r="N56" s="152">
        <f>IF(TrRoad_act!N32=0,0,N19/TrRoad_act!N32*1000
)</f>
        <v>122.20256284093135</v>
      </c>
      <c r="O56" s="152">
        <f>IF(TrRoad_act!O32=0,0,O19/TrRoad_act!O32*1000
)</f>
        <v>118.03536405191171</v>
      </c>
      <c r="P56" s="152">
        <f>IF(TrRoad_act!P32=0,0,P19/TrRoad_act!P32*1000
)</f>
        <v>113.81787942090889</v>
      </c>
      <c r="Q56" s="152">
        <f>IF(TrRoad_act!Q32=0,0,Q19/TrRoad_act!Q32*1000
)</f>
        <v>109.3082041487167</v>
      </c>
      <c r="R56" s="152">
        <f>IF(TrRoad_act!R32=0,0,R19/TrRoad_act!R32*1000
)</f>
        <v>105.16342952474692</v>
      </c>
      <c r="S56" s="152">
        <f>IF(TrRoad_act!S32=0,0,S19/TrRoad_act!S32*1000
)</f>
        <v>102.01297938059372</v>
      </c>
      <c r="T56" s="152">
        <f>IF(TrRoad_act!T32=0,0,T19/TrRoad_act!T32*1000
)</f>
        <v>99.0026440558606</v>
      </c>
      <c r="U56" s="152">
        <f>IF(TrRoad_act!U32=0,0,U19/TrRoad_act!U32*1000
)</f>
        <v>96.84215279271578</v>
      </c>
      <c r="V56" s="152">
        <f>IF(TrRoad_act!V32=0,0,V19/TrRoad_act!V32*1000
)</f>
        <v>92.182638150727342</v>
      </c>
      <c r="W56" s="152">
        <f>IF(TrRoad_act!W32=0,0,W19/TrRoad_act!W32*1000
)</f>
        <v>95.248216365647082</v>
      </c>
      <c r="X56" s="152">
        <f>IF(TrRoad_act!X32=0,0,X19/TrRoad_act!X32*1000
)</f>
        <v>93.971641269843133</v>
      </c>
      <c r="Y56" s="152">
        <f>IF(TrRoad_act!Y32=0,0,Y19/TrRoad_act!Y32*1000
)</f>
        <v>95.654167358583408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264.69200047455632</v>
      </c>
      <c r="C57" s="116">
        <f>IF(TrRoad_act!C33=0,0,C20/TrRoad_act!C33*1000
)</f>
        <v>248.08781980549463</v>
      </c>
      <c r="D57" s="116">
        <f>IF(TrRoad_act!D33=0,0,D20/TrRoad_act!D33*1000
)</f>
        <v>246.70223139592076</v>
      </c>
      <c r="E57" s="116">
        <f>IF(TrRoad_act!E33=0,0,E20/TrRoad_act!E33*1000
)</f>
        <v>244.58389324456172</v>
      </c>
      <c r="F57" s="116">
        <f>IF(TrRoad_act!F33=0,0,F20/TrRoad_act!F33*1000
)</f>
        <v>240.04113627701969</v>
      </c>
      <c r="G57" s="116">
        <f>IF(TrRoad_act!G33=0,0,G20/TrRoad_act!G33*1000
)</f>
        <v>236.71726838960748</v>
      </c>
      <c r="H57" s="116">
        <f>IF(TrRoad_act!H33=0,0,H20/TrRoad_act!H33*1000
)</f>
        <v>232.17216874580836</v>
      </c>
      <c r="I57" s="116">
        <f>IF(TrRoad_act!I33=0,0,I20/TrRoad_act!I33*1000
)</f>
        <v>230.53900834195781</v>
      </c>
      <c r="J57" s="116">
        <f>IF(TrRoad_act!J33=0,0,J20/TrRoad_act!J33*1000
)</f>
        <v>227.82131950739853</v>
      </c>
      <c r="K57" s="116">
        <f>IF(TrRoad_act!K33=0,0,K20/TrRoad_act!K33*1000
)</f>
        <v>227.11082291754099</v>
      </c>
      <c r="L57" s="116">
        <f>IF(TrRoad_act!L33=0,0,L20/TrRoad_act!L33*1000
)</f>
        <v>222.80236953756059</v>
      </c>
      <c r="M57" s="116">
        <f>IF(TrRoad_act!M33=0,0,M20/TrRoad_act!M33*1000
)</f>
        <v>216.92250253234138</v>
      </c>
      <c r="N57" s="116">
        <f>IF(TrRoad_act!N33=0,0,N20/TrRoad_act!N33*1000
)</f>
        <v>212.62833469284197</v>
      </c>
      <c r="O57" s="116">
        <f>IF(TrRoad_act!O33=0,0,O20/TrRoad_act!O33*1000
)</f>
        <v>212.18422684402191</v>
      </c>
      <c r="P57" s="116">
        <f>IF(TrRoad_act!P33=0,0,P20/TrRoad_act!P33*1000
)</f>
        <v>208.54097758994368</v>
      </c>
      <c r="Q57" s="116">
        <f>IF(TrRoad_act!Q33=0,0,Q20/TrRoad_act!Q33*1000
)</f>
        <v>207.12744840021182</v>
      </c>
      <c r="R57" s="116">
        <f>IF(TrRoad_act!R33=0,0,R20/TrRoad_act!R33*1000
)</f>
        <v>207.31338245261924</v>
      </c>
      <c r="S57" s="116">
        <f>IF(TrRoad_act!S33=0,0,S20/TrRoad_act!S33*1000
)</f>
        <v>203.02008548677378</v>
      </c>
      <c r="T57" s="116">
        <f>IF(TrRoad_act!T33=0,0,T20/TrRoad_act!T33*1000
)</f>
        <v>193.8253220413111</v>
      </c>
      <c r="U57" s="116">
        <f>IF(TrRoad_act!U33=0,0,U20/TrRoad_act!U33*1000
)</f>
        <v>188.36396764930001</v>
      </c>
      <c r="V57" s="116">
        <f>IF(TrRoad_act!V33=0,0,V20/TrRoad_act!V33*1000
)</f>
        <v>185.13597432521959</v>
      </c>
      <c r="W57" s="116">
        <f>IF(TrRoad_act!W33=0,0,W20/TrRoad_act!W33*1000
)</f>
        <v>178.97176593967885</v>
      </c>
      <c r="X57" s="116">
        <f>IF(TrRoad_act!X33=0,0,X20/TrRoad_act!X33*1000
)</f>
        <v>177.24294362533885</v>
      </c>
      <c r="Y57" s="116">
        <f>IF(TrRoad_act!Y33=0,0,Y20/TrRoad_act!Y33*1000
)</f>
        <v>172.84501444918334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266.61643096788146</v>
      </c>
      <c r="C58" s="87">
        <f>IF(TrRoad_act!C34=0,0,C21/TrRoad_act!C34*1000
)</f>
        <v>249.25659533557493</v>
      </c>
      <c r="D58" s="87">
        <f>IF(TrRoad_act!D34=0,0,D21/TrRoad_act!D34*1000
)</f>
        <v>247.5613761541232</v>
      </c>
      <c r="E58" s="87">
        <f>IF(TrRoad_act!E34=0,0,E21/TrRoad_act!E34*1000
)</f>
        <v>245.74074290299234</v>
      </c>
      <c r="F58" s="87">
        <f>IF(TrRoad_act!F34=0,0,F21/TrRoad_act!F34*1000
)</f>
        <v>243.36867116510689</v>
      </c>
      <c r="G58" s="87">
        <f>IF(TrRoad_act!G34=0,0,G21/TrRoad_act!G34*1000
)</f>
        <v>240.77758469506654</v>
      </c>
      <c r="H58" s="87">
        <f>IF(TrRoad_act!H34=0,0,H21/TrRoad_act!H34*1000
)</f>
        <v>236.66163714402225</v>
      </c>
      <c r="I58" s="87">
        <f>IF(TrRoad_act!I34=0,0,I21/TrRoad_act!I34*1000
)</f>
        <v>233.40758558237445</v>
      </c>
      <c r="J58" s="87">
        <f>IF(TrRoad_act!J34=0,0,J21/TrRoad_act!J34*1000
)</f>
        <v>230.50307880674146</v>
      </c>
      <c r="K58" s="87">
        <f>IF(TrRoad_act!K34=0,0,K21/TrRoad_act!K34*1000
)</f>
        <v>231.67883859235255</v>
      </c>
      <c r="L58" s="87">
        <f>IF(TrRoad_act!L34=0,0,L21/TrRoad_act!L34*1000
)</f>
        <v>221.66995214255974</v>
      </c>
      <c r="M58" s="87">
        <f>IF(TrRoad_act!M34=0,0,M21/TrRoad_act!M34*1000
)</f>
        <v>225.2408335382556</v>
      </c>
      <c r="N58" s="87">
        <f>IF(TrRoad_act!N34=0,0,N21/TrRoad_act!N34*1000
)</f>
        <v>220.29854968372828</v>
      </c>
      <c r="O58" s="87">
        <f>IF(TrRoad_act!O34=0,0,O21/TrRoad_act!O34*1000
)</f>
        <v>213.60749299801563</v>
      </c>
      <c r="P58" s="87">
        <f>IF(TrRoad_act!P34=0,0,P21/TrRoad_act!P34*1000
)</f>
        <v>214.93032320535599</v>
      </c>
      <c r="Q58" s="87">
        <f>IF(TrRoad_act!Q34=0,0,Q21/TrRoad_act!Q34*1000
)</f>
        <v>208.07292803623378</v>
      </c>
      <c r="R58" s="87">
        <f>IF(TrRoad_act!R34=0,0,R21/TrRoad_act!R34*1000
)</f>
        <v>220.66139951286206</v>
      </c>
      <c r="S58" s="87">
        <f>IF(TrRoad_act!S34=0,0,S21/TrRoad_act!S34*1000
)</f>
        <v>214.59511467028295</v>
      </c>
      <c r="T58" s="87">
        <f>IF(TrRoad_act!T34=0,0,T21/TrRoad_act!T34*1000
)</f>
        <v>206.89599532267576</v>
      </c>
      <c r="U58" s="87">
        <f>IF(TrRoad_act!U34=0,0,U21/TrRoad_act!U34*1000
)</f>
        <v>200.38947798246775</v>
      </c>
      <c r="V58" s="87">
        <f>IF(TrRoad_act!V34=0,0,V21/TrRoad_act!V34*1000
)</f>
        <v>199.39645586215005</v>
      </c>
      <c r="W58" s="87">
        <f>IF(TrRoad_act!W34=0,0,W21/TrRoad_act!W34*1000
)</f>
        <v>188.04086324626945</v>
      </c>
      <c r="X58" s="87">
        <f>IF(TrRoad_act!X34=0,0,X21/TrRoad_act!X34*1000
)</f>
        <v>173.59215267340227</v>
      </c>
      <c r="Y58" s="87">
        <f>IF(TrRoad_act!Y34=0,0,Y21/TrRoad_act!Y34*1000
)</f>
        <v>170.30460224867824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250.17267099590785</v>
      </c>
      <c r="C59" s="87">
        <f>IF(TrRoad_act!C35=0,0,C22/TrRoad_act!C35*1000
)</f>
        <v>252.44913470753005</v>
      </c>
      <c r="D59" s="87">
        <f>IF(TrRoad_act!D35=0,0,D22/TrRoad_act!D35*1000
)</f>
        <v>246.10394664504142</v>
      </c>
      <c r="E59" s="87">
        <f>IF(TrRoad_act!E35=0,0,E22/TrRoad_act!E35*1000
)</f>
        <v>240.6027623741725</v>
      </c>
      <c r="F59" s="87">
        <f>IF(TrRoad_act!F35=0,0,F22/TrRoad_act!F35*1000
)</f>
        <v>236.85033820857257</v>
      </c>
      <c r="G59" s="87">
        <f>IF(TrRoad_act!G35=0,0,G22/TrRoad_act!G35*1000
)</f>
        <v>231.792622180649</v>
      </c>
      <c r="H59" s="87">
        <f>IF(TrRoad_act!H35=0,0,H22/TrRoad_act!H35*1000
)</f>
        <v>227.13056315533743</v>
      </c>
      <c r="I59" s="87">
        <f>IF(TrRoad_act!I35=0,0,I22/TrRoad_act!I35*1000
)</f>
        <v>230.79365980367666</v>
      </c>
      <c r="J59" s="87">
        <f>IF(TrRoad_act!J35=0,0,J22/TrRoad_act!J35*1000
)</f>
        <v>228.52338513570788</v>
      </c>
      <c r="K59" s="87">
        <f>IF(TrRoad_act!K35=0,0,K22/TrRoad_act!K35*1000
)</f>
        <v>226.23215991983648</v>
      </c>
      <c r="L59" s="87">
        <f>IF(TrRoad_act!L35=0,0,L22/TrRoad_act!L35*1000
)</f>
        <v>228.95925226425447</v>
      </c>
      <c r="M59" s="87">
        <f>IF(TrRoad_act!M35=0,0,M22/TrRoad_act!M35*1000
)</f>
        <v>211.24757705143952</v>
      </c>
      <c r="N59" s="87">
        <f>IF(TrRoad_act!N35=0,0,N22/TrRoad_act!N35*1000
)</f>
        <v>210.35651920369793</v>
      </c>
      <c r="O59" s="87">
        <f>IF(TrRoad_act!O35=0,0,O22/TrRoad_act!O35*1000
)</f>
        <v>210.2295418761974</v>
      </c>
      <c r="P59" s="87">
        <f>IF(TrRoad_act!P35=0,0,P22/TrRoad_act!P35*1000
)</f>
        <v>204.50564497340463</v>
      </c>
      <c r="Q59" s="87">
        <f>IF(TrRoad_act!Q35=0,0,Q22/TrRoad_act!Q35*1000
)</f>
        <v>202.0831075877837</v>
      </c>
      <c r="R59" s="87">
        <f>IF(TrRoad_act!R35=0,0,R22/TrRoad_act!R35*1000
)</f>
        <v>201.05290449012605</v>
      </c>
      <c r="S59" s="87">
        <f>IF(TrRoad_act!S35=0,0,S22/TrRoad_act!S35*1000
)</f>
        <v>197.76737632358183</v>
      </c>
      <c r="T59" s="87">
        <f>IF(TrRoad_act!T35=0,0,T22/TrRoad_act!T35*1000
)</f>
        <v>187.54738322850298</v>
      </c>
      <c r="U59" s="87">
        <f>IF(TrRoad_act!U35=0,0,U22/TrRoad_act!U35*1000
)</f>
        <v>183.71660431125173</v>
      </c>
      <c r="V59" s="87">
        <f>IF(TrRoad_act!V35=0,0,V22/TrRoad_act!V35*1000
)</f>
        <v>179.15124982742432</v>
      </c>
      <c r="W59" s="87">
        <f>IF(TrRoad_act!W35=0,0,W22/TrRoad_act!W35*1000
)</f>
        <v>175.09087447023273</v>
      </c>
      <c r="X59" s="87">
        <f>IF(TrRoad_act!X35=0,0,X22/TrRoad_act!X35*1000
)</f>
        <v>178.17151181781875</v>
      </c>
      <c r="Y59" s="87">
        <f>IF(TrRoad_act!Y35=0,0,Y22/TrRoad_act!Y35*1000
)</f>
        <v>175.21692730770275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262.39051593217658</v>
      </c>
      <c r="C60" s="87">
        <f>IF(TrRoad_act!C36=0,0,C23/TrRoad_act!C36*1000
)</f>
        <v>218.69431352311074</v>
      </c>
      <c r="D60" s="87">
        <f>IF(TrRoad_act!D36=0,0,D23/TrRoad_act!D36*1000
)</f>
        <v>234.27307834085465</v>
      </c>
      <c r="E60" s="87">
        <f>IF(TrRoad_act!E36=0,0,E23/TrRoad_act!E36*1000
)</f>
        <v>241.93821672212763</v>
      </c>
      <c r="F60" s="87">
        <f>IF(TrRoad_act!F36=0,0,F23/TrRoad_act!F36*1000
)</f>
        <v>209.64388807459673</v>
      </c>
      <c r="G60" s="87">
        <f>IF(TrRoad_act!G36=0,0,G23/TrRoad_act!G36*1000
)</f>
        <v>209.65692011388657</v>
      </c>
      <c r="H60" s="87">
        <f>IF(TrRoad_act!H36=0,0,H23/TrRoad_act!H36*1000
)</f>
        <v>203.93316035690461</v>
      </c>
      <c r="I60" s="87">
        <f>IF(TrRoad_act!I36=0,0,I23/TrRoad_act!I36*1000
)</f>
        <v>188.90338368882203</v>
      </c>
      <c r="J60" s="87">
        <f>IF(TrRoad_act!J36=0,0,J23/TrRoad_act!J36*1000
)</f>
        <v>183.86060250092763</v>
      </c>
      <c r="K60" s="87">
        <f>IF(TrRoad_act!K36=0,0,K23/TrRoad_act!K36*1000
)</f>
        <v>176.69623946813323</v>
      </c>
      <c r="L60" s="87">
        <f>IF(TrRoad_act!L36=0,0,L23/TrRoad_act!L36*1000
)</f>
        <v>185.77871214919261</v>
      </c>
      <c r="M60" s="87">
        <f>IF(TrRoad_act!M36=0,0,M23/TrRoad_act!M36*1000
)</f>
        <v>185.81282959165404</v>
      </c>
      <c r="N60" s="87">
        <f>IF(TrRoad_act!N36=0,0,N23/TrRoad_act!N36*1000
)</f>
        <v>187.11063132134441</v>
      </c>
      <c r="O60" s="87">
        <f>IF(TrRoad_act!O36=0,0,O23/TrRoad_act!O36*1000
)</f>
        <v>215.51318895327628</v>
      </c>
      <c r="P60" s="87">
        <f>IF(TrRoad_act!P36=0,0,P23/TrRoad_act!P36*1000
)</f>
        <v>207.55828018941901</v>
      </c>
      <c r="Q60" s="87">
        <f>IF(TrRoad_act!Q36=0,0,Q23/TrRoad_act!Q36*1000
)</f>
        <v>237.0060745538606</v>
      </c>
      <c r="R60" s="87">
        <f>IF(TrRoad_act!R36=0,0,R23/TrRoad_act!R36*1000
)</f>
        <v>205.56560849700188</v>
      </c>
      <c r="S60" s="87">
        <f>IF(TrRoad_act!S36=0,0,S23/TrRoad_act!S36*1000
)</f>
        <v>205.20723988663804</v>
      </c>
      <c r="T60" s="87">
        <f>IF(TrRoad_act!T36=0,0,T23/TrRoad_act!T36*1000
)</f>
        <v>205.11708043552272</v>
      </c>
      <c r="U60" s="87">
        <f>IF(TrRoad_act!U36=0,0,U23/TrRoad_act!U36*1000
)</f>
        <v>195.93515045723342</v>
      </c>
      <c r="V60" s="87">
        <f>IF(TrRoad_act!V36=0,0,V23/TrRoad_act!V36*1000
)</f>
        <v>204.74207923253874</v>
      </c>
      <c r="W60" s="87">
        <f>IF(TrRoad_act!W36=0,0,W23/TrRoad_act!W36*1000
)</f>
        <v>201.42529695004416</v>
      </c>
      <c r="X60" s="87">
        <f>IF(TrRoad_act!X36=0,0,X23/TrRoad_act!X36*1000
)</f>
        <v>201.68134865604489</v>
      </c>
      <c r="Y60" s="87">
        <f>IF(TrRoad_act!Y36=0,0,Y23/TrRoad_act!Y36*1000
)</f>
        <v>181.43556123132862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190.55874333983701</v>
      </c>
      <c r="C61" s="87">
        <f>IF(TrRoad_act!C37=0,0,C24/TrRoad_act!C37*1000
)</f>
        <v>190.41406698790837</v>
      </c>
      <c r="D61" s="87">
        <f>IF(TrRoad_act!D37=0,0,D24/TrRoad_act!D37*1000
)</f>
        <v>190.40180229876816</v>
      </c>
      <c r="E61" s="87">
        <f>IF(TrRoad_act!E37=0,0,E24/TrRoad_act!E37*1000
)</f>
        <v>190.38295069460295</v>
      </c>
      <c r="F61" s="87">
        <f>IF(TrRoad_act!F37=0,0,F24/TrRoad_act!F37*1000
)</f>
        <v>190.35615279039521</v>
      </c>
      <c r="G61" s="87">
        <f>IF(TrRoad_act!G37=0,0,G24/TrRoad_act!G37*1000
)</f>
        <v>190.34753709375195</v>
      </c>
      <c r="H61" s="87">
        <f>IF(TrRoad_act!H37=0,0,H24/TrRoad_act!H37*1000
)</f>
        <v>190.25991280998065</v>
      </c>
      <c r="I61" s="87">
        <f>IF(TrRoad_act!I37=0,0,I24/TrRoad_act!I37*1000
)</f>
        <v>190.19074329758953</v>
      </c>
      <c r="J61" s="87">
        <f>IF(TrRoad_act!J37=0,0,J24/TrRoad_act!J37*1000
)</f>
        <v>190.15765954840916</v>
      </c>
      <c r="K61" s="87">
        <f>IF(TrRoad_act!K37=0,0,K24/TrRoad_act!K37*1000
)</f>
        <v>191.75206002827733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90.789116904134573</v>
      </c>
      <c r="U61" s="87">
        <f>IF(TrRoad_act!U37=0,0,U24/TrRoad_act!U37*1000
)</f>
        <v>135.3040692489256</v>
      </c>
      <c r="V61" s="87">
        <f>IF(TrRoad_act!V37=0,0,V24/TrRoad_act!V37*1000
)</f>
        <v>132.25893381714766</v>
      </c>
      <c r="W61" s="87">
        <f>IF(TrRoad_act!W37=0,0,W24/TrRoad_act!W37*1000
)</f>
        <v>129.80307500574909</v>
      </c>
      <c r="X61" s="87">
        <f>IF(TrRoad_act!X37=0,0,X24/TrRoad_act!X37*1000
)</f>
        <v>127.71357842954617</v>
      </c>
      <c r="Y61" s="87">
        <f>IF(TrRoad_act!Y37=0,0,Y24/TrRoad_act!Y37*1000
)</f>
        <v>124.73011436960248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56.842718429421062</v>
      </c>
      <c r="O62" s="87">
        <f>IF(TrRoad_act!O38=0,0,O25/TrRoad_act!O38*1000
)</f>
        <v>67.539162213831418</v>
      </c>
      <c r="P62" s="87">
        <f>IF(TrRoad_act!P38=0,0,P25/TrRoad_act!P38*1000
)</f>
        <v>69.211232774554929</v>
      </c>
      <c r="Q62" s="87">
        <f>IF(TrRoad_act!Q38=0,0,Q25/TrRoad_act!Q38*1000
)</f>
        <v>59.745065784773928</v>
      </c>
      <c r="R62" s="87">
        <f>IF(TrRoad_act!R38=0,0,R25/TrRoad_act!R38*1000
)</f>
        <v>53.991311014558477</v>
      </c>
      <c r="S62" s="87">
        <f>IF(TrRoad_act!S38=0,0,S25/TrRoad_act!S38*1000
)</f>
        <v>57.97997284466318</v>
      </c>
      <c r="T62" s="87">
        <f>IF(TrRoad_act!T38=0,0,T25/TrRoad_act!T38*1000
)</f>
        <v>57.781497463374031</v>
      </c>
      <c r="U62" s="87">
        <f>IF(TrRoad_act!U38=0,0,U25/TrRoad_act!U38*1000
)</f>
        <v>57.402309965817544</v>
      </c>
      <c r="V62" s="87">
        <f>IF(TrRoad_act!V38=0,0,V25/TrRoad_act!V38*1000
)</f>
        <v>62.286755969405355</v>
      </c>
      <c r="W62" s="87">
        <f>IF(TrRoad_act!W38=0,0,W25/TrRoad_act!W38*1000
)</f>
        <v>52.83737941778471</v>
      </c>
      <c r="X62" s="87">
        <f>IF(TrRoad_act!X38=0,0,X25/TrRoad_act!X38*1000
)</f>
        <v>42.443574600039</v>
      </c>
      <c r="Y62" s="87">
        <f>IF(TrRoad_act!Y38=0,0,Y25/TrRoad_act!Y38*1000
)</f>
        <v>35.740804624524444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1803.8906462523591</v>
      </c>
      <c r="C64" s="116">
        <f>IF(TrRoad_act!C40=0,0,C27/TrRoad_act!C40*1000
)</f>
        <v>1945.4579838862639</v>
      </c>
      <c r="D64" s="116">
        <f>IF(TrRoad_act!D40=0,0,D27/TrRoad_act!D40*1000
)</f>
        <v>1836.3978620835176</v>
      </c>
      <c r="E64" s="116">
        <f>IF(TrRoad_act!E40=0,0,E27/TrRoad_act!E40*1000
)</f>
        <v>1801.2895175229555</v>
      </c>
      <c r="F64" s="116">
        <f>IF(TrRoad_act!F40=0,0,F27/TrRoad_act!F40*1000
)</f>
        <v>1802.0227847853616</v>
      </c>
      <c r="G64" s="116">
        <f>IF(TrRoad_act!G40=0,0,G27/TrRoad_act!G40*1000
)</f>
        <v>1786.4184520613849</v>
      </c>
      <c r="H64" s="116">
        <f>IF(TrRoad_act!H40=0,0,H27/TrRoad_act!H40*1000
)</f>
        <v>1810.9866372988156</v>
      </c>
      <c r="I64" s="116">
        <f>IF(TrRoad_act!I40=0,0,I27/TrRoad_act!I40*1000
)</f>
        <v>1828.4518312826501</v>
      </c>
      <c r="J64" s="116">
        <f>IF(TrRoad_act!J40=0,0,J27/TrRoad_act!J40*1000
)</f>
        <v>1759.848764805768</v>
      </c>
      <c r="K64" s="116">
        <f>IF(TrRoad_act!K40=0,0,K27/TrRoad_act!K40*1000
)</f>
        <v>1646.106441981681</v>
      </c>
      <c r="L64" s="116">
        <f>IF(TrRoad_act!L40=0,0,L27/TrRoad_act!L40*1000
)</f>
        <v>1718.7744675463703</v>
      </c>
      <c r="M64" s="116">
        <f>IF(TrRoad_act!M40=0,0,M27/TrRoad_act!M40*1000
)</f>
        <v>1599.5492177274755</v>
      </c>
      <c r="N64" s="116">
        <f>IF(TrRoad_act!N40=0,0,N27/TrRoad_act!N40*1000
)</f>
        <v>1599.381546358363</v>
      </c>
      <c r="O64" s="116">
        <f>IF(TrRoad_act!O40=0,0,O27/TrRoad_act!O40*1000
)</f>
        <v>1594.2747669452604</v>
      </c>
      <c r="P64" s="116">
        <f>IF(TrRoad_act!P40=0,0,P27/TrRoad_act!P40*1000
)</f>
        <v>1577.1229280094381</v>
      </c>
      <c r="Q64" s="116">
        <f>IF(TrRoad_act!Q40=0,0,Q27/TrRoad_act!Q40*1000
)</f>
        <v>1585.8600811563413</v>
      </c>
      <c r="R64" s="116">
        <f>IF(TrRoad_act!R40=0,0,R27/TrRoad_act!R40*1000
)</f>
        <v>1587.7142749626025</v>
      </c>
      <c r="S64" s="116">
        <f>IF(TrRoad_act!S40=0,0,S27/TrRoad_act!S40*1000
)</f>
        <v>1625.2294041737723</v>
      </c>
      <c r="T64" s="116">
        <f>IF(TrRoad_act!T40=0,0,T27/TrRoad_act!T40*1000
)</f>
        <v>1563.1591941658533</v>
      </c>
      <c r="U64" s="116">
        <f>IF(TrRoad_act!U40=0,0,U27/TrRoad_act!U40*1000
)</f>
        <v>1534.7402887072169</v>
      </c>
      <c r="V64" s="116">
        <f>IF(TrRoad_act!V40=0,0,V27/TrRoad_act!V40*1000
)</f>
        <v>1473.3496712907997</v>
      </c>
      <c r="W64" s="116">
        <f>IF(TrRoad_act!W40=0,0,W27/TrRoad_act!W40*1000
)</f>
        <v>1404.1853299748848</v>
      </c>
      <c r="X64" s="116">
        <f>IF(TrRoad_act!X40=0,0,X27/TrRoad_act!X40*1000
)</f>
        <v>1441.7788427318003</v>
      </c>
      <c r="Y64" s="116">
        <f>IF(TrRoad_act!Y40=0,0,Y27/TrRoad_act!Y40*1000
)</f>
        <v>1384.4162741601415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653.15870647894985</v>
      </c>
      <c r="C65" s="101">
        <f>IF(TrRoad_act!C41=0,0,C28/TrRoad_act!C41*1000
)</f>
        <v>618.55875279470922</v>
      </c>
      <c r="D65" s="101">
        <f>IF(TrRoad_act!D41=0,0,D28/TrRoad_act!D41*1000
)</f>
        <v>615.09888072665501</v>
      </c>
      <c r="E65" s="101">
        <f>IF(TrRoad_act!E41=0,0,E28/TrRoad_act!E41*1000
)</f>
        <v>612.36657459916114</v>
      </c>
      <c r="F65" s="101">
        <f>IF(TrRoad_act!F41=0,0,F28/TrRoad_act!F41*1000
)</f>
        <v>610.25904741577358</v>
      </c>
      <c r="G65" s="101">
        <f>IF(TrRoad_act!G41=0,0,G28/TrRoad_act!G41*1000
)</f>
        <v>607.67069491481766</v>
      </c>
      <c r="H65" s="101">
        <f>IF(TrRoad_act!H41=0,0,H28/TrRoad_act!H41*1000
)</f>
        <v>602.88137988777305</v>
      </c>
      <c r="I65" s="101">
        <f>IF(TrRoad_act!I41=0,0,I28/TrRoad_act!I41*1000
)</f>
        <v>599.1626665139238</v>
      </c>
      <c r="J65" s="101">
        <f>IF(TrRoad_act!J41=0,0,J28/TrRoad_act!J41*1000
)</f>
        <v>594.85074030501664</v>
      </c>
      <c r="K65" s="101">
        <f>IF(TrRoad_act!K41=0,0,K28/TrRoad_act!K41*1000
)</f>
        <v>585.3996173099149</v>
      </c>
      <c r="L65" s="101">
        <f>IF(TrRoad_act!L41=0,0,L28/TrRoad_act!L41*1000
)</f>
        <v>567.82884731252739</v>
      </c>
      <c r="M65" s="101">
        <f>IF(TrRoad_act!M41=0,0,M28/TrRoad_act!M41*1000
)</f>
        <v>552.96556509173422</v>
      </c>
      <c r="N65" s="101">
        <f>IF(TrRoad_act!N41=0,0,N28/TrRoad_act!N41*1000
)</f>
        <v>545.58781824459379</v>
      </c>
      <c r="O65" s="101">
        <f>IF(TrRoad_act!O41=0,0,O28/TrRoad_act!O41*1000
)</f>
        <v>532.56067585980043</v>
      </c>
      <c r="P65" s="101">
        <f>IF(TrRoad_act!P41=0,0,P28/TrRoad_act!P41*1000
)</f>
        <v>525.6559441876376</v>
      </c>
      <c r="Q65" s="101">
        <f>IF(TrRoad_act!Q41=0,0,Q28/TrRoad_act!Q41*1000
)</f>
        <v>519.26265383960992</v>
      </c>
      <c r="R65" s="101">
        <f>IF(TrRoad_act!R41=0,0,R28/TrRoad_act!R41*1000
)</f>
        <v>510.26801294205791</v>
      </c>
      <c r="S65" s="101">
        <f>IF(TrRoad_act!S41=0,0,S28/TrRoad_act!S41*1000
)</f>
        <v>508.48668993122345</v>
      </c>
      <c r="T65" s="101">
        <f>IF(TrRoad_act!T41=0,0,T28/TrRoad_act!T41*1000
)</f>
        <v>503.321572411798</v>
      </c>
      <c r="U65" s="101">
        <f>IF(TrRoad_act!U41=0,0,U28/TrRoad_act!U41*1000
)</f>
        <v>503.19996452509719</v>
      </c>
      <c r="V65" s="101">
        <f>IF(TrRoad_act!V41=0,0,V28/TrRoad_act!V41*1000
)</f>
        <v>489.35688297025371</v>
      </c>
      <c r="W65" s="101">
        <f>IF(TrRoad_act!W41=0,0,W28/TrRoad_act!W41*1000
)</f>
        <v>486.79715032815915</v>
      </c>
      <c r="X65" s="101">
        <f>IF(TrRoad_act!X41=0,0,X28/TrRoad_act!X41*1000
)</f>
        <v>486.52585113129913</v>
      </c>
      <c r="Y65" s="101">
        <f>IF(TrRoad_act!Y41=0,0,Y28/TrRoad_act!Y41*1000
)</f>
        <v>482.01800423535906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1958.1232892896919</v>
      </c>
      <c r="C66" s="101">
        <f>IF(TrRoad_act!C42=0,0,C29/TrRoad_act!C42*1000
)</f>
        <v>2126.689384345882</v>
      </c>
      <c r="D66" s="101">
        <f>IF(TrRoad_act!D42=0,0,D29/TrRoad_act!D42*1000
)</f>
        <v>1996.2010994599066</v>
      </c>
      <c r="E66" s="101">
        <f>IF(TrRoad_act!E42=0,0,E29/TrRoad_act!E42*1000
)</f>
        <v>1939.7066992478919</v>
      </c>
      <c r="F66" s="101">
        <f>IF(TrRoad_act!F42=0,0,F29/TrRoad_act!F42*1000
)</f>
        <v>1935.2506448213267</v>
      </c>
      <c r="G66" s="101">
        <f>IF(TrRoad_act!G42=0,0,G29/TrRoad_act!G42*1000
)</f>
        <v>1931.8411660084791</v>
      </c>
      <c r="H66" s="101">
        <f>IF(TrRoad_act!H42=0,0,H29/TrRoad_act!H42*1000
)</f>
        <v>1953.3131512006137</v>
      </c>
      <c r="I66" s="101">
        <f>IF(TrRoad_act!I42=0,0,I29/TrRoad_act!I42*1000
)</f>
        <v>1981.7173923944251</v>
      </c>
      <c r="J66" s="101">
        <f>IF(TrRoad_act!J42=0,0,J29/TrRoad_act!J42*1000
)</f>
        <v>1925.8269433361518</v>
      </c>
      <c r="K66" s="101">
        <f>IF(TrRoad_act!K42=0,0,K29/TrRoad_act!K42*1000
)</f>
        <v>1830.2333596344965</v>
      </c>
      <c r="L66" s="101">
        <f>IF(TrRoad_act!L42=0,0,L29/TrRoad_act!L42*1000
)</f>
        <v>1951.8800608413853</v>
      </c>
      <c r="M66" s="101">
        <f>IF(TrRoad_act!M42=0,0,M29/TrRoad_act!M42*1000
)</f>
        <v>1791.7825104330548</v>
      </c>
      <c r="N66" s="101">
        <f>IF(TrRoad_act!N42=0,0,N29/TrRoad_act!N42*1000
)</f>
        <v>1780.0512412870287</v>
      </c>
      <c r="O66" s="101">
        <f>IF(TrRoad_act!O42=0,0,O29/TrRoad_act!O42*1000
)</f>
        <v>1766.0616725329942</v>
      </c>
      <c r="P66" s="101">
        <f>IF(TrRoad_act!P42=0,0,P29/TrRoad_act!P42*1000
)</f>
        <v>1739.010752174253</v>
      </c>
      <c r="Q66" s="101">
        <f>IF(TrRoad_act!Q42=0,0,Q29/TrRoad_act!Q42*1000
)</f>
        <v>1754.9802214111542</v>
      </c>
      <c r="R66" s="101">
        <f>IF(TrRoad_act!R42=0,0,R29/TrRoad_act!R42*1000
)</f>
        <v>1766.032623792991</v>
      </c>
      <c r="S66" s="101">
        <f>IF(TrRoad_act!S42=0,0,S29/TrRoad_act!S42*1000
)</f>
        <v>1783.2246164423159</v>
      </c>
      <c r="T66" s="101">
        <f>IF(TrRoad_act!T42=0,0,T29/TrRoad_act!T42*1000
)</f>
        <v>1719.6832674010579</v>
      </c>
      <c r="U66" s="101">
        <f>IF(TrRoad_act!U42=0,0,U29/TrRoad_act!U42*1000
)</f>
        <v>1702.1031007797426</v>
      </c>
      <c r="V66" s="101">
        <f>IF(TrRoad_act!V42=0,0,V29/TrRoad_act!V42*1000
)</f>
        <v>1668.6482543785742</v>
      </c>
      <c r="W66" s="101">
        <f>IF(TrRoad_act!W42=0,0,W29/TrRoad_act!W42*1000
)</f>
        <v>1666.5698476350049</v>
      </c>
      <c r="X66" s="101">
        <f>IF(TrRoad_act!X42=0,0,X29/TrRoad_act!X42*1000
)</f>
        <v>1694.7800829335981</v>
      </c>
      <c r="Y66" s="101">
        <f>IF(TrRoad_act!Y42=0,0,Y29/TrRoad_act!Y42*1000
)</f>
        <v>1656.3074637392021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1238.5956131099183</v>
      </c>
      <c r="S67" s="101">
        <f>IF(TrRoad_act!S43=0,0,S30/TrRoad_act!S43*1000
)</f>
        <v>1238.595613109919</v>
      </c>
      <c r="T67" s="101">
        <f>IF(TrRoad_act!T43=0,0,T30/TrRoad_act!T43*1000
)</f>
        <v>1238.5956131099185</v>
      </c>
      <c r="U67" s="101">
        <f>IF(TrRoad_act!U43=0,0,U30/TrRoad_act!U43*1000
)</f>
        <v>1238.5956131099183</v>
      </c>
      <c r="V67" s="101">
        <f>IF(TrRoad_act!V43=0,0,V30/TrRoad_act!V43*1000
)</f>
        <v>1238.5956131099185</v>
      </c>
      <c r="W67" s="101">
        <f>IF(TrRoad_act!W43=0,0,W30/TrRoad_act!W43*1000
)</f>
        <v>1238.5956131099185</v>
      </c>
      <c r="X67" s="101">
        <f>IF(TrRoad_act!X43=0,0,X30/TrRoad_act!X43*1000
)</f>
        <v>1238.5956131099183</v>
      </c>
      <c r="Y67" s="101">
        <f>IF(TrRoad_act!Y43=0,0,Y30/TrRoad_act!Y43*1000
)</f>
        <v>1238.5956131099185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1075.1543080121589</v>
      </c>
      <c r="C68" s="101">
        <f>IF(TrRoad_act!C44=0,0,C31/TrRoad_act!C44*1000
)</f>
        <v>1339.6272224958045</v>
      </c>
      <c r="D68" s="101">
        <f>IF(TrRoad_act!D44=0,0,D31/TrRoad_act!D44*1000
)</f>
        <v>1086.5252318449905</v>
      </c>
      <c r="E68" s="101">
        <f>IF(TrRoad_act!E44=0,0,E31/TrRoad_act!E44*1000
)</f>
        <v>1084.9443077357482</v>
      </c>
      <c r="F68" s="101">
        <f>IF(TrRoad_act!F44=0,0,F31/TrRoad_act!F44*1000
)</f>
        <v>1080.6129354268351</v>
      </c>
      <c r="G68" s="101">
        <f>IF(TrRoad_act!G44=0,0,G31/TrRoad_act!G44*1000
)</f>
        <v>1052.3990969621507</v>
      </c>
      <c r="H68" s="101">
        <f>IF(TrRoad_act!H44=0,0,H31/TrRoad_act!H44*1000
)</f>
        <v>1128.4365016121642</v>
      </c>
      <c r="I68" s="101">
        <f>IF(TrRoad_act!I44=0,0,I31/TrRoad_act!I44*1000
)</f>
        <v>1195.8728760610595</v>
      </c>
      <c r="J68" s="101">
        <f>IF(TrRoad_act!J44=0,0,J31/TrRoad_act!J44*1000
)</f>
        <v>1607.2393238797208</v>
      </c>
      <c r="K68" s="101">
        <f>IF(TrRoad_act!K44=0,0,K31/TrRoad_act!K44*1000
)</f>
        <v>2477.2029506551512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948.81027783725824</v>
      </c>
      <c r="V68" s="101">
        <f>IF(TrRoad_act!V44=0,0,V31/TrRoad_act!V44*1000
)</f>
        <v>1094.7090598252785</v>
      </c>
      <c r="W68" s="101">
        <f>IF(TrRoad_act!W44=0,0,W31/TrRoad_act!W44*1000
)</f>
        <v>1248.1499827934597</v>
      </c>
      <c r="X68" s="101">
        <f>IF(TrRoad_act!X44=0,0,X31/TrRoad_act!X44*1000
)</f>
        <v>1065.6981319334375</v>
      </c>
      <c r="Y68" s="101">
        <f>IF(TrRoad_act!Y44=0,0,Y31/TrRoad_act!Y44*1000
)</f>
        <v>1195.1882520284782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804.13696083776961</v>
      </c>
      <c r="C70" s="29">
        <f>IF(TrRoad_act!C46=0,0,C33/TrRoad_act!C46*1000
)</f>
        <v>1006.853600017533</v>
      </c>
      <c r="D70" s="29">
        <f>IF(TrRoad_act!D46=0,0,D33/TrRoad_act!D46*1000
)</f>
        <v>886.60272188864099</v>
      </c>
      <c r="E70" s="29">
        <f>IF(TrRoad_act!E46=0,0,E33/TrRoad_act!E46*1000
)</f>
        <v>910.50704546431427</v>
      </c>
      <c r="F70" s="29">
        <f>IF(TrRoad_act!F46=0,0,F33/TrRoad_act!F46*1000
)</f>
        <v>866.15432835489935</v>
      </c>
      <c r="G70" s="29">
        <f>IF(TrRoad_act!G46=0,0,G33/TrRoad_act!G46*1000
)</f>
        <v>926.45168197791384</v>
      </c>
      <c r="H70" s="29">
        <f>IF(TrRoad_act!H46=0,0,H33/TrRoad_act!H46*1000
)</f>
        <v>970.64751529421892</v>
      </c>
      <c r="I70" s="29">
        <f>IF(TrRoad_act!I46=0,0,I33/TrRoad_act!I46*1000
)</f>
        <v>1014.8587257967104</v>
      </c>
      <c r="J70" s="29">
        <f>IF(TrRoad_act!J46=0,0,J33/TrRoad_act!J46*1000
)</f>
        <v>950.40669921665358</v>
      </c>
      <c r="K70" s="29">
        <f>IF(TrRoad_act!K46=0,0,K33/TrRoad_act!K46*1000
)</f>
        <v>833.87057354232047</v>
      </c>
      <c r="L70" s="29">
        <f>IF(TrRoad_act!L46=0,0,L33/TrRoad_act!L46*1000
)</f>
        <v>1073.7417461753905</v>
      </c>
      <c r="M70" s="29">
        <f>IF(TrRoad_act!M46=0,0,M33/TrRoad_act!M46*1000
)</f>
        <v>852.63541020948549</v>
      </c>
      <c r="N70" s="29">
        <f>IF(TrRoad_act!N46=0,0,N33/TrRoad_act!N46*1000
)</f>
        <v>794.33232338236712</v>
      </c>
      <c r="O70" s="29">
        <f>IF(TrRoad_act!O46=0,0,O33/TrRoad_act!O46*1000
)</f>
        <v>734.40614403911536</v>
      </c>
      <c r="P70" s="29">
        <f>IF(TrRoad_act!P46=0,0,P33/TrRoad_act!P46*1000
)</f>
        <v>694.54090760364863</v>
      </c>
      <c r="Q70" s="29">
        <f>IF(TrRoad_act!Q46=0,0,Q33/TrRoad_act!Q46*1000
)</f>
        <v>707.98266154244584</v>
      </c>
      <c r="R70" s="29">
        <f>IF(TrRoad_act!R46=0,0,R33/TrRoad_act!R46*1000
)</f>
        <v>686.74683107278167</v>
      </c>
      <c r="S70" s="29">
        <f>IF(TrRoad_act!S46=0,0,S33/TrRoad_act!S46*1000
)</f>
        <v>709.61074924069726</v>
      </c>
      <c r="T70" s="29">
        <f>IF(TrRoad_act!T46=0,0,T33/TrRoad_act!T46*1000
)</f>
        <v>685.22521963378153</v>
      </c>
      <c r="U70" s="29">
        <f>IF(TrRoad_act!U46=0,0,U33/TrRoad_act!U46*1000
)</f>
        <v>657.11697989445747</v>
      </c>
      <c r="V70" s="29">
        <f>IF(TrRoad_act!V46=0,0,V33/TrRoad_act!V46*1000
)</f>
        <v>612.69503699684242</v>
      </c>
      <c r="W70" s="29">
        <f>IF(TrRoad_act!W46=0,0,W33/TrRoad_act!W46*1000
)</f>
        <v>639.21233234040437</v>
      </c>
      <c r="X70" s="29">
        <f>IF(TrRoad_act!X46=0,0,X33/TrRoad_act!X46*1000
)</f>
        <v>646.62719508648684</v>
      </c>
      <c r="Y70" s="29">
        <f>IF(TrRoad_act!Y46=0,0,Y33/TrRoad_act!Y46*1000
)</f>
        <v>625.93504105132445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314.1597290813873</v>
      </c>
      <c r="C71" s="152">
        <f>IF(TrRoad_act!C47=0,0,C34/TrRoad_act!C47*1000
)</f>
        <v>326.91297066670313</v>
      </c>
      <c r="D71" s="152">
        <f>IF(TrRoad_act!D47=0,0,D34/TrRoad_act!D47*1000
)</f>
        <v>317.38223361012547</v>
      </c>
      <c r="E71" s="152">
        <f>IF(TrRoad_act!E47=0,0,E34/TrRoad_act!E47*1000
)</f>
        <v>308.20616063942344</v>
      </c>
      <c r="F71" s="152">
        <f>IF(TrRoad_act!F47=0,0,F34/TrRoad_act!F47*1000
)</f>
        <v>311.74459944095764</v>
      </c>
      <c r="G71" s="152">
        <f>IF(TrRoad_act!G47=0,0,G34/TrRoad_act!G47*1000
)</f>
        <v>307.86367238676269</v>
      </c>
      <c r="H71" s="152">
        <f>IF(TrRoad_act!H47=0,0,H34/TrRoad_act!H47*1000
)</f>
        <v>312.21350135953367</v>
      </c>
      <c r="I71" s="152">
        <f>IF(TrRoad_act!I47=0,0,I34/TrRoad_act!I47*1000
)</f>
        <v>318.91364314617431</v>
      </c>
      <c r="J71" s="152">
        <f>IF(TrRoad_act!J47=0,0,J34/TrRoad_act!J47*1000
)</f>
        <v>314.07407235019798</v>
      </c>
      <c r="K71" s="152">
        <f>IF(TrRoad_act!K47=0,0,K34/TrRoad_act!K47*1000
)</f>
        <v>301.64474788510046</v>
      </c>
      <c r="L71" s="152">
        <f>IF(TrRoad_act!L47=0,0,L34/TrRoad_act!L47*1000
)</f>
        <v>324.02957800966442</v>
      </c>
      <c r="M71" s="152">
        <f>IF(TrRoad_act!M47=0,0,M34/TrRoad_act!M47*1000
)</f>
        <v>300.41204315152572</v>
      </c>
      <c r="N71" s="152">
        <f>IF(TrRoad_act!N47=0,0,N34/TrRoad_act!N47*1000
)</f>
        <v>297.95877763504757</v>
      </c>
      <c r="O71" s="152">
        <f>IF(TrRoad_act!O47=0,0,O34/TrRoad_act!O47*1000
)</f>
        <v>293.89900409086778</v>
      </c>
      <c r="P71" s="152">
        <f>IF(TrRoad_act!P47=0,0,P34/TrRoad_act!P47*1000
)</f>
        <v>287.30508710389614</v>
      </c>
      <c r="Q71" s="152">
        <f>IF(TrRoad_act!Q47=0,0,Q34/TrRoad_act!Q47*1000
)</f>
        <v>285.97109997958961</v>
      </c>
      <c r="R71" s="152">
        <f>IF(TrRoad_act!R47=0,0,R34/TrRoad_act!R47*1000
)</f>
        <v>284.26517218669778</v>
      </c>
      <c r="S71" s="152">
        <f>IF(TrRoad_act!S47=0,0,S34/TrRoad_act!S47*1000
)</f>
        <v>283.35406079671549</v>
      </c>
      <c r="T71" s="152">
        <f>IF(TrRoad_act!T47=0,0,T34/TrRoad_act!T47*1000
)</f>
        <v>271.14205827121532</v>
      </c>
      <c r="U71" s="152">
        <f>IF(TrRoad_act!U47=0,0,U34/TrRoad_act!U47*1000
)</f>
        <v>266.84234909102469</v>
      </c>
      <c r="V71" s="152">
        <f>IF(TrRoad_act!V47=0,0,V34/TrRoad_act!V47*1000
)</f>
        <v>260.69500411870717</v>
      </c>
      <c r="W71" s="152">
        <f>IF(TrRoad_act!W47=0,0,W34/TrRoad_act!W47*1000
)</f>
        <v>262.18060352573775</v>
      </c>
      <c r="X71" s="152">
        <f>IF(TrRoad_act!X47=0,0,X34/TrRoad_act!X47*1000
)</f>
        <v>269.19231994680985</v>
      </c>
      <c r="Y71" s="152">
        <f>IF(TrRoad_act!Y47=0,0,Y34/TrRoad_act!Y47*1000
)</f>
        <v>268.05082632239208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273.98383560750881</v>
      </c>
      <c r="C72" s="87">
        <f>IF(TrRoad_act!C48=0,0,C35/TrRoad_act!C48*1000
)</f>
        <v>270.11671164529577</v>
      </c>
      <c r="D72" s="87">
        <f>IF(TrRoad_act!D48=0,0,D35/TrRoad_act!D48*1000
)</f>
        <v>268.82836295094364</v>
      </c>
      <c r="E72" s="87">
        <f>IF(TrRoad_act!E48=0,0,E35/TrRoad_act!E48*1000
)</f>
        <v>266.01527786799187</v>
      </c>
      <c r="F72" s="87">
        <f>IF(TrRoad_act!F48=0,0,F35/TrRoad_act!F48*1000
)</f>
        <v>263.66608211039932</v>
      </c>
      <c r="G72" s="87">
        <f>IF(TrRoad_act!G48=0,0,G35/TrRoad_act!G48*1000
)</f>
        <v>260.88892718669081</v>
      </c>
      <c r="H72" s="87">
        <f>IF(TrRoad_act!H48=0,0,H35/TrRoad_act!H48*1000
)</f>
        <v>256.76343811444508</v>
      </c>
      <c r="I72" s="87">
        <f>IF(TrRoad_act!I48=0,0,I35/TrRoad_act!I48*1000
)</f>
        <v>255.02480593496614</v>
      </c>
      <c r="J72" s="87">
        <f>IF(TrRoad_act!J48=0,0,J35/TrRoad_act!J48*1000
)</f>
        <v>252.10025114407807</v>
      </c>
      <c r="K72" s="87">
        <f>IF(TrRoad_act!K48=0,0,K35/TrRoad_act!K48*1000
)</f>
        <v>246.6753214502348</v>
      </c>
      <c r="L72" s="87">
        <f>IF(TrRoad_act!L48=0,0,L35/TrRoad_act!L48*1000
)</f>
        <v>235.36135768750628</v>
      </c>
      <c r="M72" s="87">
        <f>IF(TrRoad_act!M48=0,0,M35/TrRoad_act!M48*1000
)</f>
        <v>235.01552816860556</v>
      </c>
      <c r="N72" s="87">
        <f>IF(TrRoad_act!N48=0,0,N35/TrRoad_act!N48*1000
)</f>
        <v>233.51682076550321</v>
      </c>
      <c r="O72" s="87">
        <f>IF(TrRoad_act!O48=0,0,O35/TrRoad_act!O48*1000
)</f>
        <v>231.32940558142442</v>
      </c>
      <c r="P72" s="87">
        <f>IF(TrRoad_act!P48=0,0,P35/TrRoad_act!P48*1000
)</f>
        <v>229.02452856378486</v>
      </c>
      <c r="Q72" s="87">
        <f>IF(TrRoad_act!Q48=0,0,Q35/TrRoad_act!Q48*1000
)</f>
        <v>225.69907127678701</v>
      </c>
      <c r="R72" s="87">
        <f>IF(TrRoad_act!R48=0,0,R35/TrRoad_act!R48*1000
)</f>
        <v>222.66090535612346</v>
      </c>
      <c r="S72" s="87">
        <f>IF(TrRoad_act!S48=0,0,S35/TrRoad_act!S48*1000
)</f>
        <v>221.47703860894271</v>
      </c>
      <c r="T72" s="87">
        <f>IF(TrRoad_act!T48=0,0,T35/TrRoad_act!T48*1000
)</f>
        <v>223.48057880602579</v>
      </c>
      <c r="U72" s="87">
        <f>IF(TrRoad_act!U48=0,0,U35/TrRoad_act!U48*1000
)</f>
        <v>224.82034893908468</v>
      </c>
      <c r="V72" s="87">
        <f>IF(TrRoad_act!V48=0,0,V35/TrRoad_act!V48*1000
)</f>
        <v>216.73613744580874</v>
      </c>
      <c r="W72" s="87">
        <f>IF(TrRoad_act!W48=0,0,W35/TrRoad_act!W48*1000
)</f>
        <v>216.96546887629242</v>
      </c>
      <c r="X72" s="87">
        <f>IF(TrRoad_act!X48=0,0,X35/TrRoad_act!X48*1000
)</f>
        <v>215.69335686560461</v>
      </c>
      <c r="Y72" s="87">
        <f>IF(TrRoad_act!Y48=0,0,Y35/TrRoad_act!Y48*1000
)</f>
        <v>225.13059522510756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342.68850759780042</v>
      </c>
      <c r="C73" s="87">
        <f>IF(TrRoad_act!C49=0,0,C36/TrRoad_act!C49*1000
)</f>
        <v>359.84437251654793</v>
      </c>
      <c r="D73" s="87">
        <f>IF(TrRoad_act!D49=0,0,D36/TrRoad_act!D49*1000
)</f>
        <v>335.74244768072185</v>
      </c>
      <c r="E73" s="87">
        <f>IF(TrRoad_act!E49=0,0,E36/TrRoad_act!E49*1000
)</f>
        <v>325.67208217390419</v>
      </c>
      <c r="F73" s="87">
        <f>IF(TrRoad_act!F49=0,0,F36/TrRoad_act!F49*1000
)</f>
        <v>325.48889438726491</v>
      </c>
      <c r="G73" s="87">
        <f>IF(TrRoad_act!G49=0,0,G36/TrRoad_act!G49*1000
)</f>
        <v>322.32331688050704</v>
      </c>
      <c r="H73" s="87">
        <f>IF(TrRoad_act!H49=0,0,H36/TrRoad_act!H49*1000
)</f>
        <v>327.69664596628724</v>
      </c>
      <c r="I73" s="87">
        <f>IF(TrRoad_act!I49=0,0,I36/TrRoad_act!I49*1000
)</f>
        <v>334.00483750524404</v>
      </c>
      <c r="J73" s="87">
        <f>IF(TrRoad_act!J49=0,0,J36/TrRoad_act!J49*1000
)</f>
        <v>325.66715900605101</v>
      </c>
      <c r="K73" s="87">
        <f>IF(TrRoad_act!K49=0,0,K36/TrRoad_act!K49*1000
)</f>
        <v>310.17542070485945</v>
      </c>
      <c r="L73" s="87">
        <f>IF(TrRoad_act!L49=0,0,L36/TrRoad_act!L49*1000
)</f>
        <v>330.98690884659612</v>
      </c>
      <c r="M73" s="87">
        <f>IF(TrRoad_act!M49=0,0,M36/TrRoad_act!M49*1000
)</f>
        <v>304.84889835231468</v>
      </c>
      <c r="N73" s="87">
        <f>IF(TrRoad_act!N49=0,0,N36/TrRoad_act!N49*1000
)</f>
        <v>301.97191858636154</v>
      </c>
      <c r="O73" s="87">
        <f>IF(TrRoad_act!O49=0,0,O36/TrRoad_act!O49*1000
)</f>
        <v>296.82176226938105</v>
      </c>
      <c r="P73" s="87">
        <f>IF(TrRoad_act!P49=0,0,P36/TrRoad_act!P49*1000
)</f>
        <v>289.20251155861109</v>
      </c>
      <c r="Q73" s="87">
        <f>IF(TrRoad_act!Q49=0,0,Q36/TrRoad_act!Q49*1000
)</f>
        <v>287.74735705998484</v>
      </c>
      <c r="R73" s="87">
        <f>IF(TrRoad_act!R49=0,0,R36/TrRoad_act!R49*1000
)</f>
        <v>285.80977028496301</v>
      </c>
      <c r="S73" s="87">
        <f>IF(TrRoad_act!S49=0,0,S36/TrRoad_act!S49*1000
)</f>
        <v>284.84905517978706</v>
      </c>
      <c r="T73" s="87">
        <f>IF(TrRoad_act!T49=0,0,T36/TrRoad_act!T49*1000
)</f>
        <v>272.26570767998641</v>
      </c>
      <c r="U73" s="87">
        <f>IF(TrRoad_act!U49=0,0,U36/TrRoad_act!U49*1000
)</f>
        <v>267.81079925727789</v>
      </c>
      <c r="V73" s="87">
        <f>IF(TrRoad_act!V49=0,0,V36/TrRoad_act!V49*1000
)</f>
        <v>261.68052494842459</v>
      </c>
      <c r="W73" s="87">
        <f>IF(TrRoad_act!W49=0,0,W36/TrRoad_act!W49*1000
)</f>
        <v>263.24061874523011</v>
      </c>
      <c r="X73" s="87">
        <f>IF(TrRoad_act!X49=0,0,X36/TrRoad_act!X49*1000
)</f>
        <v>270.51970315609987</v>
      </c>
      <c r="Y73" s="87">
        <f>IF(TrRoad_act!Y49=0,0,Y36/TrRoad_act!Y49*1000
)</f>
        <v>269.3196411974867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234.35715164923118</v>
      </c>
      <c r="O74" s="87">
        <f>IF(TrRoad_act!O50=0,0,O37/TrRoad_act!O50*1000
)</f>
        <v>234.35715164923116</v>
      </c>
      <c r="P74" s="87">
        <f>IF(TrRoad_act!P50=0,0,P37/TrRoad_act!P50*1000
)</f>
        <v>222.79691010445384</v>
      </c>
      <c r="Q74" s="87">
        <f>IF(TrRoad_act!Q50=0,0,Q37/TrRoad_act!Q50*1000
)</f>
        <v>225.42892756900005</v>
      </c>
      <c r="R74" s="87">
        <f>IF(TrRoad_act!R50=0,0,R37/TrRoad_act!R50*1000
)</f>
        <v>272.96495981843123</v>
      </c>
      <c r="S74" s="87">
        <f>IF(TrRoad_act!S50=0,0,S37/TrRoad_act!S50*1000
)</f>
        <v>255.39630704349452</v>
      </c>
      <c r="T74" s="87">
        <f>IF(TrRoad_act!T50=0,0,T37/TrRoad_act!T50*1000
)</f>
        <v>244.44422623458794</v>
      </c>
      <c r="U74" s="87">
        <f>IF(TrRoad_act!U50=0,0,U37/TrRoad_act!U50*1000
)</f>
        <v>236.52481599782504</v>
      </c>
      <c r="V74" s="87">
        <f>IF(TrRoad_act!V50=0,0,V37/TrRoad_act!V50*1000
)</f>
        <v>237.33217833808135</v>
      </c>
      <c r="W74" s="87">
        <f>IF(TrRoad_act!W50=0,0,W37/TrRoad_act!W50*1000
)</f>
        <v>237.86704201081483</v>
      </c>
      <c r="X74" s="87">
        <f>IF(TrRoad_act!X50=0,0,X37/TrRoad_act!X50*1000
)</f>
        <v>236.80678278037837</v>
      </c>
      <c r="Y74" s="87">
        <f>IF(TrRoad_act!Y50=0,0,Y37/TrRoad_act!Y50*1000
)</f>
        <v>235.01849168097777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X75" s="87">
        <f>IF(TrRoad_act!X51=0,0,X38/TrRoad_act!X51*1000
)</f>
        <v>0</v>
      </c>
      <c r="Y75" s="87">
        <f>IF(TrRoad_act!Y51=0,0,Y38/TrRoad_act!Y51*1000
)</f>
        <v>0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1333.6448754510243</v>
      </c>
      <c r="C77" s="116">
        <f>IF(TrRoad_act!C53=0,0,C40/TrRoad_act!C53*1000
)</f>
        <v>1710.0679048479842</v>
      </c>
      <c r="D77" s="116">
        <f>IF(TrRoad_act!D53=0,0,D40/TrRoad_act!D53*1000
)</f>
        <v>1518.0472560713617</v>
      </c>
      <c r="E77" s="116">
        <f>IF(TrRoad_act!E53=0,0,E40/TrRoad_act!E53*1000
)</f>
        <v>1462.5209827315405</v>
      </c>
      <c r="F77" s="116">
        <f>IF(TrRoad_act!F53=0,0,F40/TrRoad_act!F53*1000
)</f>
        <v>1535.5063425906712</v>
      </c>
      <c r="G77" s="116">
        <f>IF(TrRoad_act!G53=0,0,G40/TrRoad_act!G53*1000
)</f>
        <v>1562.150784010182</v>
      </c>
      <c r="H77" s="116">
        <f>IF(TrRoad_act!H53=0,0,H40/TrRoad_act!H53*1000
)</f>
        <v>1685.6916743016513</v>
      </c>
      <c r="I77" s="116">
        <f>IF(TrRoad_act!I53=0,0,I40/TrRoad_act!I53*1000
)</f>
        <v>1721.4660451914353</v>
      </c>
      <c r="J77" s="116">
        <f>IF(TrRoad_act!J53=0,0,J40/TrRoad_act!J53*1000
)</f>
        <v>1645.1483483005652</v>
      </c>
      <c r="K77" s="116">
        <f>IF(TrRoad_act!K53=0,0,K40/TrRoad_act!K53*1000
)</f>
        <v>1430.111999467644</v>
      </c>
      <c r="L77" s="116">
        <f>IF(TrRoad_act!L53=0,0,L40/TrRoad_act!L53*1000
)</f>
        <v>1872.2145992351766</v>
      </c>
      <c r="M77" s="116">
        <f>IF(TrRoad_act!M53=0,0,M40/TrRoad_act!M53*1000
)</f>
        <v>1555.3071431302203</v>
      </c>
      <c r="N77" s="116">
        <f>IF(TrRoad_act!N53=0,0,N40/TrRoad_act!N53*1000
)</f>
        <v>1570.429274127793</v>
      </c>
      <c r="O77" s="116">
        <f>IF(TrRoad_act!O53=0,0,O40/TrRoad_act!O53*1000
)</f>
        <v>1469.2571719762477</v>
      </c>
      <c r="P77" s="116">
        <f>IF(TrRoad_act!P53=0,0,P40/TrRoad_act!P53*1000
)</f>
        <v>1445.7249918761017</v>
      </c>
      <c r="Q77" s="116">
        <f>IF(TrRoad_act!Q53=0,0,Q40/TrRoad_act!Q53*1000
)</f>
        <v>1481.8128183259514</v>
      </c>
      <c r="R77" s="116">
        <f>IF(TrRoad_act!R53=0,0,R40/TrRoad_act!R53*1000
)</f>
        <v>1414.7877377294617</v>
      </c>
      <c r="S77" s="116">
        <f>IF(TrRoad_act!S53=0,0,S40/TrRoad_act!S53*1000
)</f>
        <v>1451.6437810373823</v>
      </c>
      <c r="T77" s="116">
        <f>IF(TrRoad_act!T53=0,0,T40/TrRoad_act!T53*1000
)</f>
        <v>1389.1832642994054</v>
      </c>
      <c r="U77" s="116">
        <f>IF(TrRoad_act!U53=0,0,U40/TrRoad_act!U53*1000
)</f>
        <v>1355.1322611591659</v>
      </c>
      <c r="V77" s="116">
        <f>IF(TrRoad_act!V53=0,0,V40/TrRoad_act!V53*1000
)</f>
        <v>1222.3631586828822</v>
      </c>
      <c r="W77" s="116">
        <f>IF(TrRoad_act!W53=0,0,W40/TrRoad_act!W53*1000
)</f>
        <v>1266.7783481372396</v>
      </c>
      <c r="X77" s="116">
        <f>IF(TrRoad_act!X53=0,0,X40/TrRoad_act!X53*1000
)</f>
        <v>1290.5370177411685</v>
      </c>
      <c r="Y77" s="116">
        <f>IF(TrRoad_act!Y53=0,0,Y40/TrRoad_act!Y53*1000
)</f>
        <v>1253.8482598388439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987.6011427859786</v>
      </c>
      <c r="C78" s="101">
        <f>IF(TrRoad_act!C54=0,0,C41/TrRoad_act!C54*1000
)</f>
        <v>1022.293748354993</v>
      </c>
      <c r="D78" s="101">
        <f>IF(TrRoad_act!D54=0,0,D41/TrRoad_act!D54*1000
)</f>
        <v>1002.4046440254608</v>
      </c>
      <c r="E78" s="101">
        <f>IF(TrRoad_act!E54=0,0,E41/TrRoad_act!E54*1000
)</f>
        <v>995.29470866904364</v>
      </c>
      <c r="F78" s="101">
        <f>IF(TrRoad_act!F54=0,0,F41/TrRoad_act!F54*1000
)</f>
        <v>999.75227568576588</v>
      </c>
      <c r="G78" s="101">
        <f>IF(TrRoad_act!G54=0,0,G41/TrRoad_act!G54*1000
)</f>
        <v>995.77835279637895</v>
      </c>
      <c r="H78" s="101">
        <f>IF(TrRoad_act!H54=0,0,H41/TrRoad_act!H54*1000
)</f>
        <v>1005.7447763228911</v>
      </c>
      <c r="I78" s="101">
        <f>IF(TrRoad_act!I54=0,0,I41/TrRoad_act!I54*1000
)</f>
        <v>1006.7413126569471</v>
      </c>
      <c r="J78" s="101">
        <f>IF(TrRoad_act!J54=0,0,J41/TrRoad_act!J54*1000
)</f>
        <v>997.0813919672654</v>
      </c>
      <c r="K78" s="101">
        <f>IF(TrRoad_act!K54=0,0,K41/TrRoad_act!K54*1000
)</f>
        <v>976.75159275015437</v>
      </c>
      <c r="L78" s="101">
        <f>IF(TrRoad_act!L54=0,0,L41/TrRoad_act!L54*1000
)</f>
        <v>988.40243774179851</v>
      </c>
      <c r="M78" s="101">
        <f>IF(TrRoad_act!M54=0,0,M41/TrRoad_act!M54*1000
)</f>
        <v>956.97813975720896</v>
      </c>
      <c r="N78" s="101">
        <f>IF(TrRoad_act!N54=0,0,N41/TrRoad_act!N54*1000
)</f>
        <v>960.50902045290547</v>
      </c>
      <c r="O78" s="101">
        <f>IF(TrRoad_act!O54=0,0,O41/TrRoad_act!O54*1000
)</f>
        <v>946.37281099761003</v>
      </c>
      <c r="P78" s="101">
        <f>IF(TrRoad_act!P54=0,0,P41/TrRoad_act!P54*1000
)</f>
        <v>938.74306133170955</v>
      </c>
      <c r="Q78" s="101">
        <f>IF(TrRoad_act!Q54=0,0,Q41/TrRoad_act!Q54*1000
)</f>
        <v>943.86442224506811</v>
      </c>
      <c r="R78" s="101">
        <f>IF(TrRoad_act!R54=0,0,R41/TrRoad_act!R54*1000
)</f>
        <v>951.81996399254069</v>
      </c>
      <c r="S78" s="101">
        <f>IF(TrRoad_act!S54=0,0,S41/TrRoad_act!S54*1000
)</f>
        <v>954.33821920296714</v>
      </c>
      <c r="T78" s="101">
        <f>IF(TrRoad_act!T54=0,0,T41/TrRoad_act!T54*1000
)</f>
        <v>918.5749483249225</v>
      </c>
      <c r="U78" s="101">
        <f>IF(TrRoad_act!U54=0,0,U41/TrRoad_act!U54*1000
)</f>
        <v>915.997808242818</v>
      </c>
      <c r="V78" s="101">
        <f>IF(TrRoad_act!V54=0,0,V41/TrRoad_act!V54*1000
)</f>
        <v>896.47118304632079</v>
      </c>
      <c r="W78" s="101">
        <f>IF(TrRoad_act!W54=0,0,W41/TrRoad_act!W54*1000
)</f>
        <v>901.00333568919473</v>
      </c>
      <c r="X78" s="101">
        <f>IF(TrRoad_act!X54=0,0,X41/TrRoad_act!X54*1000
)</f>
        <v>933.58971121148306</v>
      </c>
      <c r="Y78" s="101">
        <f>IF(TrRoad_act!Y54=0,0,Y41/TrRoad_act!Y54*1000
)</f>
        <v>934.41013714574558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3213.3588342143289</v>
      </c>
      <c r="C79" s="88">
        <f>IF(TrRoad_act!C55=0,0,C42/TrRoad_act!C55*1000
)</f>
        <v>5993.2508077505527</v>
      </c>
      <c r="D79" s="88">
        <f>IF(TrRoad_act!D55=0,0,D42/TrRoad_act!D55*1000
)</f>
        <v>5167.7285420315675</v>
      </c>
      <c r="E79" s="88">
        <f>IF(TrRoad_act!E55=0,0,E42/TrRoad_act!E55*1000
)</f>
        <v>5145.0887880844284</v>
      </c>
      <c r="F79" s="88">
        <f>IF(TrRoad_act!F55=0,0,F42/TrRoad_act!F55*1000
)</f>
        <v>4921.1683941704277</v>
      </c>
      <c r="G79" s="88">
        <f>IF(TrRoad_act!G55=0,0,G42/TrRoad_act!G55*1000
)</f>
        <v>5447.3846532158004</v>
      </c>
      <c r="H79" s="88">
        <f>IF(TrRoad_act!H55=0,0,H42/TrRoad_act!H55*1000
)</f>
        <v>5539.5801363475703</v>
      </c>
      <c r="I79" s="88">
        <f>IF(TrRoad_act!I55=0,0,I42/TrRoad_act!I55*1000
)</f>
        <v>5947.4906573733315</v>
      </c>
      <c r="J79" s="88">
        <f>IF(TrRoad_act!J55=0,0,J42/TrRoad_act!J55*1000
)</f>
        <v>5313.099977060494</v>
      </c>
      <c r="K79" s="88">
        <f>IF(TrRoad_act!K55=0,0,K42/TrRoad_act!K55*1000
)</f>
        <v>4484.7172165927796</v>
      </c>
      <c r="L79" s="88">
        <f>IF(TrRoad_act!L55=0,0,L42/TrRoad_act!L55*1000
)</f>
        <v>6603.0514414187892</v>
      </c>
      <c r="M79" s="88">
        <f>IF(TrRoad_act!M55=0,0,M42/TrRoad_act!M55*1000
)</f>
        <v>3809.6177659026143</v>
      </c>
      <c r="N79" s="88">
        <f>IF(TrRoad_act!N55=0,0,N42/TrRoad_act!N55*1000
)</f>
        <v>3287.0733539999728</v>
      </c>
      <c r="O79" s="88">
        <f>IF(TrRoad_act!O55=0,0,O42/TrRoad_act!O55*1000
)</f>
        <v>2835.8847968730779</v>
      </c>
      <c r="P79" s="88">
        <f>IF(TrRoad_act!P55=0,0,P42/TrRoad_act!P55*1000
)</f>
        <v>2735.5869077630596</v>
      </c>
      <c r="Q79" s="88">
        <f>IF(TrRoad_act!Q55=0,0,Q42/TrRoad_act!Q55*1000
)</f>
        <v>2661.1945681137481</v>
      </c>
      <c r="R79" s="88">
        <f>IF(TrRoad_act!R55=0,0,R42/TrRoad_act!R55*1000
)</f>
        <v>2441.7178930676446</v>
      </c>
      <c r="S79" s="88">
        <f>IF(TrRoad_act!S55=0,0,S42/TrRoad_act!S55*1000
)</f>
        <v>2710.6937155557612</v>
      </c>
      <c r="T79" s="88">
        <f>IF(TrRoad_act!T55=0,0,T42/TrRoad_act!T55*1000
)</f>
        <v>2521.6650346083661</v>
      </c>
      <c r="U79" s="88">
        <f>IF(TrRoad_act!U55=0,0,U42/TrRoad_act!U55*1000
)</f>
        <v>2512.9682386140753</v>
      </c>
      <c r="V79" s="88">
        <f>IF(TrRoad_act!V55=0,0,V42/TrRoad_act!V55*1000
)</f>
        <v>1939.0706903622627</v>
      </c>
      <c r="W79" s="88">
        <f>IF(TrRoad_act!W55=0,0,W42/TrRoad_act!W55*1000
)</f>
        <v>2216.6029188665821</v>
      </c>
      <c r="X79" s="88">
        <f>IF(TrRoad_act!X55=0,0,X42/TrRoad_act!X55*1000
)</f>
        <v>2122.3663546863945</v>
      </c>
      <c r="Y79" s="88">
        <f>IF(TrRoad_act!Y55=0,0,Y42/TrRoad_act!Y55*1000
)</f>
        <v>1981.8545547463334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98.38182412283345</v>
      </c>
      <c r="C82" s="29">
        <f>IF(TrRoad_act!C4=0,0,C18/TrRoad_act!C4*1000)</f>
        <v>103.95545566461483</v>
      </c>
      <c r="D82" s="29">
        <f>IF(TrRoad_act!D4=0,0,D18/TrRoad_act!D4*1000)</f>
        <v>100.67309611671429</v>
      </c>
      <c r="E82" s="29">
        <f>IF(TrRoad_act!E4=0,0,E18/TrRoad_act!E4*1000)</f>
        <v>100.71363409233707</v>
      </c>
      <c r="F82" s="29">
        <f>IF(TrRoad_act!F4=0,0,F18/TrRoad_act!F4*1000)</f>
        <v>115.48708432672427</v>
      </c>
      <c r="G82" s="29">
        <f>IF(TrRoad_act!G4=0,0,G18/TrRoad_act!G4*1000)</f>
        <v>111.51707786295516</v>
      </c>
      <c r="H82" s="29">
        <f>IF(TrRoad_act!H4=0,0,H18/TrRoad_act!H4*1000)</f>
        <v>112.67843671875217</v>
      </c>
      <c r="I82" s="29">
        <f>IF(TrRoad_act!I4=0,0,I18/TrRoad_act!I4*1000)</f>
        <v>112.05782714959263</v>
      </c>
      <c r="J82" s="29">
        <f>IF(TrRoad_act!J4=0,0,J18/TrRoad_act!J4*1000)</f>
        <v>118.79389940885706</v>
      </c>
      <c r="K82" s="29">
        <f>IF(TrRoad_act!K4=0,0,K18/TrRoad_act!K4*1000)</f>
        <v>120.93557057955296</v>
      </c>
      <c r="L82" s="29">
        <f>IF(TrRoad_act!L4=0,0,L18/TrRoad_act!L4*1000)</f>
        <v>121.01982432945437</v>
      </c>
      <c r="M82" s="29">
        <f>IF(TrRoad_act!M4=0,0,M18/TrRoad_act!M4*1000)</f>
        <v>121.36143015713374</v>
      </c>
      <c r="N82" s="29">
        <f>IF(TrRoad_act!N4=0,0,N18/TrRoad_act!N4*1000)</f>
        <v>113.47289734406402</v>
      </c>
      <c r="O82" s="29">
        <f>IF(TrRoad_act!O4=0,0,O18/TrRoad_act!O4*1000)</f>
        <v>112.48271911830004</v>
      </c>
      <c r="P82" s="29">
        <f>IF(TrRoad_act!P4=0,0,P18/TrRoad_act!P4*1000)</f>
        <v>115.28138252459817</v>
      </c>
      <c r="Q82" s="29">
        <f>IF(TrRoad_act!Q4=0,0,Q18/TrRoad_act!Q4*1000)</f>
        <v>116.7635686624721</v>
      </c>
      <c r="R82" s="29">
        <f>IF(TrRoad_act!R4=0,0,R18/TrRoad_act!R4*1000)</f>
        <v>119.37223334924886</v>
      </c>
      <c r="S82" s="29">
        <f>IF(TrRoad_act!S4=0,0,S18/TrRoad_act!S4*1000)</f>
        <v>116.60232673928559</v>
      </c>
      <c r="T82" s="29">
        <f>IF(TrRoad_act!T4=0,0,T18/TrRoad_act!T4*1000)</f>
        <v>114.8727709346164</v>
      </c>
      <c r="U82" s="29">
        <f>IF(TrRoad_act!U4=0,0,U18/TrRoad_act!U4*1000)</f>
        <v>116.29306340900135</v>
      </c>
      <c r="V82" s="29">
        <f>IF(TrRoad_act!V4=0,0,V18/TrRoad_act!V4*1000)</f>
        <v>120.81655145680301</v>
      </c>
      <c r="W82" s="29">
        <f>IF(TrRoad_act!W4=0,0,W18/TrRoad_act!W4*1000)</f>
        <v>134.69429141168837</v>
      </c>
      <c r="X82" s="29">
        <f>IF(TrRoad_act!X4=0,0,X18/TrRoad_act!X4*1000)</f>
        <v>131.48319307635779</v>
      </c>
      <c r="Y82" s="29">
        <f>IF(TrRoad_act!Y4=0,0,Y18/TrRoad_act!Y4*1000)</f>
        <v>126.43745841793772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128.47260424193402</v>
      </c>
      <c r="C83" s="152">
        <f>IF(TrRoad_act!C5=0,0,C19/TrRoad_act!C5*1000)</f>
        <v>128.00202406000477</v>
      </c>
      <c r="D83" s="152">
        <f>IF(TrRoad_act!D5=0,0,D19/TrRoad_act!D5*1000)</f>
        <v>127.23992560681371</v>
      </c>
      <c r="E83" s="152">
        <f>IF(TrRoad_act!E5=0,0,E19/TrRoad_act!E5*1000)</f>
        <v>126.3826349696017</v>
      </c>
      <c r="F83" s="152">
        <f>IF(TrRoad_act!F5=0,0,F19/TrRoad_act!F5*1000)</f>
        <v>125.37307970117337</v>
      </c>
      <c r="G83" s="152">
        <f>IF(TrRoad_act!G5=0,0,G19/TrRoad_act!G5*1000)</f>
        <v>124.45306245087725</v>
      </c>
      <c r="H83" s="152">
        <f>IF(TrRoad_act!H5=0,0,H19/TrRoad_act!H5*1000)</f>
        <v>122.47084073005988</v>
      </c>
      <c r="I83" s="152">
        <f>IF(TrRoad_act!I5=0,0,I19/TrRoad_act!I5*1000)</f>
        <v>120.23862781269922</v>
      </c>
      <c r="J83" s="152">
        <f>IF(TrRoad_act!J5=0,0,J19/TrRoad_act!J5*1000)</f>
        <v>117.75480651484429</v>
      </c>
      <c r="K83" s="152">
        <f>IF(TrRoad_act!K5=0,0,K19/TrRoad_act!K5*1000)</f>
        <v>115.74734902089898</v>
      </c>
      <c r="L83" s="152">
        <f>IF(TrRoad_act!L5=0,0,L19/TrRoad_act!L5*1000)</f>
        <v>112.67782438028364</v>
      </c>
      <c r="M83" s="152">
        <f>IF(TrRoad_act!M5=0,0,M19/TrRoad_act!M5*1000)</f>
        <v>109.43674911685483</v>
      </c>
      <c r="N83" s="152">
        <f>IF(TrRoad_act!N5=0,0,N19/TrRoad_act!N5*1000)</f>
        <v>106.49186659971565</v>
      </c>
      <c r="O83" s="152">
        <f>IF(TrRoad_act!O5=0,0,O19/TrRoad_act!O5*1000)</f>
        <v>102.91335682393199</v>
      </c>
      <c r="P83" s="152">
        <f>IF(TrRoad_act!P5=0,0,P19/TrRoad_act!P5*1000)</f>
        <v>99.021189406861211</v>
      </c>
      <c r="Q83" s="152">
        <f>IF(TrRoad_act!Q5=0,0,Q19/TrRoad_act!Q5*1000)</f>
        <v>94.933710114743036</v>
      </c>
      <c r="R83" s="152">
        <f>IF(TrRoad_act!R5=0,0,R19/TrRoad_act!R5*1000)</f>
        <v>91.325648212970563</v>
      </c>
      <c r="S83" s="152">
        <f>IF(TrRoad_act!S5=0,0,S19/TrRoad_act!S5*1000)</f>
        <v>88.631293590227301</v>
      </c>
      <c r="T83" s="152">
        <f>IF(TrRoad_act!T5=0,0,T19/TrRoad_act!T5*1000)</f>
        <v>86.048340385784982</v>
      </c>
      <c r="U83" s="152">
        <f>IF(TrRoad_act!U5=0,0,U19/TrRoad_act!U5*1000)</f>
        <v>84.112544797778199</v>
      </c>
      <c r="V83" s="152">
        <f>IF(TrRoad_act!V5=0,0,V19/TrRoad_act!V5*1000)</f>
        <v>80.144049962578336</v>
      </c>
      <c r="W83" s="152">
        <f>IF(TrRoad_act!W5=0,0,W19/TrRoad_act!W5*1000)</f>
        <v>82.765561732562929</v>
      </c>
      <c r="X83" s="152">
        <f>IF(TrRoad_act!X5=0,0,X19/TrRoad_act!X5*1000)</f>
        <v>81.648903097271756</v>
      </c>
      <c r="Y83" s="152">
        <f>IF(TrRoad_act!Y5=0,0,Y19/TrRoad_act!Y5*1000)</f>
        <v>83.00567202011743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96.704711599571255</v>
      </c>
      <c r="C84" s="116">
        <f>IF(TrRoad_act!C6=0,0,C20/TrRoad_act!C6*1000)</f>
        <v>101.0313069918078</v>
      </c>
      <c r="D84" s="116">
        <f>IF(TrRoad_act!D6=0,0,D20/TrRoad_act!D6*1000)</f>
        <v>98.095840422542494</v>
      </c>
      <c r="E84" s="116">
        <f>IF(TrRoad_act!E6=0,0,E20/TrRoad_act!E6*1000)</f>
        <v>98.466232019436916</v>
      </c>
      <c r="F84" s="116">
        <f>IF(TrRoad_act!F6=0,0,F20/TrRoad_act!F6*1000)</f>
        <v>117.12953418824698</v>
      </c>
      <c r="G84" s="116">
        <f>IF(TrRoad_act!G6=0,0,G20/TrRoad_act!G6*1000)</f>
        <v>114.61797789970008</v>
      </c>
      <c r="H84" s="116">
        <f>IF(TrRoad_act!H6=0,0,H20/TrRoad_act!H6*1000)</f>
        <v>114.95055534841424</v>
      </c>
      <c r="I84" s="116">
        <f>IF(TrRoad_act!I6=0,0,I20/TrRoad_act!I6*1000)</f>
        <v>113.12149439948111</v>
      </c>
      <c r="J84" s="116">
        <f>IF(TrRoad_act!J6=0,0,J20/TrRoad_act!J6*1000)</f>
        <v>121.6562363194557</v>
      </c>
      <c r="K84" s="116">
        <f>IF(TrRoad_act!K6=0,0,K20/TrRoad_act!K6*1000)</f>
        <v>122.50701677532123</v>
      </c>
      <c r="L84" s="116">
        <f>IF(TrRoad_act!L6=0,0,L20/TrRoad_act!L6*1000)</f>
        <v>123.68568743438436</v>
      </c>
      <c r="M84" s="116">
        <f>IF(TrRoad_act!M6=0,0,M20/TrRoad_act!M6*1000)</f>
        <v>127.6453710067147</v>
      </c>
      <c r="N84" s="116">
        <f>IF(TrRoad_act!N6=0,0,N20/TrRoad_act!N6*1000)</f>
        <v>121.74924396581305</v>
      </c>
      <c r="O84" s="116">
        <f>IF(TrRoad_act!O6=0,0,O20/TrRoad_act!O6*1000)</f>
        <v>120.4674283789515</v>
      </c>
      <c r="P84" s="116">
        <f>IF(TrRoad_act!P6=0,0,P20/TrRoad_act!P6*1000)</f>
        <v>123.91708764847188</v>
      </c>
      <c r="Q84" s="116">
        <f>IF(TrRoad_act!Q6=0,0,Q20/TrRoad_act!Q6*1000)</f>
        <v>124.58081979245908</v>
      </c>
      <c r="R84" s="116">
        <f>IF(TrRoad_act!R6=0,0,R20/TrRoad_act!R6*1000)</f>
        <v>126.76251415597712</v>
      </c>
      <c r="S84" s="116">
        <f>IF(TrRoad_act!S6=0,0,S20/TrRoad_act!S6*1000)</f>
        <v>122.22190628221168</v>
      </c>
      <c r="T84" s="116">
        <f>IF(TrRoad_act!T6=0,0,T20/TrRoad_act!T6*1000)</f>
        <v>121.22364925331078</v>
      </c>
      <c r="U84" s="116">
        <f>IF(TrRoad_act!U6=0,0,U20/TrRoad_act!U6*1000)</f>
        <v>123.65499000654073</v>
      </c>
      <c r="V84" s="116">
        <f>IF(TrRoad_act!V6=0,0,V20/TrRoad_act!V6*1000)</f>
        <v>124.63183282598537</v>
      </c>
      <c r="W84" s="116">
        <f>IF(TrRoad_act!W6=0,0,W20/TrRoad_act!W6*1000)</f>
        <v>139.36770939880699</v>
      </c>
      <c r="X84" s="116">
        <f>IF(TrRoad_act!X6=0,0,X20/TrRoad_act!X6*1000)</f>
        <v>139.05577465175259</v>
      </c>
      <c r="Y84" s="116">
        <f>IF(TrRoad_act!Y6=0,0,Y20/TrRoad_act!Y6*1000)</f>
        <v>134.26492821822558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97.97263747487186</v>
      </c>
      <c r="C85" s="87">
        <f>IF(TrRoad_act!C7=0,0,C21/TrRoad_act!C7*1000)</f>
        <v>102.26430463678848</v>
      </c>
      <c r="D85" s="87">
        <f>IF(TrRoad_act!D7=0,0,D21/TrRoad_act!D7*1000)</f>
        <v>99.37534301709907</v>
      </c>
      <c r="E85" s="87">
        <f>IF(TrRoad_act!E7=0,0,E21/TrRoad_act!E7*1000)</f>
        <v>100.10895994086036</v>
      </c>
      <c r="F85" s="87">
        <f>IF(TrRoad_act!F7=0,0,F21/TrRoad_act!F7*1000)</f>
        <v>120.40844114374069</v>
      </c>
      <c r="G85" s="87">
        <f>IF(TrRoad_act!G7=0,0,G21/TrRoad_act!G7*1000)</f>
        <v>118.52743145840699</v>
      </c>
      <c r="H85" s="87">
        <f>IF(TrRoad_act!H7=0,0,H21/TrRoad_act!H7*1000)</f>
        <v>119.40448116198414</v>
      </c>
      <c r="I85" s="87">
        <f>IF(TrRoad_act!I7=0,0,I21/TrRoad_act!I7*1000)</f>
        <v>116.82429123910212</v>
      </c>
      <c r="J85" s="87">
        <f>IF(TrRoad_act!J7=0,0,J21/TrRoad_act!J7*1000)</f>
        <v>125.86431408143497</v>
      </c>
      <c r="K85" s="87">
        <f>IF(TrRoad_act!K7=0,0,K21/TrRoad_act!K7*1000)</f>
        <v>128.19312279945814</v>
      </c>
      <c r="L85" s="87">
        <f>IF(TrRoad_act!L7=0,0,L21/TrRoad_act!L7*1000)</f>
        <v>126.37964153024234</v>
      </c>
      <c r="M85" s="87">
        <f>IF(TrRoad_act!M7=0,0,M21/TrRoad_act!M7*1000)</f>
        <v>136.34573149061444</v>
      </c>
      <c r="N85" s="87">
        <f>IF(TrRoad_act!N7=0,0,N21/TrRoad_act!N7*1000)</f>
        <v>130.01524436748869</v>
      </c>
      <c r="O85" s="87">
        <f>IF(TrRoad_act!O7=0,0,O21/TrRoad_act!O7*1000)</f>
        <v>125.23039669682204</v>
      </c>
      <c r="P85" s="87">
        <f>IF(TrRoad_act!P7=0,0,P21/TrRoad_act!P7*1000)</f>
        <v>132.38144299978578</v>
      </c>
      <c r="Q85" s="87">
        <f>IF(TrRoad_act!Q7=0,0,Q21/TrRoad_act!Q7*1000)</f>
        <v>130.07316018788364</v>
      </c>
      <c r="R85" s="87">
        <f>IF(TrRoad_act!R7=0,0,R21/TrRoad_act!R7*1000)</f>
        <v>140.58978111864482</v>
      </c>
      <c r="S85" s="87">
        <f>IF(TrRoad_act!S7=0,0,S21/TrRoad_act!S7*1000)</f>
        <v>134.89318299876834</v>
      </c>
      <c r="T85" s="87">
        <f>IF(TrRoad_act!T7=0,0,T21/TrRoad_act!T7*1000)</f>
        <v>135.3309614351937</v>
      </c>
      <c r="U85" s="87">
        <f>IF(TrRoad_act!U7=0,0,U21/TrRoad_act!U7*1000)</f>
        <v>137.8582021554904</v>
      </c>
      <c r="V85" s="87">
        <f>IF(TrRoad_act!V7=0,0,V21/TrRoad_act!V7*1000)</f>
        <v>140.72609788201376</v>
      </c>
      <c r="W85" s="87">
        <f>IF(TrRoad_act!W7=0,0,W21/TrRoad_act!W7*1000)</f>
        <v>153.54322016290342</v>
      </c>
      <c r="X85" s="87">
        <f>IF(TrRoad_act!X7=0,0,X21/TrRoad_act!X7*1000)</f>
        <v>142.81662865453819</v>
      </c>
      <c r="Y85" s="87">
        <f>IF(TrRoad_act!Y7=0,0,Y21/TrRoad_act!Y7*1000)</f>
        <v>138.61226622454376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86.085591257822728</v>
      </c>
      <c r="C86" s="87">
        <f>IF(TrRoad_act!C8=0,0,C22/TrRoad_act!C8*1000)</f>
        <v>96.989341255516052</v>
      </c>
      <c r="D86" s="87">
        <f>IF(TrRoad_act!D8=0,0,D22/TrRoad_act!D8*1000)</f>
        <v>92.509651093401388</v>
      </c>
      <c r="E86" s="87">
        <f>IF(TrRoad_act!E8=0,0,E22/TrRoad_act!E8*1000)</f>
        <v>91.784448736100614</v>
      </c>
      <c r="F86" s="87">
        <f>IF(TrRoad_act!F8=0,0,F22/TrRoad_act!F8*1000)</f>
        <v>109.73343758866913</v>
      </c>
      <c r="G86" s="87">
        <f>IF(TrRoad_act!G8=0,0,G22/TrRoad_act!G8*1000)</f>
        <v>106.85015098574294</v>
      </c>
      <c r="H86" s="87">
        <f>IF(TrRoad_act!H8=0,0,H22/TrRoad_act!H8*1000)</f>
        <v>107.31021159204319</v>
      </c>
      <c r="I86" s="87">
        <f>IF(TrRoad_act!I8=0,0,I22/TrRoad_act!I8*1000)</f>
        <v>108.17197891649498</v>
      </c>
      <c r="J86" s="87">
        <f>IF(TrRoad_act!J8=0,0,J22/TrRoad_act!J8*1000)</f>
        <v>116.85014176105116</v>
      </c>
      <c r="K86" s="87">
        <f>IF(TrRoad_act!K8=0,0,K22/TrRoad_act!K8*1000)</f>
        <v>117.22099777937483</v>
      </c>
      <c r="L86" s="87">
        <f>IF(TrRoad_act!L8=0,0,L22/TrRoad_act!L8*1000)</f>
        <v>122.23658321104081</v>
      </c>
      <c r="M86" s="87">
        <f>IF(TrRoad_act!M8=0,0,M22/TrRoad_act!M8*1000)</f>
        <v>119.74540824269934</v>
      </c>
      <c r="N86" s="87">
        <f>IF(TrRoad_act!N8=0,0,N22/TrRoad_act!N8*1000)</f>
        <v>116.25491596810291</v>
      </c>
      <c r="O86" s="87">
        <f>IF(TrRoad_act!O8=0,0,O22/TrRoad_act!O8*1000)</f>
        <v>115.41432857557878</v>
      </c>
      <c r="P86" s="87">
        <f>IF(TrRoad_act!P8=0,0,P22/TrRoad_act!P8*1000)</f>
        <v>117.95257638901138</v>
      </c>
      <c r="Q86" s="87">
        <f>IF(TrRoad_act!Q8=0,0,Q22/TrRoad_act!Q8*1000)</f>
        <v>118.29730122289362</v>
      </c>
      <c r="R86" s="87">
        <f>IF(TrRoad_act!R8=0,0,R22/TrRoad_act!R8*1000)</f>
        <v>119.9528166123917</v>
      </c>
      <c r="S86" s="87">
        <f>IF(TrRoad_act!S8=0,0,S22/TrRoad_act!S8*1000)</f>
        <v>116.41194243060883</v>
      </c>
      <c r="T86" s="87">
        <f>IF(TrRoad_act!T8=0,0,T22/TrRoad_act!T8*1000)</f>
        <v>114.87586743197751</v>
      </c>
      <c r="U86" s="87">
        <f>IF(TrRoad_act!U8=0,0,U22/TrRoad_act!U8*1000)</f>
        <v>118.35287666328919</v>
      </c>
      <c r="V86" s="87">
        <f>IF(TrRoad_act!V8=0,0,V22/TrRoad_act!V8*1000)</f>
        <v>118.39947187721218</v>
      </c>
      <c r="W86" s="87">
        <f>IF(TrRoad_act!W8=0,0,W22/TrRoad_act!W8*1000)</f>
        <v>133.87966968763047</v>
      </c>
      <c r="X86" s="87">
        <f>IF(TrRoad_act!X8=0,0,X22/TrRoad_act!X8*1000)</f>
        <v>137.26495287253482</v>
      </c>
      <c r="Y86" s="87">
        <f>IF(TrRoad_act!Y8=0,0,Y22/TrRoad_act!Y8*1000)</f>
        <v>133.54389899024517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98.828730580584676</v>
      </c>
      <c r="C87" s="87">
        <f>IF(TrRoad_act!C9=0,0,C23/TrRoad_act!C9*1000)</f>
        <v>91.815559523921905</v>
      </c>
      <c r="D87" s="87">
        <f>IF(TrRoad_act!D9=0,0,D23/TrRoad_act!D9*1000)</f>
        <v>96.034695696751299</v>
      </c>
      <c r="E87" s="87">
        <f>IF(TrRoad_act!E9=0,0,E23/TrRoad_act!E9*1000)</f>
        <v>100.41352343869903</v>
      </c>
      <c r="F87" s="87">
        <f>IF(TrRoad_act!F9=0,0,F23/TrRoad_act!F9*1000)</f>
        <v>105.46083693030019</v>
      </c>
      <c r="G87" s="87">
        <f>IF(TrRoad_act!G9=0,0,G23/TrRoad_act!G9*1000)</f>
        <v>104.65506917869381</v>
      </c>
      <c r="H87" s="87">
        <f>IF(TrRoad_act!H9=0,0,H23/TrRoad_act!H9*1000)</f>
        <v>104.0919227802318</v>
      </c>
      <c r="I87" s="87">
        <f>IF(TrRoad_act!I9=0,0,I23/TrRoad_act!I9*1000)</f>
        <v>95.558366231071147</v>
      </c>
      <c r="J87" s="87">
        <f>IF(TrRoad_act!J9=0,0,J23/TrRoad_act!J9*1000)</f>
        <v>101.21781509893481</v>
      </c>
      <c r="K87" s="87">
        <f>IF(TrRoad_act!K9=0,0,K23/TrRoad_act!K9*1000)</f>
        <v>98.260440298134583</v>
      </c>
      <c r="L87" s="87">
        <f>IF(TrRoad_act!L9=0,0,L23/TrRoad_act!L9*1000)</f>
        <v>106.32217580600269</v>
      </c>
      <c r="M87" s="87">
        <f>IF(TrRoad_act!M9=0,0,M23/TrRoad_act!M9*1000)</f>
        <v>112.72089451943218</v>
      </c>
      <c r="N87" s="87">
        <f>IF(TrRoad_act!N9=0,0,N23/TrRoad_act!N9*1000)</f>
        <v>110.45156277491087</v>
      </c>
      <c r="O87" s="87">
        <f>IF(TrRoad_act!O9=0,0,O23/TrRoad_act!O9*1000)</f>
        <v>126.14169485117927</v>
      </c>
      <c r="P87" s="87">
        <f>IF(TrRoad_act!P9=0,0,P23/TrRoad_act!P9*1000)</f>
        <v>127.14758685145385</v>
      </c>
      <c r="Q87" s="87">
        <f>IF(TrRoad_act!Q9=0,0,Q23/TrRoad_act!Q9*1000)</f>
        <v>146.96072041567314</v>
      </c>
      <c r="R87" s="87">
        <f>IF(TrRoad_act!R9=0,0,R23/TrRoad_act!R9*1000)</f>
        <v>129.58126956469761</v>
      </c>
      <c r="S87" s="87">
        <f>IF(TrRoad_act!S9=0,0,S23/TrRoad_act!S9*1000)</f>
        <v>127.35939621477766</v>
      </c>
      <c r="T87" s="87">
        <f>IF(TrRoad_act!T9=0,0,T23/TrRoad_act!T9*1000)</f>
        <v>132.25342608312161</v>
      </c>
      <c r="U87" s="87">
        <f>IF(TrRoad_act!U9=0,0,U23/TrRoad_act!U9*1000)</f>
        <v>132.60333213602192</v>
      </c>
      <c r="V87" s="87">
        <f>IF(TrRoad_act!V9=0,0,V23/TrRoad_act!V9*1000)</f>
        <v>142.09328049350276</v>
      </c>
      <c r="W87" s="87">
        <f>IF(TrRoad_act!W9=0,0,W23/TrRoad_act!W9*1000)</f>
        <v>161.70368505415072</v>
      </c>
      <c r="X87" s="87">
        <f>IF(TrRoad_act!X9=0,0,X23/TrRoad_act!X9*1000)</f>
        <v>163.1225782942947</v>
      </c>
      <c r="Y87" s="87">
        <f>IF(TrRoad_act!Y9=0,0,Y23/TrRoad_act!Y9*1000)</f>
        <v>145.29691889800935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67.85450871415425</v>
      </c>
      <c r="C88" s="87">
        <f>IF(TrRoad_act!C10=0,0,C24/TrRoad_act!C10*1000)</f>
        <v>75.577508406238849</v>
      </c>
      <c r="D88" s="87">
        <f>IF(TrRoad_act!D10=0,0,D24/TrRoad_act!D10*1000)</f>
        <v>73.788992749110506</v>
      </c>
      <c r="E88" s="87">
        <f>IF(TrRoad_act!E10=0,0,E24/TrRoad_act!E10*1000)</f>
        <v>74.701707949812743</v>
      </c>
      <c r="F88" s="87">
        <f>IF(TrRoad_act!F10=0,0,F24/TrRoad_act!F10*1000)</f>
        <v>90.529615026003768</v>
      </c>
      <c r="G88" s="87">
        <f>IF(TrRoad_act!G10=0,0,G24/TrRoad_act!G10*1000)</f>
        <v>89.828278337515158</v>
      </c>
      <c r="H88" s="87">
        <f>IF(TrRoad_act!H10=0,0,H24/TrRoad_act!H10*1000)</f>
        <v>91.810260872978702</v>
      </c>
      <c r="I88" s="87">
        <f>IF(TrRoad_act!I10=0,0,I24/TrRoad_act!I10*1000)</f>
        <v>90.956366138985103</v>
      </c>
      <c r="J88" s="87">
        <f>IF(TrRoad_act!J10=0,0,J24/TrRoad_act!J10*1000)</f>
        <v>98.968468456852278</v>
      </c>
      <c r="K88" s="87">
        <f>IF(TrRoad_act!K10=0,0,K24/TrRoad_act!K10*1000)</f>
        <v>100.81059642513404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55.34184627278502</v>
      </c>
      <c r="U88" s="87">
        <f>IF(TrRoad_act!U10=0,0,U24/TrRoad_act!U10*1000)</f>
        <v>86.570053823609683</v>
      </c>
      <c r="V88" s="87">
        <f>IF(TrRoad_act!V10=0,0,V24/TrRoad_act!V10*1000)</f>
        <v>86.777312444959904</v>
      </c>
      <c r="W88" s="87">
        <f>IF(TrRoad_act!W10=0,0,W24/TrRoad_act!W10*1000)</f>
        <v>98.515741883207795</v>
      </c>
      <c r="X88" s="87">
        <f>IF(TrRoad_act!X10=0,0,X24/TrRoad_act!X10*1000)</f>
        <v>97.656276395892874</v>
      </c>
      <c r="Y88" s="87">
        <f>IF(TrRoad_act!Y10=0,0,Y24/TrRoad_act!Y10*1000)</f>
        <v>94.432189593376805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34.291327188814947</v>
      </c>
      <c r="O89" s="87">
        <f>IF(TrRoad_act!O11=0,0,O25/TrRoad_act!O11*1000)</f>
        <v>40.399550372485471</v>
      </c>
      <c r="P89" s="87">
        <f>IF(TrRoad_act!P11=0,0,P25/TrRoad_act!P11*1000)</f>
        <v>43.329202655994912</v>
      </c>
      <c r="Q89" s="87">
        <f>IF(TrRoad_act!Q11=0,0,Q25/TrRoad_act!Q11*1000)</f>
        <v>37.859937478579127</v>
      </c>
      <c r="R89" s="87">
        <f>IF(TrRoad_act!R11=0,0,R25/TrRoad_act!R11*1000)</f>
        <v>34.781771638942921</v>
      </c>
      <c r="S89" s="87">
        <f>IF(TrRoad_act!S11=0,0,S25/TrRoad_act!S11*1000)</f>
        <v>36.774973963548724</v>
      </c>
      <c r="T89" s="87">
        <f>IF(TrRoad_act!T11=0,0,T25/TrRoad_act!T11*1000)</f>
        <v>38.074126786907897</v>
      </c>
      <c r="U89" s="87">
        <f>IF(TrRoad_act!U11=0,0,U25/TrRoad_act!U11*1000)</f>
        <v>39.701553973749576</v>
      </c>
      <c r="V89" s="87">
        <f>IF(TrRoad_act!V11=0,0,V25/TrRoad_act!V11*1000)</f>
        <v>44.177201160295034</v>
      </c>
      <c r="W89" s="87">
        <f>IF(TrRoad_act!W11=0,0,W25/TrRoad_act!W11*1000)</f>
        <v>43.349413704645578</v>
      </c>
      <c r="X89" s="87">
        <f>IF(TrRoad_act!X11=0,0,X25/TrRoad_act!X11*1000)</f>
        <v>35.082969611096964</v>
      </c>
      <c r="Y89" s="87">
        <f>IF(TrRoad_act!Y11=0,0,Y25/TrRoad_act!Y11*1000)</f>
        <v>29.25057257483207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105.76062617901302</v>
      </c>
      <c r="C91" s="116">
        <f>IF(TrRoad_act!C13=0,0,C27/TrRoad_act!C13*1000)</f>
        <v>118.49420820859473</v>
      </c>
      <c r="D91" s="116">
        <f>IF(TrRoad_act!D13=0,0,D27/TrRoad_act!D13*1000)</f>
        <v>113.58050910542156</v>
      </c>
      <c r="E91" s="116">
        <f>IF(TrRoad_act!E13=0,0,E27/TrRoad_act!E13*1000)</f>
        <v>111.51164518056184</v>
      </c>
      <c r="F91" s="116">
        <f>IF(TrRoad_act!F13=0,0,F27/TrRoad_act!F13*1000)</f>
        <v>108.12638510488486</v>
      </c>
      <c r="G91" s="116">
        <f>IF(TrRoad_act!G13=0,0,G27/TrRoad_act!G13*1000)</f>
        <v>98.236968020976676</v>
      </c>
      <c r="H91" s="116">
        <f>IF(TrRoad_act!H13=0,0,H27/TrRoad_act!H13*1000)</f>
        <v>100.99612552044358</v>
      </c>
      <c r="I91" s="116">
        <f>IF(TrRoad_act!I13=0,0,I27/TrRoad_act!I13*1000)</f>
        <v>105.44859780840261</v>
      </c>
      <c r="J91" s="116">
        <f>IF(TrRoad_act!J13=0,0,J27/TrRoad_act!J13*1000)</f>
        <v>102.61030003043311</v>
      </c>
      <c r="K91" s="116">
        <f>IF(TrRoad_act!K13=0,0,K27/TrRoad_act!K13*1000)</f>
        <v>111.75860196353301</v>
      </c>
      <c r="L91" s="116">
        <f>IF(TrRoad_act!L13=0,0,L27/TrRoad_act!L13*1000)</f>
        <v>107.02449716904782</v>
      </c>
      <c r="M91" s="116">
        <f>IF(TrRoad_act!M13=0,0,M27/TrRoad_act!M13*1000)</f>
        <v>92.076223706222805</v>
      </c>
      <c r="N91" s="116">
        <f>IF(TrRoad_act!N13=0,0,N27/TrRoad_act!N13*1000)</f>
        <v>78.903051306535545</v>
      </c>
      <c r="O91" s="116">
        <f>IF(TrRoad_act!O13=0,0,O27/TrRoad_act!O13*1000)</f>
        <v>78.391867737980249</v>
      </c>
      <c r="P91" s="116">
        <f>IF(TrRoad_act!P13=0,0,P27/TrRoad_act!P13*1000)</f>
        <v>75.610892835955937</v>
      </c>
      <c r="Q91" s="116">
        <f>IF(TrRoad_act!Q13=0,0,Q27/TrRoad_act!Q13*1000)</f>
        <v>77.498114569907514</v>
      </c>
      <c r="R91" s="116">
        <f>IF(TrRoad_act!R13=0,0,R27/TrRoad_act!R13*1000)</f>
        <v>80.521963760850113</v>
      </c>
      <c r="S91" s="116">
        <f>IF(TrRoad_act!S13=0,0,S27/TrRoad_act!S13*1000)</f>
        <v>84.268502048543468</v>
      </c>
      <c r="T91" s="116">
        <f>IF(TrRoad_act!T13=0,0,T27/TrRoad_act!T13*1000)</f>
        <v>77.946933981499384</v>
      </c>
      <c r="U91" s="116">
        <f>IF(TrRoad_act!U13=0,0,U27/TrRoad_act!U13*1000)</f>
        <v>72.963068872760346</v>
      </c>
      <c r="V91" s="116">
        <f>IF(TrRoad_act!V13=0,0,V27/TrRoad_act!V13*1000)</f>
        <v>88.859433188648396</v>
      </c>
      <c r="W91" s="116">
        <f>IF(TrRoad_act!W13=0,0,W27/TrRoad_act!W13*1000)</f>
        <v>92.238791400924924</v>
      </c>
      <c r="X91" s="116">
        <f>IF(TrRoad_act!X13=0,0,X27/TrRoad_act!X13*1000)</f>
        <v>79.101990659882901</v>
      </c>
      <c r="Y91" s="116">
        <f>IF(TrRoad_act!Y13=0,0,Y27/TrRoad_act!Y13*1000)</f>
        <v>73.065772808460437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98.1306147197689</v>
      </c>
      <c r="C92" s="101">
        <f>IF(TrRoad_act!C14=0,0,C28/TrRoad_act!C14*1000)</f>
        <v>93.276292331353119</v>
      </c>
      <c r="D92" s="101">
        <f>IF(TrRoad_act!D14=0,0,D28/TrRoad_act!D14*1000)</f>
        <v>92.889200337126837</v>
      </c>
      <c r="E92" s="101">
        <f>IF(TrRoad_act!E14=0,0,E28/TrRoad_act!E14*1000)</f>
        <v>92.48456999413122</v>
      </c>
      <c r="F92" s="101">
        <f>IF(TrRoad_act!F14=0,0,F28/TrRoad_act!F14*1000)</f>
        <v>91.892700637090385</v>
      </c>
      <c r="G92" s="101">
        <f>IF(TrRoad_act!G14=0,0,G28/TrRoad_act!G14*1000)</f>
        <v>86.882717228062361</v>
      </c>
      <c r="H92" s="101">
        <f>IF(TrRoad_act!H14=0,0,H28/TrRoad_act!H14*1000)</f>
        <v>87.416756084156717</v>
      </c>
      <c r="I92" s="101">
        <f>IF(TrRoad_act!I14=0,0,I28/TrRoad_act!I14*1000)</f>
        <v>89.841165679853276</v>
      </c>
      <c r="J92" s="101">
        <f>IF(TrRoad_act!J14=0,0,J28/TrRoad_act!J14*1000)</f>
        <v>89.321673482923387</v>
      </c>
      <c r="K92" s="101">
        <f>IF(TrRoad_act!K14=0,0,K28/TrRoad_act!K14*1000)</f>
        <v>89.149347137134711</v>
      </c>
      <c r="L92" s="101">
        <f>IF(TrRoad_act!L14=0,0,L28/TrRoad_act!L14*1000)</f>
        <v>85.804842863802705</v>
      </c>
      <c r="M92" s="101">
        <f>IF(TrRoad_act!M14=0,0,M28/TrRoad_act!M14*1000)</f>
        <v>82.760161002396657</v>
      </c>
      <c r="N92" s="101">
        <f>IF(TrRoad_act!N14=0,0,N28/TrRoad_act!N14*1000)</f>
        <v>69.980933351580475</v>
      </c>
      <c r="O92" s="101">
        <f>IF(TrRoad_act!O14=0,0,O28/TrRoad_act!O14*1000)</f>
        <v>68.084818262258253</v>
      </c>
      <c r="P92" s="101">
        <f>IF(TrRoad_act!P14=0,0,P28/TrRoad_act!P14*1000)</f>
        <v>65.522996243716904</v>
      </c>
      <c r="Q92" s="101">
        <f>IF(TrRoad_act!Q14=0,0,Q28/TrRoad_act!Q14*1000)</f>
        <v>65.976110064806917</v>
      </c>
      <c r="R92" s="101">
        <f>IF(TrRoad_act!R14=0,0,R28/TrRoad_act!R14*1000)</f>
        <v>67.284294186536698</v>
      </c>
      <c r="S92" s="101">
        <f>IF(TrRoad_act!S14=0,0,S28/TrRoad_act!S14*1000)</f>
        <v>68.549381435887852</v>
      </c>
      <c r="T92" s="101">
        <f>IF(TrRoad_act!T14=0,0,T28/TrRoad_act!T14*1000)</f>
        <v>65.255139181568921</v>
      </c>
      <c r="U92" s="101">
        <f>IF(TrRoad_act!U14=0,0,U28/TrRoad_act!U14*1000)</f>
        <v>62.198820373894748</v>
      </c>
      <c r="V92" s="101">
        <f>IF(TrRoad_act!V14=0,0,V28/TrRoad_act!V14*1000)</f>
        <v>73.723658326932679</v>
      </c>
      <c r="W92" s="101">
        <f>IF(TrRoad_act!W14=0,0,W28/TrRoad_act!W14*1000)</f>
        <v>73.919382875830635</v>
      </c>
      <c r="X92" s="101">
        <f>IF(TrRoad_act!X14=0,0,X28/TrRoad_act!X14*1000)</f>
        <v>69.401368432870228</v>
      </c>
      <c r="Y92" s="101">
        <f>IF(TrRoad_act!Y14=0,0,Y28/TrRoad_act!Y14*1000)</f>
        <v>66.14300082673924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107.69057516670367</v>
      </c>
      <c r="C93" s="101">
        <f>IF(TrRoad_act!C15=0,0,C29/TrRoad_act!C15*1000)</f>
        <v>121.84467014666615</v>
      </c>
      <c r="D93" s="101">
        <f>IF(TrRoad_act!D15=0,0,D29/TrRoad_act!D15*1000)</f>
        <v>116.5306591174656</v>
      </c>
      <c r="E93" s="101">
        <f>IF(TrRoad_act!E15=0,0,E29/TrRoad_act!E15*1000)</f>
        <v>114.03322085490672</v>
      </c>
      <c r="F93" s="101">
        <f>IF(TrRoad_act!F15=0,0,F29/TrRoad_act!F15*1000)</f>
        <v>110.43916857315257</v>
      </c>
      <c r="G93" s="101">
        <f>IF(TrRoad_act!G15=0,0,G29/TrRoad_act!G15*1000)</f>
        <v>101.11826670756938</v>
      </c>
      <c r="H93" s="101">
        <f>IF(TrRoad_act!H15=0,0,H29/TrRoad_act!H15*1000)</f>
        <v>103.96716618806364</v>
      </c>
      <c r="I93" s="101">
        <f>IF(TrRoad_act!I15=0,0,I29/TrRoad_act!I15*1000)</f>
        <v>109.3716561346849</v>
      </c>
      <c r="J93" s="101">
        <f>IF(TrRoad_act!J15=0,0,J29/TrRoad_act!J15*1000)</f>
        <v>107.72482326725878</v>
      </c>
      <c r="K93" s="101">
        <f>IF(TrRoad_act!K15=0,0,K29/TrRoad_act!K15*1000)</f>
        <v>120.19225494504886</v>
      </c>
      <c r="L93" s="101">
        <f>IF(TrRoad_act!L15=0,0,L29/TrRoad_act!L15*1000)</f>
        <v>117.81942973247806</v>
      </c>
      <c r="M93" s="101">
        <f>IF(TrRoad_act!M15=0,0,M29/TrRoad_act!M15*1000)</f>
        <v>100.99975207458741</v>
      </c>
      <c r="N93" s="101">
        <f>IF(TrRoad_act!N15=0,0,N29/TrRoad_act!N15*1000)</f>
        <v>86.37476084996662</v>
      </c>
      <c r="O93" s="101">
        <f>IF(TrRoad_act!O15=0,0,O29/TrRoad_act!O15*1000)</f>
        <v>85.795321858706885</v>
      </c>
      <c r="P93" s="101">
        <f>IF(TrRoad_act!P15=0,0,P29/TrRoad_act!P15*1000)</f>
        <v>82.703752577588617</v>
      </c>
      <c r="Q93" s="101">
        <f>IF(TrRoad_act!Q15=0,0,Q29/TrRoad_act!Q15*1000)</f>
        <v>85.185983426103661</v>
      </c>
      <c r="R93" s="101">
        <f>IF(TrRoad_act!R15=0,0,R29/TrRoad_act!R15*1000)</f>
        <v>89.114593218466965</v>
      </c>
      <c r="S93" s="101">
        <f>IF(TrRoad_act!S15=0,0,S29/TrRoad_act!S15*1000)</f>
        <v>92.039990755549951</v>
      </c>
      <c r="T93" s="101">
        <f>IF(TrRoad_act!T15=0,0,T29/TrRoad_act!T15*1000)</f>
        <v>85.406340238610753</v>
      </c>
      <c r="U93" s="101">
        <f>IF(TrRoad_act!U15=0,0,U29/TrRoad_act!U15*1000)</f>
        <v>80.611792786825447</v>
      </c>
      <c r="V93" s="101">
        <f>IF(TrRoad_act!V15=0,0,V29/TrRoad_act!V15*1000)</f>
        <v>100.30783272512649</v>
      </c>
      <c r="W93" s="101">
        <f>IF(TrRoad_act!W15=0,0,W29/TrRoad_act!W15*1000)</f>
        <v>109.20996794878117</v>
      </c>
      <c r="X93" s="101">
        <f>IF(TrRoad_act!X15=0,0,X29/TrRoad_act!X15*1000)</f>
        <v>92.744666665536471</v>
      </c>
      <c r="Y93" s="101">
        <f>IF(TrRoad_act!Y15=0,0,Y29/TrRoad_act!Y15*1000)</f>
        <v>87.172806775110573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62.499946341538312</v>
      </c>
      <c r="S94" s="101">
        <f>IF(TrRoad_act!S16=0,0,S30/TrRoad_act!S16*1000)</f>
        <v>63.929315314153719</v>
      </c>
      <c r="T94" s="101">
        <f>IF(TrRoad_act!T16=0,0,T30/TrRoad_act!T16*1000)</f>
        <v>61.513605648548676</v>
      </c>
      <c r="U94" s="101">
        <f>IF(TrRoad_act!U16=0,0,U30/TrRoad_act!U16*1000)</f>
        <v>58.660026449013593</v>
      </c>
      <c r="V94" s="101">
        <f>IF(TrRoad_act!V16=0,0,V30/TrRoad_act!V16*1000)</f>
        <v>74.455980310945804</v>
      </c>
      <c r="W94" s="101">
        <f>IF(TrRoad_act!W16=0,0,W30/TrRoad_act!W16*1000)</f>
        <v>81.16490731017953</v>
      </c>
      <c r="X94" s="101">
        <f>IF(TrRoad_act!X16=0,0,X30/TrRoad_act!X16*1000)</f>
        <v>67.780556561907559</v>
      </c>
      <c r="Y94" s="101">
        <f>IF(TrRoad_act!Y16=0,0,Y30/TrRoad_act!Y16*1000)</f>
        <v>65.188292885173851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59.130079528745718</v>
      </c>
      <c r="C95" s="101">
        <f>IF(TrRoad_act!C17=0,0,C31/TrRoad_act!C17*1000)</f>
        <v>76.751423243079913</v>
      </c>
      <c r="D95" s="101">
        <f>IF(TrRoad_act!D17=0,0,D31/TrRoad_act!D17*1000)</f>
        <v>63.427227571866609</v>
      </c>
      <c r="E95" s="101">
        <f>IF(TrRoad_act!E17=0,0,E31/TrRoad_act!E17*1000)</f>
        <v>63.78268111734414</v>
      </c>
      <c r="F95" s="101">
        <f>IF(TrRoad_act!F17=0,0,F31/TrRoad_act!F17*1000)</f>
        <v>61.66746124451069</v>
      </c>
      <c r="G95" s="101">
        <f>IF(TrRoad_act!G17=0,0,G31/TrRoad_act!G17*1000)</f>
        <v>55.085673937314176</v>
      </c>
      <c r="H95" s="101">
        <f>IF(TrRoad_act!H17=0,0,H31/TrRoad_act!H17*1000)</f>
        <v>60.062230791656468</v>
      </c>
      <c r="I95" s="101">
        <f>IF(TrRoad_act!I17=0,0,I31/TrRoad_act!I17*1000)</f>
        <v>66.000630303452752</v>
      </c>
      <c r="J95" s="101">
        <f>IF(TrRoad_act!J17=0,0,J31/TrRoad_act!J17*1000)</f>
        <v>89.904013811956546</v>
      </c>
      <c r="K95" s="101">
        <f>IF(TrRoad_act!K17=0,0,K31/TrRoad_act!K17*1000)</f>
        <v>162.67904146126534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44.935760633999806</v>
      </c>
      <c r="V95" s="101">
        <f>IF(TrRoad_act!V17=0,0,V31/TrRoad_act!V17*1000)</f>
        <v>65.806495148091216</v>
      </c>
      <c r="W95" s="101">
        <f>IF(TrRoad_act!W17=0,0,W31/TrRoad_act!W17*1000)</f>
        <v>81.791003125120042</v>
      </c>
      <c r="X95" s="101">
        <f>IF(TrRoad_act!X17=0,0,X31/TrRoad_act!X17*1000)</f>
        <v>58.318963626930966</v>
      </c>
      <c r="Y95" s="101">
        <f>IF(TrRoad_act!Y17=0,0,Y31/TrRoad_act!Y17*1000)</f>
        <v>62.903728223714552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240.28688469235854</v>
      </c>
      <c r="C97" s="29">
        <f>IF(TrRoad_act!C19=0,0,C33/TrRoad_act!C19*1000)</f>
        <v>322.63646721707914</v>
      </c>
      <c r="D97" s="29">
        <f>IF(TrRoad_act!D19=0,0,D33/TrRoad_act!D19*1000)</f>
        <v>299.57657161208124</v>
      </c>
      <c r="E97" s="29">
        <f>IF(TrRoad_act!E19=0,0,E33/TrRoad_act!E19*1000)</f>
        <v>275.57432135090647</v>
      </c>
      <c r="F97" s="29">
        <f>IF(TrRoad_act!F19=0,0,F33/TrRoad_act!F19*1000)</f>
        <v>279.16521307958169</v>
      </c>
      <c r="G97" s="29">
        <f>IF(TrRoad_act!G19=0,0,G33/TrRoad_act!G19*1000)</f>
        <v>274.65329365614423</v>
      </c>
      <c r="H97" s="29">
        <f>IF(TrRoad_act!H19=0,0,H33/TrRoad_act!H19*1000)</f>
        <v>289.52664169957416</v>
      </c>
      <c r="I97" s="29">
        <f>IF(TrRoad_act!I19=0,0,I33/TrRoad_act!I19*1000)</f>
        <v>308.89600212694626</v>
      </c>
      <c r="J97" s="29">
        <f>IF(TrRoad_act!J19=0,0,J33/TrRoad_act!J19*1000)</f>
        <v>319.02442800387388</v>
      </c>
      <c r="K97" s="29">
        <f>IF(TrRoad_act!K19=0,0,K33/TrRoad_act!K19*1000)</f>
        <v>316.26288896479372</v>
      </c>
      <c r="L97" s="29">
        <f>IF(TrRoad_act!L19=0,0,L33/TrRoad_act!L19*1000)</f>
        <v>304.26330220542297</v>
      </c>
      <c r="M97" s="29">
        <f>IF(TrRoad_act!M19=0,0,M33/TrRoad_act!M19*1000)</f>
        <v>215.63283489959395</v>
      </c>
      <c r="N97" s="29">
        <f>IF(TrRoad_act!N19=0,0,N33/TrRoad_act!N19*1000)</f>
        <v>195.29811153128776</v>
      </c>
      <c r="O97" s="29">
        <f>IF(TrRoad_act!O19=0,0,O33/TrRoad_act!O19*1000)</f>
        <v>185.50725015481507</v>
      </c>
      <c r="P97" s="29">
        <f>IF(TrRoad_act!P19=0,0,P33/TrRoad_act!P19*1000)</f>
        <v>186.45950731402641</v>
      </c>
      <c r="Q97" s="29">
        <f>IF(TrRoad_act!Q19=0,0,Q33/TrRoad_act!Q19*1000)</f>
        <v>187.89794535090238</v>
      </c>
      <c r="R97" s="29">
        <f>IF(TrRoad_act!R19=0,0,R33/TrRoad_act!R19*1000)</f>
        <v>181.27837614467035</v>
      </c>
      <c r="S97" s="29">
        <f>IF(TrRoad_act!S19=0,0,S33/TrRoad_act!S19*1000)</f>
        <v>182.76888317251291</v>
      </c>
      <c r="T97" s="29">
        <f>IF(TrRoad_act!T19=0,0,T33/TrRoad_act!T19*1000)</f>
        <v>168.88559314069983</v>
      </c>
      <c r="U97" s="29">
        <f>IF(TrRoad_act!U19=0,0,U33/TrRoad_act!U19*1000)</f>
        <v>172.61381708588553</v>
      </c>
      <c r="V97" s="29">
        <f>IF(TrRoad_act!V19=0,0,V33/TrRoad_act!V19*1000)</f>
        <v>147.97366465898381</v>
      </c>
      <c r="W97" s="29">
        <f>IF(TrRoad_act!W19=0,0,W33/TrRoad_act!W19*1000)</f>
        <v>154.85856462147007</v>
      </c>
      <c r="X97" s="29">
        <f>IF(TrRoad_act!X19=0,0,X33/TrRoad_act!X19*1000)</f>
        <v>156.60341480108394</v>
      </c>
      <c r="Y97" s="29">
        <f>IF(TrRoad_act!Y19=0,0,Y33/TrRoad_act!Y19*1000)</f>
        <v>152.31846173966804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1712.5362620579904</v>
      </c>
      <c r="C98" s="152">
        <f>IF(TrRoad_act!C20=0,0,C34/TrRoad_act!C20*1000)</f>
        <v>1756.4331009673733</v>
      </c>
      <c r="D98" s="152">
        <f>IF(TrRoad_act!D20=0,0,D34/TrRoad_act!D20*1000)</f>
        <v>1660.9384278350083</v>
      </c>
      <c r="E98" s="152">
        <f>IF(TrRoad_act!E20=0,0,E34/TrRoad_act!E20*1000)</f>
        <v>1616.1185554034146</v>
      </c>
      <c r="F98" s="152">
        <f>IF(TrRoad_act!F20=0,0,F34/TrRoad_act!F20*1000)</f>
        <v>1604.0195511613795</v>
      </c>
      <c r="G98" s="152">
        <f>IF(TrRoad_act!G20=0,0,G34/TrRoad_act!G20*1000)</f>
        <v>1592.0349440284178</v>
      </c>
      <c r="H98" s="152">
        <f>IF(TrRoad_act!H20=0,0,H34/TrRoad_act!H20*1000)</f>
        <v>1592.1949948566207</v>
      </c>
      <c r="I98" s="152">
        <f>IF(TrRoad_act!I20=0,0,I34/TrRoad_act!I20*1000)</f>
        <v>1625.9258723820185</v>
      </c>
      <c r="J98" s="152">
        <f>IF(TrRoad_act!J20=0,0,J34/TrRoad_act!J20*1000)</f>
        <v>1583.8535275137374</v>
      </c>
      <c r="K98" s="152">
        <f>IF(TrRoad_act!K20=0,0,K34/TrRoad_act!K20*1000)</f>
        <v>1508.2105325172674</v>
      </c>
      <c r="L98" s="152">
        <f>IF(TrRoad_act!L20=0,0,L34/TrRoad_act!L20*1000)</f>
        <v>1587.8898547194667</v>
      </c>
      <c r="M98" s="152">
        <f>IF(TrRoad_act!M20=0,0,M34/TrRoad_act!M20*1000)</f>
        <v>1466.0927000499883</v>
      </c>
      <c r="N98" s="152">
        <f>IF(TrRoad_act!N20=0,0,N34/TrRoad_act!N20*1000)</f>
        <v>1450.6073284184104</v>
      </c>
      <c r="O98" s="152">
        <f>IF(TrRoad_act!O20=0,0,O34/TrRoad_act!O20*1000)</f>
        <v>1424.5996504690224</v>
      </c>
      <c r="P98" s="152">
        <f>IF(TrRoad_act!P20=0,0,P34/TrRoad_act!P20*1000)</f>
        <v>1386.2776441238861</v>
      </c>
      <c r="Q98" s="152">
        <f>IF(TrRoad_act!Q20=0,0,Q34/TrRoad_act!Q20*1000)</f>
        <v>1374.163188291493</v>
      </c>
      <c r="R98" s="152">
        <f>IF(TrRoad_act!R20=0,0,R34/TrRoad_act!R20*1000)</f>
        <v>1365.4078219891255</v>
      </c>
      <c r="S98" s="152">
        <f>IF(TrRoad_act!S20=0,0,S34/TrRoad_act!S20*1000)</f>
        <v>1360.8196333309872</v>
      </c>
      <c r="T98" s="152">
        <f>IF(TrRoad_act!T20=0,0,T34/TrRoad_act!T20*1000)</f>
        <v>1299.6100360114053</v>
      </c>
      <c r="U98" s="152">
        <f>IF(TrRoad_act!U20=0,0,U34/TrRoad_act!U20*1000)</f>
        <v>1276.4271552192063</v>
      </c>
      <c r="V98" s="152">
        <f>IF(TrRoad_act!V20=0,0,V34/TrRoad_act!V20*1000)</f>
        <v>1249.4308855926972</v>
      </c>
      <c r="W98" s="152">
        <f>IF(TrRoad_act!W20=0,0,W34/TrRoad_act!W20*1000)</f>
        <v>1254.1924573422834</v>
      </c>
      <c r="X98" s="152">
        <f>IF(TrRoad_act!X20=0,0,X34/TrRoad_act!X20*1000)</f>
        <v>1285.375722739871</v>
      </c>
      <c r="Y98" s="152">
        <f>IF(TrRoad_act!Y20=0,0,Y34/TrRoad_act!Y20*1000)</f>
        <v>1277.7770389422999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1790.2871153712199</v>
      </c>
      <c r="C99" s="87">
        <f>IF(TrRoad_act!C21=0,0,C35/TrRoad_act!C21*1000)</f>
        <v>1763.3953048021217</v>
      </c>
      <c r="D99" s="87">
        <f>IF(TrRoad_act!D21=0,0,D35/TrRoad_act!D21*1000)</f>
        <v>1750.9614116960013</v>
      </c>
      <c r="E99" s="87">
        <f>IF(TrRoad_act!E21=0,0,E35/TrRoad_act!E21*1000)</f>
        <v>1724.8084372740332</v>
      </c>
      <c r="F99" s="87">
        <f>IF(TrRoad_act!F21=0,0,F35/TrRoad_act!F21*1000)</f>
        <v>1709.4853834546911</v>
      </c>
      <c r="G99" s="87">
        <f>IF(TrRoad_act!G21=0,0,G35/TrRoad_act!G21*1000)</f>
        <v>1694.1170280562499</v>
      </c>
      <c r="H99" s="87">
        <f>IF(TrRoad_act!H21=0,0,H35/TrRoad_act!H21*1000)</f>
        <v>1665.8318502409784</v>
      </c>
      <c r="I99" s="87">
        <f>IF(TrRoad_act!I21=0,0,I35/TrRoad_act!I21*1000)</f>
        <v>1651.949218270234</v>
      </c>
      <c r="J99" s="87">
        <f>IF(TrRoad_act!J21=0,0,J35/TrRoad_act!J21*1000)</f>
        <v>1629.5009098663738</v>
      </c>
      <c r="K99" s="87">
        <f>IF(TrRoad_act!K21=0,0,K35/TrRoad_act!K21*1000)</f>
        <v>1593.2748522987029</v>
      </c>
      <c r="L99" s="87">
        <f>IF(TrRoad_act!L21=0,0,L35/TrRoad_act!L21*1000)</f>
        <v>1516.7645271779973</v>
      </c>
      <c r="M99" s="87">
        <f>IF(TrRoad_act!M21=0,0,M35/TrRoad_act!M21*1000)</f>
        <v>1511.950186167132</v>
      </c>
      <c r="N99" s="87">
        <f>IF(TrRoad_act!N21=0,0,N35/TrRoad_act!N21*1000)</f>
        <v>1500.5663946891655</v>
      </c>
      <c r="O99" s="87">
        <f>IF(TrRoad_act!O21=0,0,O35/TrRoad_act!O21*1000)</f>
        <v>1485.574452309882</v>
      </c>
      <c r="P99" s="87">
        <f>IF(TrRoad_act!P21=0,0,P35/TrRoad_act!P21*1000)</f>
        <v>1469.0285678272205</v>
      </c>
      <c r="Q99" s="87">
        <f>IF(TrRoad_act!Q21=0,0,Q35/TrRoad_act!Q21*1000)</f>
        <v>1442.7921111548289</v>
      </c>
      <c r="R99" s="87">
        <f>IF(TrRoad_act!R21=0,0,R35/TrRoad_act!R21*1000)</f>
        <v>1429.1455804987531</v>
      </c>
      <c r="S99" s="87">
        <f>IF(TrRoad_act!S21=0,0,S35/TrRoad_act!S21*1000)</f>
        <v>1421.5228374573574</v>
      </c>
      <c r="T99" s="87">
        <f>IF(TrRoad_act!T21=0,0,T35/TrRoad_act!T21*1000)</f>
        <v>1431.7814834198759</v>
      </c>
      <c r="U99" s="87">
        <f>IF(TrRoad_act!U21=0,0,U35/TrRoad_act!U21*1000)</f>
        <v>1437.8844708100637</v>
      </c>
      <c r="V99" s="87">
        <f>IF(TrRoad_act!V21=0,0,V35/TrRoad_act!V21*1000)</f>
        <v>1388.9761598332893</v>
      </c>
      <c r="W99" s="87">
        <f>IF(TrRoad_act!W21=0,0,W35/TrRoad_act!W21*1000)</f>
        <v>1388.0752472572408</v>
      </c>
      <c r="X99" s="87">
        <f>IF(TrRoad_act!X21=0,0,X35/TrRoad_act!X21*1000)</f>
        <v>1377.5182061968944</v>
      </c>
      <c r="Y99" s="87">
        <f>IF(TrRoad_act!Y21=0,0,Y35/TrRoad_act!Y21*1000)</f>
        <v>1435.3034516357407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1671.3277311804125</v>
      </c>
      <c r="C100" s="87">
        <f>IF(TrRoad_act!C22=0,0,C36/TrRoad_act!C22*1000)</f>
        <v>1753.4200238865733</v>
      </c>
      <c r="D100" s="87">
        <f>IF(TrRoad_act!D22=0,0,D36/TrRoad_act!D22*1000)</f>
        <v>1635.4792378177463</v>
      </c>
      <c r="E100" s="87">
        <f>IF(TrRoad_act!E22=0,0,E36/TrRoad_act!E22*1000)</f>
        <v>1582.4004177613692</v>
      </c>
      <c r="F100" s="87">
        <f>IF(TrRoad_act!F22=0,0,F36/TrRoad_act!F22*1000)</f>
        <v>1581.4259866026482</v>
      </c>
      <c r="G100" s="87">
        <f>IF(TrRoad_act!G22=0,0,G36/TrRoad_act!G22*1000)</f>
        <v>1568.4874725197715</v>
      </c>
      <c r="H100" s="87">
        <f>IF(TrRoad_act!H22=0,0,H36/TrRoad_act!H22*1000)</f>
        <v>1576.9439833358106</v>
      </c>
      <c r="I100" s="87">
        <f>IF(TrRoad_act!I22=0,0,I36/TrRoad_act!I22*1000)</f>
        <v>1621.3194545088502</v>
      </c>
      <c r="J100" s="87">
        <f>IF(TrRoad_act!J22=0,0,J36/TrRoad_act!J22*1000)</f>
        <v>1577.4545843127041</v>
      </c>
      <c r="K100" s="87">
        <f>IF(TrRoad_act!K22=0,0,K36/TrRoad_act!K22*1000)</f>
        <v>1498.3375854425537</v>
      </c>
      <c r="L100" s="87">
        <f>IF(TrRoad_act!L22=0,0,L36/TrRoad_act!L22*1000)</f>
        <v>1592.0553176829449</v>
      </c>
      <c r="M100" s="87">
        <f>IF(TrRoad_act!M22=0,0,M36/TrRoad_act!M22*1000)</f>
        <v>1463.8274557282955</v>
      </c>
      <c r="N100" s="87">
        <f>IF(TrRoad_act!N22=0,0,N36/TrRoad_act!N22*1000)</f>
        <v>1448.3313766668782</v>
      </c>
      <c r="O100" s="87">
        <f>IF(TrRoad_act!O22=0,0,O36/TrRoad_act!O22*1000)</f>
        <v>1422.7338145885226</v>
      </c>
      <c r="P100" s="87">
        <f>IF(TrRoad_act!P22=0,0,P36/TrRoad_act!P22*1000)</f>
        <v>1384.5691095822722</v>
      </c>
      <c r="Q100" s="87">
        <f>IF(TrRoad_act!Q22=0,0,Q36/TrRoad_act!Q22*1000)</f>
        <v>1372.9340136368944</v>
      </c>
      <c r="R100" s="87">
        <f>IF(TrRoad_act!R22=0,0,R36/TrRoad_act!R22*1000)</f>
        <v>1363.7559840080769</v>
      </c>
      <c r="S100" s="87">
        <f>IF(TrRoad_act!S22=0,0,S36/TrRoad_act!S22*1000)</f>
        <v>1359.1488279919377</v>
      </c>
      <c r="T100" s="87">
        <f>IF(TrRoad_act!T22=0,0,T36/TrRoad_act!T22*1000)</f>
        <v>1296.7522108366663</v>
      </c>
      <c r="U100" s="87">
        <f>IF(TrRoad_act!U22=0,0,U36/TrRoad_act!U22*1000)</f>
        <v>1273.3375892555644</v>
      </c>
      <c r="V100" s="87">
        <f>IF(TrRoad_act!V22=0,0,V36/TrRoad_act!V22*1000)</f>
        <v>1246.7000100504249</v>
      </c>
      <c r="W100" s="87">
        <f>IF(TrRoad_act!W22=0,0,W36/TrRoad_act!W22*1000)</f>
        <v>1251.9944157362356</v>
      </c>
      <c r="X100" s="87">
        <f>IF(TrRoad_act!X22=0,0,X36/TrRoad_act!X22*1000)</f>
        <v>1284.3594294203754</v>
      </c>
      <c r="Y100" s="87">
        <f>IF(TrRoad_act!Y22=0,0,Y36/TrRoad_act!Y22*1000)</f>
        <v>1276.4515505144641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1520.936513315012</v>
      </c>
      <c r="O101" s="87">
        <f>IF(TrRoad_act!O23=0,0,O37/TrRoad_act!O23*1000)</f>
        <v>1513.9711005582585</v>
      </c>
      <c r="P101" s="87">
        <f>IF(TrRoad_act!P23=0,0,P37/TrRoad_act!P23*1000)</f>
        <v>1431.9015747377809</v>
      </c>
      <c r="Q101" s="87">
        <f>IF(TrRoad_act!Q23=0,0,Q37/TrRoad_act!Q23*1000)</f>
        <v>1441.0652045784382</v>
      </c>
      <c r="R101" s="87">
        <f>IF(TrRoad_act!R23=0,0,R37/TrRoad_act!R23*1000)</f>
        <v>1755.4770670989994</v>
      </c>
      <c r="S101" s="87">
        <f>IF(TrRoad_act!S23=0,0,S37/TrRoad_act!S23*1000)</f>
        <v>1648.980578097028</v>
      </c>
      <c r="T101" s="87">
        <f>IF(TrRoad_act!T23=0,0,T37/TrRoad_act!T23*1000)</f>
        <v>1581.6579408070588</v>
      </c>
      <c r="U101" s="87">
        <f>IF(TrRoad_act!U23=0,0,U37/TrRoad_act!U23*1000)</f>
        <v>1533.8431521335149</v>
      </c>
      <c r="V101" s="87">
        <f>IF(TrRoad_act!V23=0,0,V37/TrRoad_act!V23*1000)</f>
        <v>1548.3031048822145</v>
      </c>
      <c r="W101" s="87">
        <f>IF(TrRoad_act!W23=0,0,W37/TrRoad_act!W23*1000)</f>
        <v>1555.2943482584217</v>
      </c>
      <c r="X101" s="87">
        <f>IF(TrRoad_act!X23=0,0,X37/TrRoad_act!X23*1000)</f>
        <v>1551.7818976876292</v>
      </c>
      <c r="Y101" s="87">
        <f>IF(TrRoad_act!Y23=0,0,Y37/TrRoad_act!Y23*1000)</f>
        <v>1543.5021701002838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X102" s="87">
        <f>IF(TrRoad_act!X24=0,0,X38/TrRoad_act!X24*1000)</f>
        <v>0</v>
      </c>
      <c r="Y102" s="87">
        <f>IF(TrRoad_act!Y24=0,0,Y38/TrRoad_act!Y24*1000)</f>
        <v>0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197.14213709041724</v>
      </c>
      <c r="C104" s="116">
        <f>IF(TrRoad_act!C26=0,0,C40/TrRoad_act!C26*1000)</f>
        <v>277.80068460839914</v>
      </c>
      <c r="D104" s="116">
        <f>IF(TrRoad_act!D26=0,0,D40/TrRoad_act!D26*1000)</f>
        <v>251.72479685522055</v>
      </c>
      <c r="E104" s="116">
        <f>IF(TrRoad_act!E26=0,0,E40/TrRoad_act!E26*1000)</f>
        <v>237.52151895204761</v>
      </c>
      <c r="F104" s="116">
        <f>IF(TrRoad_act!F26=0,0,F40/TrRoad_act!F26*1000)</f>
        <v>232.16261923638396</v>
      </c>
      <c r="G104" s="116">
        <f>IF(TrRoad_act!G26=0,0,G40/TrRoad_act!G26*1000)</f>
        <v>235.2312118549734</v>
      </c>
      <c r="H104" s="116">
        <f>IF(TrRoad_act!H26=0,0,H40/TrRoad_act!H26*1000)</f>
        <v>248.61401535440399</v>
      </c>
      <c r="I104" s="116">
        <f>IF(TrRoad_act!I26=0,0,I40/TrRoad_act!I26*1000)</f>
        <v>268.05498329921016</v>
      </c>
      <c r="J104" s="116">
        <f>IF(TrRoad_act!J26=0,0,J40/TrRoad_act!J26*1000)</f>
        <v>273.5003748247882</v>
      </c>
      <c r="K104" s="116">
        <f>IF(TrRoad_act!K26=0,0,K40/TrRoad_act!K26*1000)</f>
        <v>266.49625764677506</v>
      </c>
      <c r="L104" s="116">
        <f>IF(TrRoad_act!L26=0,0,L40/TrRoad_act!L26*1000)</f>
        <v>264.80494243603022</v>
      </c>
      <c r="M104" s="116">
        <f>IF(TrRoad_act!M26=0,0,M40/TrRoad_act!M26*1000)</f>
        <v>178.26390813174578</v>
      </c>
      <c r="N104" s="116">
        <f>IF(TrRoad_act!N26=0,0,N40/TrRoad_act!N26*1000)</f>
        <v>155.40404407326525</v>
      </c>
      <c r="O104" s="116">
        <f>IF(TrRoad_act!O26=0,0,O40/TrRoad_act!O26*1000)</f>
        <v>143.77730248060914</v>
      </c>
      <c r="P104" s="116">
        <f>IF(TrRoad_act!P26=0,0,P40/TrRoad_act!P26*1000)</f>
        <v>141.55040668713517</v>
      </c>
      <c r="Q104" s="116">
        <f>IF(TrRoad_act!Q26=0,0,Q40/TrRoad_act!Q26*1000)</f>
        <v>143.92932145679688</v>
      </c>
      <c r="R104" s="116">
        <f>IF(TrRoad_act!R26=0,0,R40/TrRoad_act!R26*1000)</f>
        <v>137.83387501865101</v>
      </c>
      <c r="S104" s="116">
        <f>IF(TrRoad_act!S26=0,0,S40/TrRoad_act!S26*1000)</f>
        <v>141.2257876525654</v>
      </c>
      <c r="T104" s="116">
        <f>IF(TrRoad_act!T26=0,0,T40/TrRoad_act!T26*1000)</f>
        <v>131.05157143164863</v>
      </c>
      <c r="U104" s="116">
        <f>IF(TrRoad_act!U26=0,0,U40/TrRoad_act!U26*1000)</f>
        <v>132.31613340040656</v>
      </c>
      <c r="V104" s="116">
        <f>IF(TrRoad_act!V26=0,0,V40/TrRoad_act!V26*1000)</f>
        <v>111.62426459073608</v>
      </c>
      <c r="W104" s="116">
        <f>IF(TrRoad_act!W26=0,0,W40/TrRoad_act!W26*1000)</f>
        <v>118.94280512988466</v>
      </c>
      <c r="X104" s="116">
        <f>IF(TrRoad_act!X26=0,0,X40/TrRoad_act!X26*1000)</f>
        <v>119.31679234632554</v>
      </c>
      <c r="Y104" s="116">
        <f>IF(TrRoad_act!Y26=0,0,Y40/TrRoad_act!Y26*1000)</f>
        <v>114.49310580697265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183.37943157839811</v>
      </c>
      <c r="C105" s="101">
        <f>IF(TrRoad_act!C27=0,0,C41/TrRoad_act!C27*1000)</f>
        <v>210.48752825814549</v>
      </c>
      <c r="D105" s="101">
        <f>IF(TrRoad_act!D27=0,0,D41/TrRoad_act!D27*1000)</f>
        <v>206.39241526706238</v>
      </c>
      <c r="E105" s="101">
        <f>IF(TrRoad_act!E27=0,0,E41/TrRoad_act!E27*1000)</f>
        <v>194.00882059045628</v>
      </c>
      <c r="F105" s="101">
        <f>IF(TrRoad_act!F27=0,0,F41/TrRoad_act!F27*1000)</f>
        <v>183.56795986331079</v>
      </c>
      <c r="G105" s="101">
        <f>IF(TrRoad_act!G27=0,0,G41/TrRoad_act!G27*1000)</f>
        <v>178.8321767458018</v>
      </c>
      <c r="H105" s="101">
        <f>IF(TrRoad_act!H27=0,0,H41/TrRoad_act!H27*1000)</f>
        <v>183.16543939655301</v>
      </c>
      <c r="I105" s="101">
        <f>IF(TrRoad_act!I27=0,0,I41/TrRoad_act!I27*1000)</f>
        <v>196.59253177965002</v>
      </c>
      <c r="J105" s="101">
        <f>IF(TrRoad_act!J27=0,0,J41/TrRoad_act!J27*1000)</f>
        <v>215.850821841494</v>
      </c>
      <c r="K105" s="101">
        <f>IF(TrRoad_act!K27=0,0,K41/TrRoad_act!K27*1000)</f>
        <v>236.80203807483966</v>
      </c>
      <c r="L105" s="101">
        <f>IF(TrRoad_act!L27=0,0,L41/TrRoad_act!L27*1000)</f>
        <v>172.13099852902855</v>
      </c>
      <c r="M105" s="101">
        <f>IF(TrRoad_act!M27=0,0,M41/TrRoad_act!M27*1000)</f>
        <v>131.28611667871007</v>
      </c>
      <c r="N105" s="101">
        <f>IF(TrRoad_act!N27=0,0,N41/TrRoad_act!N27*1000)</f>
        <v>110.51728408116384</v>
      </c>
      <c r="O105" s="101">
        <f>IF(TrRoad_act!O27=0,0,O41/TrRoad_act!O27*1000)</f>
        <v>108.37876287200601</v>
      </c>
      <c r="P105" s="101">
        <f>IF(TrRoad_act!P27=0,0,P41/TrRoad_act!P27*1000)</f>
        <v>108.26379831416796</v>
      </c>
      <c r="Q105" s="101">
        <f>IF(TrRoad_act!Q27=0,0,Q41/TrRoad_act!Q27*1000)</f>
        <v>109.71181079492254</v>
      </c>
      <c r="R105" s="101">
        <f>IF(TrRoad_act!R27=0,0,R41/TrRoad_act!R27*1000)</f>
        <v>110.54268195994595</v>
      </c>
      <c r="S105" s="101">
        <f>IF(TrRoad_act!S27=0,0,S41/TrRoad_act!S27*1000)</f>
        <v>108.39397057613948</v>
      </c>
      <c r="T105" s="101">
        <f>IF(TrRoad_act!T27=0,0,T41/TrRoad_act!T27*1000)</f>
        <v>100.64755866295046</v>
      </c>
      <c r="U105" s="101">
        <f>IF(TrRoad_act!U27=0,0,U41/TrRoad_act!U27*1000)</f>
        <v>104.17766117627274</v>
      </c>
      <c r="V105" s="101">
        <f>IF(TrRoad_act!V27=0,0,V41/TrRoad_act!V27*1000)</f>
        <v>93.121064762077452</v>
      </c>
      <c r="W105" s="101">
        <f>IF(TrRoad_act!W27=0,0,W41/TrRoad_act!W27*1000)</f>
        <v>96.441055862401512</v>
      </c>
      <c r="X105" s="101">
        <f>IF(TrRoad_act!X27=0,0,X41/TrRoad_act!X27*1000)</f>
        <v>98.765319160502855</v>
      </c>
      <c r="Y105" s="101">
        <f>IF(TrRoad_act!Y27=0,0,Y41/TrRoad_act!Y27*1000)</f>
        <v>96.480494692968819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225.38147783742733</v>
      </c>
      <c r="C106" s="88">
        <f>IF(TrRoad_act!C28=0,0,C42/TrRoad_act!C28*1000)</f>
        <v>420.72490295173645</v>
      </c>
      <c r="D106" s="88">
        <f>IF(TrRoad_act!D28=0,0,D42/TrRoad_act!D28*1000)</f>
        <v>360.40667933117078</v>
      </c>
      <c r="E106" s="88">
        <f>IF(TrRoad_act!E28=0,0,E42/TrRoad_act!E28*1000)</f>
        <v>360.95367929988686</v>
      </c>
      <c r="F106" s="88">
        <f>IF(TrRoad_act!F28=0,0,F42/TrRoad_act!F28*1000)</f>
        <v>351.68440614256627</v>
      </c>
      <c r="G106" s="88">
        <f>IF(TrRoad_act!G28=0,0,G42/TrRoad_act!G28*1000)</f>
        <v>389.11547694258559</v>
      </c>
      <c r="H106" s="88">
        <f>IF(TrRoad_act!H28=0,0,H42/TrRoad_act!H28*1000)</f>
        <v>393.18897613238943</v>
      </c>
      <c r="I106" s="88">
        <f>IF(TrRoad_act!I28=0,0,I42/TrRoad_act!I28*1000)</f>
        <v>421.35176965773655</v>
      </c>
      <c r="J106" s="88">
        <f>IF(TrRoad_act!J28=0,0,J42/TrRoad_act!J28*1000)</f>
        <v>381.81307364892126</v>
      </c>
      <c r="K106" s="88">
        <f>IF(TrRoad_act!K28=0,0,K42/TrRoad_act!K28*1000)</f>
        <v>326.59350620256936</v>
      </c>
      <c r="L106" s="88">
        <f>IF(TrRoad_act!L28=0,0,L42/TrRoad_act!L28*1000)</f>
        <v>465.7021698973337</v>
      </c>
      <c r="M106" s="88">
        <f>IF(TrRoad_act!M28=0,0,M42/TrRoad_act!M28*1000)</f>
        <v>269.55089976280516</v>
      </c>
      <c r="N106" s="88">
        <f>IF(TrRoad_act!N28=0,0,N42/TrRoad_act!N28*1000)</f>
        <v>233.35041207933619</v>
      </c>
      <c r="O106" s="88">
        <f>IF(TrRoad_act!O28=0,0,O42/TrRoad_act!O28*1000)</f>
        <v>201.05291513144681</v>
      </c>
      <c r="P106" s="88">
        <f>IF(TrRoad_act!P28=0,0,P42/TrRoad_act!P28*1000)</f>
        <v>193.48889312502325</v>
      </c>
      <c r="Q106" s="88">
        <f>IF(TrRoad_act!Q28=0,0,Q42/TrRoad_act!Q28*1000)</f>
        <v>190.0099151893846</v>
      </c>
      <c r="R106" s="88">
        <f>IF(TrRoad_act!R28=0,0,R42/TrRoad_act!R28*1000)</f>
        <v>175.24356105880415</v>
      </c>
      <c r="S106" s="88">
        <f>IF(TrRoad_act!S28=0,0,S42/TrRoad_act!S28*1000)</f>
        <v>193.45463475924572</v>
      </c>
      <c r="T106" s="88">
        <f>IF(TrRoad_act!T28=0,0,T42/TrRoad_act!T28*1000)</f>
        <v>178.25421064481151</v>
      </c>
      <c r="U106" s="88">
        <f>IF(TrRoad_act!U28=0,0,U42/TrRoad_act!U28*1000)</f>
        <v>178.70583908487913</v>
      </c>
      <c r="V106" s="88">
        <f>IF(TrRoad_act!V28=0,0,V42/TrRoad_act!V28*1000)</f>
        <v>139.88480325218097</v>
      </c>
      <c r="W106" s="88">
        <f>IF(TrRoad_act!W28=0,0,W42/TrRoad_act!W28*1000)</f>
        <v>157.80685486343822</v>
      </c>
      <c r="X106" s="88">
        <f>IF(TrRoad_act!X28=0,0,X42/TrRoad_act!X28*1000)</f>
        <v>151.66873652085067</v>
      </c>
      <c r="Y106" s="88">
        <f>IF(TrRoad_act!Y28=0,0,Y42/TrRoad_act!Y28*1000)</f>
        <v>143.22548627105584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256.49524367829656</v>
      </c>
      <c r="C110" s="152">
        <f>IF(C19=0,0,1000000*C19/TrRoad_act!C59)</f>
        <v>258.56914470427694</v>
      </c>
      <c r="D110" s="152">
        <f>IF(D19=0,0,1000000*D19/TrRoad_act!D59)</f>
        <v>256.30177118631724</v>
      </c>
      <c r="E110" s="152">
        <f>IF(E19=0,0,1000000*E19/TrRoad_act!E59)</f>
        <v>253.93293547247634</v>
      </c>
      <c r="F110" s="152">
        <f>IF(F19=0,0,1000000*F19/TrRoad_act!F59)</f>
        <v>248.91865296474191</v>
      </c>
      <c r="G110" s="152">
        <f>IF(G19=0,0,1000000*G19/TrRoad_act!G59)</f>
        <v>243.4566529520003</v>
      </c>
      <c r="H110" s="152">
        <f>IF(H19=0,0,1000000*H19/TrRoad_act!H59)</f>
        <v>231.37923195844786</v>
      </c>
      <c r="I110" s="152">
        <f>IF(I19=0,0,1000000*I19/TrRoad_act!I59)</f>
        <v>210.55775414859434</v>
      </c>
      <c r="J110" s="152">
        <f>IF(J19=0,0,1000000*J19/TrRoad_act!J59)</f>
        <v>190.90420160050002</v>
      </c>
      <c r="K110" s="152">
        <f>IF(K19=0,0,1000000*K19/TrRoad_act!K59)</f>
        <v>181.09828782688956</v>
      </c>
      <c r="L110" s="152">
        <f>IF(L19=0,0,1000000*L19/TrRoad_act!L59)</f>
        <v>176.71807838228565</v>
      </c>
      <c r="M110" s="152">
        <f>IF(M19=0,0,1000000*M19/TrRoad_act!M59)</f>
        <v>163.04591127907935</v>
      </c>
      <c r="N110" s="152">
        <f>IF(N19=0,0,1000000*N19/TrRoad_act!N59)</f>
        <v>137.47991935968722</v>
      </c>
      <c r="O110" s="152">
        <f>IF(O19=0,0,1000000*O19/TrRoad_act!O59)</f>
        <v>131.88608029076434</v>
      </c>
      <c r="P110" s="152">
        <f>IF(P19=0,0,1000000*P19/TrRoad_act!P59)</f>
        <v>145.49784568905378</v>
      </c>
      <c r="Q110" s="152">
        <f>IF(Q19=0,0,1000000*Q19/TrRoad_act!Q59)</f>
        <v>168.92472941729281</v>
      </c>
      <c r="R110" s="152">
        <f>IF(R19=0,0,1000000*R19/TrRoad_act!R59)</f>
        <v>163.02666369177101</v>
      </c>
      <c r="S110" s="152">
        <f>IF(S19=0,0,1000000*S19/TrRoad_act!S59)</f>
        <v>141.76563999764059</v>
      </c>
      <c r="T110" s="152">
        <f>IF(T19=0,0,1000000*T19/TrRoad_act!T59)</f>
        <v>125.18698004878902</v>
      </c>
      <c r="U110" s="152">
        <f>IF(U19=0,0,1000000*U19/TrRoad_act!U59)</f>
        <v>121.29935901331329</v>
      </c>
      <c r="V110" s="152">
        <f>IF(V19=0,0,1000000*V19/TrRoad_act!V59)</f>
        <v>98.267984592851562</v>
      </c>
      <c r="W110" s="152">
        <f>IF(W19=0,0,1000000*W19/TrRoad_act!W59)</f>
        <v>99.719312365362256</v>
      </c>
      <c r="X110" s="152">
        <f>IF(X19=0,0,1000000*X19/TrRoad_act!X59)</f>
        <v>94.913300764229831</v>
      </c>
      <c r="Y110" s="152">
        <f>IF(Y19=0,0,1000000*Y19/TrRoad_act!Y59)</f>
        <v>99.817755152748347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1941.5226665416715</v>
      </c>
      <c r="C111" s="116">
        <f>IF(C20=0,0,1000000*C20/TrRoad_act!C60)</f>
        <v>2104.0883094441056</v>
      </c>
      <c r="D111" s="116">
        <f>IF(D20=0,0,1000000*D20/TrRoad_act!D60)</f>
        <v>2099.2946503711373</v>
      </c>
      <c r="E111" s="116">
        <f>IF(E20=0,0,1000000*E20/TrRoad_act!E60)</f>
        <v>2137.3535085200865</v>
      </c>
      <c r="F111" s="116">
        <f>IF(F20=0,0,1000000*F20/TrRoad_act!F60)</f>
        <v>2152.5942695793724</v>
      </c>
      <c r="G111" s="116">
        <f>IF(G20=0,0,1000000*G20/TrRoad_act!G60)</f>
        <v>2143.9314893161654</v>
      </c>
      <c r="H111" s="116">
        <f>IF(H20=0,0,1000000*H20/TrRoad_act!H60)</f>
        <v>2398.1202746426816</v>
      </c>
      <c r="I111" s="116">
        <f>IF(I20=0,0,1000000*I20/TrRoad_act!I60)</f>
        <v>2635.6860578378378</v>
      </c>
      <c r="J111" s="116">
        <f>IF(J20=0,0,1000000*J20/TrRoad_act!J60)</f>
        <v>2539.2931009812723</v>
      </c>
      <c r="K111" s="116">
        <f>IF(K20=0,0,1000000*K20/TrRoad_act!K60)</f>
        <v>2342.7182549389295</v>
      </c>
      <c r="L111" s="116">
        <f>IF(L20=0,0,1000000*L20/TrRoad_act!L60)</f>
        <v>2391.9521201675434</v>
      </c>
      <c r="M111" s="116">
        <f>IF(M20=0,0,1000000*M20/TrRoad_act!M60)</f>
        <v>2366.0213554826087</v>
      </c>
      <c r="N111" s="116">
        <f>IF(N20=0,0,1000000*N20/TrRoad_act!N60)</f>
        <v>2270.0847274457647</v>
      </c>
      <c r="O111" s="116">
        <f>IF(O20=0,0,1000000*O20/TrRoad_act!O60)</f>
        <v>2227.3930997590428</v>
      </c>
      <c r="P111" s="116">
        <f>IF(P20=0,0,1000000*P20/TrRoad_act!P60)</f>
        <v>2378.4657094827999</v>
      </c>
      <c r="Q111" s="116">
        <f>IF(Q20=0,0,1000000*Q20/TrRoad_act!Q60)</f>
        <v>2484.5787192088878</v>
      </c>
      <c r="R111" s="116">
        <f>IF(R20=0,0,1000000*R20/TrRoad_act!R60)</f>
        <v>2652.676668645699</v>
      </c>
      <c r="S111" s="116">
        <f>IF(S20=0,0,1000000*S20/TrRoad_act!S60)</f>
        <v>2654.8863471884956</v>
      </c>
      <c r="T111" s="116">
        <f>IF(T20=0,0,1000000*T20/TrRoad_act!T60)</f>
        <v>2612.7166877992508</v>
      </c>
      <c r="U111" s="116">
        <f>IF(U20=0,0,1000000*U20/TrRoad_act!U60)</f>
        <v>2635.7910252726774</v>
      </c>
      <c r="V111" s="116">
        <f>IF(V20=0,0,1000000*V20/TrRoad_act!V60)</f>
        <v>2491.2067503843846</v>
      </c>
      <c r="W111" s="116">
        <f>IF(W20=0,0,1000000*W20/TrRoad_act!W60)</f>
        <v>2468.0433322099088</v>
      </c>
      <c r="X111" s="116">
        <f>IF(X20=0,0,1000000*X20/TrRoad_act!X60)</f>
        <v>2293.2768138756578</v>
      </c>
      <c r="Y111" s="116">
        <f>IF(Y20=0,0,1000000*Y20/TrRoad_act!Y60)</f>
        <v>2302.113889669889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1872.0842212728023</v>
      </c>
      <c r="C112" s="87">
        <f>IF(C21=0,0,1000000*C21/TrRoad_act!C61)</f>
        <v>1999.2669138836982</v>
      </c>
      <c r="D112" s="87">
        <f>IF(D21=0,0,1000000*D21/TrRoad_act!D61)</f>
        <v>1984.1283385867746</v>
      </c>
      <c r="E112" s="87">
        <f>IF(E21=0,0,1000000*E21/TrRoad_act!E61)</f>
        <v>1996.0451205768329</v>
      </c>
      <c r="F112" s="87">
        <f>IF(F21=0,0,1000000*F21/TrRoad_act!F61)</f>
        <v>1994.3075620012562</v>
      </c>
      <c r="G112" s="87">
        <f>IF(G21=0,0,1000000*G21/TrRoad_act!G61)</f>
        <v>1963.9989150522158</v>
      </c>
      <c r="H112" s="87">
        <f>IF(H21=0,0,1000000*H21/TrRoad_act!H61)</f>
        <v>2196.5916071999477</v>
      </c>
      <c r="I112" s="87">
        <f>IF(I21=0,0,1000000*I21/TrRoad_act!I61)</f>
        <v>2451.4643697785014</v>
      </c>
      <c r="J112" s="87">
        <f>IF(J21=0,0,1000000*J21/TrRoad_act!J61)</f>
        <v>2333.032616632845</v>
      </c>
      <c r="K112" s="87">
        <f>IF(K21=0,0,1000000*K21/TrRoad_act!K61)</f>
        <v>2071.7311500422134</v>
      </c>
      <c r="L112" s="87">
        <f>IF(L21=0,0,1000000*L21/TrRoad_act!L61)</f>
        <v>2026.192476417395</v>
      </c>
      <c r="M112" s="87">
        <f>IF(M21=0,0,1000000*M21/TrRoad_act!M61)</f>
        <v>2068.2427643981769</v>
      </c>
      <c r="N112" s="87">
        <f>IF(N21=0,0,1000000*N21/TrRoad_act!N61)</f>
        <v>1889.2040137498846</v>
      </c>
      <c r="O112" s="87">
        <f>IF(O21=0,0,1000000*O21/TrRoad_act!O61)</f>
        <v>1780.4529841187584</v>
      </c>
      <c r="P112" s="87">
        <f>IF(P21=0,0,1000000*P21/TrRoad_act!P61)</f>
        <v>1959.9274682993127</v>
      </c>
      <c r="Q112" s="87">
        <f>IF(Q21=0,0,1000000*Q21/TrRoad_act!Q61)</f>
        <v>2012.3956453570631</v>
      </c>
      <c r="R112" s="87">
        <f>IF(R21=0,0,1000000*R21/TrRoad_act!R61)</f>
        <v>2206.0690548451526</v>
      </c>
      <c r="S112" s="87">
        <f>IF(S21=0,0,1000000*S21/TrRoad_act!S61)</f>
        <v>2184.8907516536133</v>
      </c>
      <c r="T112" s="87">
        <f>IF(T21=0,0,1000000*T21/TrRoad_act!T61)</f>
        <v>2190.626918687557</v>
      </c>
      <c r="U112" s="87">
        <f>IF(U21=0,0,1000000*U21/TrRoad_act!U61)</f>
        <v>2149.1272379272659</v>
      </c>
      <c r="V112" s="87">
        <f>IF(V21=0,0,1000000*V21/TrRoad_act!V61)</f>
        <v>2130.8078355396392</v>
      </c>
      <c r="W112" s="87">
        <f>IF(W21=0,0,1000000*W21/TrRoad_act!W61)</f>
        <v>2140.6481253176698</v>
      </c>
      <c r="X112" s="87">
        <f>IF(X21=0,0,1000000*X21/TrRoad_act!X61)</f>
        <v>1853.3409681021649</v>
      </c>
      <c r="Y112" s="87">
        <f>IF(Y21=0,0,1000000*Y21/TrRoad_act!Y61)</f>
        <v>1933.1993424753716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2179.728818457761</v>
      </c>
      <c r="C113" s="87">
        <f>IF(C22=0,0,1000000*C22/TrRoad_act!C62)</f>
        <v>2638.2225865675118</v>
      </c>
      <c r="D113" s="87">
        <f>IF(D22=0,0,1000000*D22/TrRoad_act!D62)</f>
        <v>2595.0070536291241</v>
      </c>
      <c r="E113" s="87">
        <f>IF(E22=0,0,1000000*E22/TrRoad_act!E62)</f>
        <v>2673.7238133179926</v>
      </c>
      <c r="F113" s="87">
        <f>IF(F22=0,0,1000000*F22/TrRoad_act!F62)</f>
        <v>2755.5967124205804</v>
      </c>
      <c r="G113" s="87">
        <f>IF(G22=0,0,1000000*G22/TrRoad_act!G62)</f>
        <v>2752.3042752904257</v>
      </c>
      <c r="H113" s="87">
        <f>IF(H22=0,0,1000000*H22/TrRoad_act!H62)</f>
        <v>3023.8922586802623</v>
      </c>
      <c r="I113" s="87">
        <f>IF(I22=0,0,1000000*I22/TrRoad_act!I62)</f>
        <v>3183.4691222994952</v>
      </c>
      <c r="J113" s="87">
        <f>IF(J22=0,0,1000000*J22/TrRoad_act!J62)</f>
        <v>3082.1232590918548</v>
      </c>
      <c r="K113" s="87">
        <f>IF(K22=0,0,1000000*K22/TrRoad_act!K62)</f>
        <v>2954.5439220915378</v>
      </c>
      <c r="L113" s="87">
        <f>IF(L22=0,0,1000000*L22/TrRoad_act!L62)</f>
        <v>3096.1927859692628</v>
      </c>
      <c r="M113" s="87">
        <f>IF(M22=0,0,1000000*M22/TrRoad_act!M62)</f>
        <v>2831.6442944514788</v>
      </c>
      <c r="N113" s="87">
        <f>IF(N22=0,0,1000000*N22/TrRoad_act!N62)</f>
        <v>2765.0632462615554</v>
      </c>
      <c r="O113" s="87">
        <f>IF(O22=0,0,1000000*O22/TrRoad_act!O62)</f>
        <v>2654.6166037973476</v>
      </c>
      <c r="P113" s="87">
        <f>IF(P22=0,0,1000000*P22/TrRoad_act!P62)</f>
        <v>2683.8933178050343</v>
      </c>
      <c r="Q113" s="87">
        <f>IF(Q22=0,0,1000000*Q22/TrRoad_act!Q62)</f>
        <v>2772.1764629763697</v>
      </c>
      <c r="R113" s="87">
        <f>IF(R22=0,0,1000000*R22/TrRoad_act!R62)</f>
        <v>2909.9091089734943</v>
      </c>
      <c r="S113" s="87">
        <f>IF(S22=0,0,1000000*S22/TrRoad_act!S62)</f>
        <v>2921.3511159384284</v>
      </c>
      <c r="T113" s="87">
        <f>IF(T22=0,0,1000000*T22/TrRoad_act!T62)</f>
        <v>2827.6374877324192</v>
      </c>
      <c r="U113" s="87">
        <f>IF(U22=0,0,1000000*U22/TrRoad_act!U62)</f>
        <v>2898.87214391622</v>
      </c>
      <c r="V113" s="87">
        <f>IF(V22=0,0,1000000*V22/TrRoad_act!V62)</f>
        <v>2682.5685613827695</v>
      </c>
      <c r="W113" s="87">
        <f>IF(W22=0,0,1000000*W22/TrRoad_act!W62)</f>
        <v>2659.9372972839014</v>
      </c>
      <c r="X113" s="87">
        <f>IF(X22=0,0,1000000*X22/TrRoad_act!X62)</f>
        <v>2536.7565361647053</v>
      </c>
      <c r="Y113" s="87">
        <f>IF(Y22=0,0,1000000*Y22/TrRoad_act!Y62)</f>
        <v>2542.2126801639715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3412.3691250000002</v>
      </c>
      <c r="C114" s="87">
        <f>IF(C23=0,0,1000000*C23/TrRoad_act!C63)</f>
        <v>3411.3030927835052</v>
      </c>
      <c r="D114" s="87">
        <f>IF(D23=0,0,1000000*D23/TrRoad_act!D63)</f>
        <v>3412.5824114007128</v>
      </c>
      <c r="E114" s="87">
        <f>IF(E23=0,0,1000000*E23/TrRoad_act!E63)</f>
        <v>3376.5137645478958</v>
      </c>
      <c r="F114" s="87">
        <f>IF(F23=0,0,1000000*F23/TrRoad_act!F63)</f>
        <v>2784.7055700682572</v>
      </c>
      <c r="G114" s="87">
        <f>IF(G23=0,0,1000000*G23/TrRoad_act!G63)</f>
        <v>2583.8588288187034</v>
      </c>
      <c r="H114" s="87">
        <f>IF(H23=0,0,1000000*H23/TrRoad_act!H63)</f>
        <v>2561.8201892744482</v>
      </c>
      <c r="I114" s="87">
        <f>IF(I23=0,0,1000000*I23/TrRoad_act!I63)</f>
        <v>2471.0944856497908</v>
      </c>
      <c r="J114" s="87">
        <f>IF(J23=0,0,1000000*J23/TrRoad_act!J63)</f>
        <v>2268.4404931959998</v>
      </c>
      <c r="K114" s="87">
        <f>IF(K23=0,0,1000000*K23/TrRoad_act!K63)</f>
        <v>2175.9956159579133</v>
      </c>
      <c r="L114" s="87">
        <f>IF(L23=0,0,1000000*L23/TrRoad_act!L63)</f>
        <v>2728.3513011954597</v>
      </c>
      <c r="M114" s="87">
        <f>IF(M23=0,0,1000000*M23/TrRoad_act!M63)</f>
        <v>2863.551569506727</v>
      </c>
      <c r="N114" s="87">
        <f>IF(N23=0,0,1000000*N23/TrRoad_act!N63)</f>
        <v>2734.1223166748482</v>
      </c>
      <c r="O114" s="87">
        <f>IF(O23=0,0,1000000*O23/TrRoad_act!O63)</f>
        <v>3088.3531627092898</v>
      </c>
      <c r="P114" s="87">
        <f>IF(P23=0,0,1000000*P23/TrRoad_act!P63)</f>
        <v>2955.6019355015414</v>
      </c>
      <c r="Q114" s="87">
        <f>IF(Q23=0,0,1000000*Q23/TrRoad_act!Q63)</f>
        <v>3235.2239425436665</v>
      </c>
      <c r="R114" s="87">
        <f>IF(R23=0,0,1000000*R23/TrRoad_act!R63)</f>
        <v>3109.3873592153827</v>
      </c>
      <c r="S114" s="87">
        <f>IF(S23=0,0,1000000*S23/TrRoad_act!S63)</f>
        <v>2935.5535301427776</v>
      </c>
      <c r="T114" s="87">
        <f>IF(T23=0,0,1000000*T23/TrRoad_act!T63)</f>
        <v>2856.2595160630899</v>
      </c>
      <c r="U114" s="87">
        <f>IF(U23=0,0,1000000*U23/TrRoad_act!U63)</f>
        <v>2569.9142461289189</v>
      </c>
      <c r="V114" s="87">
        <f>IF(V23=0,0,1000000*V23/TrRoad_act!V63)</f>
        <v>2384.1420138600483</v>
      </c>
      <c r="W114" s="87">
        <f>IF(W23=0,0,1000000*W23/TrRoad_act!W63)</f>
        <v>2141.6989946275044</v>
      </c>
      <c r="X114" s="87">
        <f>IF(X23=0,0,1000000*X23/TrRoad_act!X63)</f>
        <v>1945.3313014077632</v>
      </c>
      <c r="Y114" s="87">
        <f>IF(Y23=0,0,1000000*Y23/TrRoad_act!Y63)</f>
        <v>1755.8172427149145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1071.3167726759682</v>
      </c>
      <c r="C115" s="87">
        <f>IF(C24=0,0,1000000*C24/TrRoad_act!C64)</f>
        <v>1283.9940175029149</v>
      </c>
      <c r="D115" s="87">
        <f>IF(D24=0,0,1000000*D24/TrRoad_act!D64)</f>
        <v>1295.440417429953</v>
      </c>
      <c r="E115" s="87">
        <f>IF(E24=0,0,1000000*E24/TrRoad_act!E64)</f>
        <v>1365.1186876016795</v>
      </c>
      <c r="F115" s="87">
        <f>IF(F24=0,0,1000000*F24/TrRoad_act!F64)</f>
        <v>1429.0090890174849</v>
      </c>
      <c r="G115" s="87">
        <f>IF(G24=0,0,1000000*G24/TrRoad_act!G64)</f>
        <v>1465.4802101010737</v>
      </c>
      <c r="H115" s="87">
        <f>IF(H24=0,0,1000000*H24/TrRoad_act!H64)</f>
        <v>1658.9706178590595</v>
      </c>
      <c r="I115" s="87">
        <f>IF(I24=0,0,1000000*I24/TrRoad_act!I64)</f>
        <v>1918.788412771881</v>
      </c>
      <c r="J115" s="87">
        <f>IF(J24=0,0,1000000*J24/TrRoad_act!J64)</f>
        <v>1847.3351840557111</v>
      </c>
      <c r="K115" s="87">
        <f>IF(K24=0,0,1000000*K24/TrRoad_act!K64)</f>
        <v>1690.3289461615752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864.01430463576162</v>
      </c>
      <c r="U115" s="87">
        <f>IF(U24=0,0,1000000*U24/TrRoad_act!U64)</f>
        <v>1334.1391337239697</v>
      </c>
      <c r="V115" s="87">
        <f>IF(V24=0,0,1000000*V24/TrRoad_act!V64)</f>
        <v>1225.1825820964921</v>
      </c>
      <c r="W115" s="87">
        <f>IF(W24=0,0,1000000*W24/TrRoad_act!W64)</f>
        <v>1232.137145312694</v>
      </c>
      <c r="X115" s="87">
        <f>IF(X24=0,0,1000000*X24/TrRoad_act!X64)</f>
        <v>1147.5329181500581</v>
      </c>
      <c r="Y115" s="87">
        <f>IF(Y24=0,0,1000000*Y24/TrRoad_act!Y64)</f>
        <v>1153.4959415302856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506.48204770306626</v>
      </c>
      <c r="O116" s="87">
        <f>IF(O25=0,0,1000000*O25/TrRoad_act!O65)</f>
        <v>576.59737695127444</v>
      </c>
      <c r="P116" s="87">
        <f>IF(P25=0,0,1000000*P25/TrRoad_act!P65)</f>
        <v>645.47681838005838</v>
      </c>
      <c r="Q116" s="87">
        <f>IF(Q25=0,0,1000000*Q25/TrRoad_act!Q65)</f>
        <v>589.91732779033407</v>
      </c>
      <c r="R116" s="87">
        <f>IF(R25=0,0,1000000*R25/TrRoad_act!R65)</f>
        <v>545.005649746367</v>
      </c>
      <c r="S116" s="87">
        <f>IF(S25=0,0,1000000*S25/TrRoad_act!S65)</f>
        <v>596.41935269860573</v>
      </c>
      <c r="T116" s="87">
        <f>IF(T25=0,0,1000000*T25/TrRoad_act!T65)</f>
        <v>617.19528711348846</v>
      </c>
      <c r="U116" s="87">
        <f>IF(U25=0,0,1000000*U25/TrRoad_act!U65)</f>
        <v>623.40743687072188</v>
      </c>
      <c r="V116" s="87">
        <f>IF(V25=0,0,1000000*V25/TrRoad_act!V65)</f>
        <v>674.02803045122437</v>
      </c>
      <c r="W116" s="87">
        <f>IF(W25=0,0,1000000*W25/TrRoad_act!W65)</f>
        <v>609.10156194033186</v>
      </c>
      <c r="X116" s="87">
        <f>IF(X25=0,0,1000000*X25/TrRoad_act!X65)</f>
        <v>454.32116781653639</v>
      </c>
      <c r="Y116" s="87">
        <f>IF(Y25=0,0,1000000*Y25/TrRoad_act!Y65)</f>
        <v>405.80480350437233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65228.77600954099</v>
      </c>
      <c r="C118" s="116">
        <f>IF(C27=0,0,1000000*C27/TrRoad_act!C67)</f>
        <v>71781.642554746621</v>
      </c>
      <c r="D118" s="116">
        <f>IF(D27=0,0,1000000*D27/TrRoad_act!D67)</f>
        <v>69203.505031716195</v>
      </c>
      <c r="E118" s="116">
        <f>IF(E27=0,0,1000000*E27/TrRoad_act!E67)</f>
        <v>69456.447291263481</v>
      </c>
      <c r="F118" s="116">
        <f>IF(F27=0,0,1000000*F27/TrRoad_act!F67)</f>
        <v>70865.354839167921</v>
      </c>
      <c r="G118" s="116">
        <f>IF(G27=0,0,1000000*G27/TrRoad_act!G67)</f>
        <v>71609.448953263622</v>
      </c>
      <c r="H118" s="116">
        <f>IF(H27=0,0,1000000*H27/TrRoad_act!H67)</f>
        <v>71152.870995142715</v>
      </c>
      <c r="I118" s="116">
        <f>IF(I27=0,0,1000000*I27/TrRoad_act!I67)</f>
        <v>70441.15528181316</v>
      </c>
      <c r="J118" s="116">
        <f>IF(J27=0,0,1000000*J27/TrRoad_act!J67)</f>
        <v>66410.420461969697</v>
      </c>
      <c r="K118" s="116">
        <f>IF(K27=0,0,1000000*K27/TrRoad_act!K67)</f>
        <v>63192.264909723293</v>
      </c>
      <c r="L118" s="116">
        <f>IF(L27=0,0,1000000*L27/TrRoad_act!L67)</f>
        <v>67228.489523693803</v>
      </c>
      <c r="M118" s="116">
        <f>IF(M27=0,0,1000000*M27/TrRoad_act!M67)</f>
        <v>63671.975796849023</v>
      </c>
      <c r="N118" s="116">
        <f>IF(N27=0,0,1000000*N27/TrRoad_act!N67)</f>
        <v>64829.727630582027</v>
      </c>
      <c r="O118" s="116">
        <f>IF(O27=0,0,1000000*O27/TrRoad_act!O67)</f>
        <v>65848.686933301884</v>
      </c>
      <c r="P118" s="116">
        <f>IF(P27=0,0,1000000*P27/TrRoad_act!P67)</f>
        <v>66311.874261836929</v>
      </c>
      <c r="Q118" s="116">
        <f>IF(Q27=0,0,1000000*Q27/TrRoad_act!Q67)</f>
        <v>66917.321758764883</v>
      </c>
      <c r="R118" s="116">
        <f>IF(R27=0,0,1000000*R27/TrRoad_act!R67)</f>
        <v>68382.707868003054</v>
      </c>
      <c r="S118" s="116">
        <f>IF(S27=0,0,1000000*S27/TrRoad_act!S67)</f>
        <v>71021.897745842725</v>
      </c>
      <c r="T118" s="116">
        <f>IF(T27=0,0,1000000*T27/TrRoad_act!T67)</f>
        <v>67446.884003457584</v>
      </c>
      <c r="U118" s="116">
        <f>IF(U27=0,0,1000000*U27/TrRoad_act!U67)</f>
        <v>64055.889036345448</v>
      </c>
      <c r="V118" s="116">
        <f>IF(V27=0,0,1000000*V27/TrRoad_act!V67)</f>
        <v>53941.567599517839</v>
      </c>
      <c r="W118" s="116">
        <f>IF(W27=0,0,1000000*W27/TrRoad_act!W67)</f>
        <v>45740.741677426617</v>
      </c>
      <c r="X118" s="116">
        <f>IF(X27=0,0,1000000*X27/TrRoad_act!X67)</f>
        <v>47829.300867459693</v>
      </c>
      <c r="Y118" s="116">
        <f>IF(Y27=0,0,1000000*Y27/TrRoad_act!Y67)</f>
        <v>47163.357448084098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22078.661011560165</v>
      </c>
      <c r="C119" s="101">
        <f>IF(C28=0,0,1000000*C28/TrRoad_act!C68)</f>
        <v>20938.011564773849</v>
      </c>
      <c r="D119" s="101">
        <f>IF(D28=0,0,1000000*D28/TrRoad_act!D68)</f>
        <v>20870.243160313235</v>
      </c>
      <c r="E119" s="101">
        <f>IF(E28=0,0,1000000*E28/TrRoad_act!E68)</f>
        <v>20866.998995812755</v>
      </c>
      <c r="F119" s="101">
        <f>IF(F28=0,0,1000000*F28/TrRoad_act!F68)</f>
        <v>20812.988765084945</v>
      </c>
      <c r="G119" s="101">
        <f>IF(G28=0,0,1000000*G28/TrRoad_act!G68)</f>
        <v>20730.866940221575</v>
      </c>
      <c r="H119" s="101">
        <f>IF(H28=0,0,1000000*H28/TrRoad_act!H68)</f>
        <v>19744.01259694148</v>
      </c>
      <c r="I119" s="101">
        <f>IF(I28=0,0,1000000*I28/TrRoad_act!I68)</f>
        <v>18844.610856224022</v>
      </c>
      <c r="J119" s="101">
        <f>IF(J28=0,0,1000000*J28/TrRoad_act!J68)</f>
        <v>17948.125436850252</v>
      </c>
      <c r="K119" s="101">
        <f>IF(K28=0,0,1000000*K28/TrRoad_act!K68)</f>
        <v>17631.153766758831</v>
      </c>
      <c r="L119" s="101">
        <f>IF(L28=0,0,1000000*L28/TrRoad_act!L68)</f>
        <v>17797.317621442216</v>
      </c>
      <c r="M119" s="101">
        <f>IF(M28=0,0,1000000*M28/TrRoad_act!M68)</f>
        <v>18013.835075892941</v>
      </c>
      <c r="N119" s="101">
        <f>IF(N28=0,0,1000000*N28/TrRoad_act!N68)</f>
        <v>17759.778926425857</v>
      </c>
      <c r="O119" s="101">
        <f>IF(O28=0,0,1000000*O28/TrRoad_act!O68)</f>
        <v>17334.516630878214</v>
      </c>
      <c r="P119" s="101">
        <f>IF(P28=0,0,1000000*P28/TrRoad_act!P68)</f>
        <v>17091.215505655062</v>
      </c>
      <c r="Q119" s="101">
        <f>IF(Q28=0,0,1000000*Q28/TrRoad_act!Q68)</f>
        <v>16614.359729565782</v>
      </c>
      <c r="R119" s="101">
        <f>IF(R28=0,0,1000000*R28/TrRoad_act!R68)</f>
        <v>17015.327465827791</v>
      </c>
      <c r="S119" s="101">
        <f>IF(S28=0,0,1000000*S28/TrRoad_act!S68)</f>
        <v>17560.64921832825</v>
      </c>
      <c r="T119" s="101">
        <f>IF(T28=0,0,1000000*T28/TrRoad_act!T68)</f>
        <v>17494.91465484814</v>
      </c>
      <c r="U119" s="101">
        <f>IF(U28=0,0,1000000*U28/TrRoad_act!U68)</f>
        <v>17228.63299252365</v>
      </c>
      <c r="V119" s="101">
        <f>IF(V28=0,0,1000000*V28/TrRoad_act!V68)</f>
        <v>14893.073493543967</v>
      </c>
      <c r="W119" s="101">
        <f>IF(W28=0,0,1000000*W28/TrRoad_act!W68)</f>
        <v>13366.90681232239</v>
      </c>
      <c r="X119" s="101">
        <f>IF(X28=0,0,1000000*X28/TrRoad_act!X68)</f>
        <v>13889.973921014127</v>
      </c>
      <c r="Y119" s="101">
        <f>IF(Y28=0,0,1000000*Y28/TrRoad_act!Y68)</f>
        <v>14433.734299858159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71504.895921289935</v>
      </c>
      <c r="C120" s="101">
        <f>IF(C29=0,0,1000000*C29/TrRoad_act!C69)</f>
        <v>79412.006861081172</v>
      </c>
      <c r="D120" s="101">
        <f>IF(D29=0,0,1000000*D29/TrRoad_act!D69)</f>
        <v>76357.678573232712</v>
      </c>
      <c r="E120" s="101">
        <f>IF(E29=0,0,1000000*E29/TrRoad_act!E69)</f>
        <v>75914.815183755083</v>
      </c>
      <c r="F120" s="101">
        <f>IF(F29=0,0,1000000*F29/TrRoad_act!F69)</f>
        <v>77422.301946427804</v>
      </c>
      <c r="G120" s="101">
        <f>IF(G29=0,0,1000000*G29/TrRoad_act!G69)</f>
        <v>78977.189954531423</v>
      </c>
      <c r="H120" s="101">
        <f>IF(H29=0,0,1000000*H29/TrRoad_act!H69)</f>
        <v>78411.902443128885</v>
      </c>
      <c r="I120" s="101">
        <f>IF(I29=0,0,1000000*I29/TrRoad_act!I69)</f>
        <v>78207.805869603093</v>
      </c>
      <c r="J120" s="101">
        <f>IF(J29=0,0,1000000*J29/TrRoad_act!J69)</f>
        <v>73994.307499467555</v>
      </c>
      <c r="K120" s="101">
        <f>IF(K29=0,0,1000000*K29/TrRoad_act!K69)</f>
        <v>71076.016886329307</v>
      </c>
      <c r="L120" s="101">
        <f>IF(L29=0,0,1000000*L29/TrRoad_act!L69)</f>
        <v>76879.241427205823</v>
      </c>
      <c r="M120" s="101">
        <f>IF(M29=0,0,1000000*M29/TrRoad_act!M69)</f>
        <v>71484.821556051</v>
      </c>
      <c r="N120" s="101">
        <f>IF(N29=0,0,1000000*N29/TrRoad_act!N69)</f>
        <v>72354.995950865239</v>
      </c>
      <c r="O120" s="101">
        <f>IF(O29=0,0,1000000*O29/TrRoad_act!O69)</f>
        <v>73158.823397580185</v>
      </c>
      <c r="P120" s="101">
        <f>IF(P29=0,0,1000000*P29/TrRoad_act!P69)</f>
        <v>73330.000269933444</v>
      </c>
      <c r="Q120" s="101">
        <f>IF(Q29=0,0,1000000*Q29/TrRoad_act!Q69)</f>
        <v>74259.889823564197</v>
      </c>
      <c r="R120" s="101">
        <f>IF(R29=0,0,1000000*R29/TrRoad_act!R69)</f>
        <v>76484.135699029022</v>
      </c>
      <c r="S120" s="101">
        <f>IF(S29=0,0,1000000*S29/TrRoad_act!S69)</f>
        <v>78384.76590392318</v>
      </c>
      <c r="T120" s="101">
        <f>IF(T29=0,0,1000000*T29/TrRoad_act!T69)</f>
        <v>74506.586728715396</v>
      </c>
      <c r="U120" s="101">
        <f>IF(U29=0,0,1000000*U29/TrRoad_act!U69)</f>
        <v>71307.547006078923</v>
      </c>
      <c r="V120" s="101">
        <f>IF(V29=0,0,1000000*V29/TrRoad_act!V69)</f>
        <v>61726.994164029777</v>
      </c>
      <c r="W120" s="101">
        <f>IF(W29=0,0,1000000*W29/TrRoad_act!W69)</f>
        <v>54122.594112433399</v>
      </c>
      <c r="X120" s="101">
        <f>IF(X29=0,0,1000000*X29/TrRoad_act!X69)</f>
        <v>58070.850062463018</v>
      </c>
      <c r="Y120" s="101">
        <f>IF(Y29=0,0,1000000*Y29/TrRoad_act!Y69)</f>
        <v>58175.68719378885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32422.757826029596</v>
      </c>
      <c r="S121" s="101">
        <f>IF(S30=0,0,1000000*S30/TrRoad_act!S70)</f>
        <v>32591.472808318296</v>
      </c>
      <c r="T121" s="101">
        <f>IF(T30=0,0,1000000*T30/TrRoad_act!T70)</f>
        <v>31837.89269207359</v>
      </c>
      <c r="U121" s="101">
        <f>IF(U30=0,0,1000000*U30/TrRoad_act!U70)</f>
        <v>30438.501758962968</v>
      </c>
      <c r="V121" s="101">
        <f>IF(V30=0,0,1000000*V30/TrRoad_act!V70)</f>
        <v>26260.724783936515</v>
      </c>
      <c r="W121" s="101">
        <f>IF(W30=0,0,1000000*W30/TrRoad_act!W70)</f>
        <v>22996.72504804402</v>
      </c>
      <c r="X121" s="101">
        <f>IF(X30=0,0,1000000*X30/TrRoad_act!X70)</f>
        <v>23206.713021591302</v>
      </c>
      <c r="Y121" s="101">
        <f>IF(Y30=0,0,1000000*Y30/TrRoad_act!Y70)</f>
        <v>23624.824528815392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35724.866454648072</v>
      </c>
      <c r="C122" s="101">
        <f>IF(C31=0,0,1000000*C31/TrRoad_act!C71)</f>
        <v>45476.207677537932</v>
      </c>
      <c r="D122" s="101">
        <f>IF(D31=0,0,1000000*D31/TrRoad_act!D71)</f>
        <v>35372.345317594787</v>
      </c>
      <c r="E122" s="101">
        <f>IF(E31=0,0,1000000*E31/TrRoad_act!E71)</f>
        <v>36954.802436736711</v>
      </c>
      <c r="F122" s="101">
        <f>IF(F31=0,0,1000000*F31/TrRoad_act!F71)</f>
        <v>36381.330547421829</v>
      </c>
      <c r="G122" s="101">
        <f>IF(G31=0,0,1000000*G31/TrRoad_act!G71)</f>
        <v>34668.590276094226</v>
      </c>
      <c r="H122" s="101">
        <f>IF(H31=0,0,1000000*H31/TrRoad_act!H71)</f>
        <v>34974.105022549775</v>
      </c>
      <c r="I122" s="101">
        <f>IF(I31=0,0,1000000*I31/TrRoad_act!I71)</f>
        <v>33006.605793614064</v>
      </c>
      <c r="J122" s="101">
        <f>IF(J31=0,0,1000000*J31/TrRoad_act!J71)</f>
        <v>39461.405351049209</v>
      </c>
      <c r="K122" s="101">
        <f>IF(K31=0,0,1000000*K31/TrRoad_act!K71)</f>
        <v>58721.776345960629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15225.058842987226</v>
      </c>
      <c r="V122" s="101">
        <f>IF(V31=0,0,1000000*V31/TrRoad_act!V71)</f>
        <v>16839.114059678363</v>
      </c>
      <c r="W122" s="101">
        <f>IF(W31=0,0,1000000*W31/TrRoad_act!W71)</f>
        <v>18681.170167843477</v>
      </c>
      <c r="X122" s="101">
        <f>IF(X31=0,0,1000000*X31/TrRoad_act!X71)</f>
        <v>16264.768162429595</v>
      </c>
      <c r="Y122" s="101">
        <f>IF(Y31=0,0,1000000*Y31/TrRoad_act!Y71)</f>
        <v>20633.002876755723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4118.1294170472129</v>
      </c>
      <c r="C125" s="152">
        <f>IF(C34=0,0,1000000*C34/TrRoad_act!C74)</f>
        <v>4411.6123204316254</v>
      </c>
      <c r="D125" s="152">
        <f>IF(D34=0,0,1000000*D34/TrRoad_act!D74)</f>
        <v>4557.5641897305732</v>
      </c>
      <c r="E125" s="152">
        <f>IF(E34=0,0,1000000*E34/TrRoad_act!E74)</f>
        <v>4289.5743354388651</v>
      </c>
      <c r="F125" s="152">
        <f>IF(F34=0,0,1000000*F34/TrRoad_act!F74)</f>
        <v>4587.1347736344114</v>
      </c>
      <c r="G125" s="152">
        <f>IF(G34=0,0,1000000*G34/TrRoad_act!G74)</f>
        <v>4517.3358071420098</v>
      </c>
      <c r="H125" s="152">
        <f>IF(H34=0,0,1000000*H34/TrRoad_act!H74)</f>
        <v>4473.3351530011914</v>
      </c>
      <c r="I125" s="152">
        <f>IF(I34=0,0,1000000*I34/TrRoad_act!I74)</f>
        <v>4793.4750338209915</v>
      </c>
      <c r="J125" s="152">
        <f>IF(J34=0,0,1000000*J34/TrRoad_act!J74)</f>
        <v>4805.0991647194442</v>
      </c>
      <c r="K125" s="152">
        <f>IF(K34=0,0,1000000*K34/TrRoad_act!K74)</f>
        <v>4656.6126574113105</v>
      </c>
      <c r="L125" s="152">
        <f>IF(L34=0,0,1000000*L34/TrRoad_act!L74)</f>
        <v>5178.631879203971</v>
      </c>
      <c r="M125" s="152">
        <f>IF(M34=0,0,1000000*M34/TrRoad_act!M74)</f>
        <v>4800.5029220311153</v>
      </c>
      <c r="N125" s="152">
        <f>IF(N34=0,0,1000000*N34/TrRoad_act!N74)</f>
        <v>4755.7347000133404</v>
      </c>
      <c r="O125" s="152">
        <f>IF(O34=0,0,1000000*O34/TrRoad_act!O74)</f>
        <v>4738.2580084999481</v>
      </c>
      <c r="P125" s="152">
        <f>IF(P34=0,0,1000000*P34/TrRoad_act!P74)</f>
        <v>4661.4375656291058</v>
      </c>
      <c r="Q125" s="152">
        <f>IF(Q34=0,0,1000000*Q34/TrRoad_act!Q74)</f>
        <v>4573.8382556034267</v>
      </c>
      <c r="R125" s="152">
        <f>IF(R34=0,0,1000000*R34/TrRoad_act!R74)</f>
        <v>4565.7956095403588</v>
      </c>
      <c r="S125" s="152">
        <f>IF(S34=0,0,1000000*S34/TrRoad_act!S74)</f>
        <v>4557.6853618494852</v>
      </c>
      <c r="T125" s="152">
        <f>IF(T34=0,0,1000000*T34/TrRoad_act!T74)</f>
        <v>4327.4910279408305</v>
      </c>
      <c r="U125" s="152">
        <f>IF(U34=0,0,1000000*U34/TrRoad_act!U74)</f>
        <v>4229.9516099093589</v>
      </c>
      <c r="V125" s="152">
        <f>IF(V34=0,0,1000000*V34/TrRoad_act!V74)</f>
        <v>4177.2096474614664</v>
      </c>
      <c r="W125" s="152">
        <f>IF(W34=0,0,1000000*W34/TrRoad_act!W74)</f>
        <v>4168.4418380657735</v>
      </c>
      <c r="X125" s="152">
        <f>IF(X34=0,0,1000000*X34/TrRoad_act!X74)</f>
        <v>4244.2770104664814</v>
      </c>
      <c r="Y125" s="152">
        <f>IF(Y34=0,0,1000000*Y34/TrRoad_act!Y74)</f>
        <v>4190.1197997444779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2564.0818970026476</v>
      </c>
      <c r="C126" s="87">
        <f>IF(C35=0,0,1000000*C35/TrRoad_act!C75)</f>
        <v>2516.2906935463648</v>
      </c>
      <c r="D126" s="87">
        <f>IF(D35=0,0,1000000*D35/TrRoad_act!D75)</f>
        <v>2475.7155972739515</v>
      </c>
      <c r="E126" s="87">
        <f>IF(E35=0,0,1000000*E35/TrRoad_act!E75)</f>
        <v>2394.9488770177727</v>
      </c>
      <c r="F126" s="87">
        <f>IF(F35=0,0,1000000*F35/TrRoad_act!F75)</f>
        <v>2373.1660260055928</v>
      </c>
      <c r="G126" s="87">
        <f>IF(G35=0,0,1000000*G35/TrRoad_act!G75)</f>
        <v>2366.5336164471541</v>
      </c>
      <c r="H126" s="87">
        <f>IF(H35=0,0,1000000*H35/TrRoad_act!H75)</f>
        <v>2318.6826095758756</v>
      </c>
      <c r="I126" s="87">
        <f>IF(I35=0,0,1000000*I35/TrRoad_act!I75)</f>
        <v>2284.925202123688</v>
      </c>
      <c r="J126" s="87">
        <f>IF(J35=0,0,1000000*J35/TrRoad_act!J75)</f>
        <v>2234.591540086009</v>
      </c>
      <c r="K126" s="87">
        <f>IF(K35=0,0,1000000*K35/TrRoad_act!K75)</f>
        <v>2178.5569780268133</v>
      </c>
      <c r="L126" s="87">
        <f>IF(L35=0,0,1000000*L35/TrRoad_act!L75)</f>
        <v>2055.2677164041397</v>
      </c>
      <c r="M126" s="87">
        <f>IF(M35=0,0,1000000*M35/TrRoad_act!M75)</f>
        <v>2034.7891245273745</v>
      </c>
      <c r="N126" s="87">
        <f>IF(N35=0,0,1000000*N35/TrRoad_act!N75)</f>
        <v>2010.1183617619652</v>
      </c>
      <c r="O126" s="87">
        <f>IF(O35=0,0,1000000*O35/TrRoad_act!O75)</f>
        <v>1985.0295226246667</v>
      </c>
      <c r="P126" s="87">
        <f>IF(P35=0,0,1000000*P35/TrRoad_act!P75)</f>
        <v>1953.6260748461225</v>
      </c>
      <c r="Q126" s="87">
        <f>IF(Q35=0,0,1000000*Q35/TrRoad_act!Q75)</f>
        <v>1892.8575608175267</v>
      </c>
      <c r="R126" s="87">
        <f>IF(R35=0,0,1000000*R35/TrRoad_act!R75)</f>
        <v>1905.5690820626119</v>
      </c>
      <c r="S126" s="87">
        <f>IF(S35=0,0,1000000*S35/TrRoad_act!S75)</f>
        <v>1895.2766045841795</v>
      </c>
      <c r="T126" s="87">
        <f>IF(T35=0,0,1000000*T35/TrRoad_act!T75)</f>
        <v>1895.1464879349473</v>
      </c>
      <c r="U126" s="87">
        <f>IF(U35=0,0,1000000*U35/TrRoad_act!U75)</f>
        <v>1890.1476193212754</v>
      </c>
      <c r="V126" s="87">
        <f>IF(V35=0,0,1000000*V35/TrRoad_act!V75)</f>
        <v>1840.6315752312209</v>
      </c>
      <c r="W126" s="87">
        <f>IF(W35=0,0,1000000*W35/TrRoad_act!W75)</f>
        <v>1826.9253369795106</v>
      </c>
      <c r="X126" s="87">
        <f>IF(X35=0,0,1000000*X35/TrRoad_act!X75)</f>
        <v>1800.3539112440646</v>
      </c>
      <c r="Y126" s="87">
        <f>IF(Y35=0,0,1000000*Y35/TrRoad_act!Y75)</f>
        <v>1862.9396877835732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6278.5233615200414</v>
      </c>
      <c r="C127" s="87">
        <f>IF(C36=0,0,1000000*C36/TrRoad_act!C76)</f>
        <v>6563.2436548863143</v>
      </c>
      <c r="D127" s="87">
        <f>IF(D36=0,0,1000000*D36/TrRoad_act!D76)</f>
        <v>6114.3141137129423</v>
      </c>
      <c r="E127" s="87">
        <f>IF(E36=0,0,1000000*E36/TrRoad_act!E76)</f>
        <v>5856.0853881321154</v>
      </c>
      <c r="F127" s="87">
        <f>IF(F36=0,0,1000000*F36/TrRoad_act!F76)</f>
        <v>5851.2308652030833</v>
      </c>
      <c r="G127" s="87">
        <f>IF(G36=0,0,1000000*G36/TrRoad_act!G76)</f>
        <v>5839.638416265514</v>
      </c>
      <c r="H127" s="87">
        <f>IF(H36=0,0,1000000*H36/TrRoad_act!H76)</f>
        <v>5614.8857830718753</v>
      </c>
      <c r="I127" s="87">
        <f>IF(I36=0,0,1000000*I36/TrRoad_act!I76)</f>
        <v>5976.9486035403997</v>
      </c>
      <c r="J127" s="87">
        <f>IF(J36=0,0,1000000*J36/TrRoad_act!J76)</f>
        <v>5765.4875651031825</v>
      </c>
      <c r="K127" s="87">
        <f>IF(K36=0,0,1000000*K36/TrRoad_act!K76)</f>
        <v>5417.0947097531207</v>
      </c>
      <c r="L127" s="87">
        <f>IF(L36=0,0,1000000*L36/TrRoad_act!L76)</f>
        <v>5658.4186951986985</v>
      </c>
      <c r="M127" s="87">
        <f>IF(M36=0,0,1000000*M36/TrRoad_act!M76)</f>
        <v>5167.238441766146</v>
      </c>
      <c r="N127" s="87">
        <f>IF(N36=0,0,1000000*N36/TrRoad_act!N76)</f>
        <v>5088.8663243891124</v>
      </c>
      <c r="O127" s="87">
        <f>IF(O36=0,0,1000000*O36/TrRoad_act!O76)</f>
        <v>4986.351511395841</v>
      </c>
      <c r="P127" s="87">
        <f>IF(P36=0,0,1000000*P36/TrRoad_act!P76)</f>
        <v>4829.6151885988993</v>
      </c>
      <c r="Q127" s="87">
        <f>IF(Q36=0,0,1000000*Q36/TrRoad_act!Q76)</f>
        <v>4724.4420752982178</v>
      </c>
      <c r="R127" s="87">
        <f>IF(R36=0,0,1000000*R36/TrRoad_act!R76)</f>
        <v>4693.7790472325578</v>
      </c>
      <c r="S127" s="87">
        <f>IF(S36=0,0,1000000*S36/TrRoad_act!S76)</f>
        <v>4677.6047411147611</v>
      </c>
      <c r="T127" s="87">
        <f>IF(T36=0,0,1000000*T36/TrRoad_act!T76)</f>
        <v>4430.5820748627812</v>
      </c>
      <c r="U127" s="87">
        <f>IF(U36=0,0,1000000*U36/TrRoad_act!U76)</f>
        <v>4320.6892825204741</v>
      </c>
      <c r="V127" s="87">
        <f>IF(V36=0,0,1000000*V36/TrRoad_act!V76)</f>
        <v>4264.5359988651462</v>
      </c>
      <c r="W127" s="87">
        <f>IF(W36=0,0,1000000*W36/TrRoad_act!W76)</f>
        <v>4253.5145874090776</v>
      </c>
      <c r="X127" s="87">
        <f>IF(X36=0,0,1000000*X36/TrRoad_act!X76)</f>
        <v>4332.9618294904349</v>
      </c>
      <c r="Y127" s="87">
        <f>IF(Y36=0,0,1000000*Y36/TrRoad_act!Y76)</f>
        <v>4276.5853758325993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2912.0875656087137</v>
      </c>
      <c r="O128" s="87">
        <f>IF(O37=0,0,1000000*O37/TrRoad_act!O77)</f>
        <v>2846.0132986528547</v>
      </c>
      <c r="P128" s="87">
        <f>IF(P37=0,0,1000000*P37/TrRoad_act!P77)</f>
        <v>2636.8839859640466</v>
      </c>
      <c r="Q128" s="87">
        <f>IF(Q37=0,0,1000000*Q37/TrRoad_act!Q77)</f>
        <v>2597.4154716705239</v>
      </c>
      <c r="R128" s="87">
        <f>IF(R37=0,0,1000000*R37/TrRoad_act!R77)</f>
        <v>3241.2314321995336</v>
      </c>
      <c r="S128" s="87">
        <f>IF(S37=0,0,1000000*S37/TrRoad_act!S77)</f>
        <v>3093.0083520564963</v>
      </c>
      <c r="T128" s="87">
        <f>IF(T37=0,0,1000000*T37/TrRoad_act!T77)</f>
        <v>2992.3027980870374</v>
      </c>
      <c r="U128" s="87">
        <f>IF(U37=0,0,1000000*U37/TrRoad_act!U77)</f>
        <v>2927.9236566505715</v>
      </c>
      <c r="V128" s="87">
        <f>IF(V37=0,0,1000000*V37/TrRoad_act!V77)</f>
        <v>3027.0198225757513</v>
      </c>
      <c r="W128" s="87">
        <f>IF(W37=0,0,1000000*W37/TrRoad_act!W77)</f>
        <v>3068.2286747305225</v>
      </c>
      <c r="X128" s="87">
        <f>IF(X37=0,0,1000000*X37/TrRoad_act!X77)</f>
        <v>3088.4366618896784</v>
      </c>
      <c r="Y128" s="87">
        <f>IF(Y37=0,0,1000000*Y37/TrRoad_act!Y77)</f>
        <v>3099.4877650929025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X129" s="87">
        <f>IF(X38=0,0,1000000*X38/TrRoad_act!X78)</f>
        <v>0</v>
      </c>
      <c r="Y129" s="87">
        <f>IF(Y38=0,0,1000000*Y38/TrRoad_act!Y78)</f>
        <v>0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8295.3379836786225</v>
      </c>
      <c r="C131" s="116">
        <f>IF(C40=0,0,1000000*C40/TrRoad_act!C80)</f>
        <v>12499.440988981836</v>
      </c>
      <c r="D131" s="116">
        <f>IF(D40=0,0,1000000*D40/TrRoad_act!D80)</f>
        <v>12770.210906434997</v>
      </c>
      <c r="E131" s="116">
        <f>IF(E40=0,0,1000000*E40/TrRoad_act!E80)</f>
        <v>13716.878799263248</v>
      </c>
      <c r="F131" s="116">
        <f>IF(F40=0,0,1000000*F40/TrRoad_act!F80)</f>
        <v>14038.496709814104</v>
      </c>
      <c r="G131" s="116">
        <f>IF(G40=0,0,1000000*G40/TrRoad_act!G80)</f>
        <v>16627.784304930377</v>
      </c>
      <c r="H131" s="116">
        <f>IF(H40=0,0,1000000*H40/TrRoad_act!H80)</f>
        <v>19217.595863269587</v>
      </c>
      <c r="I131" s="116">
        <f>IF(I40=0,0,1000000*I40/TrRoad_act!I80)</f>
        <v>24133.374368645207</v>
      </c>
      <c r="J131" s="116">
        <f>IF(J40=0,0,1000000*J40/TrRoad_act!J80)</f>
        <v>22692.161458391667</v>
      </c>
      <c r="K131" s="116">
        <f>IF(K40=0,0,1000000*K40/TrRoad_act!K80)</f>
        <v>18132.514619553654</v>
      </c>
      <c r="L131" s="116">
        <f>IF(L40=0,0,1000000*L40/TrRoad_act!L80)</f>
        <v>30118.020959847712</v>
      </c>
      <c r="M131" s="116">
        <f>IF(M40=0,0,1000000*M40/TrRoad_act!M80)</f>
        <v>22749.453913546538</v>
      </c>
      <c r="N131" s="116">
        <f>IF(N40=0,0,1000000*N40/TrRoad_act!N80)</f>
        <v>20475.192830119067</v>
      </c>
      <c r="O131" s="116">
        <f>IF(O40=0,0,1000000*O40/TrRoad_act!O80)</f>
        <v>22179.664739874912</v>
      </c>
      <c r="P131" s="116">
        <f>IF(P40=0,0,1000000*P40/TrRoad_act!P80)</f>
        <v>24387.424850095344</v>
      </c>
      <c r="Q131" s="116">
        <f>IF(Q40=0,0,1000000*Q40/TrRoad_act!Q80)</f>
        <v>28046.088995091592</v>
      </c>
      <c r="R131" s="116">
        <f>IF(R40=0,0,1000000*R40/TrRoad_act!R80)</f>
        <v>28501.216583850131</v>
      </c>
      <c r="S131" s="116">
        <f>IF(S40=0,0,1000000*S40/TrRoad_act!S80)</f>
        <v>31646.327544638287</v>
      </c>
      <c r="T131" s="116">
        <f>IF(T40=0,0,1000000*T40/TrRoad_act!T80)</f>
        <v>31297.622589836887</v>
      </c>
      <c r="U131" s="116">
        <f>IF(U40=0,0,1000000*U40/TrRoad_act!U80)</f>
        <v>30112.285084400522</v>
      </c>
      <c r="V131" s="116">
        <f>IF(V40=0,0,1000000*V40/TrRoad_act!V80)</f>
        <v>27653.100317007218</v>
      </c>
      <c r="W131" s="116">
        <f>IF(W40=0,0,1000000*W40/TrRoad_act!W80)</f>
        <v>32456.879593403206</v>
      </c>
      <c r="X131" s="116">
        <f>IF(X40=0,0,1000000*X40/TrRoad_act!X80)</f>
        <v>31397.129229701946</v>
      </c>
      <c r="Y131" s="116">
        <f>IF(Y40=0,0,1000000*Y40/TrRoad_act!Y80)</f>
        <v>29243.403146766999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5247.5959131942918</v>
      </c>
      <c r="C132" s="101">
        <f>IF(C41=0,0,1000000*C41/TrRoad_act!C81)</f>
        <v>6515.9672553990349</v>
      </c>
      <c r="D132" s="101">
        <f>IF(D41=0,0,1000000*D41/TrRoad_act!D81)</f>
        <v>7480.218171656471</v>
      </c>
      <c r="E132" s="101">
        <f>IF(E41=0,0,1000000*E41/TrRoad_act!E81)</f>
        <v>8387.9793915363371</v>
      </c>
      <c r="F132" s="101">
        <f>IF(F41=0,0,1000000*F41/TrRoad_act!F81)</f>
        <v>8009.3082143191268</v>
      </c>
      <c r="G132" s="101">
        <f>IF(G41=0,0,1000000*G41/TrRoad_act!G81)</f>
        <v>9400.4570422222623</v>
      </c>
      <c r="H132" s="101">
        <f>IF(H41=0,0,1000000*H41/TrRoad_act!H81)</f>
        <v>9946.3301756104738</v>
      </c>
      <c r="I132" s="101">
        <f>IF(I41=0,0,1000000*I41/TrRoad_act!I81)</f>
        <v>12367.001162072364</v>
      </c>
      <c r="J132" s="101">
        <f>IF(J41=0,0,1000000*J41/TrRoad_act!J81)</f>
        <v>11979.902483750873</v>
      </c>
      <c r="K132" s="101">
        <f>IF(K41=0,0,1000000*K41/TrRoad_act!K81)</f>
        <v>10995.842260648884</v>
      </c>
      <c r="L132" s="101">
        <f>IF(L41=0,0,1000000*L41/TrRoad_act!L81)</f>
        <v>13808.654530536342</v>
      </c>
      <c r="M132" s="101">
        <f>IF(M41=0,0,1000000*M41/TrRoad_act!M81)</f>
        <v>11475.771026126222</v>
      </c>
      <c r="N132" s="101">
        <f>IF(N41=0,0,1000000*N41/TrRoad_act!N81)</f>
        <v>9627.1591074664375</v>
      </c>
      <c r="O132" s="101">
        <f>IF(O41=0,0,1000000*O41/TrRoad_act!O81)</f>
        <v>10866.953043471038</v>
      </c>
      <c r="P132" s="101">
        <f>IF(P41=0,0,1000000*P41/TrRoad_act!P81)</f>
        <v>12041.518464819168</v>
      </c>
      <c r="Q132" s="101">
        <f>IF(Q41=0,0,1000000*Q41/TrRoad_act!Q81)</f>
        <v>13188.220029622818</v>
      </c>
      <c r="R132" s="101">
        <f>IF(R41=0,0,1000000*R41/TrRoad_act!R81)</f>
        <v>14267.014955242459</v>
      </c>
      <c r="S132" s="101">
        <f>IF(S41=0,0,1000000*S41/TrRoad_act!S81)</f>
        <v>16081.896907532369</v>
      </c>
      <c r="T132" s="101">
        <f>IF(T41=0,0,1000000*T41/TrRoad_act!T81)</f>
        <v>15853.365456063098</v>
      </c>
      <c r="U132" s="101">
        <f>IF(U41=0,0,1000000*U41/TrRoad_act!U81)</f>
        <v>15900.276319673498</v>
      </c>
      <c r="V132" s="101">
        <f>IF(V41=0,0,1000000*V41/TrRoad_act!V81)</f>
        <v>15206.445625587969</v>
      </c>
      <c r="W132" s="101">
        <f>IF(W41=0,0,1000000*W41/TrRoad_act!W81)</f>
        <v>18191.527084000918</v>
      </c>
      <c r="X132" s="101">
        <f>IF(X41=0,0,1000000*X41/TrRoad_act!X81)</f>
        <v>17387.124680314482</v>
      </c>
      <c r="Y132" s="101">
        <f>IF(Y41=0,0,1000000*Y41/TrRoad_act!Y81)</f>
        <v>16530.202552842195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273040.49046817928</v>
      </c>
      <c r="C133" s="88">
        <f>IF(C42=0,0,1000000*C42/TrRoad_act!C82)</f>
        <v>509305.3952528201</v>
      </c>
      <c r="D133" s="88">
        <f>IF(D42=0,0,1000000*D42/TrRoad_act!D82)</f>
        <v>439373.14655968163</v>
      </c>
      <c r="E133" s="88">
        <f>IF(E42=0,0,1000000*E42/TrRoad_act!E82)</f>
        <v>437403.10918017855</v>
      </c>
      <c r="F133" s="88">
        <f>IF(F42=0,0,1000000*F42/TrRoad_act!F82)</f>
        <v>418068.19456271338</v>
      </c>
      <c r="G133" s="88">
        <f>IF(G42=0,0,1000000*G42/TrRoad_act!G82)</f>
        <v>463065.45444829343</v>
      </c>
      <c r="H133" s="88">
        <f>IF(H42=0,0,1000000*H42/TrRoad_act!H82)</f>
        <v>471072.18346249219</v>
      </c>
      <c r="I133" s="88">
        <f>IF(I42=0,0,1000000*I42/TrRoad_act!I82)</f>
        <v>505517.05902282608</v>
      </c>
      <c r="J133" s="88">
        <f>IF(J42=0,0,1000000*J42/TrRoad_act!J82)</f>
        <v>451680.11003706104</v>
      </c>
      <c r="K133" s="88">
        <f>IF(K42=0,0,1000000*K42/TrRoad_act!K82)</f>
        <v>381083.28030099621</v>
      </c>
      <c r="L133" s="88">
        <f>IF(L42=0,0,1000000*L42/TrRoad_act!L82)</f>
        <v>561403.95349998679</v>
      </c>
      <c r="M133" s="88">
        <f>IF(M42=0,0,1000000*M42/TrRoad_act!M82)</f>
        <v>323954.79785450007</v>
      </c>
      <c r="N133" s="88">
        <f>IF(N42=0,0,1000000*N42/TrRoad_act!N82)</f>
        <v>279439.66081500083</v>
      </c>
      <c r="O133" s="88">
        <f>IF(O42=0,0,1000000*O42/TrRoad_act!O82)</f>
        <v>241035.62008449103</v>
      </c>
      <c r="P133" s="88">
        <f>IF(P42=0,0,1000000*P42/TrRoad_act!P82)</f>
        <v>232560.87029929357</v>
      </c>
      <c r="Q133" s="88">
        <f>IF(Q42=0,0,1000000*Q42/TrRoad_act!Q82)</f>
        <v>226226.00457294006</v>
      </c>
      <c r="R133" s="88">
        <f>IF(R42=0,0,1000000*R42/TrRoad_act!R82)</f>
        <v>207552.48970159929</v>
      </c>
      <c r="S133" s="88">
        <f>IF(S42=0,0,1000000*S42/TrRoad_act!S82)</f>
        <v>230415.93938856752</v>
      </c>
      <c r="T133" s="88">
        <f>IF(T42=0,0,1000000*T42/TrRoad_act!T82)</f>
        <v>214328.32235112795</v>
      </c>
      <c r="U133" s="88">
        <f>IF(U42=0,0,1000000*U42/TrRoad_act!U82)</f>
        <v>213606.03824733786</v>
      </c>
      <c r="V133" s="88">
        <f>IF(V42=0,0,1000000*V42/TrRoad_act!V82)</f>
        <v>164813.42678574155</v>
      </c>
      <c r="W133" s="88">
        <f>IF(W42=0,0,1000000*W42/TrRoad_act!W82)</f>
        <v>188391.4406360579</v>
      </c>
      <c r="X133" s="88">
        <f>IF(X42=0,0,1000000*X42/TrRoad_act!X82)</f>
        <v>180435.9522741012</v>
      </c>
      <c r="Y133" s="88">
        <f>IF(Y42=0,0,1000000*Y42/TrRoad_act!Y82)</f>
        <v>168453.83128690065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0.7148855279726446</v>
      </c>
      <c r="C136" s="46">
        <f t="shared" si="40"/>
        <v>0.6498016425646721</v>
      </c>
      <c r="D136" s="46">
        <f t="shared" si="40"/>
        <v>0.6348252394212186</v>
      </c>
      <c r="E136" s="46">
        <f t="shared" si="40"/>
        <v>0.63435532522784388</v>
      </c>
      <c r="F136" s="46">
        <f t="shared" si="40"/>
        <v>0.6293298021143453</v>
      </c>
      <c r="G136" s="46">
        <f t="shared" si="40"/>
        <v>0.61388646808878344</v>
      </c>
      <c r="H136" s="46">
        <f t="shared" si="40"/>
        <v>0.61708222648714228</v>
      </c>
      <c r="I136" s="46">
        <f t="shared" si="40"/>
        <v>0.59838118529214612</v>
      </c>
      <c r="J136" s="46">
        <f t="shared" si="40"/>
        <v>0.60885750898037427</v>
      </c>
      <c r="K136" s="46">
        <f t="shared" si="40"/>
        <v>0.63015355367552783</v>
      </c>
      <c r="L136" s="46">
        <f t="shared" si="41"/>
        <v>0.60219135749281716</v>
      </c>
      <c r="M136" s="46">
        <f t="shared" si="40"/>
        <v>0.65330866880557603</v>
      </c>
      <c r="N136" s="46">
        <f t="shared" si="40"/>
        <v>0.66187727206399516</v>
      </c>
      <c r="O136" s="46">
        <f t="shared" si="40"/>
        <v>0.65256330708989874</v>
      </c>
      <c r="P136" s="46">
        <f t="shared" si="40"/>
        <v>0.67140156045035071</v>
      </c>
      <c r="Q136" s="46">
        <f t="shared" si="40"/>
        <v>0.67031468747578471</v>
      </c>
      <c r="R136" s="46">
        <f t="shared" si="40"/>
        <v>0.68431009048801295</v>
      </c>
      <c r="S136" s="46">
        <f t="shared" si="40"/>
        <v>0.67262083312411647</v>
      </c>
      <c r="T136" s="46">
        <f t="shared" si="40"/>
        <v>0.67440617604204167</v>
      </c>
      <c r="U136" s="46">
        <f t="shared" si="40"/>
        <v>0.68678608659067975</v>
      </c>
      <c r="V136" s="46">
        <f t="shared" si="40"/>
        <v>0.67979465659276572</v>
      </c>
      <c r="W136" s="46">
        <f t="shared" si="42"/>
        <v>0.66161080879672796</v>
      </c>
      <c r="X136" s="46">
        <f t="shared" si="42"/>
        <v>0.64423142725335758</v>
      </c>
      <c r="Y136" s="46">
        <f t="shared" si="42"/>
        <v>0.65176249992071045</v>
      </c>
      <c r="DA136" s="211"/>
    </row>
    <row r="137" spans="1:105" ht="11.45" customHeight="1" x14ac:dyDescent="0.25">
      <c r="A137" s="153" t="s">
        <v>173</v>
      </c>
      <c r="B137" s="154">
        <f t="shared" si="40"/>
        <v>4.3735196008959192E-3</v>
      </c>
      <c r="C137" s="154">
        <f t="shared" si="40"/>
        <v>3.653571014404449E-3</v>
      </c>
      <c r="D137" s="154">
        <f t="shared" si="40"/>
        <v>3.5232000718428934E-3</v>
      </c>
      <c r="E137" s="154">
        <f t="shared" si="40"/>
        <v>3.3389641950309179E-3</v>
      </c>
      <c r="F137" s="154">
        <f t="shared" si="40"/>
        <v>3.1282109735709805E-3</v>
      </c>
      <c r="G137" s="154">
        <f t="shared" si="40"/>
        <v>2.9393835352107042E-3</v>
      </c>
      <c r="H137" s="154">
        <f t="shared" si="40"/>
        <v>2.5289290244701603E-3</v>
      </c>
      <c r="I137" s="154">
        <f t="shared" si="40"/>
        <v>2.1096752559680073E-3</v>
      </c>
      <c r="J137" s="154">
        <f t="shared" si="40"/>
        <v>2.117012645381099E-3</v>
      </c>
      <c r="K137" s="154">
        <f t="shared" si="40"/>
        <v>2.3159337028989396E-3</v>
      </c>
      <c r="L137" s="154">
        <f t="shared" si="41"/>
        <v>2.1966751387068172E-3</v>
      </c>
      <c r="M137" s="154">
        <f t="shared" si="40"/>
        <v>2.4530314253189012E-3</v>
      </c>
      <c r="N137" s="154">
        <f t="shared" si="40"/>
        <v>2.2992489885354755E-3</v>
      </c>
      <c r="O137" s="154">
        <f t="shared" si="40"/>
        <v>2.2965902585073161E-3</v>
      </c>
      <c r="P137" s="154">
        <f t="shared" si="40"/>
        <v>2.5519598529773957E-3</v>
      </c>
      <c r="Q137" s="154">
        <f t="shared" si="40"/>
        <v>2.9363828957560509E-3</v>
      </c>
      <c r="R137" s="154">
        <f t="shared" si="40"/>
        <v>2.7968656717356878E-3</v>
      </c>
      <c r="S137" s="154">
        <f t="shared" si="40"/>
        <v>2.4543648474566354E-3</v>
      </c>
      <c r="T137" s="154">
        <f t="shared" si="40"/>
        <v>2.2954196421274171E-3</v>
      </c>
      <c r="U137" s="154">
        <f t="shared" si="40"/>
        <v>2.3837446886869462E-3</v>
      </c>
      <c r="V137" s="154">
        <f t="shared" si="40"/>
        <v>2.1566434029763304E-3</v>
      </c>
      <c r="W137" s="154">
        <f t="shared" si="42"/>
        <v>2.2726839300464801E-3</v>
      </c>
      <c r="X137" s="154">
        <f t="shared" si="42"/>
        <v>2.3449263813111643E-3</v>
      </c>
      <c r="Y137" s="154">
        <f t="shared" si="42"/>
        <v>2.585776003328287E-3</v>
      </c>
      <c r="DA137" s="212"/>
    </row>
    <row r="138" spans="1:105" ht="11.45" customHeight="1" x14ac:dyDescent="0.25">
      <c r="A138" s="155" t="s">
        <v>20</v>
      </c>
      <c r="B138" s="156">
        <f t="shared" si="40"/>
        <v>0.58081878466988057</v>
      </c>
      <c r="C138" s="156">
        <f t="shared" si="40"/>
        <v>0.52734544668679117</v>
      </c>
      <c r="D138" s="156">
        <f t="shared" si="40"/>
        <v>0.51801472145017458</v>
      </c>
      <c r="E138" s="156">
        <f t="shared" si="40"/>
        <v>0.51632020725507533</v>
      </c>
      <c r="F138" s="156">
        <f t="shared" si="40"/>
        <v>0.5162397991293256</v>
      </c>
      <c r="G138" s="156">
        <f t="shared" si="40"/>
        <v>0.50718498441592907</v>
      </c>
      <c r="H138" s="156">
        <f t="shared" si="40"/>
        <v>0.52337065367938496</v>
      </c>
      <c r="I138" s="156">
        <f t="shared" si="40"/>
        <v>0.51649634832424507</v>
      </c>
      <c r="J138" s="156">
        <f t="shared" si="40"/>
        <v>0.52808129514948787</v>
      </c>
      <c r="K138" s="156">
        <f t="shared" si="40"/>
        <v>0.54410494717351199</v>
      </c>
      <c r="L138" s="156">
        <f t="shared" si="41"/>
        <v>0.51616270397491892</v>
      </c>
      <c r="M138" s="156">
        <f t="shared" si="40"/>
        <v>0.56434450469670239</v>
      </c>
      <c r="N138" s="156">
        <f t="shared" si="40"/>
        <v>0.57128388589224932</v>
      </c>
      <c r="O138" s="156">
        <f t="shared" si="40"/>
        <v>0.56469134445522651</v>
      </c>
      <c r="P138" s="156">
        <f t="shared" si="40"/>
        <v>0.5911307222377119</v>
      </c>
      <c r="Q138" s="156">
        <f t="shared" si="40"/>
        <v>0.5950199038874312</v>
      </c>
      <c r="R138" s="156">
        <f t="shared" si="40"/>
        <v>0.60962930523653169</v>
      </c>
      <c r="S138" s="156">
        <f t="shared" si="40"/>
        <v>0.60025681030113032</v>
      </c>
      <c r="T138" s="156">
        <f t="shared" si="40"/>
        <v>0.6066451014723806</v>
      </c>
      <c r="U138" s="156">
        <f t="shared" si="40"/>
        <v>0.62343705117799952</v>
      </c>
      <c r="V138" s="156">
        <f t="shared" si="40"/>
        <v>0.62728645019425344</v>
      </c>
      <c r="W138" s="156">
        <f t="shared" si="42"/>
        <v>0.61745235176918378</v>
      </c>
      <c r="X138" s="156">
        <f t="shared" si="42"/>
        <v>0.59510796940943977</v>
      </c>
      <c r="Y138" s="156">
        <f t="shared" si="42"/>
        <v>0.60291018170949173</v>
      </c>
      <c r="DA138" s="213"/>
    </row>
    <row r="139" spans="1:105" ht="11.45" customHeight="1" x14ac:dyDescent="0.25">
      <c r="A139" s="157" t="s">
        <v>110</v>
      </c>
      <c r="B139" s="103">
        <f t="shared" si="40"/>
        <v>0.49561318708846014</v>
      </c>
      <c r="C139" s="103">
        <f t="shared" si="40"/>
        <v>0.4354284101438104</v>
      </c>
      <c r="D139" s="103">
        <f t="shared" si="40"/>
        <v>0.41499709855885342</v>
      </c>
      <c r="E139" s="103">
        <f t="shared" si="40"/>
        <v>0.39637422137516864</v>
      </c>
      <c r="F139" s="103">
        <f t="shared" si="40"/>
        <v>0.37939047777507817</v>
      </c>
      <c r="G139" s="103">
        <f t="shared" si="40"/>
        <v>0.35435879738266779</v>
      </c>
      <c r="H139" s="103">
        <f t="shared" si="40"/>
        <v>0.35090939306865299</v>
      </c>
      <c r="I139" s="103">
        <f t="shared" si="40"/>
        <v>0.34037765172829915</v>
      </c>
      <c r="J139" s="103">
        <f t="shared" si="40"/>
        <v>0.3310009323058915</v>
      </c>
      <c r="K139" s="103">
        <f t="shared" si="40"/>
        <v>0.31738955964412707</v>
      </c>
      <c r="L139" s="103">
        <f t="shared" si="41"/>
        <v>0.28230379486247054</v>
      </c>
      <c r="M139" s="103">
        <f t="shared" si="40"/>
        <v>0.30176908307487832</v>
      </c>
      <c r="N139" s="103">
        <f t="shared" si="40"/>
        <v>0.26748310628100136</v>
      </c>
      <c r="O139" s="103">
        <f t="shared" si="40"/>
        <v>0.23762854122991434</v>
      </c>
      <c r="P139" s="103">
        <f t="shared" si="40"/>
        <v>0.22063326226188379</v>
      </c>
      <c r="Q139" s="103">
        <f t="shared" si="40"/>
        <v>0.20449165235008804</v>
      </c>
      <c r="R139" s="103">
        <f t="shared" si="40"/>
        <v>0.19579462786477256</v>
      </c>
      <c r="S139" s="103">
        <f t="shared" si="40"/>
        <v>0.1784572448514456</v>
      </c>
      <c r="T139" s="103">
        <f t="shared" si="40"/>
        <v>0.17127783712700431</v>
      </c>
      <c r="U139" s="103">
        <f t="shared" si="40"/>
        <v>0.1609909855380989</v>
      </c>
      <c r="V139" s="103">
        <f t="shared" si="40"/>
        <v>0.1621444644386591</v>
      </c>
      <c r="W139" s="103">
        <f t="shared" si="42"/>
        <v>0.15514744196429195</v>
      </c>
      <c r="X139" s="103">
        <f t="shared" si="42"/>
        <v>0.13509895630680019</v>
      </c>
      <c r="Y139" s="103">
        <f t="shared" si="42"/>
        <v>0.13980022689958563</v>
      </c>
      <c r="DA139" s="191"/>
    </row>
    <row r="140" spans="1:105" ht="11.45" customHeight="1" x14ac:dyDescent="0.25">
      <c r="A140" s="157" t="s">
        <v>111</v>
      </c>
      <c r="B140" s="103">
        <f t="shared" si="40"/>
        <v>5.6578839346925675E-2</v>
      </c>
      <c r="C140" s="103">
        <f t="shared" si="40"/>
        <v>6.8082649063235828E-2</v>
      </c>
      <c r="D140" s="103">
        <f t="shared" si="40"/>
        <v>7.9876886370226594E-2</v>
      </c>
      <c r="E140" s="103">
        <f t="shared" si="40"/>
        <v>9.5538824163843364E-2</v>
      </c>
      <c r="F140" s="103">
        <f t="shared" si="40"/>
        <v>0.11147635213665065</v>
      </c>
      <c r="G140" s="103">
        <f t="shared" si="40"/>
        <v>0.12757561572444603</v>
      </c>
      <c r="H140" s="103">
        <f t="shared" si="40"/>
        <v>0.14816030874272088</v>
      </c>
      <c r="I140" s="103">
        <f t="shared" si="40"/>
        <v>0.15635523008568253</v>
      </c>
      <c r="J140" s="103">
        <f t="shared" si="40"/>
        <v>0.17867343623766202</v>
      </c>
      <c r="K140" s="103">
        <f t="shared" si="40"/>
        <v>0.20759751468757248</v>
      </c>
      <c r="L140" s="103">
        <f t="shared" si="41"/>
        <v>0.21243140238466202</v>
      </c>
      <c r="M140" s="103">
        <f t="shared" si="40"/>
        <v>0.23347207519664032</v>
      </c>
      <c r="N140" s="103">
        <f t="shared" si="40"/>
        <v>0.25586604638604055</v>
      </c>
      <c r="O140" s="103">
        <f t="shared" si="40"/>
        <v>0.26738500929590509</v>
      </c>
      <c r="P140" s="103">
        <f t="shared" si="40"/>
        <v>0.30754870584385752</v>
      </c>
      <c r="Q140" s="103">
        <f t="shared" si="40"/>
        <v>0.33075488153902483</v>
      </c>
      <c r="R140" s="103">
        <f t="shared" si="40"/>
        <v>0.35747512939671816</v>
      </c>
      <c r="S140" s="103">
        <f t="shared" si="40"/>
        <v>0.37169588680851068</v>
      </c>
      <c r="T140" s="103">
        <f t="shared" si="40"/>
        <v>0.38788779328065559</v>
      </c>
      <c r="U140" s="103">
        <f t="shared" si="40"/>
        <v>0.42121045149706166</v>
      </c>
      <c r="V140" s="103">
        <f t="shared" si="40"/>
        <v>0.42615551681973302</v>
      </c>
      <c r="W140" s="103">
        <f t="shared" si="42"/>
        <v>0.42829139731984139</v>
      </c>
      <c r="X140" s="103">
        <f t="shared" si="42"/>
        <v>0.42832465971781924</v>
      </c>
      <c r="Y140" s="103">
        <f t="shared" si="42"/>
        <v>0.43457768820138065</v>
      </c>
      <c r="DA140" s="191"/>
    </row>
    <row r="141" spans="1:105" ht="11.45" customHeight="1" x14ac:dyDescent="0.25">
      <c r="A141" s="157" t="s">
        <v>112</v>
      </c>
      <c r="B141" s="103">
        <f t="shared" si="40"/>
        <v>2.8514854886734144E-2</v>
      </c>
      <c r="C141" s="103">
        <f t="shared" si="40"/>
        <v>2.3748378914260751E-2</v>
      </c>
      <c r="D141" s="103">
        <f t="shared" si="40"/>
        <v>2.3065213731002173E-2</v>
      </c>
      <c r="E141" s="103">
        <f t="shared" si="40"/>
        <v>2.4340535640488836E-2</v>
      </c>
      <c r="F141" s="103">
        <f t="shared" si="40"/>
        <v>2.5316042790096614E-2</v>
      </c>
      <c r="G141" s="103">
        <f t="shared" si="40"/>
        <v>2.5197029175670519E-2</v>
      </c>
      <c r="H141" s="103">
        <f t="shared" si="40"/>
        <v>2.4263776912639652E-2</v>
      </c>
      <c r="I141" s="103">
        <f t="shared" si="40"/>
        <v>1.9733270107462741E-2</v>
      </c>
      <c r="J141" s="103">
        <f t="shared" si="40"/>
        <v>1.8378795224149452E-2</v>
      </c>
      <c r="K141" s="103">
        <f t="shared" si="40"/>
        <v>1.9088324503967101E-2</v>
      </c>
      <c r="L141" s="103">
        <f t="shared" si="41"/>
        <v>2.1427506727786292E-2</v>
      </c>
      <c r="M141" s="103">
        <f t="shared" si="40"/>
        <v>2.9103346425183738E-2</v>
      </c>
      <c r="N141" s="103">
        <f t="shared" si="40"/>
        <v>4.7934114757477074E-2</v>
      </c>
      <c r="O141" s="103">
        <f t="shared" si="40"/>
        <v>5.9676411822848489E-2</v>
      </c>
      <c r="P141" s="103">
        <f t="shared" si="40"/>
        <v>6.2946559222629928E-2</v>
      </c>
      <c r="Q141" s="103">
        <f t="shared" si="40"/>
        <v>5.976858482968854E-2</v>
      </c>
      <c r="R141" s="103">
        <f t="shared" si="40"/>
        <v>5.6354644860507952E-2</v>
      </c>
      <c r="S141" s="103">
        <f t="shared" si="40"/>
        <v>5.0094096070657075E-2</v>
      </c>
      <c r="T141" s="103">
        <f t="shared" si="40"/>
        <v>4.7418656404096919E-2</v>
      </c>
      <c r="U141" s="103">
        <f t="shared" si="40"/>
        <v>4.1138432173279213E-2</v>
      </c>
      <c r="V141" s="103">
        <f t="shared" si="40"/>
        <v>3.8857985143149892E-2</v>
      </c>
      <c r="W141" s="103">
        <f t="shared" si="42"/>
        <v>3.3856644716948825E-2</v>
      </c>
      <c r="X141" s="103">
        <f t="shared" si="42"/>
        <v>3.1505277907010389E-2</v>
      </c>
      <c r="Y141" s="103">
        <f t="shared" si="42"/>
        <v>2.8316564720914175E-2</v>
      </c>
      <c r="DA141" s="191"/>
    </row>
    <row r="142" spans="1:105" ht="11.45" customHeight="1" x14ac:dyDescent="0.25">
      <c r="A142" s="157" t="s">
        <v>113</v>
      </c>
      <c r="B142" s="103">
        <f t="shared" si="40"/>
        <v>1.1190334776055178E-4</v>
      </c>
      <c r="C142" s="103">
        <f t="shared" si="40"/>
        <v>8.600856548419069E-5</v>
      </c>
      <c r="D142" s="103">
        <f t="shared" si="40"/>
        <v>7.5522790092434578E-5</v>
      </c>
      <c r="E142" s="103">
        <f t="shared" si="40"/>
        <v>6.6626075574594551E-5</v>
      </c>
      <c r="F142" s="103">
        <f t="shared" si="40"/>
        <v>5.6926427500181891E-5</v>
      </c>
      <c r="G142" s="103">
        <f t="shared" si="40"/>
        <v>5.3542133144828974E-5</v>
      </c>
      <c r="H142" s="103">
        <f t="shared" si="40"/>
        <v>3.7174955371423777E-5</v>
      </c>
      <c r="I142" s="103">
        <f t="shared" si="40"/>
        <v>3.0196402800663728E-5</v>
      </c>
      <c r="J142" s="103">
        <f t="shared" si="40"/>
        <v>2.8131381784931671E-5</v>
      </c>
      <c r="K142" s="103">
        <f t="shared" si="40"/>
        <v>2.9548337845393631E-5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4.2796134273132843E-5</v>
      </c>
      <c r="U142" s="103">
        <f t="shared" si="40"/>
        <v>7.2037473952765179E-5</v>
      </c>
      <c r="V142" s="103">
        <f t="shared" si="40"/>
        <v>8.3477539507753373E-5</v>
      </c>
      <c r="W142" s="103">
        <f t="shared" si="42"/>
        <v>8.8979634808908622E-5</v>
      </c>
      <c r="X142" s="103">
        <f t="shared" si="42"/>
        <v>9.2076103366316419E-5</v>
      </c>
      <c r="Y142" s="103">
        <f t="shared" si="42"/>
        <v>9.9320855338878709E-5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6.1846773026754481E-7</v>
      </c>
      <c r="O143" s="103">
        <f t="shared" si="40"/>
        <v>1.3821065584950636E-6</v>
      </c>
      <c r="P143" s="103">
        <f t="shared" si="40"/>
        <v>2.1949093407435754E-6</v>
      </c>
      <c r="Q143" s="103">
        <f t="shared" si="40"/>
        <v>4.7851686296937657E-6</v>
      </c>
      <c r="R143" s="103">
        <f t="shared" si="40"/>
        <v>4.9031145330270286E-6</v>
      </c>
      <c r="S143" s="103">
        <f t="shared" si="40"/>
        <v>9.5825705170528007E-6</v>
      </c>
      <c r="T143" s="103">
        <f t="shared" si="40"/>
        <v>1.8018526350624354E-5</v>
      </c>
      <c r="U143" s="103">
        <f t="shared" si="40"/>
        <v>2.514449560698261E-5</v>
      </c>
      <c r="V143" s="103">
        <f t="shared" si="40"/>
        <v>4.5006253203619268E-5</v>
      </c>
      <c r="W143" s="103">
        <f t="shared" si="42"/>
        <v>6.7888133292673405E-5</v>
      </c>
      <c r="X143" s="103">
        <f t="shared" si="42"/>
        <v>8.6999374443581161E-5</v>
      </c>
      <c r="Y143" s="103">
        <f t="shared" si="42"/>
        <v>1.1638103227231597E-4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0.12969322370186828</v>
      </c>
      <c r="C145" s="156">
        <f t="shared" si="40"/>
        <v>0.11880262486347642</v>
      </c>
      <c r="D145" s="156">
        <f t="shared" si="40"/>
        <v>0.11328731789920106</v>
      </c>
      <c r="E145" s="156">
        <f t="shared" si="40"/>
        <v>0.11469615377773756</v>
      </c>
      <c r="F145" s="156">
        <f t="shared" si="40"/>
        <v>0.10996179201144868</v>
      </c>
      <c r="G145" s="156">
        <f t="shared" si="40"/>
        <v>0.10376210013764361</v>
      </c>
      <c r="H145" s="156">
        <f t="shared" si="40"/>
        <v>9.1182643783287151E-2</v>
      </c>
      <c r="I145" s="156">
        <f t="shared" si="40"/>
        <v>7.9775161711933065E-2</v>
      </c>
      <c r="J145" s="156">
        <f t="shared" si="40"/>
        <v>7.865920118550529E-2</v>
      </c>
      <c r="K145" s="156">
        <f t="shared" si="40"/>
        <v>8.3732672799116892E-2</v>
      </c>
      <c r="L145" s="156">
        <f t="shared" si="41"/>
        <v>8.3831978379191555E-2</v>
      </c>
      <c r="M145" s="156">
        <f t="shared" si="40"/>
        <v>8.6511132683554717E-2</v>
      </c>
      <c r="N145" s="156">
        <f t="shared" si="40"/>
        <v>8.8294137183210455E-2</v>
      </c>
      <c r="O145" s="156">
        <f t="shared" si="40"/>
        <v>8.5575372376165013E-2</v>
      </c>
      <c r="P145" s="156">
        <f t="shared" si="40"/>
        <v>7.7718878359661403E-2</v>
      </c>
      <c r="Q145" s="156">
        <f t="shared" si="40"/>
        <v>7.2358400692597538E-2</v>
      </c>
      <c r="R145" s="156">
        <f t="shared" si="40"/>
        <v>7.1883919579745603E-2</v>
      </c>
      <c r="S145" s="156">
        <f t="shared" si="40"/>
        <v>6.9909657975529421E-2</v>
      </c>
      <c r="T145" s="156">
        <f t="shared" si="40"/>
        <v>6.5465654927533604E-2</v>
      </c>
      <c r="U145" s="156">
        <f t="shared" si="40"/>
        <v>6.0965290723993239E-2</v>
      </c>
      <c r="V145" s="156">
        <f t="shared" si="40"/>
        <v>5.0351562995535948E-2</v>
      </c>
      <c r="W145" s="156">
        <f t="shared" si="42"/>
        <v>4.1885773097497719E-2</v>
      </c>
      <c r="X145" s="156">
        <f t="shared" si="42"/>
        <v>4.6778531462606673E-2</v>
      </c>
      <c r="Y145" s="156">
        <f t="shared" si="42"/>
        <v>4.6266542207890345E-2</v>
      </c>
      <c r="DA145" s="213"/>
    </row>
    <row r="146" spans="1:105" ht="11.45" customHeight="1" x14ac:dyDescent="0.25">
      <c r="A146" s="157" t="s">
        <v>110</v>
      </c>
      <c r="B146" s="103">
        <f t="shared" si="40"/>
        <v>4.5893479194153907E-3</v>
      </c>
      <c r="C146" s="103">
        <f t="shared" si="40"/>
        <v>3.6156295342813136E-3</v>
      </c>
      <c r="D146" s="103">
        <f t="shared" si="40"/>
        <v>3.4738033346843147E-3</v>
      </c>
      <c r="E146" s="103">
        <f t="shared" si="40"/>
        <v>3.215228249149181E-3</v>
      </c>
      <c r="F146" s="103">
        <f t="shared" si="40"/>
        <v>2.9337821913293502E-3</v>
      </c>
      <c r="G146" s="103">
        <f t="shared" si="40"/>
        <v>2.6812446180829756E-3</v>
      </c>
      <c r="H146" s="103">
        <f t="shared" si="40"/>
        <v>2.1865150412433928E-3</v>
      </c>
      <c r="I146" s="103">
        <f t="shared" si="40"/>
        <v>1.7793711581182642E-3</v>
      </c>
      <c r="J146" s="103">
        <f t="shared" si="40"/>
        <v>1.7218884326341628E-3</v>
      </c>
      <c r="K146" s="103">
        <f t="shared" si="40"/>
        <v>1.713631165364239E-3</v>
      </c>
      <c r="L146" s="103">
        <f t="shared" si="41"/>
        <v>1.4115523272409615E-3</v>
      </c>
      <c r="M146" s="103">
        <f t="shared" si="40"/>
        <v>9.9641836180440501E-4</v>
      </c>
      <c r="N146" s="103">
        <f t="shared" si="40"/>
        <v>7.9517363835117198E-4</v>
      </c>
      <c r="O146" s="103">
        <f t="shared" si="40"/>
        <v>5.5401221213910413E-4</v>
      </c>
      <c r="P146" s="103">
        <f t="shared" si="40"/>
        <v>3.3579151781381255E-4</v>
      </c>
      <c r="Q146" s="103">
        <f t="shared" si="40"/>
        <v>2.5781877696681981E-4</v>
      </c>
      <c r="R146" s="103">
        <f t="shared" si="40"/>
        <v>1.8840307022248805E-4</v>
      </c>
      <c r="S146" s="103">
        <f t="shared" si="40"/>
        <v>1.6122515973123668E-4</v>
      </c>
      <c r="T146" s="103">
        <f t="shared" si="40"/>
        <v>1.3773037544740442E-4</v>
      </c>
      <c r="U146" s="103">
        <f t="shared" si="40"/>
        <v>1.232885556293275E-4</v>
      </c>
      <c r="V146" s="103">
        <f t="shared" si="40"/>
        <v>9.1326258975998835E-5</v>
      </c>
      <c r="W146" s="103">
        <f t="shared" si="42"/>
        <v>6.1708701756907792E-5</v>
      </c>
      <c r="X146" s="103">
        <f t="shared" si="42"/>
        <v>6.5559297037729944E-5</v>
      </c>
      <c r="Y146" s="103">
        <f t="shared" si="42"/>
        <v>7.253727263582387E-5</v>
      </c>
      <c r="DA146" s="191"/>
    </row>
    <row r="147" spans="1:105" ht="11.45" customHeight="1" x14ac:dyDescent="0.25">
      <c r="A147" s="157" t="s">
        <v>111</v>
      </c>
      <c r="B147" s="103">
        <f t="shared" si="40"/>
        <v>0.12323807275549753</v>
      </c>
      <c r="C147" s="103">
        <f t="shared" si="40"/>
        <v>0.11281330822512972</v>
      </c>
      <c r="D147" s="103">
        <f t="shared" si="40"/>
        <v>0.10828930204432324</v>
      </c>
      <c r="E147" s="103">
        <f t="shared" si="40"/>
        <v>0.11002014351970553</v>
      </c>
      <c r="F147" s="103">
        <f t="shared" si="40"/>
        <v>0.10563445461537795</v>
      </c>
      <c r="G147" s="103">
        <f t="shared" si="40"/>
        <v>9.9750887515286421E-2</v>
      </c>
      <c r="H147" s="103">
        <f t="shared" si="40"/>
        <v>8.7803518376418546E-2</v>
      </c>
      <c r="I147" s="103">
        <f t="shared" si="40"/>
        <v>7.6956925865042908E-2</v>
      </c>
      <c r="J147" s="103">
        <f t="shared" si="40"/>
        <v>7.6396483193431425E-2</v>
      </c>
      <c r="K147" s="103">
        <f t="shared" si="40"/>
        <v>8.1977981439160533E-2</v>
      </c>
      <c r="L147" s="103">
        <f t="shared" si="41"/>
        <v>8.2420426051950588E-2</v>
      </c>
      <c r="M147" s="103">
        <f t="shared" si="40"/>
        <v>8.5514714321750313E-2</v>
      </c>
      <c r="N147" s="103">
        <f t="shared" si="40"/>
        <v>8.7498963544859296E-2</v>
      </c>
      <c r="O147" s="103">
        <f t="shared" si="40"/>
        <v>8.5021360164025908E-2</v>
      </c>
      <c r="P147" s="103">
        <f t="shared" si="40"/>
        <v>7.7383086841847581E-2</v>
      </c>
      <c r="Q147" s="103">
        <f t="shared" si="40"/>
        <v>7.2100581915630721E-2</v>
      </c>
      <c r="R147" s="103">
        <f t="shared" ref="R147:V147" si="43">IF(R29=0,0,R29/R$17)</f>
        <v>7.156089052748342E-2</v>
      </c>
      <c r="S147" s="103">
        <f t="shared" si="43"/>
        <v>6.9652253714899248E-2</v>
      </c>
      <c r="T147" s="103">
        <f t="shared" si="43"/>
        <v>6.5254819226426536E-2</v>
      </c>
      <c r="U147" s="103">
        <f t="shared" si="43"/>
        <v>6.0723165504780283E-2</v>
      </c>
      <c r="V147" s="103">
        <f t="shared" si="43"/>
        <v>4.988025259103436E-2</v>
      </c>
      <c r="W147" s="103">
        <f t="shared" ref="W147:Y147" si="44">IF(W29=0,0,W29/W$17)</f>
        <v>4.0869708513867314E-2</v>
      </c>
      <c r="X147" s="103">
        <f t="shared" si="44"/>
        <v>4.5146315115360484E-2</v>
      </c>
      <c r="Y147" s="103">
        <f t="shared" si="44"/>
        <v>4.4088505700516867E-2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1.3462598203969531E-4</v>
      </c>
      <c r="S148" s="103">
        <f t="shared" si="47"/>
        <v>9.6179100898945681E-5</v>
      </c>
      <c r="T148" s="103">
        <f t="shared" si="47"/>
        <v>7.3105325659657904E-5</v>
      </c>
      <c r="U148" s="103">
        <f t="shared" si="47"/>
        <v>4.9504256281491836E-5</v>
      </c>
      <c r="V148" s="103">
        <f t="shared" si="47"/>
        <v>3.5785371465240902E-5</v>
      </c>
      <c r="W148" s="103">
        <f t="shared" ref="W148:Y148" si="48">IF(W30=0,0,W30/W$17)</f>
        <v>3.033286538592571E-5</v>
      </c>
      <c r="X148" s="103">
        <f t="shared" si="48"/>
        <v>3.129525144032357E-5</v>
      </c>
      <c r="Y148" s="103">
        <f t="shared" si="48"/>
        <v>3.166065093932108E-5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1.8658030269553677E-3</v>
      </c>
      <c r="C149" s="103">
        <f t="shared" si="49"/>
        <v>2.3736871040653863E-3</v>
      </c>
      <c r="D149" s="103">
        <f t="shared" si="49"/>
        <v>1.524212520193504E-3</v>
      </c>
      <c r="E149" s="103">
        <f t="shared" si="49"/>
        <v>1.4607820088828514E-3</v>
      </c>
      <c r="F149" s="103">
        <f t="shared" si="49"/>
        <v>1.39355520474137E-3</v>
      </c>
      <c r="G149" s="103">
        <f t="shared" si="49"/>
        <v>1.3299680042742053E-3</v>
      </c>
      <c r="H149" s="103">
        <f t="shared" si="49"/>
        <v>1.192610365625225E-3</v>
      </c>
      <c r="I149" s="103">
        <f t="shared" si="49"/>
        <v>1.0388646887718974E-3</v>
      </c>
      <c r="J149" s="103">
        <f t="shared" si="49"/>
        <v>5.4082955943968506E-4</v>
      </c>
      <c r="K149" s="103">
        <f t="shared" si="49"/>
        <v>4.1060194592117725E-5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6.9332407302138949E-5</v>
      </c>
      <c r="V149" s="103">
        <f t="shared" si="50"/>
        <v>3.4419877406035248E-4</v>
      </c>
      <c r="W149" s="103">
        <f t="shared" ref="W149:Y149" si="51">IF(W31=0,0,W31/W$17)</f>
        <v>9.2402301648756495E-4</v>
      </c>
      <c r="X149" s="103">
        <f t="shared" si="51"/>
        <v>1.5353617987681322E-3</v>
      </c>
      <c r="Y149" s="103">
        <f t="shared" si="51"/>
        <v>2.0738385837983397E-3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0.28511447202735535</v>
      </c>
      <c r="C151" s="46">
        <f t="shared" si="55"/>
        <v>0.35019835743532801</v>
      </c>
      <c r="D151" s="46">
        <f t="shared" si="55"/>
        <v>0.36517476057878134</v>
      </c>
      <c r="E151" s="46">
        <f t="shared" si="55"/>
        <v>0.36564467477215606</v>
      </c>
      <c r="F151" s="46">
        <f t="shared" si="55"/>
        <v>0.3706701978856547</v>
      </c>
      <c r="G151" s="46">
        <f t="shared" si="55"/>
        <v>0.38611353191121661</v>
      </c>
      <c r="H151" s="46">
        <f t="shared" si="55"/>
        <v>0.38291777351285777</v>
      </c>
      <c r="I151" s="46">
        <f t="shared" si="55"/>
        <v>0.40161881470785382</v>
      </c>
      <c r="J151" s="46">
        <f t="shared" si="55"/>
        <v>0.39114249101962567</v>
      </c>
      <c r="K151" s="46">
        <f t="shared" si="55"/>
        <v>0.36984644632447211</v>
      </c>
      <c r="L151" s="46">
        <f t="shared" ref="L151" si="56">IF(L33=0,0,L33/L$17)</f>
        <v>0.3978086425071829</v>
      </c>
      <c r="M151" s="46">
        <f t="shared" ref="M151:V151" si="57">IF(M33=0,0,M33/M$17)</f>
        <v>0.34669133119442408</v>
      </c>
      <c r="N151" s="46">
        <f t="shared" si="57"/>
        <v>0.33812272793600484</v>
      </c>
      <c r="O151" s="46">
        <f t="shared" si="57"/>
        <v>0.34743669291010115</v>
      </c>
      <c r="P151" s="46">
        <f t="shared" si="57"/>
        <v>0.32859843954964929</v>
      </c>
      <c r="Q151" s="46">
        <f t="shared" si="57"/>
        <v>0.32968531252421529</v>
      </c>
      <c r="R151" s="46">
        <f t="shared" si="57"/>
        <v>0.31568990951198694</v>
      </c>
      <c r="S151" s="46">
        <f t="shared" si="57"/>
        <v>0.32737916687588353</v>
      </c>
      <c r="T151" s="46">
        <f t="shared" si="57"/>
        <v>0.32559382395795833</v>
      </c>
      <c r="U151" s="46">
        <f t="shared" si="57"/>
        <v>0.31321391340932031</v>
      </c>
      <c r="V151" s="46">
        <f t="shared" si="57"/>
        <v>0.32020534340723428</v>
      </c>
      <c r="W151" s="46">
        <f t="shared" ref="W151:Y151" si="58">IF(W33=0,0,W33/W$17)</f>
        <v>0.33838919120327199</v>
      </c>
      <c r="X151" s="46">
        <f t="shared" si="58"/>
        <v>0.35576857274664236</v>
      </c>
      <c r="Y151" s="46">
        <f t="shared" si="58"/>
        <v>0.34823750007928966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5.785372207544319E-2</v>
      </c>
      <c r="C152" s="154">
        <f t="shared" si="59"/>
        <v>5.780917823148754E-2</v>
      </c>
      <c r="D152" s="154">
        <f t="shared" si="59"/>
        <v>6.8749200882292805E-2</v>
      </c>
      <c r="E152" s="154">
        <f t="shared" si="59"/>
        <v>5.9189276059595293E-2</v>
      </c>
      <c r="F152" s="154">
        <f t="shared" si="59"/>
        <v>7.2970787111270058E-2</v>
      </c>
      <c r="G152" s="154">
        <f t="shared" si="59"/>
        <v>6.5028738940299119E-2</v>
      </c>
      <c r="H152" s="154">
        <f t="shared" si="59"/>
        <v>6.412195558032012E-2</v>
      </c>
      <c r="I152" s="154">
        <f t="shared" si="59"/>
        <v>6.3582938370252584E-2</v>
      </c>
      <c r="J152" s="154">
        <f t="shared" si="59"/>
        <v>6.7465017730253138E-2</v>
      </c>
      <c r="K152" s="154">
        <f t="shared" si="59"/>
        <v>7.0688986722443309E-2</v>
      </c>
      <c r="L152" s="154">
        <f t="shared" ref="L152" si="60">IF(L34=0,0,L34/L$17)</f>
        <v>6.191506380931705E-2</v>
      </c>
      <c r="M152" s="154">
        <f t="shared" ref="M152:V152" si="61">IF(M34=0,0,M34/M$17)</f>
        <v>6.8397781588931533E-2</v>
      </c>
      <c r="N152" s="154">
        <f t="shared" si="61"/>
        <v>7.7356456600312276E-2</v>
      </c>
      <c r="O152" s="154">
        <f t="shared" si="61"/>
        <v>8.6929377918470205E-2</v>
      </c>
      <c r="P152" s="154">
        <f t="shared" si="61"/>
        <v>8.814371458397173E-2</v>
      </c>
      <c r="Q152" s="154">
        <f t="shared" si="61"/>
        <v>8.6172972491878816E-2</v>
      </c>
      <c r="R152" s="154">
        <f t="shared" si="61"/>
        <v>8.4151960201638981E-2</v>
      </c>
      <c r="S152" s="154">
        <f t="shared" si="61"/>
        <v>8.3029606103408302E-2</v>
      </c>
      <c r="T152" s="154">
        <f t="shared" si="61"/>
        <v>8.1120136808469315E-2</v>
      </c>
      <c r="U152" s="154">
        <f t="shared" si="61"/>
        <v>8.1578072272851784E-2</v>
      </c>
      <c r="V152" s="154">
        <f t="shared" si="61"/>
        <v>8.6374425851298453E-2</v>
      </c>
      <c r="W152" s="154">
        <f t="shared" ref="W152:Y152" si="62">IF(W34=0,0,W34/W$17)</f>
        <v>8.6703996205923339E-2</v>
      </c>
      <c r="X152" s="154">
        <f t="shared" si="62"/>
        <v>9.3374651226025965E-2</v>
      </c>
      <c r="Y152" s="154">
        <f t="shared" si="62"/>
        <v>9.4989448167264415E-2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2.0950897844542061E-2</v>
      </c>
      <c r="C153" s="103">
        <f t="shared" si="63"/>
        <v>1.7530728753639414E-2</v>
      </c>
      <c r="D153" s="103">
        <f t="shared" si="63"/>
        <v>1.5977923159270064E-2</v>
      </c>
      <c r="E153" s="103">
        <f t="shared" si="63"/>
        <v>1.4956838765404499E-2</v>
      </c>
      <c r="F153" s="103">
        <f t="shared" si="63"/>
        <v>1.3720756832488022E-2</v>
      </c>
      <c r="G153" s="103">
        <f t="shared" si="63"/>
        <v>1.2970257570928205E-2</v>
      </c>
      <c r="H153" s="103">
        <f t="shared" si="63"/>
        <v>1.1510596518140596E-2</v>
      </c>
      <c r="I153" s="103">
        <f t="shared" si="63"/>
        <v>9.7153003305058792E-3</v>
      </c>
      <c r="J153" s="103">
        <f t="shared" si="63"/>
        <v>8.5336811360445294E-3</v>
      </c>
      <c r="K153" s="103">
        <f t="shared" si="63"/>
        <v>7.7658781633270163E-3</v>
      </c>
      <c r="L153" s="103">
        <f t="shared" ref="L153" si="64">IF(L35=0,0,L35/L$17)</f>
        <v>3.2720168724414728E-3</v>
      </c>
      <c r="M153" s="103">
        <f t="shared" ref="M153:V153" si="65">IF(M35=0,0,M35/M$17)</f>
        <v>3.3916332920205521E-3</v>
      </c>
      <c r="N153" s="103">
        <f t="shared" si="65"/>
        <v>3.524756001597754E-3</v>
      </c>
      <c r="O153" s="103">
        <f t="shared" si="65"/>
        <v>2.984930338134963E-3</v>
      </c>
      <c r="P153" s="103">
        <f t="shared" si="65"/>
        <v>2.1287767915535915E-3</v>
      </c>
      <c r="Q153" s="103">
        <f t="shared" si="65"/>
        <v>1.8665230572876121E-3</v>
      </c>
      <c r="R153" s="103">
        <f t="shared" si="65"/>
        <v>1.542901641086961E-3</v>
      </c>
      <c r="S153" s="103">
        <f t="shared" si="65"/>
        <v>1.3715421272877464E-3</v>
      </c>
      <c r="T153" s="103">
        <f t="shared" si="65"/>
        <v>1.2998806509998302E-3</v>
      </c>
      <c r="U153" s="103">
        <f t="shared" si="65"/>
        <v>1.1859795908462328E-3</v>
      </c>
      <c r="V153" s="103">
        <f t="shared" si="65"/>
        <v>1.1769824053394012E-3</v>
      </c>
      <c r="W153" s="103">
        <f t="shared" ref="W153:Y153" si="66">IF(W35=0,0,W35/W$17)</f>
        <v>1.1132948997235512E-3</v>
      </c>
      <c r="X153" s="103">
        <f t="shared" si="66"/>
        <v>1.1210619286754486E-3</v>
      </c>
      <c r="Y153" s="103">
        <f t="shared" si="66"/>
        <v>1.1833913344536317E-3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3.6902824230901125E-2</v>
      </c>
      <c r="C154" s="103">
        <f t="shared" si="67"/>
        <v>4.0278449477848123E-2</v>
      </c>
      <c r="D154" s="103">
        <f t="shared" si="67"/>
        <v>5.2771277723022744E-2</v>
      </c>
      <c r="E154" s="103">
        <f t="shared" si="67"/>
        <v>4.4232437294190803E-2</v>
      </c>
      <c r="F154" s="103">
        <f t="shared" si="67"/>
        <v>5.9250030278782034E-2</v>
      </c>
      <c r="G154" s="103">
        <f t="shared" si="67"/>
        <v>5.2058481369370919E-2</v>
      </c>
      <c r="H154" s="103">
        <f t="shared" si="67"/>
        <v>5.2611359062179529E-2</v>
      </c>
      <c r="I154" s="103">
        <f t="shared" si="67"/>
        <v>5.3867638039746708E-2</v>
      </c>
      <c r="J154" s="103">
        <f t="shared" si="67"/>
        <v>5.8931336594208614E-2</v>
      </c>
      <c r="K154" s="103">
        <f t="shared" si="67"/>
        <v>6.2923108559116286E-2</v>
      </c>
      <c r="L154" s="103">
        <f t="shared" ref="L154" si="68">IF(L36=0,0,L36/L$17)</f>
        <v>5.8643046936875581E-2</v>
      </c>
      <c r="M154" s="103">
        <f t="shared" ref="M154:V154" si="69">IF(M36=0,0,M36/M$17)</f>
        <v>6.5006148296910982E-2</v>
      </c>
      <c r="N154" s="103">
        <f t="shared" si="69"/>
        <v>7.3810364811649098E-2</v>
      </c>
      <c r="O154" s="103">
        <f t="shared" si="69"/>
        <v>8.3925118844013977E-2</v>
      </c>
      <c r="P154" s="103">
        <f t="shared" si="69"/>
        <v>8.5990030618172675E-2</v>
      </c>
      <c r="Q154" s="103">
        <f t="shared" si="69"/>
        <v>8.4281716056002404E-2</v>
      </c>
      <c r="R154" s="103">
        <f t="shared" si="69"/>
        <v>8.2422885938355145E-2</v>
      </c>
      <c r="S154" s="103">
        <f t="shared" si="69"/>
        <v>8.1359894872358493E-2</v>
      </c>
      <c r="T154" s="103">
        <f t="shared" si="69"/>
        <v>7.9454138199064508E-2</v>
      </c>
      <c r="U154" s="103">
        <f t="shared" si="69"/>
        <v>7.9960665787532706E-2</v>
      </c>
      <c r="V154" s="103">
        <f t="shared" si="69"/>
        <v>8.4696267331990996E-2</v>
      </c>
      <c r="W154" s="103">
        <f t="shared" ref="W154:Y154" si="70">IF(W36=0,0,W36/W$17)</f>
        <v>8.5084824017317331E-2</v>
      </c>
      <c r="X154" s="103">
        <f t="shared" si="70"/>
        <v>9.1720483405508688E-2</v>
      </c>
      <c r="Y154" s="103">
        <f t="shared" si="70"/>
        <v>9.3251530160514656E-2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2.1335787065427208E-5</v>
      </c>
      <c r="O155" s="103">
        <f t="shared" si="73"/>
        <v>1.9328736321265989E-5</v>
      </c>
      <c r="P155" s="103">
        <f t="shared" si="73"/>
        <v>2.4907174245471303E-5</v>
      </c>
      <c r="Q155" s="103">
        <f t="shared" si="73"/>
        <v>2.4733378588799106E-5</v>
      </c>
      <c r="R155" s="103">
        <f t="shared" si="73"/>
        <v>1.8617262219687249E-4</v>
      </c>
      <c r="S155" s="103">
        <f t="shared" si="73"/>
        <v>2.9816910376205443E-4</v>
      </c>
      <c r="T155" s="103">
        <f t="shared" si="73"/>
        <v>3.6611795840496786E-4</v>
      </c>
      <c r="U155" s="103">
        <f t="shared" si="73"/>
        <v>4.314268944728383E-4</v>
      </c>
      <c r="V155" s="103">
        <f t="shared" si="73"/>
        <v>5.011761139680508E-4</v>
      </c>
      <c r="W155" s="103">
        <f t="shared" ref="W155:Y155" si="74">IF(W37=0,0,W37/W$17)</f>
        <v>5.0587728888245589E-4</v>
      </c>
      <c r="X155" s="103">
        <f t="shared" si="74"/>
        <v>5.3310589184183419E-4</v>
      </c>
      <c r="Y155" s="103">
        <f t="shared" si="74"/>
        <v>5.5452667229612725E-4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:Y156" si="78">IF(W38=0,0,W38/W$17)</f>
        <v>0</v>
      </c>
      <c r="X156" s="103">
        <f t="shared" si="78"/>
        <v>0</v>
      </c>
      <c r="Y156" s="103">
        <f t="shared" si="78"/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0.2272607499519122</v>
      </c>
      <c r="C158" s="156">
        <f t="shared" si="83"/>
        <v>0.29238917920384044</v>
      </c>
      <c r="D158" s="156">
        <f t="shared" si="83"/>
        <v>0.29642555969648854</v>
      </c>
      <c r="E158" s="156">
        <f t="shared" si="83"/>
        <v>0.30645539871256078</v>
      </c>
      <c r="F158" s="156">
        <f t="shared" si="83"/>
        <v>0.29769941077438467</v>
      </c>
      <c r="G158" s="156">
        <f t="shared" si="83"/>
        <v>0.32108479297091747</v>
      </c>
      <c r="H158" s="156">
        <f t="shared" si="83"/>
        <v>0.31879581793253764</v>
      </c>
      <c r="I158" s="156">
        <f t="shared" si="83"/>
        <v>0.33803587633760129</v>
      </c>
      <c r="J158" s="156">
        <f t="shared" si="83"/>
        <v>0.32367747328937252</v>
      </c>
      <c r="K158" s="156">
        <f t="shared" si="83"/>
        <v>0.29915745960202883</v>
      </c>
      <c r="L158" s="156">
        <f t="shared" ref="L158" si="84">IF(L40=0,0,L40/L$17)</f>
        <v>0.33589357869786585</v>
      </c>
      <c r="M158" s="156">
        <f t="shared" ref="M158:V158" si="85">IF(M40=0,0,M40/M$17)</f>
        <v>0.27829354960549252</v>
      </c>
      <c r="N158" s="156">
        <f t="shared" si="85"/>
        <v>0.26076627133569258</v>
      </c>
      <c r="O158" s="156">
        <f t="shared" si="85"/>
        <v>0.26050731499163099</v>
      </c>
      <c r="P158" s="156">
        <f t="shared" si="85"/>
        <v>0.24045472496567757</v>
      </c>
      <c r="Q158" s="156">
        <f t="shared" si="85"/>
        <v>0.24351234003233649</v>
      </c>
      <c r="R158" s="156">
        <f t="shared" si="85"/>
        <v>0.23153794931034796</v>
      </c>
      <c r="S158" s="156">
        <f t="shared" si="85"/>
        <v>0.24434956077247522</v>
      </c>
      <c r="T158" s="156">
        <f t="shared" si="85"/>
        <v>0.24447368714948903</v>
      </c>
      <c r="U158" s="156">
        <f t="shared" si="85"/>
        <v>0.23163584113646851</v>
      </c>
      <c r="V158" s="156">
        <f t="shared" si="85"/>
        <v>0.23383091755593582</v>
      </c>
      <c r="W158" s="156">
        <f t="shared" ref="W158:Y158" si="86">IF(W40=0,0,W40/W$17)</f>
        <v>0.25168519499734865</v>
      </c>
      <c r="X158" s="156">
        <f t="shared" si="86"/>
        <v>0.26239392152061641</v>
      </c>
      <c r="Y158" s="156">
        <f t="shared" si="86"/>
        <v>0.25324805191202526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0.14212801888251914</v>
      </c>
      <c r="C159" s="103">
        <f t="shared" si="87"/>
        <v>0.15060876722052302</v>
      </c>
      <c r="D159" s="103">
        <f t="shared" si="87"/>
        <v>0.17150610740557604</v>
      </c>
      <c r="E159" s="103">
        <f t="shared" si="87"/>
        <v>0.18507215053180004</v>
      </c>
      <c r="F159" s="103">
        <f t="shared" si="87"/>
        <v>0.1673475805475651</v>
      </c>
      <c r="G159" s="103">
        <f t="shared" si="87"/>
        <v>0.1786322566439989</v>
      </c>
      <c r="H159" s="103">
        <f t="shared" si="87"/>
        <v>0.16167975981581029</v>
      </c>
      <c r="I159" s="103">
        <f t="shared" si="87"/>
        <v>0.16909136313260165</v>
      </c>
      <c r="J159" s="103">
        <f t="shared" si="87"/>
        <v>0.16671639640760239</v>
      </c>
      <c r="K159" s="103">
        <f t="shared" si="87"/>
        <v>0.1779154544809218</v>
      </c>
      <c r="L159" s="103">
        <f t="shared" ref="L159" si="88">IF(L41=0,0,L41/L$17)</f>
        <v>0.14941535821490542</v>
      </c>
      <c r="M159" s="103">
        <f t="shared" ref="M159:V159" si="89">IF(M41=0,0,M41/M$17)</f>
        <v>0.13531808332295422</v>
      </c>
      <c r="N159" s="103">
        <f t="shared" si="89"/>
        <v>0.11767919171007692</v>
      </c>
      <c r="O159" s="103">
        <f t="shared" si="89"/>
        <v>0.12136260843584792</v>
      </c>
      <c r="P159" s="103">
        <f t="shared" si="89"/>
        <v>0.11207977493782104</v>
      </c>
      <c r="Q159" s="103">
        <f t="shared" si="89"/>
        <v>0.10652164203482826</v>
      </c>
      <c r="R159" s="103">
        <f t="shared" si="89"/>
        <v>0.10736682129571694</v>
      </c>
      <c r="S159" s="103">
        <f t="shared" si="89"/>
        <v>0.11515541165966747</v>
      </c>
      <c r="T159" s="103">
        <f t="shared" si="89"/>
        <v>0.11419851812901016</v>
      </c>
      <c r="U159" s="103">
        <f t="shared" si="89"/>
        <v>0.11351903075274962</v>
      </c>
      <c r="V159" s="103">
        <f t="shared" si="89"/>
        <v>0.11788606425619787</v>
      </c>
      <c r="W159" s="103">
        <f t="shared" ref="W159:Y159" si="90">IF(W41=0,0,W41/W$17)</f>
        <v>0.12924183317337062</v>
      </c>
      <c r="X159" s="103">
        <f t="shared" si="90"/>
        <v>0.1328230136998706</v>
      </c>
      <c r="Y159" s="103">
        <f t="shared" si="90"/>
        <v>0.13117250765138003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8.513273106939305E-2</v>
      </c>
      <c r="C160" s="105">
        <f t="shared" si="91"/>
        <v>0.14178041198331742</v>
      </c>
      <c r="D160" s="105">
        <f t="shared" si="91"/>
        <v>0.1249194522909125</v>
      </c>
      <c r="E160" s="105">
        <f t="shared" si="91"/>
        <v>0.12138324818076072</v>
      </c>
      <c r="F160" s="105">
        <f t="shared" si="91"/>
        <v>0.13035183022681954</v>
      </c>
      <c r="G160" s="105">
        <f t="shared" si="91"/>
        <v>0.14245253632691854</v>
      </c>
      <c r="H160" s="105">
        <f t="shared" si="91"/>
        <v>0.15711605811672735</v>
      </c>
      <c r="I160" s="105">
        <f t="shared" si="91"/>
        <v>0.16894451320499965</v>
      </c>
      <c r="J160" s="105">
        <f t="shared" si="91"/>
        <v>0.15696107688177016</v>
      </c>
      <c r="K160" s="105">
        <f t="shared" si="91"/>
        <v>0.121242005121107</v>
      </c>
      <c r="L160" s="105">
        <f t="shared" ref="L160" si="92">IF(L42=0,0,L42/L$17)</f>
        <v>0.18647822048296039</v>
      </c>
      <c r="M160" s="105">
        <f t="shared" ref="M160:V160" si="93">IF(M42=0,0,M42/M$17)</f>
        <v>0.14297546628253832</v>
      </c>
      <c r="N160" s="105">
        <f t="shared" si="93"/>
        <v>0.14308707962561568</v>
      </c>
      <c r="O160" s="105">
        <f t="shared" si="93"/>
        <v>0.13914470655578304</v>
      </c>
      <c r="P160" s="105">
        <f t="shared" si="93"/>
        <v>0.12837495002785651</v>
      </c>
      <c r="Q160" s="105">
        <f t="shared" si="93"/>
        <v>0.13699069799750821</v>
      </c>
      <c r="R160" s="105">
        <f t="shared" si="93"/>
        <v>0.12417112801463107</v>
      </c>
      <c r="S160" s="105">
        <f t="shared" si="93"/>
        <v>0.12919414911280774</v>
      </c>
      <c r="T160" s="105">
        <f t="shared" si="93"/>
        <v>0.13027516902047886</v>
      </c>
      <c r="U160" s="105">
        <f t="shared" si="93"/>
        <v>0.11811681038371891</v>
      </c>
      <c r="V160" s="105">
        <f t="shared" si="93"/>
        <v>0.11594485329973797</v>
      </c>
      <c r="W160" s="105">
        <f t="shared" ref="W160:Y160" si="94">IF(W42=0,0,W42/W$17)</f>
        <v>0.12244336182397801</v>
      </c>
      <c r="X160" s="105">
        <f t="shared" si="94"/>
        <v>0.12957090782074579</v>
      </c>
      <c r="Y160" s="105">
        <f t="shared" si="94"/>
        <v>0.12207554426064522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688610</v>
      </c>
      <c r="C3" s="54">
        <f>TrRoad_act!C57</f>
        <v>696395</v>
      </c>
      <c r="D3" s="54">
        <f>TrRoad_act!D57</f>
        <v>711167</v>
      </c>
      <c r="E3" s="54">
        <f>TrRoad_act!E57</f>
        <v>725191</v>
      </c>
      <c r="F3" s="54">
        <f>TrRoad_act!F57</f>
        <v>759852</v>
      </c>
      <c r="G3" s="54">
        <f>TrRoad_act!G57</f>
        <v>776766</v>
      </c>
      <c r="H3" s="54">
        <f>TrRoad_act!H57</f>
        <v>804829</v>
      </c>
      <c r="I3" s="54">
        <f>TrRoad_act!I57</f>
        <v>819156</v>
      </c>
      <c r="J3" s="54">
        <f>TrRoad_act!J57</f>
        <v>816064</v>
      </c>
      <c r="K3" s="54">
        <f>TrRoad_act!K57</f>
        <v>795288</v>
      </c>
      <c r="L3" s="54">
        <f>TrRoad_act!L57</f>
        <v>745191</v>
      </c>
      <c r="M3" s="54">
        <f>TrRoad_act!M57</f>
        <v>722412</v>
      </c>
      <c r="N3" s="54">
        <f>TrRoad_act!N57</f>
        <v>733955</v>
      </c>
      <c r="O3" s="54">
        <f>TrRoad_act!O57</f>
        <v>756759</v>
      </c>
      <c r="P3" s="54">
        <f>TrRoad_act!P57</f>
        <v>783466</v>
      </c>
      <c r="Q3" s="54">
        <f>TrRoad_act!Q57</f>
        <v>809442</v>
      </c>
      <c r="R3" s="54">
        <f>TrRoad_act!R57</f>
        <v>793540</v>
      </c>
      <c r="S3" s="54">
        <f>TrRoad_act!S57</f>
        <v>824445</v>
      </c>
      <c r="T3" s="54">
        <f>TrRoad_act!T57</f>
        <v>847657</v>
      </c>
      <c r="U3" s="54">
        <f>TrRoad_act!U57</f>
        <v>873446</v>
      </c>
      <c r="V3" s="54">
        <f>TrRoad_act!V57</f>
        <v>891802</v>
      </c>
      <c r="W3" s="54">
        <f>TrRoad_act!W57</f>
        <v>917174</v>
      </c>
      <c r="X3" s="54">
        <f>TrRoad_act!X57</f>
        <v>935951</v>
      </c>
      <c r="Y3" s="54">
        <f>TrRoad_act!Y57</f>
        <v>955450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609255</v>
      </c>
      <c r="C4" s="28">
        <f>TrRoad_act!C58</f>
        <v>612490</v>
      </c>
      <c r="D4" s="28">
        <f>TrRoad_act!D58</f>
        <v>620514</v>
      </c>
      <c r="E4" s="28">
        <f>TrRoad_act!E58</f>
        <v>635593</v>
      </c>
      <c r="F4" s="28">
        <f>TrRoad_act!F58</f>
        <v>662960</v>
      </c>
      <c r="G4" s="28">
        <f>TrRoad_act!G58</f>
        <v>684512</v>
      </c>
      <c r="H4" s="28">
        <f>TrRoad_act!H58</f>
        <v>709611</v>
      </c>
      <c r="I4" s="28">
        <f>TrRoad_act!I58</f>
        <v>723845</v>
      </c>
      <c r="J4" s="28">
        <f>TrRoad_act!J58</f>
        <v>723130</v>
      </c>
      <c r="K4" s="28">
        <f>TrRoad_act!K58</f>
        <v>704678</v>
      </c>
      <c r="L4" s="28">
        <f>TrRoad_act!L58</f>
        <v>677013</v>
      </c>
      <c r="M4" s="28">
        <f>TrRoad_act!M58</f>
        <v>654431</v>
      </c>
      <c r="N4" s="28">
        <f>TrRoad_act!N58</f>
        <v>662704</v>
      </c>
      <c r="O4" s="28">
        <f>TrRoad_act!O58</f>
        <v>681436</v>
      </c>
      <c r="P4" s="28">
        <f>TrRoad_act!P58</f>
        <v>707323</v>
      </c>
      <c r="Q4" s="28">
        <f>TrRoad_act!Q58</f>
        <v>731402</v>
      </c>
      <c r="R4" s="28">
        <f>TrRoad_act!R58</f>
        <v>716796</v>
      </c>
      <c r="S4" s="28">
        <f>TrRoad_act!S58</f>
        <v>745338</v>
      </c>
      <c r="T4" s="28">
        <f>TrRoad_act!T58</f>
        <v>766698</v>
      </c>
      <c r="U4" s="28">
        <f>TrRoad_act!U58</f>
        <v>790506</v>
      </c>
      <c r="V4" s="28">
        <f>TrRoad_act!V58</f>
        <v>806285</v>
      </c>
      <c r="W4" s="28">
        <f>TrRoad_act!W58</f>
        <v>830580</v>
      </c>
      <c r="X4" s="28">
        <f>TrRoad_act!X58</f>
        <v>845906</v>
      </c>
      <c r="Y4" s="28">
        <f>TrRoad_act!Y58</f>
        <v>861938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32648.000000000004</v>
      </c>
      <c r="C5" s="137">
        <f>TrRoad_act!C59</f>
        <v>32485</v>
      </c>
      <c r="D5" s="137">
        <f>TrRoad_act!D59</f>
        <v>32539</v>
      </c>
      <c r="E5" s="137">
        <f>TrRoad_act!E59</f>
        <v>32598.999999999996</v>
      </c>
      <c r="F5" s="137">
        <f>TrRoad_act!F59</f>
        <v>32809</v>
      </c>
      <c r="G5" s="137">
        <f>TrRoad_act!G59</f>
        <v>33046</v>
      </c>
      <c r="H5" s="137">
        <f>TrRoad_act!H59</f>
        <v>33655</v>
      </c>
      <c r="I5" s="137">
        <f>TrRoad_act!I59</f>
        <v>35017</v>
      </c>
      <c r="J5" s="137">
        <f>TrRoad_act!J59</f>
        <v>36411</v>
      </c>
      <c r="K5" s="137">
        <f>TrRoad_act!K59</f>
        <v>36578</v>
      </c>
      <c r="L5" s="137">
        <f>TrRoad_act!L59</f>
        <v>36674</v>
      </c>
      <c r="M5" s="137">
        <f>TrRoad_act!M59</f>
        <v>38623</v>
      </c>
      <c r="N5" s="137">
        <f>TrRoad_act!N59</f>
        <v>41088</v>
      </c>
      <c r="O5" s="137">
        <f>TrRoad_act!O59</f>
        <v>43588</v>
      </c>
      <c r="P5" s="137">
        <f>TrRoad_act!P59</f>
        <v>46422</v>
      </c>
      <c r="Q5" s="137">
        <f>TrRoad_act!Q59</f>
        <v>49288</v>
      </c>
      <c r="R5" s="137">
        <f>TrRoad_act!R59</f>
        <v>49581</v>
      </c>
      <c r="S5" s="137">
        <f>TrRoad_act!S59</f>
        <v>52800</v>
      </c>
      <c r="T5" s="137">
        <f>TrRoad_act!T59</f>
        <v>55898</v>
      </c>
      <c r="U5" s="137">
        <f>TrRoad_act!U59</f>
        <v>60416</v>
      </c>
      <c r="V5" s="137">
        <f>TrRoad_act!V59</f>
        <v>64421</v>
      </c>
      <c r="W5" s="137">
        <f>TrRoad_act!W59</f>
        <v>69115</v>
      </c>
      <c r="X5" s="137">
        <f>TrRoad_act!X59</f>
        <v>73282</v>
      </c>
      <c r="Y5" s="137">
        <f>TrRoad_act!Y59</f>
        <v>77320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572800</v>
      </c>
      <c r="C6" s="110">
        <f>TrRoad_act!C60</f>
        <v>576200</v>
      </c>
      <c r="D6" s="110">
        <f>TrRoad_act!D60</f>
        <v>584100</v>
      </c>
      <c r="E6" s="110">
        <f>TrRoad_act!E60</f>
        <v>598900</v>
      </c>
      <c r="F6" s="110">
        <f>TrRoad_act!F60</f>
        <v>626100</v>
      </c>
      <c r="G6" s="110">
        <f>TrRoad_act!G60</f>
        <v>647500</v>
      </c>
      <c r="H6" s="110">
        <f>TrRoad_act!H60</f>
        <v>672010</v>
      </c>
      <c r="I6" s="110">
        <f>TrRoad_act!I60</f>
        <v>684870</v>
      </c>
      <c r="J6" s="110">
        <f>TrRoad_act!J60</f>
        <v>682830</v>
      </c>
      <c r="K6" s="110">
        <f>TrRoad_act!K60</f>
        <v>664310</v>
      </c>
      <c r="L6" s="110">
        <f>TrRoad_act!L60</f>
        <v>636660</v>
      </c>
      <c r="M6" s="110">
        <f>TrRoad_act!M60</f>
        <v>612320</v>
      </c>
      <c r="N6" s="110">
        <f>TrRoad_act!N60</f>
        <v>618270</v>
      </c>
      <c r="O6" s="110">
        <f>TrRoad_act!O60</f>
        <v>634595</v>
      </c>
      <c r="P6" s="110">
        <f>TrRoad_act!P60</f>
        <v>657799</v>
      </c>
      <c r="Q6" s="110">
        <f>TrRoad_act!Q60</f>
        <v>679048</v>
      </c>
      <c r="R6" s="110">
        <f>TrRoad_act!R60</f>
        <v>664177</v>
      </c>
      <c r="S6" s="110">
        <f>TrRoad_act!S60</f>
        <v>689536</v>
      </c>
      <c r="T6" s="110">
        <f>TrRoad_act!T60</f>
        <v>707841</v>
      </c>
      <c r="U6" s="110">
        <f>TrRoad_act!U60</f>
        <v>727164</v>
      </c>
      <c r="V6" s="110">
        <f>TrRoad_act!V60</f>
        <v>739124</v>
      </c>
      <c r="W6" s="110">
        <f>TrRoad_act!W60</f>
        <v>758688</v>
      </c>
      <c r="X6" s="110">
        <f>TrRoad_act!X60</f>
        <v>769723</v>
      </c>
      <c r="Y6" s="110">
        <f>TrRoad_act!Y60</f>
        <v>781690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506900</v>
      </c>
      <c r="C7" s="84">
        <f>TrRoad_act!C61</f>
        <v>500712</v>
      </c>
      <c r="D7" s="84">
        <f>TrRoad_act!D61</f>
        <v>495101</v>
      </c>
      <c r="E7" s="84">
        <f>TrRoad_act!E61</f>
        <v>492319</v>
      </c>
      <c r="F7" s="84">
        <f>TrRoad_act!F61</f>
        <v>496648</v>
      </c>
      <c r="G7" s="84">
        <f>TrRoad_act!G61</f>
        <v>493840</v>
      </c>
      <c r="H7" s="84">
        <f>TrRoad_act!H61</f>
        <v>491907</v>
      </c>
      <c r="I7" s="84">
        <f>TrRoad_act!I61</f>
        <v>485255</v>
      </c>
      <c r="J7" s="84">
        <f>TrRoad_act!J61</f>
        <v>465836</v>
      </c>
      <c r="K7" s="84">
        <f>TrRoad_act!K61</f>
        <v>438195</v>
      </c>
      <c r="L7" s="84">
        <f>TrRoad_act!L61</f>
        <v>411064</v>
      </c>
      <c r="M7" s="84">
        <f>TrRoad_act!M61</f>
        <v>374564</v>
      </c>
      <c r="N7" s="84">
        <f>TrRoad_act!N61</f>
        <v>347845</v>
      </c>
      <c r="O7" s="84">
        <f>TrRoad_act!O61</f>
        <v>334080</v>
      </c>
      <c r="P7" s="84">
        <f>TrRoad_act!P61</f>
        <v>297946</v>
      </c>
      <c r="Q7" s="84">
        <f>TrRoad_act!Q61</f>
        <v>288127</v>
      </c>
      <c r="R7" s="84">
        <f>TrRoad_act!R61</f>
        <v>256498</v>
      </c>
      <c r="S7" s="84">
        <f>TrRoad_act!S61</f>
        <v>249098</v>
      </c>
      <c r="T7" s="84">
        <f>TrRoad_act!T61</f>
        <v>238356</v>
      </c>
      <c r="U7" s="84">
        <f>TrRoad_act!U61</f>
        <v>230298</v>
      </c>
      <c r="V7" s="84">
        <f>TrRoad_act!V61</f>
        <v>223367</v>
      </c>
      <c r="W7" s="84">
        <f>TrRoad_act!W61</f>
        <v>219792</v>
      </c>
      <c r="X7" s="84">
        <f>TrRoad_act!X61</f>
        <v>216218</v>
      </c>
      <c r="Y7" s="84">
        <f>TrRoad_act!Y61</f>
        <v>215844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49700</v>
      </c>
      <c r="C8" s="84">
        <f>TrRoad_act!C62</f>
        <v>59329</v>
      </c>
      <c r="D8" s="84">
        <f>TrRoad_act!D62</f>
        <v>72862</v>
      </c>
      <c r="E8" s="84">
        <f>TrRoad_act!E62</f>
        <v>88588</v>
      </c>
      <c r="F8" s="84">
        <f>TrRoad_act!F62</f>
        <v>105614</v>
      </c>
      <c r="G8" s="84">
        <f>TrRoad_act!G62</f>
        <v>126869</v>
      </c>
      <c r="H8" s="84">
        <f>TrRoad_act!H62</f>
        <v>150870</v>
      </c>
      <c r="I8" s="84">
        <f>TrRoad_act!I62</f>
        <v>171651</v>
      </c>
      <c r="J8" s="84">
        <f>TrRoad_act!J62</f>
        <v>190342</v>
      </c>
      <c r="K8" s="84">
        <f>TrRoad_act!K62</f>
        <v>200974</v>
      </c>
      <c r="L8" s="84">
        <f>TrRoad_act!L62</f>
        <v>202425</v>
      </c>
      <c r="M8" s="84">
        <f>TrRoad_act!M62</f>
        <v>211665</v>
      </c>
      <c r="N8" s="84">
        <f>TrRoad_act!N62</f>
        <v>227340</v>
      </c>
      <c r="O8" s="84">
        <f>TrRoad_act!O62</f>
        <v>252126</v>
      </c>
      <c r="P8" s="84">
        <f>TrRoad_act!P62</f>
        <v>303288</v>
      </c>
      <c r="Q8" s="84">
        <f>TrRoad_act!Q62</f>
        <v>338304</v>
      </c>
      <c r="R8" s="84">
        <f>TrRoad_act!R62</f>
        <v>355033</v>
      </c>
      <c r="S8" s="84">
        <f>TrRoad_act!S62</f>
        <v>388034</v>
      </c>
      <c r="T8" s="84">
        <f>TrRoad_act!T62</f>
        <v>418192</v>
      </c>
      <c r="U8" s="84">
        <f>TrRoad_act!U62</f>
        <v>446705</v>
      </c>
      <c r="V8" s="84">
        <f>TrRoad_act!V62</f>
        <v>466314</v>
      </c>
      <c r="W8" s="84">
        <f>TrRoad_act!W62</f>
        <v>488293</v>
      </c>
      <c r="X8" s="84">
        <f>TrRoad_act!X62</f>
        <v>500829</v>
      </c>
      <c r="Y8" s="84">
        <f>TrRoad_act!Y62</f>
        <v>510228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16000</v>
      </c>
      <c r="C9" s="84">
        <f>TrRoad_act!C63</f>
        <v>16005</v>
      </c>
      <c r="D9" s="84">
        <f>TrRoad_act!D63</f>
        <v>15999</v>
      </c>
      <c r="E9" s="84">
        <f>TrRoad_act!E63</f>
        <v>17872</v>
      </c>
      <c r="F9" s="84">
        <f>TrRoad_act!F63</f>
        <v>23734</v>
      </c>
      <c r="G9" s="84">
        <f>TrRoad_act!G63</f>
        <v>26691</v>
      </c>
      <c r="H9" s="84">
        <f>TrRoad_act!H63</f>
        <v>29164</v>
      </c>
      <c r="I9" s="84">
        <f>TrRoad_act!I63</f>
        <v>27909</v>
      </c>
      <c r="J9" s="84">
        <f>TrRoad_act!J63</f>
        <v>26602</v>
      </c>
      <c r="K9" s="84">
        <f>TrRoad_act!K63</f>
        <v>25091</v>
      </c>
      <c r="L9" s="84">
        <f>TrRoad_act!L63</f>
        <v>23171</v>
      </c>
      <c r="M9" s="84">
        <f>TrRoad_act!M63</f>
        <v>26091</v>
      </c>
      <c r="N9" s="84">
        <f>TrRoad_act!N63</f>
        <v>43072</v>
      </c>
      <c r="O9" s="84">
        <f>TrRoad_act!O63</f>
        <v>48368</v>
      </c>
      <c r="P9" s="84">
        <f>TrRoad_act!P63</f>
        <v>56368</v>
      </c>
      <c r="Q9" s="84">
        <f>TrRoad_act!Q63</f>
        <v>52383</v>
      </c>
      <c r="R9" s="84">
        <f>TrRoad_act!R63</f>
        <v>52379</v>
      </c>
      <c r="S9" s="84">
        <f>TrRoad_act!S63</f>
        <v>52043</v>
      </c>
      <c r="T9" s="84">
        <f>TrRoad_act!T63</f>
        <v>50611</v>
      </c>
      <c r="U9" s="84">
        <f>TrRoad_act!U63</f>
        <v>49213</v>
      </c>
      <c r="V9" s="84">
        <f>TrRoad_act!V63</f>
        <v>47842</v>
      </c>
      <c r="W9" s="84">
        <f>TrRoad_act!W63</f>
        <v>47940</v>
      </c>
      <c r="X9" s="84">
        <f>TrRoad_act!X63</f>
        <v>48038</v>
      </c>
      <c r="Y9" s="84">
        <f>TrRoad_act!Y63</f>
        <v>48136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200</v>
      </c>
      <c r="C10" s="84">
        <f>TrRoad_act!C64</f>
        <v>154</v>
      </c>
      <c r="D10" s="84">
        <f>TrRoad_act!D64</f>
        <v>138</v>
      </c>
      <c r="E10" s="84">
        <f>TrRoad_act!E64</f>
        <v>121</v>
      </c>
      <c r="F10" s="84">
        <f>TrRoad_act!F64</f>
        <v>104</v>
      </c>
      <c r="G10" s="84">
        <f>TrRoad_act!G64</f>
        <v>100</v>
      </c>
      <c r="H10" s="84">
        <f>TrRoad_act!H64</f>
        <v>69</v>
      </c>
      <c r="I10" s="84">
        <f>TrRoad_act!I64</f>
        <v>55</v>
      </c>
      <c r="J10" s="84">
        <f>TrRoad_act!J64</f>
        <v>50</v>
      </c>
      <c r="K10" s="84">
        <f>TrRoad_act!K64</f>
        <v>50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151</v>
      </c>
      <c r="U10" s="84">
        <f>TrRoad_act!U64</f>
        <v>166</v>
      </c>
      <c r="V10" s="84">
        <f>TrRoad_act!V64</f>
        <v>200</v>
      </c>
      <c r="W10" s="84">
        <f>TrRoad_act!W64</f>
        <v>219</v>
      </c>
      <c r="X10" s="84">
        <f>TrRoad_act!X64</f>
        <v>238</v>
      </c>
      <c r="Y10" s="84">
        <f>TrRoad_act!Y64</f>
        <v>257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3</v>
      </c>
      <c r="O11" s="84">
        <f>TrRoad_act!O65</f>
        <v>6</v>
      </c>
      <c r="P11" s="84">
        <f>TrRoad_act!P65</f>
        <v>9</v>
      </c>
      <c r="Q11" s="84">
        <f>TrRoad_act!Q65</f>
        <v>23</v>
      </c>
      <c r="R11" s="84">
        <f>TrRoad_act!R65</f>
        <v>26</v>
      </c>
      <c r="S11" s="84">
        <f>TrRoad_act!S65</f>
        <v>49</v>
      </c>
      <c r="T11" s="84">
        <f>TrRoad_act!T65</f>
        <v>89</v>
      </c>
      <c r="U11" s="84">
        <f>TrRoad_act!U65</f>
        <v>124</v>
      </c>
      <c r="V11" s="84">
        <f>TrRoad_act!V65</f>
        <v>196</v>
      </c>
      <c r="W11" s="84">
        <f>TrRoad_act!W65</f>
        <v>338</v>
      </c>
      <c r="X11" s="84">
        <f>TrRoad_act!X65</f>
        <v>568</v>
      </c>
      <c r="Y11" s="84">
        <f>TrRoad_act!Y65</f>
        <v>856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10</v>
      </c>
      <c r="O12" s="84">
        <f>TrRoad_act!O66</f>
        <v>15</v>
      </c>
      <c r="P12" s="84">
        <f>TrRoad_act!P66</f>
        <v>188</v>
      </c>
      <c r="Q12" s="84">
        <f>TrRoad_act!Q66</f>
        <v>211</v>
      </c>
      <c r="R12" s="84">
        <f>TrRoad_act!R66</f>
        <v>241</v>
      </c>
      <c r="S12" s="84">
        <f>TrRoad_act!S66</f>
        <v>312</v>
      </c>
      <c r="T12" s="84">
        <f>TrRoad_act!T66</f>
        <v>442</v>
      </c>
      <c r="U12" s="84">
        <f>TrRoad_act!U66</f>
        <v>658</v>
      </c>
      <c r="V12" s="84">
        <f>TrRoad_act!V66</f>
        <v>1205</v>
      </c>
      <c r="W12" s="84">
        <f>TrRoad_act!W66</f>
        <v>2106</v>
      </c>
      <c r="X12" s="84">
        <f>TrRoad_act!X66</f>
        <v>3832</v>
      </c>
      <c r="Y12" s="84">
        <f>TrRoad_act!Y66</f>
        <v>6369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3807</v>
      </c>
      <c r="C13" s="110">
        <f>TrRoad_act!C67</f>
        <v>3805</v>
      </c>
      <c r="D13" s="110">
        <f>TrRoad_act!D67</f>
        <v>3875</v>
      </c>
      <c r="E13" s="110">
        <f>TrRoad_act!E67</f>
        <v>4094</v>
      </c>
      <c r="F13" s="110">
        <f>TrRoad_act!F67</f>
        <v>4051</v>
      </c>
      <c r="G13" s="110">
        <f>TrRoad_act!G67</f>
        <v>3966</v>
      </c>
      <c r="H13" s="110">
        <f>TrRoad_act!H67</f>
        <v>3946</v>
      </c>
      <c r="I13" s="110">
        <f>TrRoad_act!I67</f>
        <v>3958</v>
      </c>
      <c r="J13" s="110">
        <f>TrRoad_act!J67</f>
        <v>3889</v>
      </c>
      <c r="K13" s="110">
        <f>TrRoad_act!K67</f>
        <v>3790</v>
      </c>
      <c r="L13" s="110">
        <f>TrRoad_act!L67</f>
        <v>3679</v>
      </c>
      <c r="M13" s="110">
        <f>TrRoad_act!M67</f>
        <v>3488</v>
      </c>
      <c r="N13" s="110">
        <f>TrRoad_act!N67</f>
        <v>3346</v>
      </c>
      <c r="O13" s="110">
        <f>TrRoad_act!O67</f>
        <v>3253</v>
      </c>
      <c r="P13" s="110">
        <f>TrRoad_act!P67</f>
        <v>3102</v>
      </c>
      <c r="Q13" s="110">
        <f>TrRoad_act!Q67</f>
        <v>3066</v>
      </c>
      <c r="R13" s="110">
        <f>TrRoad_act!R67</f>
        <v>3038</v>
      </c>
      <c r="S13" s="110">
        <f>TrRoad_act!S67</f>
        <v>3002</v>
      </c>
      <c r="T13" s="110">
        <f>TrRoad_act!T67</f>
        <v>2959</v>
      </c>
      <c r="U13" s="110">
        <f>TrRoad_act!U67</f>
        <v>2926</v>
      </c>
      <c r="V13" s="110">
        <f>TrRoad_act!V67</f>
        <v>2740</v>
      </c>
      <c r="W13" s="110">
        <f>TrRoad_act!W67</f>
        <v>2777</v>
      </c>
      <c r="X13" s="110">
        <f>TrRoad_act!X67</f>
        <v>2901</v>
      </c>
      <c r="Y13" s="110">
        <f>TrRoad_act!Y67</f>
        <v>2928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398</v>
      </c>
      <c r="C14" s="102">
        <f>TrRoad_act!C68</f>
        <v>397</v>
      </c>
      <c r="D14" s="102">
        <f>TrRoad_act!D68</f>
        <v>394</v>
      </c>
      <c r="E14" s="102">
        <f>TrRoad_act!E68</f>
        <v>382</v>
      </c>
      <c r="F14" s="102">
        <f>TrRoad_act!F68</f>
        <v>368</v>
      </c>
      <c r="G14" s="102">
        <f>TrRoad_act!G68</f>
        <v>354</v>
      </c>
      <c r="H14" s="102">
        <f>TrRoad_act!H68</f>
        <v>341</v>
      </c>
      <c r="I14" s="102">
        <f>TrRoad_act!I68</f>
        <v>330</v>
      </c>
      <c r="J14" s="102">
        <f>TrRoad_act!J68</f>
        <v>315</v>
      </c>
      <c r="K14" s="102">
        <f>TrRoad_act!K68</f>
        <v>278</v>
      </c>
      <c r="L14" s="102">
        <f>TrRoad_act!L68</f>
        <v>234</v>
      </c>
      <c r="M14" s="102">
        <f>TrRoad_act!M68</f>
        <v>142</v>
      </c>
      <c r="N14" s="102">
        <f>TrRoad_act!N68</f>
        <v>110</v>
      </c>
      <c r="O14" s="102">
        <f>TrRoad_act!O68</f>
        <v>80</v>
      </c>
      <c r="P14" s="102">
        <f>TrRoad_act!P68</f>
        <v>52</v>
      </c>
      <c r="Q14" s="102">
        <f>TrRoad_act!Q68</f>
        <v>44</v>
      </c>
      <c r="R14" s="102">
        <f>TrRoad_act!R68</f>
        <v>32</v>
      </c>
      <c r="S14" s="102">
        <f>TrRoad_act!S68</f>
        <v>28</v>
      </c>
      <c r="T14" s="102">
        <f>TrRoad_act!T68</f>
        <v>24</v>
      </c>
      <c r="U14" s="102">
        <f>TrRoad_act!U68</f>
        <v>22</v>
      </c>
      <c r="V14" s="102">
        <f>TrRoad_act!V68</f>
        <v>18</v>
      </c>
      <c r="W14" s="102">
        <f>TrRoad_act!W68</f>
        <v>14</v>
      </c>
      <c r="X14" s="102">
        <f>TrRoad_act!X68</f>
        <v>14</v>
      </c>
      <c r="Y14" s="102">
        <f>TrRoad_act!Y68</f>
        <v>15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3300</v>
      </c>
      <c r="C15" s="102">
        <f>TrRoad_act!C69</f>
        <v>3266</v>
      </c>
      <c r="D15" s="102">
        <f>TrRoad_act!D69</f>
        <v>3357</v>
      </c>
      <c r="E15" s="102">
        <f>TrRoad_act!E69</f>
        <v>3593</v>
      </c>
      <c r="F15" s="102">
        <f>TrRoad_act!F69</f>
        <v>3562</v>
      </c>
      <c r="G15" s="102">
        <f>TrRoad_act!G69</f>
        <v>3457</v>
      </c>
      <c r="H15" s="102">
        <f>TrRoad_act!H69</f>
        <v>3448</v>
      </c>
      <c r="I15" s="102">
        <f>TrRoad_act!I69</f>
        <v>3439</v>
      </c>
      <c r="J15" s="102">
        <f>TrRoad_act!J69</f>
        <v>3390</v>
      </c>
      <c r="K15" s="102">
        <f>TrRoad_act!K69</f>
        <v>3299</v>
      </c>
      <c r="L15" s="102">
        <f>TrRoad_act!L69</f>
        <v>3163</v>
      </c>
      <c r="M15" s="102">
        <f>TrRoad_act!M69</f>
        <v>3071</v>
      </c>
      <c r="N15" s="102">
        <f>TrRoad_act!N69</f>
        <v>2971</v>
      </c>
      <c r="O15" s="102">
        <f>TrRoad_act!O69</f>
        <v>2909</v>
      </c>
      <c r="P15" s="102">
        <f>TrRoad_act!P69</f>
        <v>2793</v>
      </c>
      <c r="Q15" s="102">
        <f>TrRoad_act!Q69</f>
        <v>2753</v>
      </c>
      <c r="R15" s="102">
        <f>TrRoad_act!R69</f>
        <v>2704</v>
      </c>
      <c r="S15" s="102">
        <f>TrRoad_act!S69</f>
        <v>2710</v>
      </c>
      <c r="T15" s="102">
        <f>TrRoad_act!T69</f>
        <v>2670</v>
      </c>
      <c r="U15" s="102">
        <f>TrRoad_act!U69</f>
        <v>2618</v>
      </c>
      <c r="V15" s="102">
        <f>TrRoad_act!V69</f>
        <v>2372</v>
      </c>
      <c r="W15" s="102">
        <f>TrRoad_act!W69</f>
        <v>2290</v>
      </c>
      <c r="X15" s="102">
        <f>TrRoad_act!X69</f>
        <v>2306</v>
      </c>
      <c r="Y15" s="102">
        <f>TrRoad_act!Y69</f>
        <v>2262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12</v>
      </c>
      <c r="S16" s="102">
        <f>TrRoad_act!S70</f>
        <v>9</v>
      </c>
      <c r="T16" s="102">
        <f>TrRoad_act!T70</f>
        <v>7</v>
      </c>
      <c r="U16" s="102">
        <f>TrRoad_act!U70</f>
        <v>5</v>
      </c>
      <c r="V16" s="102">
        <f>TrRoad_act!V70</f>
        <v>4</v>
      </c>
      <c r="W16" s="102">
        <f>TrRoad_act!W70</f>
        <v>4</v>
      </c>
      <c r="X16" s="102">
        <f>TrRoad_act!X70</f>
        <v>4</v>
      </c>
      <c r="Y16" s="102">
        <f>TrRoad_act!Y70</f>
        <v>4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100</v>
      </c>
      <c r="C17" s="102">
        <f>TrRoad_act!C71</f>
        <v>120</v>
      </c>
      <c r="D17" s="102">
        <f>TrRoad_act!D71</f>
        <v>102</v>
      </c>
      <c r="E17" s="102">
        <f>TrRoad_act!E71</f>
        <v>98</v>
      </c>
      <c r="F17" s="102">
        <f>TrRoad_act!F71</f>
        <v>100</v>
      </c>
      <c r="G17" s="102">
        <f>TrRoad_act!G71</f>
        <v>105</v>
      </c>
      <c r="H17" s="102">
        <f>TrRoad_act!H71</f>
        <v>105</v>
      </c>
      <c r="I17" s="102">
        <f>TrRoad_act!I71</f>
        <v>110</v>
      </c>
      <c r="J17" s="102">
        <f>TrRoad_act!J71</f>
        <v>45</v>
      </c>
      <c r="K17" s="102">
        <f>TrRoad_act!K71</f>
        <v>2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14</v>
      </c>
      <c r="V17" s="102">
        <f>TrRoad_act!V71</f>
        <v>60</v>
      </c>
      <c r="W17" s="102">
        <f>TrRoad_act!W71</f>
        <v>150</v>
      </c>
      <c r="X17" s="102">
        <f>TrRoad_act!X71</f>
        <v>280</v>
      </c>
      <c r="Y17" s="102">
        <f>TrRoad_act!Y71</f>
        <v>300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9</v>
      </c>
      <c r="C18" s="102">
        <f>TrRoad_act!C72</f>
        <v>22</v>
      </c>
      <c r="D18" s="102">
        <f>TrRoad_act!D72</f>
        <v>22</v>
      </c>
      <c r="E18" s="102">
        <f>TrRoad_act!E72</f>
        <v>21</v>
      </c>
      <c r="F18" s="102">
        <f>TrRoad_act!F72</f>
        <v>21</v>
      </c>
      <c r="G18" s="102">
        <f>TrRoad_act!G72</f>
        <v>50</v>
      </c>
      <c r="H18" s="102">
        <f>TrRoad_act!H72</f>
        <v>52</v>
      </c>
      <c r="I18" s="102">
        <f>TrRoad_act!I72</f>
        <v>79</v>
      </c>
      <c r="J18" s="102">
        <f>TrRoad_act!J72</f>
        <v>139</v>
      </c>
      <c r="K18" s="102">
        <f>TrRoad_act!K72</f>
        <v>211</v>
      </c>
      <c r="L18" s="102">
        <f>TrRoad_act!L72</f>
        <v>282</v>
      </c>
      <c r="M18" s="102">
        <f>TrRoad_act!M72</f>
        <v>275</v>
      </c>
      <c r="N18" s="102">
        <f>TrRoad_act!N72</f>
        <v>265</v>
      </c>
      <c r="O18" s="102">
        <f>TrRoad_act!O72</f>
        <v>264</v>
      </c>
      <c r="P18" s="102">
        <f>TrRoad_act!P72</f>
        <v>257</v>
      </c>
      <c r="Q18" s="102">
        <f>TrRoad_act!Q72</f>
        <v>269</v>
      </c>
      <c r="R18" s="102">
        <f>TrRoad_act!R72</f>
        <v>290</v>
      </c>
      <c r="S18" s="102">
        <f>TrRoad_act!S72</f>
        <v>255</v>
      </c>
      <c r="T18" s="102">
        <f>TrRoad_act!T72</f>
        <v>258</v>
      </c>
      <c r="U18" s="102">
        <f>TrRoad_act!U72</f>
        <v>267</v>
      </c>
      <c r="V18" s="102">
        <f>TrRoad_act!V72</f>
        <v>286</v>
      </c>
      <c r="W18" s="102">
        <f>TrRoad_act!W72</f>
        <v>319</v>
      </c>
      <c r="X18" s="102">
        <f>TrRoad_act!X72</f>
        <v>297</v>
      </c>
      <c r="Y18" s="102">
        <f>TrRoad_act!Y72</f>
        <v>347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79355</v>
      </c>
      <c r="C19" s="28">
        <f>TrRoad_act!C73</f>
        <v>83905</v>
      </c>
      <c r="D19" s="28">
        <f>TrRoad_act!D73</f>
        <v>90653</v>
      </c>
      <c r="E19" s="28">
        <f>TrRoad_act!E73</f>
        <v>89598</v>
      </c>
      <c r="F19" s="28">
        <f>TrRoad_act!F73</f>
        <v>96892</v>
      </c>
      <c r="G19" s="28">
        <f>TrRoad_act!G73</f>
        <v>92254</v>
      </c>
      <c r="H19" s="28">
        <f>TrRoad_act!H73</f>
        <v>95218</v>
      </c>
      <c r="I19" s="28">
        <f>TrRoad_act!I73</f>
        <v>95311</v>
      </c>
      <c r="J19" s="28">
        <f>TrRoad_act!J73</f>
        <v>92934</v>
      </c>
      <c r="K19" s="28">
        <f>TrRoad_act!K73</f>
        <v>90610</v>
      </c>
      <c r="L19" s="28">
        <f>TrRoad_act!L73</f>
        <v>68178</v>
      </c>
      <c r="M19" s="28">
        <f>TrRoad_act!M73</f>
        <v>67981</v>
      </c>
      <c r="N19" s="28">
        <f>TrRoad_act!N73</f>
        <v>71251</v>
      </c>
      <c r="O19" s="28">
        <f>TrRoad_act!O73</f>
        <v>75323</v>
      </c>
      <c r="P19" s="28">
        <f>TrRoad_act!P73</f>
        <v>76143</v>
      </c>
      <c r="Q19" s="28">
        <f>TrRoad_act!Q73</f>
        <v>78040</v>
      </c>
      <c r="R19" s="28">
        <f>TrRoad_act!R73</f>
        <v>76744</v>
      </c>
      <c r="S19" s="28">
        <f>TrRoad_act!S73</f>
        <v>79107</v>
      </c>
      <c r="T19" s="28">
        <f>TrRoad_act!T73</f>
        <v>80959</v>
      </c>
      <c r="U19" s="28">
        <f>TrRoad_act!U73</f>
        <v>82940</v>
      </c>
      <c r="V19" s="28">
        <f>TrRoad_act!V73</f>
        <v>85517</v>
      </c>
      <c r="W19" s="28">
        <f>TrRoad_act!W73</f>
        <v>86594</v>
      </c>
      <c r="X19" s="28">
        <f>TrRoad_act!X73</f>
        <v>90045</v>
      </c>
      <c r="Y19" s="28">
        <f>TrRoad_act!Y73</f>
        <v>93512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26899</v>
      </c>
      <c r="C20" s="137">
        <f>TrRoad_act!C74</f>
        <v>30126</v>
      </c>
      <c r="D20" s="137">
        <f>TrRoad_act!D74</f>
        <v>35707</v>
      </c>
      <c r="E20" s="137">
        <f>TrRoad_act!E74</f>
        <v>34209</v>
      </c>
      <c r="F20" s="137">
        <f>TrRoad_act!F74</f>
        <v>41530</v>
      </c>
      <c r="G20" s="137">
        <f>TrRoad_act!G74</f>
        <v>39401</v>
      </c>
      <c r="H20" s="137">
        <f>TrRoad_act!H74</f>
        <v>44138</v>
      </c>
      <c r="I20" s="137">
        <f>TrRoad_act!I74</f>
        <v>46358</v>
      </c>
      <c r="J20" s="137">
        <f>TrRoad_act!J74</f>
        <v>46100</v>
      </c>
      <c r="K20" s="137">
        <f>TrRoad_act!K74</f>
        <v>43420</v>
      </c>
      <c r="L20" s="137">
        <f>TrRoad_act!L74</f>
        <v>35274</v>
      </c>
      <c r="M20" s="137">
        <f>TrRoad_act!M74</f>
        <v>36577</v>
      </c>
      <c r="N20" s="137">
        <f>TrRoad_act!N74</f>
        <v>39962</v>
      </c>
      <c r="O20" s="137">
        <f>TrRoad_act!O74</f>
        <v>45923</v>
      </c>
      <c r="P20" s="137">
        <f>TrRoad_act!P74</f>
        <v>50047</v>
      </c>
      <c r="Q20" s="137">
        <f>TrRoad_act!Q74</f>
        <v>53421</v>
      </c>
      <c r="R20" s="137">
        <f>TrRoad_act!R74</f>
        <v>53266</v>
      </c>
      <c r="S20" s="137">
        <f>TrRoad_act!S74</f>
        <v>55559</v>
      </c>
      <c r="T20" s="137">
        <f>TrRoad_act!T74</f>
        <v>57146</v>
      </c>
      <c r="U20" s="137">
        <f>TrRoad_act!U74</f>
        <v>59291</v>
      </c>
      <c r="V20" s="137">
        <f>TrRoad_act!V74</f>
        <v>60696</v>
      </c>
      <c r="W20" s="137">
        <f>TrRoad_act!W74</f>
        <v>63078</v>
      </c>
      <c r="X20" s="137">
        <f>TrRoad_act!X74</f>
        <v>65256</v>
      </c>
      <c r="Y20" s="137">
        <f>TrRoad_act!Y74</f>
        <v>67664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15645</v>
      </c>
      <c r="C21" s="84">
        <f>TrRoad_act!C75</f>
        <v>16017</v>
      </c>
      <c r="D21" s="84">
        <f>TrRoad_act!D75</f>
        <v>15277</v>
      </c>
      <c r="E21" s="84">
        <f>TrRoad_act!E75</f>
        <v>15483</v>
      </c>
      <c r="F21" s="84">
        <f>TrRoad_act!F75</f>
        <v>15094</v>
      </c>
      <c r="G21" s="84">
        <f>TrRoad_act!G75</f>
        <v>15001</v>
      </c>
      <c r="H21" s="84">
        <f>TrRoad_act!H75</f>
        <v>15286</v>
      </c>
      <c r="I21" s="84">
        <f>TrRoad_act!I75</f>
        <v>14860</v>
      </c>
      <c r="J21" s="84">
        <f>TrRoad_act!J75</f>
        <v>12539</v>
      </c>
      <c r="K21" s="84">
        <f>TrRoad_act!K75</f>
        <v>10196</v>
      </c>
      <c r="L21" s="84">
        <f>TrRoad_act!L75</f>
        <v>4697</v>
      </c>
      <c r="M21" s="84">
        <f>TrRoad_act!M75</f>
        <v>4279</v>
      </c>
      <c r="N21" s="84">
        <f>TrRoad_act!N75</f>
        <v>4308</v>
      </c>
      <c r="O21" s="84">
        <f>TrRoad_act!O75</f>
        <v>3764</v>
      </c>
      <c r="P21" s="84">
        <f>TrRoad_act!P75</f>
        <v>2884</v>
      </c>
      <c r="Q21" s="84">
        <f>TrRoad_act!Q75</f>
        <v>2796</v>
      </c>
      <c r="R21" s="84">
        <f>TrRoad_act!R75</f>
        <v>2340</v>
      </c>
      <c r="S21" s="84">
        <f>TrRoad_act!S75</f>
        <v>2207</v>
      </c>
      <c r="T21" s="84">
        <f>TrRoad_act!T75</f>
        <v>2091</v>
      </c>
      <c r="U21" s="84">
        <f>TrRoad_act!U75</f>
        <v>1929</v>
      </c>
      <c r="V21" s="84">
        <f>TrRoad_act!V75</f>
        <v>1877</v>
      </c>
      <c r="W21" s="84">
        <f>TrRoad_act!W75</f>
        <v>1848</v>
      </c>
      <c r="X21" s="84">
        <f>TrRoad_act!X75</f>
        <v>1847</v>
      </c>
      <c r="Y21" s="84">
        <f>TrRoad_act!Y75</f>
        <v>1896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11254</v>
      </c>
      <c r="C22" s="84">
        <f>TrRoad_act!C76</f>
        <v>14109</v>
      </c>
      <c r="D22" s="84">
        <f>TrRoad_act!D76</f>
        <v>20430</v>
      </c>
      <c r="E22" s="84">
        <f>TrRoad_act!E76</f>
        <v>18726</v>
      </c>
      <c r="F22" s="84">
        <f>TrRoad_act!F76</f>
        <v>26436</v>
      </c>
      <c r="G22" s="84">
        <f>TrRoad_act!G76</f>
        <v>24400</v>
      </c>
      <c r="H22" s="84">
        <f>TrRoad_act!H76</f>
        <v>28852</v>
      </c>
      <c r="I22" s="84">
        <f>TrRoad_act!I76</f>
        <v>31498</v>
      </c>
      <c r="J22" s="84">
        <f>TrRoad_act!J76</f>
        <v>33561</v>
      </c>
      <c r="K22" s="84">
        <f>TrRoad_act!K76</f>
        <v>33224</v>
      </c>
      <c r="L22" s="84">
        <f>TrRoad_act!L76</f>
        <v>30577</v>
      </c>
      <c r="M22" s="84">
        <f>TrRoad_act!M76</f>
        <v>32296</v>
      </c>
      <c r="N22" s="84">
        <f>TrRoad_act!N76</f>
        <v>35634</v>
      </c>
      <c r="O22" s="84">
        <f>TrRoad_act!O76</f>
        <v>42130</v>
      </c>
      <c r="P22" s="84">
        <f>TrRoad_act!P76</f>
        <v>47124</v>
      </c>
      <c r="Q22" s="84">
        <f>TrRoad_act!Q76</f>
        <v>50583</v>
      </c>
      <c r="R22" s="84">
        <f>TrRoad_act!R76</f>
        <v>50749</v>
      </c>
      <c r="S22" s="84">
        <f>TrRoad_act!S76</f>
        <v>53046</v>
      </c>
      <c r="T22" s="84">
        <f>TrRoad_act!T76</f>
        <v>54670</v>
      </c>
      <c r="U22" s="84">
        <f>TrRoad_act!U76</f>
        <v>56895</v>
      </c>
      <c r="V22" s="84">
        <f>TrRoad_act!V76</f>
        <v>58298</v>
      </c>
      <c r="W22" s="84">
        <f>TrRoad_act!W76</f>
        <v>60662</v>
      </c>
      <c r="X22" s="84">
        <f>TrRoad_act!X76</f>
        <v>62788</v>
      </c>
      <c r="Y22" s="84">
        <f>TrRoad_act!Y76</f>
        <v>65083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18</v>
      </c>
      <c r="O23" s="84">
        <f>TrRoad_act!O77</f>
        <v>17</v>
      </c>
      <c r="P23" s="84">
        <f>TrRoad_act!P77</f>
        <v>25</v>
      </c>
      <c r="Q23" s="84">
        <f>TrRoad_act!Q77</f>
        <v>27</v>
      </c>
      <c r="R23" s="84">
        <f>TrRoad_act!R77</f>
        <v>166</v>
      </c>
      <c r="S23" s="84">
        <f>TrRoad_act!S77</f>
        <v>294</v>
      </c>
      <c r="T23" s="84">
        <f>TrRoad_act!T77</f>
        <v>373</v>
      </c>
      <c r="U23" s="84">
        <f>TrRoad_act!U77</f>
        <v>453</v>
      </c>
      <c r="V23" s="84">
        <f>TrRoad_act!V77</f>
        <v>486</v>
      </c>
      <c r="W23" s="84">
        <f>TrRoad_act!W77</f>
        <v>500</v>
      </c>
      <c r="X23" s="84">
        <f>TrRoad_act!X77</f>
        <v>512</v>
      </c>
      <c r="Y23" s="84">
        <f>TrRoad_act!Y77</f>
        <v>534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X24" s="84">
        <f>TrRoad_act!X78</f>
        <v>0</v>
      </c>
      <c r="Y24" s="84">
        <f>TrRoad_act!Y78</f>
        <v>0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2</v>
      </c>
      <c r="N25" s="84">
        <f>TrRoad_act!N79</f>
        <v>2</v>
      </c>
      <c r="O25" s="84">
        <f>TrRoad_act!O79</f>
        <v>12</v>
      </c>
      <c r="P25" s="84">
        <f>TrRoad_act!P79</f>
        <v>14</v>
      </c>
      <c r="Q25" s="84">
        <f>TrRoad_act!Q79</f>
        <v>15</v>
      </c>
      <c r="R25" s="84">
        <f>TrRoad_act!R79</f>
        <v>11</v>
      </c>
      <c r="S25" s="84">
        <f>TrRoad_act!S79</f>
        <v>12</v>
      </c>
      <c r="T25" s="84">
        <f>TrRoad_act!T79</f>
        <v>12</v>
      </c>
      <c r="U25" s="84">
        <f>TrRoad_act!U79</f>
        <v>14</v>
      </c>
      <c r="V25" s="84">
        <f>TrRoad_act!V79</f>
        <v>35</v>
      </c>
      <c r="W25" s="84">
        <f>TrRoad_act!W79</f>
        <v>68</v>
      </c>
      <c r="X25" s="84">
        <f>TrRoad_act!X79</f>
        <v>109</v>
      </c>
      <c r="Y25" s="84">
        <f>TrRoad_act!Y79</f>
        <v>151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52456</v>
      </c>
      <c r="C26" s="110">
        <f>TrRoad_act!C80</f>
        <v>53779</v>
      </c>
      <c r="D26" s="110">
        <f>TrRoad_act!D80</f>
        <v>54946</v>
      </c>
      <c r="E26" s="110">
        <f>TrRoad_act!E80</f>
        <v>55389</v>
      </c>
      <c r="F26" s="110">
        <f>TrRoad_act!F80</f>
        <v>55362</v>
      </c>
      <c r="G26" s="110">
        <f>TrRoad_act!G80</f>
        <v>52853</v>
      </c>
      <c r="H26" s="110">
        <f>TrRoad_act!H80</f>
        <v>51080</v>
      </c>
      <c r="I26" s="110">
        <f>TrRoad_act!I80</f>
        <v>48953</v>
      </c>
      <c r="J26" s="110">
        <f>TrRoad_act!J80</f>
        <v>46834</v>
      </c>
      <c r="K26" s="110">
        <f>TrRoad_act!K80</f>
        <v>47190</v>
      </c>
      <c r="L26" s="110">
        <f>TrRoad_act!L80</f>
        <v>32904</v>
      </c>
      <c r="M26" s="110">
        <f>TrRoad_act!M80</f>
        <v>31404</v>
      </c>
      <c r="N26" s="110">
        <f>TrRoad_act!N80</f>
        <v>31289</v>
      </c>
      <c r="O26" s="110">
        <f>TrRoad_act!O80</f>
        <v>29400</v>
      </c>
      <c r="P26" s="110">
        <f>TrRoad_act!P80</f>
        <v>26096</v>
      </c>
      <c r="Q26" s="110">
        <f>TrRoad_act!Q80</f>
        <v>24619</v>
      </c>
      <c r="R26" s="110">
        <f>TrRoad_act!R80</f>
        <v>23478</v>
      </c>
      <c r="S26" s="110">
        <f>TrRoad_act!S80</f>
        <v>23548</v>
      </c>
      <c r="T26" s="110">
        <f>TrRoad_act!T80</f>
        <v>23813</v>
      </c>
      <c r="U26" s="110">
        <f>TrRoad_act!U80</f>
        <v>23649</v>
      </c>
      <c r="V26" s="110">
        <f>TrRoad_act!V80</f>
        <v>24821</v>
      </c>
      <c r="W26" s="110">
        <f>TrRoad_act!W80</f>
        <v>23516</v>
      </c>
      <c r="X26" s="110">
        <f>TrRoad_act!X80</f>
        <v>24789</v>
      </c>
      <c r="Y26" s="110">
        <f>TrRoad_act!Y80</f>
        <v>25848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51859</v>
      </c>
      <c r="C27" s="102">
        <f>TrRoad_act!C81</f>
        <v>53139</v>
      </c>
      <c r="D27" s="102">
        <f>TrRoad_act!D81</f>
        <v>54273</v>
      </c>
      <c r="E27" s="102">
        <f>TrRoad_act!E81</f>
        <v>54701</v>
      </c>
      <c r="F27" s="102">
        <f>TrRoad_act!F81</f>
        <v>54548</v>
      </c>
      <c r="G27" s="102">
        <f>TrRoad_act!G81</f>
        <v>52011</v>
      </c>
      <c r="H27" s="102">
        <f>TrRoad_act!H81</f>
        <v>50053</v>
      </c>
      <c r="I27" s="102">
        <f>TrRoad_act!I81</f>
        <v>47785</v>
      </c>
      <c r="J27" s="102">
        <f>TrRoad_act!J81</f>
        <v>45693</v>
      </c>
      <c r="K27" s="102">
        <f>TrRoad_act!K81</f>
        <v>46280</v>
      </c>
      <c r="L27" s="102">
        <f>TrRoad_act!L81</f>
        <v>31924</v>
      </c>
      <c r="M27" s="102">
        <f>TrRoad_act!M81</f>
        <v>30271</v>
      </c>
      <c r="N27" s="102">
        <f>TrRoad_act!N81</f>
        <v>30031</v>
      </c>
      <c r="O27" s="102">
        <f>TrRoad_act!O81</f>
        <v>27955</v>
      </c>
      <c r="P27" s="102">
        <f>TrRoad_act!P81</f>
        <v>24635</v>
      </c>
      <c r="Q27" s="102">
        <f>TrRoad_act!Q81</f>
        <v>22902</v>
      </c>
      <c r="R27" s="102">
        <f>TrRoad_act!R81</f>
        <v>21749</v>
      </c>
      <c r="S27" s="102">
        <f>TrRoad_act!S81</f>
        <v>21838</v>
      </c>
      <c r="T27" s="102">
        <f>TrRoad_act!T81</f>
        <v>21960</v>
      </c>
      <c r="U27" s="102">
        <f>TrRoad_act!U81</f>
        <v>21949</v>
      </c>
      <c r="V27" s="102">
        <f>TrRoad_act!V81</f>
        <v>22756</v>
      </c>
      <c r="W27" s="102">
        <f>TrRoad_act!W81</f>
        <v>21545</v>
      </c>
      <c r="X27" s="102">
        <f>TrRoad_act!X81</f>
        <v>22659</v>
      </c>
      <c r="Y27" s="102">
        <f>TrRoad_act!Y81</f>
        <v>23685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597</v>
      </c>
      <c r="C28" s="86">
        <f>TrRoad_act!C82</f>
        <v>640</v>
      </c>
      <c r="D28" s="86">
        <f>TrRoad_act!D82</f>
        <v>673</v>
      </c>
      <c r="E28" s="86">
        <f>TrRoad_act!E82</f>
        <v>688</v>
      </c>
      <c r="F28" s="86">
        <f>TrRoad_act!F82</f>
        <v>814</v>
      </c>
      <c r="G28" s="86">
        <f>TrRoad_act!G82</f>
        <v>842</v>
      </c>
      <c r="H28" s="86">
        <f>TrRoad_act!H82</f>
        <v>1027</v>
      </c>
      <c r="I28" s="86">
        <f>TrRoad_act!I82</f>
        <v>1168</v>
      </c>
      <c r="J28" s="86">
        <f>TrRoad_act!J82</f>
        <v>1141</v>
      </c>
      <c r="K28" s="86">
        <f>TrRoad_act!K82</f>
        <v>910</v>
      </c>
      <c r="L28" s="86">
        <f>TrRoad_act!L82</f>
        <v>980</v>
      </c>
      <c r="M28" s="86">
        <f>TrRoad_act!M82</f>
        <v>1133</v>
      </c>
      <c r="N28" s="86">
        <f>TrRoad_act!N82</f>
        <v>1258</v>
      </c>
      <c r="O28" s="86">
        <f>TrRoad_act!O82</f>
        <v>1445</v>
      </c>
      <c r="P28" s="86">
        <f>TrRoad_act!P82</f>
        <v>1461</v>
      </c>
      <c r="Q28" s="86">
        <f>TrRoad_act!Q82</f>
        <v>1717</v>
      </c>
      <c r="R28" s="86">
        <f>TrRoad_act!R82</f>
        <v>1729</v>
      </c>
      <c r="S28" s="86">
        <f>TrRoad_act!S82</f>
        <v>1710</v>
      </c>
      <c r="T28" s="86">
        <f>TrRoad_act!T82</f>
        <v>1853</v>
      </c>
      <c r="U28" s="86">
        <f>TrRoad_act!U82</f>
        <v>1700</v>
      </c>
      <c r="V28" s="86">
        <f>TrRoad_act!V82</f>
        <v>2065</v>
      </c>
      <c r="W28" s="86">
        <f>TrRoad_act!W82</f>
        <v>1971</v>
      </c>
      <c r="X28" s="86">
        <f>TrRoad_act!X82</f>
        <v>2130</v>
      </c>
      <c r="Y28" s="86">
        <f>TrRoad_act!Y82</f>
        <v>2163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40639</v>
      </c>
      <c r="C30" s="54">
        <f>TrRoad_act!C111</f>
        <v>79416</v>
      </c>
      <c r="D30" s="54">
        <f>TrRoad_act!D111</f>
        <v>71104</v>
      </c>
      <c r="E30" s="54">
        <f>TrRoad_act!E111</f>
        <v>75183</v>
      </c>
      <c r="F30" s="54">
        <f>TrRoad_act!F111</f>
        <v>94155</v>
      </c>
      <c r="G30" s="54">
        <f>TrRoad_act!G111</f>
        <v>89307</v>
      </c>
      <c r="H30" s="54">
        <f>TrRoad_act!H111</f>
        <v>113705</v>
      </c>
      <c r="I30" s="54">
        <f>TrRoad_act!I111</f>
        <v>121801</v>
      </c>
      <c r="J30" s="54">
        <f>TrRoad_act!J111</f>
        <v>64025</v>
      </c>
      <c r="K30" s="54">
        <f>TrRoad_act!K111</f>
        <v>23123</v>
      </c>
      <c r="L30" s="54">
        <f>TrRoad_act!L111</f>
        <v>32977</v>
      </c>
      <c r="M30" s="54">
        <f>TrRoad_act!M111</f>
        <v>58040</v>
      </c>
      <c r="N30" s="54">
        <f>TrRoad_act!N111</f>
        <v>81131</v>
      </c>
      <c r="O30" s="54">
        <f>TrRoad_act!O111</f>
        <v>83322</v>
      </c>
      <c r="P30" s="54">
        <f>TrRoad_act!P111</f>
        <v>77690</v>
      </c>
      <c r="Q30" s="54">
        <f>TrRoad_act!Q111</f>
        <v>84811</v>
      </c>
      <c r="R30" s="54">
        <f>TrRoad_act!R111</f>
        <v>61320</v>
      </c>
      <c r="S30" s="54">
        <f>TrRoad_act!S111</f>
        <v>89878</v>
      </c>
      <c r="T30" s="54">
        <f>TrRoad_act!T111</f>
        <v>91894</v>
      </c>
      <c r="U30" s="54">
        <f>TrRoad_act!U111</f>
        <v>95648</v>
      </c>
      <c r="V30" s="54">
        <f>TrRoad_act!V111</f>
        <v>88918</v>
      </c>
      <c r="W30" s="54">
        <f>TrRoad_act!W111</f>
        <v>97404</v>
      </c>
      <c r="X30" s="54">
        <f>TrRoad_act!X111</f>
        <v>96443</v>
      </c>
      <c r="Y30" s="54">
        <f>TrRoad_act!Y111</f>
        <v>88371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35846</v>
      </c>
      <c r="C31" s="28">
        <f>TrRoad_act!C112</f>
        <v>72040</v>
      </c>
      <c r="D31" s="28">
        <f>TrRoad_act!D112</f>
        <v>60663</v>
      </c>
      <c r="E31" s="28">
        <f>TrRoad_act!E112</f>
        <v>68211</v>
      </c>
      <c r="F31" s="28">
        <f>TrRoad_act!F112</f>
        <v>82656</v>
      </c>
      <c r="G31" s="28">
        <f>TrRoad_act!G112</f>
        <v>81370</v>
      </c>
      <c r="H31" s="28">
        <f>TrRoad_act!H112</f>
        <v>103732</v>
      </c>
      <c r="I31" s="28">
        <f>TrRoad_act!I112</f>
        <v>110882</v>
      </c>
      <c r="J31" s="28">
        <f>TrRoad_act!J112</f>
        <v>58725</v>
      </c>
      <c r="K31" s="28">
        <f>TrRoad_act!K112</f>
        <v>21386</v>
      </c>
      <c r="L31" s="28">
        <f>TrRoad_act!L112</f>
        <v>30534</v>
      </c>
      <c r="M31" s="28">
        <f>TrRoad_act!M112</f>
        <v>52613</v>
      </c>
      <c r="N31" s="28">
        <f>TrRoad_act!N112</f>
        <v>74293</v>
      </c>
      <c r="O31" s="28">
        <f>TrRoad_act!O112</f>
        <v>73648</v>
      </c>
      <c r="P31" s="28">
        <f>TrRoad_act!P112</f>
        <v>72208</v>
      </c>
      <c r="Q31" s="28">
        <f>TrRoad_act!Q112</f>
        <v>77775</v>
      </c>
      <c r="R31" s="28">
        <f>TrRoad_act!R112</f>
        <v>55915</v>
      </c>
      <c r="S31" s="28">
        <f>TrRoad_act!S112</f>
        <v>81330</v>
      </c>
      <c r="T31" s="28">
        <f>TrRoad_act!T112</f>
        <v>83787</v>
      </c>
      <c r="U31" s="28">
        <f>TrRoad_act!U112</f>
        <v>87583</v>
      </c>
      <c r="V31" s="28">
        <f>TrRoad_act!V112</f>
        <v>81353</v>
      </c>
      <c r="W31" s="28">
        <f>TrRoad_act!W112</f>
        <v>89269</v>
      </c>
      <c r="X31" s="28">
        <f>TrRoad_act!X112</f>
        <v>87558</v>
      </c>
      <c r="Y31" s="28">
        <f>TrRoad_act!Y112</f>
        <v>79310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0</v>
      </c>
      <c r="C32" s="137">
        <f>TrRoad_act!C113</f>
        <v>491</v>
      </c>
      <c r="D32" s="137">
        <f>TrRoad_act!D113</f>
        <v>813</v>
      </c>
      <c r="E32" s="137">
        <f>TrRoad_act!E113</f>
        <v>821</v>
      </c>
      <c r="F32" s="137">
        <f>TrRoad_act!F113</f>
        <v>1050</v>
      </c>
      <c r="G32" s="137">
        <f>TrRoad_act!G113</f>
        <v>1094</v>
      </c>
      <c r="H32" s="137">
        <f>TrRoad_act!H113</f>
        <v>1656</v>
      </c>
      <c r="I32" s="137">
        <f>TrRoad_act!I113</f>
        <v>2801</v>
      </c>
      <c r="J32" s="137">
        <f>TrRoad_act!J113</f>
        <v>2879</v>
      </c>
      <c r="K32" s="137">
        <f>TrRoad_act!K113</f>
        <v>1070</v>
      </c>
      <c r="L32" s="137">
        <f>TrRoad_act!L113</f>
        <v>968</v>
      </c>
      <c r="M32" s="137">
        <f>TrRoad_act!M113</f>
        <v>3749</v>
      </c>
      <c r="N32" s="137">
        <f>TrRoad_act!N113</f>
        <v>4566</v>
      </c>
      <c r="O32" s="137">
        <f>TrRoad_act!O113</f>
        <v>4674</v>
      </c>
      <c r="P32" s="137">
        <f>TrRoad_act!P113</f>
        <v>5232</v>
      </c>
      <c r="Q32" s="137">
        <f>TrRoad_act!Q113</f>
        <v>5343</v>
      </c>
      <c r="R32" s="137">
        <f>TrRoad_act!R113</f>
        <v>4128</v>
      </c>
      <c r="S32" s="137">
        <f>TrRoad_act!S113</f>
        <v>5945</v>
      </c>
      <c r="T32" s="137">
        <f>TrRoad_act!T113</f>
        <v>5835</v>
      </c>
      <c r="U32" s="137">
        <f>TrRoad_act!U113</f>
        <v>8034</v>
      </c>
      <c r="V32" s="137">
        <f>TrRoad_act!V113</f>
        <v>7367</v>
      </c>
      <c r="W32" s="137">
        <f>TrRoad_act!W113</f>
        <v>8490</v>
      </c>
      <c r="X32" s="137">
        <f>TrRoad_act!X113</f>
        <v>7806</v>
      </c>
      <c r="Y32" s="137">
        <f>TrRoad_act!Y113</f>
        <v>7706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35745</v>
      </c>
      <c r="C33" s="110">
        <f>TrRoad_act!C114</f>
        <v>70970</v>
      </c>
      <c r="D33" s="110">
        <f>TrRoad_act!D114</f>
        <v>59230</v>
      </c>
      <c r="E33" s="110">
        <f>TrRoad_act!E114</f>
        <v>66657</v>
      </c>
      <c r="F33" s="110">
        <f>TrRoad_act!F114</f>
        <v>81178</v>
      </c>
      <c r="G33" s="110">
        <f>TrRoad_act!G114</f>
        <v>79930</v>
      </c>
      <c r="H33" s="110">
        <f>TrRoad_act!H114</f>
        <v>101709</v>
      </c>
      <c r="I33" s="110">
        <f>TrRoad_act!I114</f>
        <v>107712</v>
      </c>
      <c r="J33" s="110">
        <f>TrRoad_act!J114</f>
        <v>55534</v>
      </c>
      <c r="K33" s="110">
        <f>TrRoad_act!K114</f>
        <v>20056</v>
      </c>
      <c r="L33" s="110">
        <f>TrRoad_act!L114</f>
        <v>29362</v>
      </c>
      <c r="M33" s="110">
        <f>TrRoad_act!M114</f>
        <v>48695</v>
      </c>
      <c r="N33" s="110">
        <f>TrRoad_act!N114</f>
        <v>69563</v>
      </c>
      <c r="O33" s="110">
        <f>TrRoad_act!O114</f>
        <v>68761</v>
      </c>
      <c r="P33" s="110">
        <f>TrRoad_act!P114</f>
        <v>66814</v>
      </c>
      <c r="Q33" s="110">
        <f>TrRoad_act!Q114</f>
        <v>72165</v>
      </c>
      <c r="R33" s="110">
        <f>TrRoad_act!R114</f>
        <v>51515</v>
      </c>
      <c r="S33" s="110">
        <f>TrRoad_act!S114</f>
        <v>75095</v>
      </c>
      <c r="T33" s="110">
        <f>TrRoad_act!T114</f>
        <v>77705</v>
      </c>
      <c r="U33" s="110">
        <f>TrRoad_act!U114</f>
        <v>79300</v>
      </c>
      <c r="V33" s="110">
        <f>TrRoad_act!V114</f>
        <v>73874</v>
      </c>
      <c r="W33" s="110">
        <f>TrRoad_act!W114</f>
        <v>80478</v>
      </c>
      <c r="X33" s="110">
        <f>TrRoad_act!X114</f>
        <v>79341</v>
      </c>
      <c r="Y33" s="110">
        <f>TrRoad_act!Y114</f>
        <v>71341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28638</v>
      </c>
      <c r="C34" s="84">
        <f>TrRoad_act!C115</f>
        <v>53375</v>
      </c>
      <c r="D34" s="84">
        <f>TrRoad_act!D115</f>
        <v>41085</v>
      </c>
      <c r="E34" s="84">
        <f>TrRoad_act!E115</f>
        <v>43870</v>
      </c>
      <c r="F34" s="84">
        <f>TrRoad_act!F115</f>
        <v>52238</v>
      </c>
      <c r="G34" s="84">
        <f>TrRoad_act!G115</f>
        <v>49426</v>
      </c>
      <c r="H34" s="84">
        <f>TrRoad_act!H115</f>
        <v>59962</v>
      </c>
      <c r="I34" s="84">
        <f>TrRoad_act!I115</f>
        <v>62475</v>
      </c>
      <c r="J34" s="84">
        <f>TrRoad_act!J115</f>
        <v>31542</v>
      </c>
      <c r="K34" s="84">
        <f>TrRoad_act!K115</f>
        <v>8757</v>
      </c>
      <c r="L34" s="84">
        <f>TrRoad_act!L115</f>
        <v>13425</v>
      </c>
      <c r="M34" s="84">
        <f>TrRoad_act!M115</f>
        <v>14502</v>
      </c>
      <c r="N34" s="84">
        <f>TrRoad_act!N115</f>
        <v>14055</v>
      </c>
      <c r="O34" s="84">
        <f>TrRoad_act!O115</f>
        <v>21330</v>
      </c>
      <c r="P34" s="84">
        <f>TrRoad_act!P115</f>
        <v>6785</v>
      </c>
      <c r="Q34" s="84">
        <f>TrRoad_act!Q115</f>
        <v>23628</v>
      </c>
      <c r="R34" s="84">
        <f>TrRoad_act!R115</f>
        <v>9381</v>
      </c>
      <c r="S34" s="84">
        <f>TrRoad_act!S115</f>
        <v>19920</v>
      </c>
      <c r="T34" s="84">
        <f>TrRoad_act!T115</f>
        <v>20808</v>
      </c>
      <c r="U34" s="84">
        <f>TrRoad_act!U115</f>
        <v>21611</v>
      </c>
      <c r="V34" s="84">
        <f>TrRoad_act!V115</f>
        <v>21005</v>
      </c>
      <c r="W34" s="84">
        <f>TrRoad_act!W115</f>
        <v>23380</v>
      </c>
      <c r="X34" s="84">
        <f>TrRoad_act!X115</f>
        <v>25968</v>
      </c>
      <c r="Y34" s="84">
        <f>TrRoad_act!Y115</f>
        <v>19531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7104</v>
      </c>
      <c r="C35" s="84">
        <f>TrRoad_act!C116</f>
        <v>14514</v>
      </c>
      <c r="D35" s="84">
        <f>TrRoad_act!D116</f>
        <v>16768</v>
      </c>
      <c r="E35" s="84">
        <f>TrRoad_act!E116</f>
        <v>19408</v>
      </c>
      <c r="F35" s="84">
        <f>TrRoad_act!F116</f>
        <v>21470</v>
      </c>
      <c r="G35" s="84">
        <f>TrRoad_act!G116</f>
        <v>25834</v>
      </c>
      <c r="H35" s="84">
        <f>TrRoad_act!H116</f>
        <v>37437</v>
      </c>
      <c r="I35" s="84">
        <f>TrRoad_act!I116</f>
        <v>44528</v>
      </c>
      <c r="J35" s="84">
        <f>TrRoad_act!J116</f>
        <v>23217</v>
      </c>
      <c r="K35" s="84">
        <f>TrRoad_act!K116</f>
        <v>10632</v>
      </c>
      <c r="L35" s="84">
        <f>TrRoad_act!L116</f>
        <v>15609</v>
      </c>
      <c r="M35" s="84">
        <f>TrRoad_act!M116</f>
        <v>28976</v>
      </c>
      <c r="N35" s="84">
        <f>TrRoad_act!N116</f>
        <v>36165</v>
      </c>
      <c r="O35" s="84">
        <f>TrRoad_act!O116</f>
        <v>41502</v>
      </c>
      <c r="P35" s="84">
        <f>TrRoad_act!P116</f>
        <v>51162</v>
      </c>
      <c r="Q35" s="84">
        <f>TrRoad_act!Q116</f>
        <v>48474</v>
      </c>
      <c r="R35" s="84">
        <f>TrRoad_act!R116</f>
        <v>41258</v>
      </c>
      <c r="S35" s="84">
        <f>TrRoad_act!S116</f>
        <v>54498</v>
      </c>
      <c r="T35" s="84">
        <f>TrRoad_act!T116</f>
        <v>56518</v>
      </c>
      <c r="U35" s="84">
        <f>TrRoad_act!U116</f>
        <v>57299</v>
      </c>
      <c r="V35" s="84">
        <f>TrRoad_act!V116</f>
        <v>52086</v>
      </c>
      <c r="W35" s="84">
        <f>TrRoad_act!W116</f>
        <v>54872</v>
      </c>
      <c r="X35" s="84">
        <f>TrRoad_act!X116</f>
        <v>50188</v>
      </c>
      <c r="Y35" s="84">
        <f>TrRoad_act!Y116</f>
        <v>47738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3081</v>
      </c>
      <c r="D36" s="84">
        <f>TrRoad_act!D117</f>
        <v>1377</v>
      </c>
      <c r="E36" s="84">
        <f>TrRoad_act!E117</f>
        <v>3379</v>
      </c>
      <c r="F36" s="84">
        <f>TrRoad_act!F117</f>
        <v>7470</v>
      </c>
      <c r="G36" s="84">
        <f>TrRoad_act!G117</f>
        <v>4670</v>
      </c>
      <c r="H36" s="84">
        <f>TrRoad_act!H117</f>
        <v>4310</v>
      </c>
      <c r="I36" s="84">
        <f>TrRoad_act!I117</f>
        <v>709</v>
      </c>
      <c r="J36" s="84">
        <f>TrRoad_act!J117</f>
        <v>775</v>
      </c>
      <c r="K36" s="84">
        <f>TrRoad_act!K117</f>
        <v>664</v>
      </c>
      <c r="L36" s="84">
        <f>TrRoad_act!L117</f>
        <v>328</v>
      </c>
      <c r="M36" s="84">
        <f>TrRoad_act!M117</f>
        <v>5217</v>
      </c>
      <c r="N36" s="84">
        <f>TrRoad_act!N117</f>
        <v>19330</v>
      </c>
      <c r="O36" s="84">
        <f>TrRoad_act!O117</f>
        <v>5921</v>
      </c>
      <c r="P36" s="84">
        <f>TrRoad_act!P117</f>
        <v>8690</v>
      </c>
      <c r="Q36" s="84">
        <f>TrRoad_act!Q117</f>
        <v>26</v>
      </c>
      <c r="R36" s="84">
        <f>TrRoad_act!R117</f>
        <v>830</v>
      </c>
      <c r="S36" s="84">
        <f>TrRoad_act!S117</f>
        <v>575</v>
      </c>
      <c r="T36" s="84">
        <f>TrRoad_act!T117</f>
        <v>56</v>
      </c>
      <c r="U36" s="84">
        <f>TrRoad_act!U117</f>
        <v>120</v>
      </c>
      <c r="V36" s="84">
        <f>TrRoad_act!V117</f>
        <v>106</v>
      </c>
      <c r="W36" s="84">
        <f>TrRoad_act!W117</f>
        <v>1149</v>
      </c>
      <c r="X36" s="84">
        <f>TrRoad_act!X117</f>
        <v>1122</v>
      </c>
      <c r="Y36" s="84">
        <f>TrRoad_act!Y117</f>
        <v>1079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3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3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151</v>
      </c>
      <c r="U37" s="84">
        <f>TrRoad_act!U118</f>
        <v>15</v>
      </c>
      <c r="V37" s="84">
        <f>TrRoad_act!V118</f>
        <v>35</v>
      </c>
      <c r="W37" s="84">
        <f>TrRoad_act!W118</f>
        <v>25</v>
      </c>
      <c r="X37" s="84">
        <f>TrRoad_act!X118</f>
        <v>24</v>
      </c>
      <c r="Y37" s="84">
        <f>TrRoad_act!Y118</f>
        <v>41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3</v>
      </c>
      <c r="O38" s="84">
        <f>TrRoad_act!O119</f>
        <v>3</v>
      </c>
      <c r="P38" s="84">
        <f>TrRoad_act!P119</f>
        <v>3</v>
      </c>
      <c r="Q38" s="84">
        <f>TrRoad_act!Q119</f>
        <v>14</v>
      </c>
      <c r="R38" s="84">
        <f>TrRoad_act!R119</f>
        <v>15</v>
      </c>
      <c r="S38" s="84">
        <f>TrRoad_act!S119</f>
        <v>29</v>
      </c>
      <c r="T38" s="84">
        <f>TrRoad_act!T119</f>
        <v>40</v>
      </c>
      <c r="U38" s="84">
        <f>TrRoad_act!U119</f>
        <v>36</v>
      </c>
      <c r="V38" s="84">
        <f>TrRoad_act!V119</f>
        <v>90</v>
      </c>
      <c r="W38" s="84">
        <f>TrRoad_act!W119</f>
        <v>144</v>
      </c>
      <c r="X38" s="84">
        <f>TrRoad_act!X119</f>
        <v>301</v>
      </c>
      <c r="Y38" s="84">
        <f>TrRoad_act!Y119</f>
        <v>396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10</v>
      </c>
      <c r="O39" s="84">
        <f>TrRoad_act!O120</f>
        <v>5</v>
      </c>
      <c r="P39" s="84">
        <f>TrRoad_act!P120</f>
        <v>174</v>
      </c>
      <c r="Q39" s="84">
        <f>TrRoad_act!Q120</f>
        <v>23</v>
      </c>
      <c r="R39" s="84">
        <f>TrRoad_act!R120</f>
        <v>31</v>
      </c>
      <c r="S39" s="84">
        <f>TrRoad_act!S120</f>
        <v>73</v>
      </c>
      <c r="T39" s="84">
        <f>TrRoad_act!T120</f>
        <v>132</v>
      </c>
      <c r="U39" s="84">
        <f>TrRoad_act!U120</f>
        <v>219</v>
      </c>
      <c r="V39" s="84">
        <f>TrRoad_act!V120</f>
        <v>552</v>
      </c>
      <c r="W39" s="84">
        <f>TrRoad_act!W120</f>
        <v>908</v>
      </c>
      <c r="X39" s="84">
        <f>TrRoad_act!X120</f>
        <v>1738</v>
      </c>
      <c r="Y39" s="84">
        <f>TrRoad_act!Y120</f>
        <v>2556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101</v>
      </c>
      <c r="C40" s="110">
        <f>TrRoad_act!C121</f>
        <v>579</v>
      </c>
      <c r="D40" s="110">
        <f>TrRoad_act!D121</f>
        <v>620</v>
      </c>
      <c r="E40" s="110">
        <f>TrRoad_act!E121</f>
        <v>733</v>
      </c>
      <c r="F40" s="110">
        <f>TrRoad_act!F121</f>
        <v>428</v>
      </c>
      <c r="G40" s="110">
        <f>TrRoad_act!G121</f>
        <v>346</v>
      </c>
      <c r="H40" s="110">
        <f>TrRoad_act!H121</f>
        <v>367</v>
      </c>
      <c r="I40" s="110">
        <f>TrRoad_act!I121</f>
        <v>369</v>
      </c>
      <c r="J40" s="110">
        <f>TrRoad_act!J121</f>
        <v>312</v>
      </c>
      <c r="K40" s="110">
        <f>TrRoad_act!K121</f>
        <v>260</v>
      </c>
      <c r="L40" s="110">
        <f>TrRoad_act!L121</f>
        <v>204</v>
      </c>
      <c r="M40" s="110">
        <f>TrRoad_act!M121</f>
        <v>169</v>
      </c>
      <c r="N40" s="110">
        <f>TrRoad_act!N121</f>
        <v>164</v>
      </c>
      <c r="O40" s="110">
        <f>TrRoad_act!O121</f>
        <v>213</v>
      </c>
      <c r="P40" s="110">
        <f>TrRoad_act!P121</f>
        <v>162</v>
      </c>
      <c r="Q40" s="110">
        <f>TrRoad_act!Q121</f>
        <v>267</v>
      </c>
      <c r="R40" s="110">
        <f>TrRoad_act!R121</f>
        <v>272</v>
      </c>
      <c r="S40" s="110">
        <f>TrRoad_act!S121</f>
        <v>290</v>
      </c>
      <c r="T40" s="110">
        <f>TrRoad_act!T121</f>
        <v>247</v>
      </c>
      <c r="U40" s="110">
        <f>TrRoad_act!U121</f>
        <v>249</v>
      </c>
      <c r="V40" s="110">
        <f>TrRoad_act!V121</f>
        <v>112</v>
      </c>
      <c r="W40" s="110">
        <f>TrRoad_act!W121</f>
        <v>301</v>
      </c>
      <c r="X40" s="110">
        <f>TrRoad_act!X121</f>
        <v>411</v>
      </c>
      <c r="Y40" s="110">
        <f>TrRoad_act!Y121</f>
        <v>263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92</v>
      </c>
      <c r="C41" s="102">
        <f>TrRoad_act!C122</f>
        <v>21</v>
      </c>
      <c r="D41" s="102">
        <f>TrRoad_act!D122</f>
        <v>12</v>
      </c>
      <c r="E41" s="102">
        <f>TrRoad_act!E122</f>
        <v>7</v>
      </c>
      <c r="F41" s="102">
        <f>TrRoad_act!F122</f>
        <v>4</v>
      </c>
      <c r="G41" s="102">
        <f>TrRoad_act!G122</f>
        <v>5</v>
      </c>
      <c r="H41" s="102">
        <f>TrRoad_act!H122</f>
        <v>5</v>
      </c>
      <c r="I41" s="102">
        <f>TrRoad_act!I122</f>
        <v>14</v>
      </c>
      <c r="J41" s="102">
        <f>TrRoad_act!J122</f>
        <v>7</v>
      </c>
      <c r="K41" s="102">
        <f>TrRoad_act!K122</f>
        <v>2</v>
      </c>
      <c r="L41" s="102">
        <f>TrRoad_act!L122</f>
        <v>1</v>
      </c>
      <c r="M41" s="102">
        <f>TrRoad_act!M122</f>
        <v>0</v>
      </c>
      <c r="N41" s="102">
        <f>TrRoad_act!N122</f>
        <v>0</v>
      </c>
      <c r="O41" s="102">
        <f>TrRoad_act!O122</f>
        <v>4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1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0</v>
      </c>
      <c r="C42" s="102">
        <f>TrRoad_act!C123</f>
        <v>509</v>
      </c>
      <c r="D42" s="102">
        <f>TrRoad_act!D123</f>
        <v>608</v>
      </c>
      <c r="E42" s="102">
        <f>TrRoad_act!E123</f>
        <v>717</v>
      </c>
      <c r="F42" s="102">
        <f>TrRoad_act!F123</f>
        <v>409</v>
      </c>
      <c r="G42" s="102">
        <f>TrRoad_act!G123</f>
        <v>293</v>
      </c>
      <c r="H42" s="102">
        <f>TrRoad_act!H123</f>
        <v>348</v>
      </c>
      <c r="I42" s="102">
        <f>TrRoad_act!I123</f>
        <v>312</v>
      </c>
      <c r="J42" s="102">
        <f>TrRoad_act!J123</f>
        <v>243</v>
      </c>
      <c r="K42" s="102">
        <f>TrRoad_act!K123</f>
        <v>182</v>
      </c>
      <c r="L42" s="102">
        <f>TrRoad_act!L123</f>
        <v>127</v>
      </c>
      <c r="M42" s="102">
        <f>TrRoad_act!M123</f>
        <v>169</v>
      </c>
      <c r="N42" s="102">
        <f>TrRoad_act!N123</f>
        <v>164</v>
      </c>
      <c r="O42" s="102">
        <f>TrRoad_act!O123</f>
        <v>209</v>
      </c>
      <c r="P42" s="102">
        <f>TrRoad_act!P123</f>
        <v>162</v>
      </c>
      <c r="Q42" s="102">
        <f>TrRoad_act!Q123</f>
        <v>242</v>
      </c>
      <c r="R42" s="102">
        <f>TrRoad_act!R123</f>
        <v>234</v>
      </c>
      <c r="S42" s="102">
        <f>TrRoad_act!S123</f>
        <v>288</v>
      </c>
      <c r="T42" s="102">
        <f>TrRoad_act!T123</f>
        <v>238</v>
      </c>
      <c r="U42" s="102">
        <f>TrRoad_act!U123</f>
        <v>220</v>
      </c>
      <c r="V42" s="102">
        <f>TrRoad_act!V123</f>
        <v>16</v>
      </c>
      <c r="W42" s="102">
        <f>TrRoad_act!W123</f>
        <v>172</v>
      </c>
      <c r="X42" s="102">
        <f>TrRoad_act!X123</f>
        <v>257</v>
      </c>
      <c r="Y42" s="102">
        <f>TrRoad_act!Y123</f>
        <v>186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12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36</v>
      </c>
      <c r="D44" s="102">
        <f>TrRoad_act!D125</f>
        <v>0</v>
      </c>
      <c r="E44" s="102">
        <f>TrRoad_act!E125</f>
        <v>9</v>
      </c>
      <c r="F44" s="102">
        <f>TrRoad_act!F125</f>
        <v>15</v>
      </c>
      <c r="G44" s="102">
        <f>TrRoad_act!G125</f>
        <v>18</v>
      </c>
      <c r="H44" s="102">
        <f>TrRoad_act!H125</f>
        <v>11</v>
      </c>
      <c r="I44" s="102">
        <f>TrRoad_act!I125</f>
        <v>14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14</v>
      </c>
      <c r="V44" s="102">
        <f>TrRoad_act!V125</f>
        <v>46</v>
      </c>
      <c r="W44" s="102">
        <f>TrRoad_act!W125</f>
        <v>90</v>
      </c>
      <c r="X44" s="102">
        <f>TrRoad_act!X125</f>
        <v>130</v>
      </c>
      <c r="Y44" s="102">
        <f>TrRoad_act!Y125</f>
        <v>20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9</v>
      </c>
      <c r="C45" s="102">
        <f>TrRoad_act!C126</f>
        <v>13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30</v>
      </c>
      <c r="H45" s="102">
        <f>TrRoad_act!H126</f>
        <v>3</v>
      </c>
      <c r="I45" s="102">
        <f>TrRoad_act!I126</f>
        <v>29</v>
      </c>
      <c r="J45" s="102">
        <f>TrRoad_act!J126</f>
        <v>62</v>
      </c>
      <c r="K45" s="102">
        <f>TrRoad_act!K126</f>
        <v>76</v>
      </c>
      <c r="L45" s="102">
        <f>TrRoad_act!L126</f>
        <v>76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25</v>
      </c>
      <c r="R45" s="102">
        <f>TrRoad_act!R126</f>
        <v>26</v>
      </c>
      <c r="S45" s="102">
        <f>TrRoad_act!S126</f>
        <v>2</v>
      </c>
      <c r="T45" s="102">
        <f>TrRoad_act!T126</f>
        <v>9</v>
      </c>
      <c r="U45" s="102">
        <f>TrRoad_act!U126</f>
        <v>15</v>
      </c>
      <c r="V45" s="102">
        <f>TrRoad_act!V126</f>
        <v>50</v>
      </c>
      <c r="W45" s="102">
        <f>TrRoad_act!W126</f>
        <v>39</v>
      </c>
      <c r="X45" s="102">
        <f>TrRoad_act!X126</f>
        <v>24</v>
      </c>
      <c r="Y45" s="102">
        <f>TrRoad_act!Y126</f>
        <v>56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4793</v>
      </c>
      <c r="C46" s="28">
        <f>TrRoad_act!C127</f>
        <v>7376</v>
      </c>
      <c r="D46" s="28">
        <f>TrRoad_act!D127</f>
        <v>10441</v>
      </c>
      <c r="E46" s="28">
        <f>TrRoad_act!E127</f>
        <v>6972</v>
      </c>
      <c r="F46" s="28">
        <f>TrRoad_act!F127</f>
        <v>11499</v>
      </c>
      <c r="G46" s="28">
        <f>TrRoad_act!G127</f>
        <v>7937</v>
      </c>
      <c r="H46" s="28">
        <f>TrRoad_act!H127</f>
        <v>9973</v>
      </c>
      <c r="I46" s="28">
        <f>TrRoad_act!I127</f>
        <v>10919</v>
      </c>
      <c r="J46" s="28">
        <f>TrRoad_act!J127</f>
        <v>5300</v>
      </c>
      <c r="K46" s="28">
        <f>TrRoad_act!K127</f>
        <v>1737</v>
      </c>
      <c r="L46" s="28">
        <f>TrRoad_act!L127</f>
        <v>2443</v>
      </c>
      <c r="M46" s="28">
        <f>TrRoad_act!M127</f>
        <v>5427</v>
      </c>
      <c r="N46" s="28">
        <f>TrRoad_act!N127</f>
        <v>6838</v>
      </c>
      <c r="O46" s="28">
        <f>TrRoad_act!O127</f>
        <v>9674</v>
      </c>
      <c r="P46" s="28">
        <f>TrRoad_act!P127</f>
        <v>5482</v>
      </c>
      <c r="Q46" s="28">
        <f>TrRoad_act!Q127</f>
        <v>7036</v>
      </c>
      <c r="R46" s="28">
        <f>TrRoad_act!R127</f>
        <v>5405</v>
      </c>
      <c r="S46" s="28">
        <f>TrRoad_act!S127</f>
        <v>8548</v>
      </c>
      <c r="T46" s="28">
        <f>TrRoad_act!T127</f>
        <v>8107</v>
      </c>
      <c r="U46" s="28">
        <f>TrRoad_act!U127</f>
        <v>8065</v>
      </c>
      <c r="V46" s="28">
        <f>TrRoad_act!V127</f>
        <v>7565</v>
      </c>
      <c r="W46" s="28">
        <f>TrRoad_act!W127</f>
        <v>8135</v>
      </c>
      <c r="X46" s="28">
        <f>TrRoad_act!X127</f>
        <v>8885</v>
      </c>
      <c r="Y46" s="28">
        <f>TrRoad_act!Y127</f>
        <v>9061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2864</v>
      </c>
      <c r="C47" s="137">
        <f>TrRoad_act!C128</f>
        <v>4327</v>
      </c>
      <c r="D47" s="137">
        <f>TrRoad_act!D128</f>
        <v>7307</v>
      </c>
      <c r="E47" s="137">
        <f>TrRoad_act!E128</f>
        <v>3726</v>
      </c>
      <c r="F47" s="137">
        <f>TrRoad_act!F128</f>
        <v>8673</v>
      </c>
      <c r="G47" s="137">
        <f>TrRoad_act!G128</f>
        <v>4742</v>
      </c>
      <c r="H47" s="137">
        <f>TrRoad_act!H128</f>
        <v>6241</v>
      </c>
      <c r="I47" s="137">
        <f>TrRoad_act!I128</f>
        <v>7382</v>
      </c>
      <c r="J47" s="137">
        <f>TrRoad_act!J128</f>
        <v>3527</v>
      </c>
      <c r="K47" s="137">
        <f>TrRoad_act!K128</f>
        <v>1096</v>
      </c>
      <c r="L47" s="137">
        <f>TrRoad_act!L128</f>
        <v>1672</v>
      </c>
      <c r="M47" s="137">
        <f>TrRoad_act!M128</f>
        <v>4085</v>
      </c>
      <c r="N47" s="137">
        <f>TrRoad_act!N128</f>
        <v>5407</v>
      </c>
      <c r="O47" s="137">
        <f>TrRoad_act!O128</f>
        <v>6720</v>
      </c>
      <c r="P47" s="137">
        <f>TrRoad_act!P128</f>
        <v>5103</v>
      </c>
      <c r="Q47" s="137">
        <f>TrRoad_act!Q128</f>
        <v>5969</v>
      </c>
      <c r="R47" s="137">
        <f>TrRoad_act!R128</f>
        <v>3973</v>
      </c>
      <c r="S47" s="137">
        <f>TrRoad_act!S128</f>
        <v>6055</v>
      </c>
      <c r="T47" s="137">
        <f>TrRoad_act!T128</f>
        <v>5683</v>
      </c>
      <c r="U47" s="137">
        <f>TrRoad_act!U128</f>
        <v>6314</v>
      </c>
      <c r="V47" s="137">
        <f>TrRoad_act!V128</f>
        <v>5658</v>
      </c>
      <c r="W47" s="137">
        <f>TrRoad_act!W128</f>
        <v>6680</v>
      </c>
      <c r="X47" s="137">
        <f>TrRoad_act!X128</f>
        <v>6647</v>
      </c>
      <c r="Y47" s="137">
        <f>TrRoad_act!Y128</f>
        <v>7030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672</v>
      </c>
      <c r="C48" s="84">
        <f>TrRoad_act!C129</f>
        <v>1060</v>
      </c>
      <c r="D48" s="84">
        <f>TrRoad_act!D129</f>
        <v>486</v>
      </c>
      <c r="E48" s="84">
        <f>TrRoad_act!E129</f>
        <v>1218</v>
      </c>
      <c r="F48" s="84">
        <f>TrRoad_act!F129</f>
        <v>963</v>
      </c>
      <c r="G48" s="84">
        <f>TrRoad_act!G129</f>
        <v>1206</v>
      </c>
      <c r="H48" s="84">
        <f>TrRoad_act!H129</f>
        <v>1592</v>
      </c>
      <c r="I48" s="84">
        <f>TrRoad_act!I129</f>
        <v>1118</v>
      </c>
      <c r="J48" s="84">
        <f>TrRoad_act!J129</f>
        <v>227</v>
      </c>
      <c r="K48" s="84">
        <f>TrRoad_act!K129</f>
        <v>49</v>
      </c>
      <c r="L48" s="84">
        <f>TrRoad_act!L129</f>
        <v>136</v>
      </c>
      <c r="M48" s="84">
        <f>TrRoad_act!M129</f>
        <v>166</v>
      </c>
      <c r="N48" s="84">
        <f>TrRoad_act!N129</f>
        <v>330</v>
      </c>
      <c r="O48" s="84">
        <f>TrRoad_act!O129</f>
        <v>214</v>
      </c>
      <c r="P48" s="84">
        <f>TrRoad_act!P129</f>
        <v>98</v>
      </c>
      <c r="Q48" s="84">
        <f>TrRoad_act!Q129</f>
        <v>108</v>
      </c>
      <c r="R48" s="84">
        <f>TrRoad_act!R129</f>
        <v>52</v>
      </c>
      <c r="S48" s="84">
        <f>TrRoad_act!S129</f>
        <v>65</v>
      </c>
      <c r="T48" s="84">
        <f>TrRoad_act!T129</f>
        <v>142</v>
      </c>
      <c r="U48" s="84">
        <f>TrRoad_act!U129</f>
        <v>86</v>
      </c>
      <c r="V48" s="84">
        <f>TrRoad_act!V129</f>
        <v>99</v>
      </c>
      <c r="W48" s="84">
        <f>TrRoad_act!W129</f>
        <v>117</v>
      </c>
      <c r="X48" s="84">
        <f>TrRoad_act!X129</f>
        <v>111</v>
      </c>
      <c r="Y48" s="84">
        <f>TrRoad_act!Y129</f>
        <v>170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2192</v>
      </c>
      <c r="C49" s="84">
        <f>TrRoad_act!C130</f>
        <v>3267</v>
      </c>
      <c r="D49" s="84">
        <f>TrRoad_act!D130</f>
        <v>6821</v>
      </c>
      <c r="E49" s="84">
        <f>TrRoad_act!E130</f>
        <v>2508</v>
      </c>
      <c r="F49" s="84">
        <f>TrRoad_act!F130</f>
        <v>7710</v>
      </c>
      <c r="G49" s="84">
        <f>TrRoad_act!G130</f>
        <v>3536</v>
      </c>
      <c r="H49" s="84">
        <f>TrRoad_act!H130</f>
        <v>4649</v>
      </c>
      <c r="I49" s="84">
        <f>TrRoad_act!I130</f>
        <v>6264</v>
      </c>
      <c r="J49" s="84">
        <f>TrRoad_act!J130</f>
        <v>3300</v>
      </c>
      <c r="K49" s="84">
        <f>TrRoad_act!K130</f>
        <v>1047</v>
      </c>
      <c r="L49" s="84">
        <f>TrRoad_act!L130</f>
        <v>1536</v>
      </c>
      <c r="M49" s="84">
        <f>TrRoad_act!M130</f>
        <v>3917</v>
      </c>
      <c r="N49" s="84">
        <f>TrRoad_act!N130</f>
        <v>5059</v>
      </c>
      <c r="O49" s="84">
        <f>TrRoad_act!O130</f>
        <v>6496</v>
      </c>
      <c r="P49" s="84">
        <f>TrRoad_act!P130</f>
        <v>4994</v>
      </c>
      <c r="Q49" s="84">
        <f>TrRoad_act!Q130</f>
        <v>5857</v>
      </c>
      <c r="R49" s="84">
        <f>TrRoad_act!R130</f>
        <v>3772</v>
      </c>
      <c r="S49" s="84">
        <f>TrRoad_act!S130</f>
        <v>5852</v>
      </c>
      <c r="T49" s="84">
        <f>TrRoad_act!T130</f>
        <v>5461</v>
      </c>
      <c r="U49" s="84">
        <f>TrRoad_act!U130</f>
        <v>6146</v>
      </c>
      <c r="V49" s="84">
        <f>TrRoad_act!V130</f>
        <v>5505</v>
      </c>
      <c r="W49" s="84">
        <f>TrRoad_act!W130</f>
        <v>6515</v>
      </c>
      <c r="X49" s="84">
        <f>TrRoad_act!X130</f>
        <v>6482</v>
      </c>
      <c r="Y49" s="84">
        <f>TrRoad_act!Y130</f>
        <v>6757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18</v>
      </c>
      <c r="O50" s="84">
        <f>TrRoad_act!O131</f>
        <v>0</v>
      </c>
      <c r="P50" s="84">
        <f>TrRoad_act!P131</f>
        <v>8</v>
      </c>
      <c r="Q50" s="84">
        <f>TrRoad_act!Q131</f>
        <v>3</v>
      </c>
      <c r="R50" s="84">
        <f>TrRoad_act!R131</f>
        <v>139</v>
      </c>
      <c r="S50" s="84">
        <f>TrRoad_act!S131</f>
        <v>128</v>
      </c>
      <c r="T50" s="84">
        <f>TrRoad_act!T131</f>
        <v>79</v>
      </c>
      <c r="U50" s="84">
        <f>TrRoad_act!U131</f>
        <v>80</v>
      </c>
      <c r="V50" s="84">
        <f>TrRoad_act!V131</f>
        <v>33</v>
      </c>
      <c r="W50" s="84">
        <f>TrRoad_act!W131</f>
        <v>14</v>
      </c>
      <c r="X50" s="84">
        <f>TrRoad_act!X131</f>
        <v>12</v>
      </c>
      <c r="Y50" s="84">
        <f>TrRoad_act!Y131</f>
        <v>22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X51" s="84">
        <f>TrRoad_act!X132</f>
        <v>0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2</v>
      </c>
      <c r="N52" s="84">
        <f>TrRoad_act!N133</f>
        <v>0</v>
      </c>
      <c r="O52" s="84">
        <f>TrRoad_act!O133</f>
        <v>10</v>
      </c>
      <c r="P52" s="84">
        <f>TrRoad_act!P133</f>
        <v>3</v>
      </c>
      <c r="Q52" s="84">
        <f>TrRoad_act!Q133</f>
        <v>1</v>
      </c>
      <c r="R52" s="84">
        <f>TrRoad_act!R133</f>
        <v>10</v>
      </c>
      <c r="S52" s="84">
        <f>TrRoad_act!S133</f>
        <v>10</v>
      </c>
      <c r="T52" s="84">
        <f>TrRoad_act!T133</f>
        <v>1</v>
      </c>
      <c r="U52" s="84">
        <f>TrRoad_act!U133</f>
        <v>2</v>
      </c>
      <c r="V52" s="84">
        <f>TrRoad_act!V133</f>
        <v>21</v>
      </c>
      <c r="W52" s="84">
        <f>TrRoad_act!W133</f>
        <v>34</v>
      </c>
      <c r="X52" s="84">
        <f>TrRoad_act!X133</f>
        <v>42</v>
      </c>
      <c r="Y52" s="84">
        <f>TrRoad_act!Y133</f>
        <v>81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1929</v>
      </c>
      <c r="C53" s="110">
        <f>TrRoad_act!C134</f>
        <v>3049</v>
      </c>
      <c r="D53" s="110">
        <f>TrRoad_act!D134</f>
        <v>3134</v>
      </c>
      <c r="E53" s="110">
        <f>TrRoad_act!E134</f>
        <v>3246</v>
      </c>
      <c r="F53" s="110">
        <f>TrRoad_act!F134</f>
        <v>2826</v>
      </c>
      <c r="G53" s="110">
        <f>TrRoad_act!G134</f>
        <v>3195</v>
      </c>
      <c r="H53" s="110">
        <f>TrRoad_act!H134</f>
        <v>3732</v>
      </c>
      <c r="I53" s="110">
        <f>TrRoad_act!I134</f>
        <v>3537</v>
      </c>
      <c r="J53" s="110">
        <f>TrRoad_act!J134</f>
        <v>1773</v>
      </c>
      <c r="K53" s="110">
        <f>TrRoad_act!K134</f>
        <v>641</v>
      </c>
      <c r="L53" s="110">
        <f>TrRoad_act!L134</f>
        <v>771</v>
      </c>
      <c r="M53" s="110">
        <f>TrRoad_act!M134</f>
        <v>1342</v>
      </c>
      <c r="N53" s="110">
        <f>TrRoad_act!N134</f>
        <v>1431</v>
      </c>
      <c r="O53" s="110">
        <f>TrRoad_act!O134</f>
        <v>2954</v>
      </c>
      <c r="P53" s="110">
        <f>TrRoad_act!P134</f>
        <v>379</v>
      </c>
      <c r="Q53" s="110">
        <f>TrRoad_act!Q134</f>
        <v>1067</v>
      </c>
      <c r="R53" s="110">
        <f>TrRoad_act!R134</f>
        <v>1432</v>
      </c>
      <c r="S53" s="110">
        <f>TrRoad_act!S134</f>
        <v>2493</v>
      </c>
      <c r="T53" s="110">
        <f>TrRoad_act!T134</f>
        <v>2424</v>
      </c>
      <c r="U53" s="110">
        <f>TrRoad_act!U134</f>
        <v>1751</v>
      </c>
      <c r="V53" s="110">
        <f>TrRoad_act!V134</f>
        <v>1907</v>
      </c>
      <c r="W53" s="110">
        <f>TrRoad_act!W134</f>
        <v>1455</v>
      </c>
      <c r="X53" s="110">
        <f>TrRoad_act!X134</f>
        <v>2238</v>
      </c>
      <c r="Y53" s="110">
        <f>TrRoad_act!Y134</f>
        <v>2031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1869</v>
      </c>
      <c r="C54" s="102">
        <f>TrRoad_act!C135</f>
        <v>2980</v>
      </c>
      <c r="D54" s="102">
        <f>TrRoad_act!D135</f>
        <v>3069</v>
      </c>
      <c r="E54" s="102">
        <f>TrRoad_act!E135</f>
        <v>3193</v>
      </c>
      <c r="F54" s="102">
        <f>TrRoad_act!F135</f>
        <v>2657</v>
      </c>
      <c r="G54" s="102">
        <f>TrRoad_act!G135</f>
        <v>3117</v>
      </c>
      <c r="H54" s="102">
        <f>TrRoad_act!H135</f>
        <v>3492</v>
      </c>
      <c r="I54" s="102">
        <f>TrRoad_act!I135</f>
        <v>3334</v>
      </c>
      <c r="J54" s="102">
        <f>TrRoad_act!J135</f>
        <v>1732</v>
      </c>
      <c r="K54" s="102">
        <f>TrRoad_act!K135</f>
        <v>641</v>
      </c>
      <c r="L54" s="102">
        <f>TrRoad_act!L135</f>
        <v>640</v>
      </c>
      <c r="M54" s="102">
        <f>TrRoad_act!M135</f>
        <v>1127</v>
      </c>
      <c r="N54" s="102">
        <f>TrRoad_act!N135</f>
        <v>1239</v>
      </c>
      <c r="O54" s="102">
        <f>TrRoad_act!O135</f>
        <v>2695</v>
      </c>
      <c r="P54" s="102">
        <f>TrRoad_act!P135</f>
        <v>280</v>
      </c>
      <c r="Q54" s="102">
        <f>TrRoad_act!Q135</f>
        <v>724</v>
      </c>
      <c r="R54" s="102">
        <f>TrRoad_act!R135</f>
        <v>1321</v>
      </c>
      <c r="S54" s="102">
        <f>TrRoad_act!S135</f>
        <v>2406</v>
      </c>
      <c r="T54" s="102">
        <f>TrRoad_act!T135</f>
        <v>2167</v>
      </c>
      <c r="U54" s="102">
        <f>TrRoad_act!U135</f>
        <v>1751</v>
      </c>
      <c r="V54" s="102">
        <f>TrRoad_act!V135</f>
        <v>1417</v>
      </c>
      <c r="W54" s="102">
        <f>TrRoad_act!W135</f>
        <v>1416</v>
      </c>
      <c r="X54" s="102">
        <f>TrRoad_act!X135</f>
        <v>1939</v>
      </c>
      <c r="Y54" s="102">
        <f>TrRoad_act!Y135</f>
        <v>1853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60</v>
      </c>
      <c r="C55" s="86">
        <f>TrRoad_act!C136</f>
        <v>69</v>
      </c>
      <c r="D55" s="86">
        <f>TrRoad_act!D136</f>
        <v>65</v>
      </c>
      <c r="E55" s="86">
        <f>TrRoad_act!E136</f>
        <v>53</v>
      </c>
      <c r="F55" s="86">
        <f>TrRoad_act!F136</f>
        <v>169</v>
      </c>
      <c r="G55" s="86">
        <f>TrRoad_act!G136</f>
        <v>78</v>
      </c>
      <c r="H55" s="86">
        <f>TrRoad_act!H136</f>
        <v>240</v>
      </c>
      <c r="I55" s="86">
        <f>TrRoad_act!I136</f>
        <v>203</v>
      </c>
      <c r="J55" s="86">
        <f>TrRoad_act!J136</f>
        <v>41</v>
      </c>
      <c r="K55" s="86">
        <f>TrRoad_act!K136</f>
        <v>0</v>
      </c>
      <c r="L55" s="86">
        <f>TrRoad_act!L136</f>
        <v>131</v>
      </c>
      <c r="M55" s="86">
        <f>TrRoad_act!M136</f>
        <v>215</v>
      </c>
      <c r="N55" s="86">
        <f>TrRoad_act!N136</f>
        <v>192</v>
      </c>
      <c r="O55" s="86">
        <f>TrRoad_act!O136</f>
        <v>259</v>
      </c>
      <c r="P55" s="86">
        <f>TrRoad_act!P136</f>
        <v>99</v>
      </c>
      <c r="Q55" s="86">
        <f>TrRoad_act!Q136</f>
        <v>343</v>
      </c>
      <c r="R55" s="86">
        <f>TrRoad_act!R136</f>
        <v>111</v>
      </c>
      <c r="S55" s="86">
        <f>TrRoad_act!S136</f>
        <v>87</v>
      </c>
      <c r="T55" s="86">
        <f>TrRoad_act!T136</f>
        <v>257</v>
      </c>
      <c r="U55" s="86">
        <f>TrRoad_act!U136</f>
        <v>0</v>
      </c>
      <c r="V55" s="86">
        <f>TrRoad_act!V136</f>
        <v>490</v>
      </c>
      <c r="W55" s="86">
        <f>TrRoad_act!W136</f>
        <v>39</v>
      </c>
      <c r="X55" s="86">
        <f>TrRoad_act!X136</f>
        <v>299</v>
      </c>
      <c r="Y55" s="86">
        <f>TrRoad_act!Y136</f>
        <v>178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0</v>
      </c>
      <c r="C59" s="54">
        <f t="shared" si="0"/>
        <v>0</v>
      </c>
      <c r="D59" s="54">
        <f t="shared" si="0"/>
        <v>9</v>
      </c>
      <c r="E59" s="54">
        <f t="shared" si="0"/>
        <v>278</v>
      </c>
      <c r="F59" s="54">
        <f t="shared" si="0"/>
        <v>2379</v>
      </c>
      <c r="G59" s="54">
        <f t="shared" si="0"/>
        <v>3511</v>
      </c>
      <c r="H59" s="54">
        <f t="shared" si="0"/>
        <v>3876</v>
      </c>
      <c r="I59" s="54">
        <f t="shared" si="0"/>
        <v>2919</v>
      </c>
      <c r="J59" s="54">
        <f t="shared" si="0"/>
        <v>3142</v>
      </c>
      <c r="K59" s="54">
        <f t="shared" si="0"/>
        <v>1850</v>
      </c>
      <c r="L59" s="54">
        <f t="shared" ref="L59" si="1">L60+L75</f>
        <v>2892</v>
      </c>
      <c r="M59" s="54">
        <f t="shared" ref="M59:V59" si="2">M60+M75</f>
        <v>17295</v>
      </c>
      <c r="N59" s="54">
        <f t="shared" si="2"/>
        <v>43766</v>
      </c>
      <c r="O59" s="54">
        <f t="shared" si="2"/>
        <v>56047</v>
      </c>
      <c r="P59" s="54">
        <f t="shared" si="2"/>
        <v>58270</v>
      </c>
      <c r="Q59" s="54">
        <f t="shared" si="2"/>
        <v>69336</v>
      </c>
      <c r="R59" s="54">
        <f t="shared" si="2"/>
        <v>53715</v>
      </c>
      <c r="S59" s="54">
        <f t="shared" si="2"/>
        <v>83277</v>
      </c>
      <c r="T59" s="54">
        <f t="shared" si="2"/>
        <v>88248</v>
      </c>
      <c r="U59" s="54">
        <f t="shared" si="2"/>
        <v>94090</v>
      </c>
      <c r="V59" s="54">
        <f t="shared" si="2"/>
        <v>88411</v>
      </c>
      <c r="W59" s="54">
        <f t="shared" ref="W59:Y59" si="3">W60+W75</f>
        <v>97342</v>
      </c>
      <c r="X59" s="54">
        <f t="shared" si="3"/>
        <v>96426</v>
      </c>
      <c r="Y59" s="54">
        <f t="shared" si="3"/>
        <v>88371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0</v>
      </c>
      <c r="D60" s="28">
        <f t="shared" si="4"/>
        <v>9</v>
      </c>
      <c r="E60" s="28">
        <f t="shared" si="4"/>
        <v>20</v>
      </c>
      <c r="F60" s="28">
        <f t="shared" si="4"/>
        <v>1844</v>
      </c>
      <c r="G60" s="28">
        <f t="shared" si="4"/>
        <v>2718</v>
      </c>
      <c r="H60" s="28">
        <f t="shared" si="4"/>
        <v>2785</v>
      </c>
      <c r="I60" s="28">
        <f t="shared" si="4"/>
        <v>1345</v>
      </c>
      <c r="J60" s="28">
        <f t="shared" si="4"/>
        <v>1861</v>
      </c>
      <c r="K60" s="28">
        <f t="shared" si="4"/>
        <v>1140</v>
      </c>
      <c r="L60" s="28">
        <f t="shared" ref="L60" si="5">L61+L62+L69</f>
        <v>1775</v>
      </c>
      <c r="M60" s="28">
        <f t="shared" ref="M60:V60" si="6">M61+M62+M69</f>
        <v>14282</v>
      </c>
      <c r="N60" s="28">
        <f t="shared" si="6"/>
        <v>39455</v>
      </c>
      <c r="O60" s="28">
        <f t="shared" si="6"/>
        <v>49170</v>
      </c>
      <c r="P60" s="28">
        <f t="shared" si="6"/>
        <v>54062</v>
      </c>
      <c r="Q60" s="28">
        <f t="shared" si="6"/>
        <v>63493</v>
      </c>
      <c r="R60" s="28">
        <f t="shared" si="6"/>
        <v>48917</v>
      </c>
      <c r="S60" s="28">
        <f t="shared" si="6"/>
        <v>75344</v>
      </c>
      <c r="T60" s="28">
        <f t="shared" si="6"/>
        <v>80498</v>
      </c>
      <c r="U60" s="28">
        <f t="shared" si="6"/>
        <v>86178</v>
      </c>
      <c r="V60" s="28">
        <f t="shared" si="6"/>
        <v>80956</v>
      </c>
      <c r="W60" s="28">
        <f t="shared" ref="W60:Y60" si="7">W61+W62+W69</f>
        <v>89223</v>
      </c>
      <c r="X60" s="28">
        <f t="shared" si="7"/>
        <v>87553</v>
      </c>
      <c r="Y60" s="28">
        <f t="shared" si="7"/>
        <v>79310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0</v>
      </c>
      <c r="E61" s="137">
        <v>0</v>
      </c>
      <c r="F61" s="137">
        <v>0</v>
      </c>
      <c r="G61" s="137">
        <v>0</v>
      </c>
      <c r="H61" s="137">
        <v>0</v>
      </c>
      <c r="I61" s="137">
        <v>805</v>
      </c>
      <c r="J61" s="137">
        <v>1230</v>
      </c>
      <c r="K61" s="137">
        <v>556</v>
      </c>
      <c r="L61" s="137">
        <v>588</v>
      </c>
      <c r="M61" s="137">
        <v>2581</v>
      </c>
      <c r="N61" s="137">
        <v>3469</v>
      </c>
      <c r="O61" s="137">
        <v>3839</v>
      </c>
      <c r="P61" s="137">
        <v>4568</v>
      </c>
      <c r="Q61" s="137">
        <v>4889</v>
      </c>
      <c r="R61" s="137">
        <v>3911</v>
      </c>
      <c r="S61" s="137">
        <v>5772</v>
      </c>
      <c r="T61" s="137">
        <v>5756</v>
      </c>
      <c r="U61" s="137">
        <v>7997</v>
      </c>
      <c r="V61" s="137">
        <v>7359</v>
      </c>
      <c r="W61" s="137">
        <v>8488</v>
      </c>
      <c r="X61" s="137">
        <v>7806</v>
      </c>
      <c r="Y61" s="137">
        <v>7706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0</v>
      </c>
      <c r="E62" s="110">
        <f t="shared" si="8"/>
        <v>0</v>
      </c>
      <c r="F62" s="110">
        <f t="shared" si="8"/>
        <v>1826</v>
      </c>
      <c r="G62" s="110">
        <f t="shared" si="8"/>
        <v>2695</v>
      </c>
      <c r="H62" s="110">
        <f t="shared" si="8"/>
        <v>2748</v>
      </c>
      <c r="I62" s="110">
        <f t="shared" si="8"/>
        <v>482</v>
      </c>
      <c r="J62" s="110">
        <f t="shared" si="8"/>
        <v>558</v>
      </c>
      <c r="K62" s="110">
        <f t="shared" si="8"/>
        <v>503</v>
      </c>
      <c r="L62" s="110">
        <f t="shared" ref="L62" si="9">SUM(L63:L68)</f>
        <v>1107</v>
      </c>
      <c r="M62" s="110">
        <f t="shared" ref="M62:V62" si="10">SUM(M63:M68)</f>
        <v>11635</v>
      </c>
      <c r="N62" s="110">
        <f t="shared" si="10"/>
        <v>35909</v>
      </c>
      <c r="O62" s="110">
        <f t="shared" si="10"/>
        <v>45214</v>
      </c>
      <c r="P62" s="110">
        <f t="shared" si="10"/>
        <v>49393</v>
      </c>
      <c r="Q62" s="110">
        <f t="shared" si="10"/>
        <v>58414</v>
      </c>
      <c r="R62" s="110">
        <f t="shared" si="10"/>
        <v>44800</v>
      </c>
      <c r="S62" s="110">
        <f t="shared" si="10"/>
        <v>69332</v>
      </c>
      <c r="T62" s="110">
        <f t="shared" si="10"/>
        <v>74523</v>
      </c>
      <c r="U62" s="110">
        <f t="shared" si="10"/>
        <v>77949</v>
      </c>
      <c r="V62" s="110">
        <f t="shared" si="10"/>
        <v>73487</v>
      </c>
      <c r="W62" s="110">
        <f t="shared" ref="W62:Y62" si="11">SUM(W63:W68)</f>
        <v>80437</v>
      </c>
      <c r="X62" s="110">
        <f t="shared" si="11"/>
        <v>79337</v>
      </c>
      <c r="Y62" s="110">
        <f t="shared" si="11"/>
        <v>71341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846</v>
      </c>
      <c r="M63" s="84">
        <v>7318</v>
      </c>
      <c r="N63" s="84">
        <v>8492</v>
      </c>
      <c r="O63" s="84">
        <v>14865</v>
      </c>
      <c r="P63" s="84">
        <v>5288</v>
      </c>
      <c r="Q63" s="84">
        <v>20065</v>
      </c>
      <c r="R63" s="84">
        <v>8491</v>
      </c>
      <c r="S63" s="84">
        <v>18870</v>
      </c>
      <c r="T63" s="84">
        <v>20307</v>
      </c>
      <c r="U63" s="84">
        <v>21449</v>
      </c>
      <c r="V63" s="84">
        <v>20979</v>
      </c>
      <c r="W63" s="84">
        <v>23375</v>
      </c>
      <c r="X63" s="84">
        <v>25968</v>
      </c>
      <c r="Y63" s="84">
        <v>19531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10821</v>
      </c>
      <c r="O64" s="84">
        <v>25098</v>
      </c>
      <c r="P64" s="84">
        <v>36038</v>
      </c>
      <c r="Q64" s="84">
        <v>38303</v>
      </c>
      <c r="R64" s="84">
        <v>35491</v>
      </c>
      <c r="S64" s="84">
        <v>49837</v>
      </c>
      <c r="T64" s="84">
        <v>53914</v>
      </c>
      <c r="U64" s="84">
        <v>56153</v>
      </c>
      <c r="V64" s="84">
        <v>51801</v>
      </c>
      <c r="W64" s="84">
        <v>54847</v>
      </c>
      <c r="X64" s="84">
        <v>50187</v>
      </c>
      <c r="Y64" s="84">
        <v>47738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1826</v>
      </c>
      <c r="G65" s="84">
        <v>2695</v>
      </c>
      <c r="H65" s="84">
        <v>2748</v>
      </c>
      <c r="I65" s="84">
        <v>482</v>
      </c>
      <c r="J65" s="84">
        <v>558</v>
      </c>
      <c r="K65" s="84">
        <v>503</v>
      </c>
      <c r="L65" s="84">
        <v>261</v>
      </c>
      <c r="M65" s="84">
        <v>4317</v>
      </c>
      <c r="N65" s="84">
        <v>16591</v>
      </c>
      <c r="O65" s="84">
        <v>5246</v>
      </c>
      <c r="P65" s="84">
        <v>7914</v>
      </c>
      <c r="Q65" s="84">
        <v>25</v>
      </c>
      <c r="R65" s="84">
        <v>789</v>
      </c>
      <c r="S65" s="84">
        <v>556</v>
      </c>
      <c r="T65" s="84">
        <v>55</v>
      </c>
      <c r="U65" s="84">
        <v>118</v>
      </c>
      <c r="V65" s="84">
        <v>106</v>
      </c>
      <c r="W65" s="84">
        <v>1146</v>
      </c>
      <c r="X65" s="84">
        <v>1121</v>
      </c>
      <c r="Y65" s="84">
        <v>1079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119</v>
      </c>
      <c r="U66" s="84">
        <v>14</v>
      </c>
      <c r="V66" s="84">
        <v>34</v>
      </c>
      <c r="W66" s="84">
        <v>25</v>
      </c>
      <c r="X66" s="84">
        <v>24</v>
      </c>
      <c r="Y66" s="84">
        <v>41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20</v>
      </c>
      <c r="W67" s="84">
        <v>140</v>
      </c>
      <c r="X67" s="84">
        <v>300</v>
      </c>
      <c r="Y67" s="84">
        <v>396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5</v>
      </c>
      <c r="O68" s="84">
        <v>5</v>
      </c>
      <c r="P68" s="84">
        <v>153</v>
      </c>
      <c r="Q68" s="84">
        <v>21</v>
      </c>
      <c r="R68" s="84">
        <v>29</v>
      </c>
      <c r="S68" s="84">
        <v>69</v>
      </c>
      <c r="T68" s="84">
        <v>128</v>
      </c>
      <c r="U68" s="84">
        <v>215</v>
      </c>
      <c r="V68" s="84">
        <v>547</v>
      </c>
      <c r="W68" s="84">
        <v>904</v>
      </c>
      <c r="X68" s="84">
        <v>1737</v>
      </c>
      <c r="Y68" s="84">
        <v>2556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9</v>
      </c>
      <c r="E69" s="110">
        <f t="shared" si="12"/>
        <v>20</v>
      </c>
      <c r="F69" s="110">
        <f t="shared" si="12"/>
        <v>18</v>
      </c>
      <c r="G69" s="110">
        <f t="shared" si="12"/>
        <v>23</v>
      </c>
      <c r="H69" s="110">
        <f t="shared" si="12"/>
        <v>37</v>
      </c>
      <c r="I69" s="110">
        <f t="shared" si="12"/>
        <v>58</v>
      </c>
      <c r="J69" s="110">
        <f t="shared" si="12"/>
        <v>73</v>
      </c>
      <c r="K69" s="110">
        <f t="shared" si="12"/>
        <v>81</v>
      </c>
      <c r="L69" s="110">
        <f t="shared" ref="L69" si="13">SUM(L70:L74)</f>
        <v>80</v>
      </c>
      <c r="M69" s="110">
        <f t="shared" ref="M69:V69" si="14">SUM(M70:M74)</f>
        <v>66</v>
      </c>
      <c r="N69" s="110">
        <f t="shared" si="14"/>
        <v>77</v>
      </c>
      <c r="O69" s="110">
        <f t="shared" si="14"/>
        <v>117</v>
      </c>
      <c r="P69" s="110">
        <f t="shared" si="14"/>
        <v>101</v>
      </c>
      <c r="Q69" s="110">
        <f t="shared" si="14"/>
        <v>190</v>
      </c>
      <c r="R69" s="110">
        <f t="shared" si="14"/>
        <v>206</v>
      </c>
      <c r="S69" s="110">
        <f t="shared" si="14"/>
        <v>240</v>
      </c>
      <c r="T69" s="110">
        <f t="shared" si="14"/>
        <v>219</v>
      </c>
      <c r="U69" s="110">
        <f t="shared" si="14"/>
        <v>232</v>
      </c>
      <c r="V69" s="110">
        <f t="shared" si="14"/>
        <v>110</v>
      </c>
      <c r="W69" s="110">
        <f t="shared" ref="W69:Y69" si="15">SUM(W70:W74)</f>
        <v>298</v>
      </c>
      <c r="X69" s="110">
        <f t="shared" si="15"/>
        <v>410</v>
      </c>
      <c r="Y69" s="110">
        <f t="shared" si="15"/>
        <v>263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1</v>
      </c>
      <c r="I70" s="102">
        <v>5</v>
      </c>
      <c r="J70" s="102">
        <v>3</v>
      </c>
      <c r="K70" s="102">
        <v>1</v>
      </c>
      <c r="L70" s="102">
        <v>1</v>
      </c>
      <c r="M70" s="102">
        <v>0</v>
      </c>
      <c r="N70" s="102">
        <v>0</v>
      </c>
      <c r="O70" s="102">
        <v>3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1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9</v>
      </c>
      <c r="E71" s="102">
        <v>20</v>
      </c>
      <c r="F71" s="102">
        <v>18</v>
      </c>
      <c r="G71" s="102">
        <v>20</v>
      </c>
      <c r="H71" s="102">
        <v>35</v>
      </c>
      <c r="I71" s="102">
        <v>44</v>
      </c>
      <c r="J71" s="102">
        <v>47</v>
      </c>
      <c r="K71" s="102">
        <v>46</v>
      </c>
      <c r="L71" s="102">
        <v>40</v>
      </c>
      <c r="M71" s="102">
        <v>66</v>
      </c>
      <c r="N71" s="102">
        <v>77</v>
      </c>
      <c r="O71" s="102">
        <v>114</v>
      </c>
      <c r="P71" s="102">
        <v>101</v>
      </c>
      <c r="Q71" s="102">
        <v>169</v>
      </c>
      <c r="R71" s="102">
        <v>179</v>
      </c>
      <c r="S71" s="102">
        <v>238</v>
      </c>
      <c r="T71" s="102">
        <v>210</v>
      </c>
      <c r="U71" s="102">
        <v>203</v>
      </c>
      <c r="V71" s="102">
        <v>15</v>
      </c>
      <c r="W71" s="102">
        <v>169</v>
      </c>
      <c r="X71" s="102">
        <v>256</v>
      </c>
      <c r="Y71" s="102">
        <v>186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4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14</v>
      </c>
      <c r="V73" s="102">
        <v>46</v>
      </c>
      <c r="W73" s="102">
        <v>90</v>
      </c>
      <c r="X73" s="102">
        <v>130</v>
      </c>
      <c r="Y73" s="102">
        <v>20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3</v>
      </c>
      <c r="H74" s="102">
        <v>1</v>
      </c>
      <c r="I74" s="102">
        <v>9</v>
      </c>
      <c r="J74" s="102">
        <v>23</v>
      </c>
      <c r="K74" s="102">
        <v>34</v>
      </c>
      <c r="L74" s="102">
        <v>39</v>
      </c>
      <c r="M74" s="102">
        <v>0</v>
      </c>
      <c r="N74" s="102">
        <v>0</v>
      </c>
      <c r="O74" s="102">
        <v>0</v>
      </c>
      <c r="P74" s="102">
        <v>0</v>
      </c>
      <c r="Q74" s="102">
        <v>21</v>
      </c>
      <c r="R74" s="102">
        <v>23</v>
      </c>
      <c r="S74" s="102">
        <v>2</v>
      </c>
      <c r="T74" s="102">
        <v>9</v>
      </c>
      <c r="U74" s="102">
        <v>15</v>
      </c>
      <c r="V74" s="102">
        <v>49</v>
      </c>
      <c r="W74" s="102">
        <v>39</v>
      </c>
      <c r="X74" s="102">
        <v>24</v>
      </c>
      <c r="Y74" s="102">
        <v>56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258</v>
      </c>
      <c r="F75" s="28">
        <f t="shared" si="16"/>
        <v>535</v>
      </c>
      <c r="G75" s="28">
        <f t="shared" si="16"/>
        <v>793</v>
      </c>
      <c r="H75" s="28">
        <f t="shared" si="16"/>
        <v>1091</v>
      </c>
      <c r="I75" s="28">
        <f t="shared" si="16"/>
        <v>1574</v>
      </c>
      <c r="J75" s="28">
        <f t="shared" si="16"/>
        <v>1281</v>
      </c>
      <c r="K75" s="28">
        <f t="shared" si="16"/>
        <v>710</v>
      </c>
      <c r="L75" s="28">
        <f t="shared" ref="L75" si="17">L76+L82</f>
        <v>1117</v>
      </c>
      <c r="M75" s="28">
        <f t="shared" ref="M75:V75" si="18">M76+M82</f>
        <v>3013</v>
      </c>
      <c r="N75" s="28">
        <f t="shared" si="18"/>
        <v>4311</v>
      </c>
      <c r="O75" s="28">
        <f t="shared" si="18"/>
        <v>6877</v>
      </c>
      <c r="P75" s="28">
        <f t="shared" si="18"/>
        <v>4208</v>
      </c>
      <c r="Q75" s="28">
        <f t="shared" si="18"/>
        <v>5843</v>
      </c>
      <c r="R75" s="28">
        <f t="shared" si="18"/>
        <v>4798</v>
      </c>
      <c r="S75" s="28">
        <f t="shared" si="18"/>
        <v>7933</v>
      </c>
      <c r="T75" s="28">
        <f t="shared" si="18"/>
        <v>7750</v>
      </c>
      <c r="U75" s="28">
        <f t="shared" si="18"/>
        <v>7912</v>
      </c>
      <c r="V75" s="28">
        <f t="shared" si="18"/>
        <v>7455</v>
      </c>
      <c r="W75" s="28">
        <f t="shared" ref="W75:Y75" si="19">W76+W82</f>
        <v>8119</v>
      </c>
      <c r="X75" s="28">
        <f t="shared" si="19"/>
        <v>8873</v>
      </c>
      <c r="Y75" s="28">
        <f t="shared" si="19"/>
        <v>9061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324</v>
      </c>
      <c r="J76" s="137">
        <f t="shared" si="20"/>
        <v>518</v>
      </c>
      <c r="K76" s="137">
        <f t="shared" si="20"/>
        <v>385</v>
      </c>
      <c r="L76" s="137">
        <f t="shared" ref="L76" si="21">SUM(L77:L81)</f>
        <v>732</v>
      </c>
      <c r="M76" s="137">
        <f t="shared" ref="M76:V76" si="22">SUM(M77:M81)</f>
        <v>2139</v>
      </c>
      <c r="N76" s="137">
        <f t="shared" si="22"/>
        <v>3301</v>
      </c>
      <c r="O76" s="137">
        <f t="shared" si="22"/>
        <v>4636</v>
      </c>
      <c r="P76" s="137">
        <f t="shared" si="22"/>
        <v>3905</v>
      </c>
      <c r="Q76" s="137">
        <f t="shared" si="22"/>
        <v>4956</v>
      </c>
      <c r="R76" s="137">
        <f t="shared" si="22"/>
        <v>3523</v>
      </c>
      <c r="S76" s="137">
        <f t="shared" si="22"/>
        <v>5621</v>
      </c>
      <c r="T76" s="137">
        <f t="shared" si="22"/>
        <v>5459</v>
      </c>
      <c r="U76" s="137">
        <f t="shared" si="22"/>
        <v>6204</v>
      </c>
      <c r="V76" s="137">
        <f t="shared" si="22"/>
        <v>5611</v>
      </c>
      <c r="W76" s="137">
        <f t="shared" ref="W76:Y76" si="23">SUM(W77:W81)</f>
        <v>6673</v>
      </c>
      <c r="X76" s="137">
        <f t="shared" si="23"/>
        <v>6647</v>
      </c>
      <c r="Y76" s="137">
        <f t="shared" si="23"/>
        <v>7030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324</v>
      </c>
      <c r="J77" s="84">
        <v>80</v>
      </c>
      <c r="K77" s="84">
        <v>20</v>
      </c>
      <c r="L77" s="84">
        <v>65</v>
      </c>
      <c r="M77" s="84">
        <v>91</v>
      </c>
      <c r="N77" s="84">
        <v>203</v>
      </c>
      <c r="O77" s="84">
        <v>145</v>
      </c>
      <c r="P77" s="84">
        <v>73</v>
      </c>
      <c r="Q77" s="84">
        <v>86</v>
      </c>
      <c r="R77" s="84">
        <v>44</v>
      </c>
      <c r="S77" s="84">
        <v>58</v>
      </c>
      <c r="T77" s="84">
        <v>131</v>
      </c>
      <c r="U77" s="84">
        <v>82</v>
      </c>
      <c r="V77" s="84">
        <v>97</v>
      </c>
      <c r="W77" s="84">
        <v>116</v>
      </c>
      <c r="X77" s="84">
        <v>111</v>
      </c>
      <c r="Y77" s="84">
        <v>170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438</v>
      </c>
      <c r="K78" s="84">
        <v>365</v>
      </c>
      <c r="L78" s="84">
        <v>667</v>
      </c>
      <c r="M78" s="84">
        <v>2048</v>
      </c>
      <c r="N78" s="84">
        <v>3082</v>
      </c>
      <c r="O78" s="84">
        <v>4491</v>
      </c>
      <c r="P78" s="84">
        <v>3824</v>
      </c>
      <c r="Q78" s="84">
        <v>4867</v>
      </c>
      <c r="R78" s="84">
        <v>3340</v>
      </c>
      <c r="S78" s="84">
        <v>5435</v>
      </c>
      <c r="T78" s="84">
        <v>5249</v>
      </c>
      <c r="U78" s="84">
        <v>6042</v>
      </c>
      <c r="V78" s="84">
        <v>5481</v>
      </c>
      <c r="W78" s="84">
        <v>6515</v>
      </c>
      <c r="X78" s="84">
        <v>6482</v>
      </c>
      <c r="Y78" s="84">
        <v>6757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16</v>
      </c>
      <c r="O79" s="84">
        <v>0</v>
      </c>
      <c r="P79" s="84">
        <v>8</v>
      </c>
      <c r="Q79" s="84">
        <v>3</v>
      </c>
      <c r="R79" s="84">
        <v>139</v>
      </c>
      <c r="S79" s="84">
        <v>128</v>
      </c>
      <c r="T79" s="84">
        <v>79</v>
      </c>
      <c r="U79" s="84">
        <v>80</v>
      </c>
      <c r="V79" s="84">
        <v>33</v>
      </c>
      <c r="W79" s="84">
        <v>14</v>
      </c>
      <c r="X79" s="84">
        <v>12</v>
      </c>
      <c r="Y79" s="84">
        <v>22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28</v>
      </c>
      <c r="X81" s="84">
        <v>42</v>
      </c>
      <c r="Y81" s="84">
        <v>81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258</v>
      </c>
      <c r="F82" s="110">
        <f t="shared" si="24"/>
        <v>535</v>
      </c>
      <c r="G82" s="110">
        <f t="shared" si="24"/>
        <v>793</v>
      </c>
      <c r="H82" s="110">
        <f t="shared" si="24"/>
        <v>1091</v>
      </c>
      <c r="I82" s="110">
        <f t="shared" si="24"/>
        <v>1250</v>
      </c>
      <c r="J82" s="110">
        <f t="shared" si="24"/>
        <v>763</v>
      </c>
      <c r="K82" s="110">
        <f t="shared" si="24"/>
        <v>325</v>
      </c>
      <c r="L82" s="110">
        <f t="shared" ref="L82" si="25">SUM(L83:L84)</f>
        <v>385</v>
      </c>
      <c r="M82" s="110">
        <f t="shared" ref="M82:V82" si="26">SUM(M83:M84)</f>
        <v>874</v>
      </c>
      <c r="N82" s="110">
        <f t="shared" si="26"/>
        <v>1010</v>
      </c>
      <c r="O82" s="110">
        <f t="shared" si="26"/>
        <v>2241</v>
      </c>
      <c r="P82" s="110">
        <f t="shared" si="26"/>
        <v>303</v>
      </c>
      <c r="Q82" s="110">
        <f t="shared" si="26"/>
        <v>887</v>
      </c>
      <c r="R82" s="110">
        <f t="shared" si="26"/>
        <v>1275</v>
      </c>
      <c r="S82" s="110">
        <f t="shared" si="26"/>
        <v>2312</v>
      </c>
      <c r="T82" s="110">
        <f t="shared" si="26"/>
        <v>2291</v>
      </c>
      <c r="U82" s="110">
        <f t="shared" si="26"/>
        <v>1708</v>
      </c>
      <c r="V82" s="110">
        <f t="shared" si="26"/>
        <v>1844</v>
      </c>
      <c r="W82" s="110">
        <f t="shared" ref="W82:Y82" si="27">SUM(W83:W84)</f>
        <v>1446</v>
      </c>
      <c r="X82" s="110">
        <f t="shared" si="27"/>
        <v>2226</v>
      </c>
      <c r="Y82" s="110">
        <f t="shared" si="27"/>
        <v>2031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258</v>
      </c>
      <c r="F83" s="102">
        <v>535</v>
      </c>
      <c r="G83" s="102">
        <v>793</v>
      </c>
      <c r="H83" s="102">
        <v>1091</v>
      </c>
      <c r="I83" s="102">
        <v>1250</v>
      </c>
      <c r="J83" s="102">
        <v>763</v>
      </c>
      <c r="K83" s="102">
        <v>325</v>
      </c>
      <c r="L83" s="102">
        <v>368</v>
      </c>
      <c r="M83" s="102">
        <v>722</v>
      </c>
      <c r="N83" s="102">
        <v>871</v>
      </c>
      <c r="O83" s="102">
        <v>2050</v>
      </c>
      <c r="P83" s="102">
        <v>228</v>
      </c>
      <c r="Q83" s="102">
        <v>622</v>
      </c>
      <c r="R83" s="102">
        <v>1187</v>
      </c>
      <c r="S83" s="102">
        <v>2241</v>
      </c>
      <c r="T83" s="102">
        <v>2074</v>
      </c>
      <c r="U83" s="102">
        <v>1708</v>
      </c>
      <c r="V83" s="102">
        <v>1400</v>
      </c>
      <c r="W83" s="102">
        <v>1409</v>
      </c>
      <c r="X83" s="102">
        <v>1937</v>
      </c>
      <c r="Y83" s="102">
        <v>1853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17</v>
      </c>
      <c r="M84" s="86">
        <v>152</v>
      </c>
      <c r="N84" s="86">
        <v>139</v>
      </c>
      <c r="O84" s="86">
        <v>191</v>
      </c>
      <c r="P84" s="86">
        <v>75</v>
      </c>
      <c r="Q84" s="86">
        <v>265</v>
      </c>
      <c r="R84" s="86">
        <v>88</v>
      </c>
      <c r="S84" s="86">
        <v>71</v>
      </c>
      <c r="T84" s="86">
        <v>217</v>
      </c>
      <c r="U84" s="86">
        <v>0</v>
      </c>
      <c r="V84" s="86">
        <v>444</v>
      </c>
      <c r="W84" s="86">
        <v>37</v>
      </c>
      <c r="X84" s="86">
        <v>289</v>
      </c>
      <c r="Y84" s="86">
        <v>178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4.7682600503543737</v>
      </c>
      <c r="C90" s="141">
        <v>4.7505058336124746</v>
      </c>
      <c r="D90" s="141">
        <v>4.7206436093556805</v>
      </c>
      <c r="E90" s="141">
        <v>4.6895110403666891</v>
      </c>
      <c r="F90" s="141">
        <v>4.6502124091469685</v>
      </c>
      <c r="G90" s="141">
        <v>4.6084212995186755</v>
      </c>
      <c r="H90" s="141">
        <v>4.5445451515881903</v>
      </c>
      <c r="I90" s="141">
        <v>4.4408839412454411</v>
      </c>
      <c r="J90" s="141">
        <v>4.3357030954132796</v>
      </c>
      <c r="K90" s="141">
        <v>4.2903632631426154</v>
      </c>
      <c r="L90" s="141">
        <v>4.2464033567834534</v>
      </c>
      <c r="M90" s="141">
        <v>4.0916349275536126</v>
      </c>
      <c r="N90" s="141">
        <v>3.9188216134614025</v>
      </c>
      <c r="O90" s="141">
        <v>3.7574801722518538</v>
      </c>
      <c r="P90" s="141">
        <v>3.5828224687318158</v>
      </c>
      <c r="Q90" s="141">
        <v>3.4182714713268831</v>
      </c>
      <c r="R90" s="141">
        <v>3.2580021677507962</v>
      </c>
      <c r="S90" s="141">
        <v>3.111106514695714</v>
      </c>
      <c r="T90" s="141">
        <v>2.986554391437505</v>
      </c>
      <c r="U90" s="141">
        <v>2.8499565588037017</v>
      </c>
      <c r="V90" s="141">
        <v>2.7497594285324629</v>
      </c>
      <c r="W90" s="141">
        <v>2.6248018213461957</v>
      </c>
      <c r="X90" s="141">
        <v>2.5746854196424915</v>
      </c>
      <c r="Y90" s="141">
        <v>2.5324766763154054</v>
      </c>
      <c r="DA90" s="174" t="s">
        <v>864</v>
      </c>
    </row>
    <row r="91" spans="1:105" ht="11.45" customHeight="1" x14ac:dyDescent="0.25">
      <c r="A91" s="109" t="s">
        <v>20</v>
      </c>
      <c r="B91" s="130">
        <v>9.3252105655671027</v>
      </c>
      <c r="C91" s="130">
        <v>9.1251630484067068</v>
      </c>
      <c r="D91" s="130">
        <v>8.9957263275981578</v>
      </c>
      <c r="E91" s="130">
        <v>8.8514894151708514</v>
      </c>
      <c r="F91" s="130">
        <v>8.6991980641573949</v>
      </c>
      <c r="G91" s="130">
        <v>8.5416377561318679</v>
      </c>
      <c r="H91" s="130">
        <v>8.3564098068177337</v>
      </c>
      <c r="I91" s="130">
        <v>8.1757018955960135</v>
      </c>
      <c r="J91" s="130">
        <v>8.0416946321829315</v>
      </c>
      <c r="K91" s="130">
        <v>7.9581050670944764</v>
      </c>
      <c r="L91" s="130">
        <v>7.8778243822349596</v>
      </c>
      <c r="M91" s="130">
        <v>7.7841076960615174</v>
      </c>
      <c r="N91" s="130">
        <v>7.696472156317915</v>
      </c>
      <c r="O91" s="130">
        <v>7.5858364275424126</v>
      </c>
      <c r="P91" s="130">
        <v>7.4074647586588265</v>
      </c>
      <c r="Q91" s="130">
        <v>7.2388007946461013</v>
      </c>
      <c r="R91" s="130">
        <v>7.0628332104217497</v>
      </c>
      <c r="S91" s="130">
        <v>6.8785914982358234</v>
      </c>
      <c r="T91" s="130">
        <v>6.6753896264868375</v>
      </c>
      <c r="U91" s="130">
        <v>6.4766083909964367</v>
      </c>
      <c r="V91" s="130">
        <v>6.30267844722486</v>
      </c>
      <c r="W91" s="130">
        <v>6.0957322113262782</v>
      </c>
      <c r="X91" s="130">
        <v>5.8771215213466519</v>
      </c>
      <c r="Y91" s="130">
        <v>5.7084845397744335</v>
      </c>
      <c r="DA91" s="176" t="s">
        <v>865</v>
      </c>
    </row>
    <row r="92" spans="1:105" ht="11.45" customHeight="1" x14ac:dyDescent="0.25">
      <c r="A92" s="111" t="s">
        <v>110</v>
      </c>
      <c r="B92" s="96">
        <v>9.4902363628781501</v>
      </c>
      <c r="C92" s="96">
        <v>9.2948369716129644</v>
      </c>
      <c r="D92" s="96">
        <v>9.1979289098972696</v>
      </c>
      <c r="E92" s="96">
        <v>9.094460003711518</v>
      </c>
      <c r="F92" s="96">
        <v>8.9782284956258582</v>
      </c>
      <c r="G92" s="96">
        <v>8.8642132672616754</v>
      </c>
      <c r="H92" s="96">
        <v>8.7186955933883628</v>
      </c>
      <c r="I92" s="96">
        <v>8.5643349509048523</v>
      </c>
      <c r="J92" s="96">
        <v>8.4517206232708464</v>
      </c>
      <c r="K92" s="96">
        <v>8.3903767836557854</v>
      </c>
      <c r="L92" s="96">
        <v>8.312034472022626</v>
      </c>
      <c r="M92" s="96">
        <v>8.2349142174708359</v>
      </c>
      <c r="N92" s="96">
        <v>8.1658183385059626</v>
      </c>
      <c r="O92" s="96">
        <v>8.0768671717312497</v>
      </c>
      <c r="P92" s="96">
        <v>7.9761400070614599</v>
      </c>
      <c r="Q92" s="96">
        <v>7.7791143799129463</v>
      </c>
      <c r="R92" s="96">
        <v>7.5959043673031088</v>
      </c>
      <c r="S92" s="96">
        <v>7.3567428278197342</v>
      </c>
      <c r="T92" s="96">
        <v>7.0925202879378091</v>
      </c>
      <c r="U92" s="96">
        <v>6.8072771335505289</v>
      </c>
      <c r="V92" s="96">
        <v>6.5883550341898536</v>
      </c>
      <c r="W92" s="96">
        <v>6.283893529389653</v>
      </c>
      <c r="X92" s="96">
        <v>5.9649464831039438</v>
      </c>
      <c r="Y92" s="96">
        <v>5.7577565567038889</v>
      </c>
      <c r="DA92" s="171" t="s">
        <v>866</v>
      </c>
    </row>
    <row r="93" spans="1:105" ht="11.45" customHeight="1" x14ac:dyDescent="0.25">
      <c r="A93" s="111" t="s">
        <v>111</v>
      </c>
      <c r="B93" s="96">
        <v>7.9211167942696408</v>
      </c>
      <c r="C93" s="96">
        <v>7.5302691597676041</v>
      </c>
      <c r="D93" s="96">
        <v>7.3814411262231081</v>
      </c>
      <c r="E93" s="96">
        <v>7.2786470851385801</v>
      </c>
      <c r="F93" s="96">
        <v>7.2044582043233518</v>
      </c>
      <c r="G93" s="96">
        <v>7.1505661531016891</v>
      </c>
      <c r="H93" s="96">
        <v>7.0764480271369639</v>
      </c>
      <c r="I93" s="96">
        <v>7.0246222524418105</v>
      </c>
      <c r="J93" s="96">
        <v>7.0191566868211712</v>
      </c>
      <c r="K93" s="96">
        <v>7.0124724252448232</v>
      </c>
      <c r="L93" s="96">
        <v>6.9988472362699667</v>
      </c>
      <c r="M93" s="96">
        <v>6.9731856373658285</v>
      </c>
      <c r="N93" s="96">
        <v>6.94243783440107</v>
      </c>
      <c r="O93" s="96">
        <v>6.8610763047631336</v>
      </c>
      <c r="P93" s="96">
        <v>6.7538512382217535</v>
      </c>
      <c r="Q93" s="96">
        <v>6.6309601425768729</v>
      </c>
      <c r="R93" s="96">
        <v>6.4961844547203906</v>
      </c>
      <c r="S93" s="96">
        <v>6.3593045691205417</v>
      </c>
      <c r="T93" s="96">
        <v>6.2064240374588264</v>
      </c>
      <c r="U93" s="96">
        <v>6.0697033537701541</v>
      </c>
      <c r="V93" s="96">
        <v>5.9263938000048295</v>
      </c>
      <c r="W93" s="96">
        <v>5.7687914741020903</v>
      </c>
      <c r="X93" s="96">
        <v>5.6238276896976114</v>
      </c>
      <c r="Y93" s="96">
        <v>5.5048267232238883</v>
      </c>
      <c r="DA93" s="171" t="s">
        <v>867</v>
      </c>
    </row>
    <row r="94" spans="1:105" ht="11.45" customHeight="1" x14ac:dyDescent="0.25">
      <c r="A94" s="111" t="s">
        <v>112</v>
      </c>
      <c r="B94" s="96">
        <v>8.4763462832575307</v>
      </c>
      <c r="C94" s="96">
        <v>8.103171427340607</v>
      </c>
      <c r="D94" s="96">
        <v>7.9682992472329186</v>
      </c>
      <c r="E94" s="96">
        <v>7.76126679154578</v>
      </c>
      <c r="F94" s="96">
        <v>7.5730405639513254</v>
      </c>
      <c r="G94" s="96">
        <v>7.5203729769841301</v>
      </c>
      <c r="H94" s="96">
        <v>7.5131441948963333</v>
      </c>
      <c r="I94" s="96">
        <v>7.4731155469597654</v>
      </c>
      <c r="J94" s="96">
        <v>7.442160856136673</v>
      </c>
      <c r="K94" s="96">
        <v>7.4118310720754454</v>
      </c>
      <c r="L94" s="96">
        <v>7.4517398597711777</v>
      </c>
      <c r="M94" s="96">
        <v>7.5451781411167378</v>
      </c>
      <c r="N94" s="96">
        <v>7.6283116336430119</v>
      </c>
      <c r="O94" s="96">
        <v>7.5915070441264776</v>
      </c>
      <c r="P94" s="96">
        <v>7.4991525099205711</v>
      </c>
      <c r="Q94" s="96">
        <v>7.5066034334649769</v>
      </c>
      <c r="R94" s="96">
        <v>7.4772507594620956</v>
      </c>
      <c r="S94" s="96">
        <v>7.4609429412322799</v>
      </c>
      <c r="T94" s="96">
        <v>7.4587675498426185</v>
      </c>
      <c r="U94" s="96">
        <v>7.4512640926098879</v>
      </c>
      <c r="V94" s="96">
        <v>7.4425161002179543</v>
      </c>
      <c r="W94" s="96">
        <v>7.3675862366848417</v>
      </c>
      <c r="X94" s="96">
        <v>7.2992482810553803</v>
      </c>
      <c r="Y94" s="96">
        <v>7.2323416242615419</v>
      </c>
      <c r="DA94" s="171" t="s">
        <v>868</v>
      </c>
    </row>
    <row r="95" spans="1:105" ht="11.45" customHeight="1" x14ac:dyDescent="0.25">
      <c r="A95" s="111" t="s">
        <v>113</v>
      </c>
      <c r="B95" s="96">
        <v>7.893772032902457</v>
      </c>
      <c r="C95" s="96">
        <v>7.8877789090989472</v>
      </c>
      <c r="D95" s="96">
        <v>7.8872708523263722</v>
      </c>
      <c r="E95" s="96">
        <v>7.8864899368819996</v>
      </c>
      <c r="F95" s="96">
        <v>7.8853798511254087</v>
      </c>
      <c r="G95" s="96">
        <v>7.8850229514942782</v>
      </c>
      <c r="H95" s="96">
        <v>7.8813931725163409</v>
      </c>
      <c r="I95" s="96">
        <v>7.8785278704426975</v>
      </c>
      <c r="J95" s="96">
        <v>7.8771573976454583</v>
      </c>
      <c r="K95" s="96">
        <v>7.9258657840569349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5.2589913013502239</v>
      </c>
      <c r="U95" s="96">
        <v>5.2624801841879734</v>
      </c>
      <c r="V95" s="96">
        <v>5.1414994668704637</v>
      </c>
      <c r="W95" s="96">
        <v>5.0440420124034322</v>
      </c>
      <c r="X95" s="96">
        <v>4.960859341265996</v>
      </c>
      <c r="Y95" s="96">
        <v>4.8412742304770422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3.1122818545186401</v>
      </c>
      <c r="O96" s="96">
        <v>3.5952242348863672</v>
      </c>
      <c r="P96" s="96">
        <v>3.6356018441975344</v>
      </c>
      <c r="Q96" s="96">
        <v>3.2880043234282335</v>
      </c>
      <c r="R96" s="96">
        <v>2.8939114613015851</v>
      </c>
      <c r="S96" s="96">
        <v>3.0533838450962594</v>
      </c>
      <c r="T96" s="96">
        <v>3.0568393992592164</v>
      </c>
      <c r="U96" s="96">
        <v>3.0606010857191177</v>
      </c>
      <c r="V96" s="96">
        <v>3.3748057040453285</v>
      </c>
      <c r="W96" s="96">
        <v>3.1553577736217999</v>
      </c>
      <c r="X96" s="96">
        <v>2.9401035833177653</v>
      </c>
      <c r="Y96" s="96">
        <v>2.7311416019477308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1.412036608327206</v>
      </c>
      <c r="O97" s="96">
        <v>1.4319489193836057</v>
      </c>
      <c r="P97" s="96">
        <v>1.0955073043020034</v>
      </c>
      <c r="Q97" s="96">
        <v>1.1437778653750279</v>
      </c>
      <c r="R97" s="96">
        <v>1.1879616642594526</v>
      </c>
      <c r="S97" s="96">
        <v>1.2060030491540437</v>
      </c>
      <c r="T97" s="96">
        <v>1.2848216539449862</v>
      </c>
      <c r="U97" s="96">
        <v>1.3915440349431307</v>
      </c>
      <c r="V97" s="96">
        <v>1.4610712227546299</v>
      </c>
      <c r="W97" s="96">
        <v>1.4950723323404871</v>
      </c>
      <c r="X97" s="96">
        <v>1.5213638743533116</v>
      </c>
      <c r="Y97" s="96">
        <v>1.5111767766098412</v>
      </c>
      <c r="DA97" s="171" t="s">
        <v>871</v>
      </c>
    </row>
    <row r="98" spans="1:105" ht="11.45" customHeight="1" x14ac:dyDescent="0.25">
      <c r="A98" s="109" t="s">
        <v>21</v>
      </c>
      <c r="B98" s="130">
        <v>48.887441618700159</v>
      </c>
      <c r="C98" s="130">
        <v>48.008816574391695</v>
      </c>
      <c r="D98" s="130">
        <v>47.381505150702161</v>
      </c>
      <c r="E98" s="130">
        <v>46.874155251513798</v>
      </c>
      <c r="F98" s="130">
        <v>46.413754489072161</v>
      </c>
      <c r="G98" s="130">
        <v>45.871047787755444</v>
      </c>
      <c r="H98" s="130">
        <v>45.517089940643309</v>
      </c>
      <c r="I98" s="130">
        <v>45.129117090762961</v>
      </c>
      <c r="J98" s="130">
        <v>44.645602459393871</v>
      </c>
      <c r="K98" s="130">
        <v>44.282098716150955</v>
      </c>
      <c r="L98" s="130">
        <v>44.107037120521056</v>
      </c>
      <c r="M98" s="130">
        <v>44.552793921164692</v>
      </c>
      <c r="N98" s="130">
        <v>44.523242935649208</v>
      </c>
      <c r="O98" s="130">
        <v>44.522379176062692</v>
      </c>
      <c r="P98" s="130">
        <v>44.505930592803047</v>
      </c>
      <c r="Q98" s="130">
        <v>44.126569705928226</v>
      </c>
      <c r="R98" s="130">
        <v>43.727849220475342</v>
      </c>
      <c r="S98" s="130">
        <v>43.431599824181653</v>
      </c>
      <c r="T98" s="130">
        <v>42.915567360436995</v>
      </c>
      <c r="U98" s="130">
        <v>42.240053269440004</v>
      </c>
      <c r="V98" s="130">
        <v>41.588848079939609</v>
      </c>
      <c r="W98" s="130">
        <v>40.45413482465257</v>
      </c>
      <c r="X98" s="130">
        <v>39.149447989742498</v>
      </c>
      <c r="Y98" s="130">
        <v>38.094683235977925</v>
      </c>
      <c r="DA98" s="176" t="s">
        <v>872</v>
      </c>
    </row>
    <row r="99" spans="1:105" ht="11.45" customHeight="1" x14ac:dyDescent="0.25">
      <c r="A99" s="111" t="s">
        <v>110</v>
      </c>
      <c r="B99" s="97">
        <v>20.464945151261407</v>
      </c>
      <c r="C99" s="97">
        <v>19.376030551290484</v>
      </c>
      <c r="D99" s="97">
        <v>19.261157477319625</v>
      </c>
      <c r="E99" s="97">
        <v>19.168608942999885</v>
      </c>
      <c r="F99" s="97">
        <v>19.095988530811766</v>
      </c>
      <c r="G99" s="97">
        <v>19.003193220363194</v>
      </c>
      <c r="H99" s="97">
        <v>18.899221946059875</v>
      </c>
      <c r="I99" s="97">
        <v>18.665764928325036</v>
      </c>
      <c r="J99" s="97">
        <v>18.49442076458471</v>
      </c>
      <c r="K99" s="97">
        <v>18.316958753799529</v>
      </c>
      <c r="L99" s="97">
        <v>18.09387558501842</v>
      </c>
      <c r="M99" s="97">
        <v>17.537413900781544</v>
      </c>
      <c r="N99" s="97">
        <v>17.230711719079071</v>
      </c>
      <c r="O99" s="97">
        <v>16.647540957915385</v>
      </c>
      <c r="P99" s="97">
        <v>16.223576142111835</v>
      </c>
      <c r="Q99" s="97">
        <v>16.023117739936726</v>
      </c>
      <c r="R99" s="97">
        <v>15.632240446923486</v>
      </c>
      <c r="S99" s="97">
        <v>15.54132618850455</v>
      </c>
      <c r="T99" s="97">
        <v>15.402906097929739</v>
      </c>
      <c r="U99" s="97">
        <v>15.305225139262932</v>
      </c>
      <c r="V99" s="97">
        <v>15.40413941101207</v>
      </c>
      <c r="W99" s="97">
        <v>15.166069274150072</v>
      </c>
      <c r="X99" s="97">
        <v>15.166069274150074</v>
      </c>
      <c r="Y99" s="97">
        <v>14.678957973106973</v>
      </c>
      <c r="DA99" s="175" t="s">
        <v>873</v>
      </c>
    </row>
    <row r="100" spans="1:105" ht="11.45" customHeight="1" x14ac:dyDescent="0.25">
      <c r="A100" s="111" t="s">
        <v>111</v>
      </c>
      <c r="B100" s="97">
        <v>52.504297944876797</v>
      </c>
      <c r="C100" s="97">
        <v>51.406341695461073</v>
      </c>
      <c r="D100" s="97">
        <v>50.348717215945634</v>
      </c>
      <c r="E100" s="97">
        <v>49.429332761094599</v>
      </c>
      <c r="F100" s="97">
        <v>48.922241254540879</v>
      </c>
      <c r="G100" s="97">
        <v>48.534984739843004</v>
      </c>
      <c r="H100" s="97">
        <v>48.169194061793199</v>
      </c>
      <c r="I100" s="97">
        <v>47.881527730629408</v>
      </c>
      <c r="J100" s="97">
        <v>47.537846078673041</v>
      </c>
      <c r="K100" s="97">
        <v>47.22182800246955</v>
      </c>
      <c r="L100" s="97">
        <v>47.106973696085888</v>
      </c>
      <c r="M100" s="97">
        <v>46.915860133383759</v>
      </c>
      <c r="N100" s="97">
        <v>46.638387206152679</v>
      </c>
      <c r="O100" s="97">
        <v>46.375561679146216</v>
      </c>
      <c r="P100" s="97">
        <v>46.098185045354555</v>
      </c>
      <c r="Q100" s="97">
        <v>45.658648716526884</v>
      </c>
      <c r="R100" s="97">
        <v>45.232471742649459</v>
      </c>
      <c r="S100" s="97">
        <v>44.625809091467382</v>
      </c>
      <c r="T100" s="97">
        <v>44.011402171812634</v>
      </c>
      <c r="U100" s="97">
        <v>43.331445778017155</v>
      </c>
      <c r="V100" s="97">
        <v>43.073609860705631</v>
      </c>
      <c r="W100" s="97">
        <v>42.223907554733671</v>
      </c>
      <c r="X100" s="97">
        <v>40.868825521946626</v>
      </c>
      <c r="Y100" s="97">
        <v>39.856458266152757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35.591417128308599</v>
      </c>
      <c r="S101" s="97">
        <v>35.591417128308606</v>
      </c>
      <c r="T101" s="97">
        <v>35.591417128308599</v>
      </c>
      <c r="U101" s="97">
        <v>35.591417128308592</v>
      </c>
      <c r="V101" s="97">
        <v>35.591417128308599</v>
      </c>
      <c r="W101" s="97">
        <v>35.591417128308599</v>
      </c>
      <c r="X101" s="97">
        <v>35.591417128308599</v>
      </c>
      <c r="Y101" s="97">
        <v>35.591417128308599</v>
      </c>
      <c r="DA101" s="175" t="s">
        <v>875</v>
      </c>
    </row>
    <row r="102" spans="1:105" ht="11.45" customHeight="1" x14ac:dyDescent="0.25">
      <c r="A102" s="111" t="s">
        <v>113</v>
      </c>
      <c r="B102" s="97">
        <v>43.751814356062354</v>
      </c>
      <c r="C102" s="97">
        <v>42.123970270268259</v>
      </c>
      <c r="D102" s="97">
        <v>41.917433428610096</v>
      </c>
      <c r="E102" s="97">
        <v>41.472474959070851</v>
      </c>
      <c r="F102" s="97">
        <v>40.928548330543421</v>
      </c>
      <c r="G102" s="97">
        <v>40.422018334928474</v>
      </c>
      <c r="H102" s="97">
        <v>40.043319855433388</v>
      </c>
      <c r="I102" s="97">
        <v>39.710603946032705</v>
      </c>
      <c r="J102" s="97">
        <v>39.247994066336162</v>
      </c>
      <c r="K102" s="97">
        <v>39.05762595517924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33.776428275212652</v>
      </c>
      <c r="V102" s="97">
        <v>33.624823316325703</v>
      </c>
      <c r="W102" s="97">
        <v>33.505692361938266</v>
      </c>
      <c r="X102" s="97">
        <v>33.410465795553755</v>
      </c>
      <c r="Y102" s="97">
        <v>33.395507574266503</v>
      </c>
      <c r="DA102" s="175" t="s">
        <v>876</v>
      </c>
    </row>
    <row r="103" spans="1:105" ht="11.45" customHeight="1" x14ac:dyDescent="0.25">
      <c r="A103" s="111" t="s">
        <v>115</v>
      </c>
      <c r="B103" s="97">
        <v>36.675268721092259</v>
      </c>
      <c r="C103" s="97">
        <v>33.161089886822651</v>
      </c>
      <c r="D103" s="97">
        <v>33.161089886822651</v>
      </c>
      <c r="E103" s="97">
        <v>33.152709798217231</v>
      </c>
      <c r="F103" s="97">
        <v>33.152709798217231</v>
      </c>
      <c r="G103" s="97">
        <v>32.247873926597379</v>
      </c>
      <c r="H103" s="97">
        <v>32.181816996937748</v>
      </c>
      <c r="I103" s="97">
        <v>31.734642095053022</v>
      </c>
      <c r="J103" s="97">
        <v>31.273914800523542</v>
      </c>
      <c r="K103" s="97">
        <v>30.946406032249218</v>
      </c>
      <c r="L103" s="97">
        <v>30.719155685720668</v>
      </c>
      <c r="M103" s="97">
        <v>30.6755106207716</v>
      </c>
      <c r="N103" s="97">
        <v>30.667391200840243</v>
      </c>
      <c r="O103" s="97">
        <v>30.66054332297966</v>
      </c>
      <c r="P103" s="97">
        <v>30.657487958814709</v>
      </c>
      <c r="Q103" s="97">
        <v>30.427879252878277</v>
      </c>
      <c r="R103" s="97">
        <v>30.182400395323867</v>
      </c>
      <c r="S103" s="97">
        <v>30.078719937275764</v>
      </c>
      <c r="T103" s="97">
        <v>29.92675290733693</v>
      </c>
      <c r="U103" s="97">
        <v>29.659544813914263</v>
      </c>
      <c r="V103" s="97">
        <v>28.733975794913071</v>
      </c>
      <c r="W103" s="97">
        <v>28.141623673718087</v>
      </c>
      <c r="X103" s="97">
        <v>27.503198150559864</v>
      </c>
      <c r="Y103" s="97">
        <v>26.679684854578195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8.8373083920554407</v>
      </c>
      <c r="C105" s="141">
        <v>8.631804523770974</v>
      </c>
      <c r="D105" s="141">
        <v>8.5222193167896414</v>
      </c>
      <c r="E105" s="141">
        <v>8.3802024976131442</v>
      </c>
      <c r="F105" s="141">
        <v>8.3115995692367797</v>
      </c>
      <c r="G105" s="141">
        <v>8.1829896893153258</v>
      </c>
      <c r="H105" s="141">
        <v>8.1438010021583356</v>
      </c>
      <c r="I105" s="141">
        <v>8.1110338688530899</v>
      </c>
      <c r="J105" s="141">
        <v>8.0753243815037195</v>
      </c>
      <c r="K105" s="141">
        <v>8.0430577256402405</v>
      </c>
      <c r="L105" s="141">
        <v>8.0342336900021749</v>
      </c>
      <c r="M105" s="141">
        <v>8.0464255107925027</v>
      </c>
      <c r="N105" s="141">
        <v>7.9789915537938958</v>
      </c>
      <c r="O105" s="141">
        <v>7.8954200398222278</v>
      </c>
      <c r="P105" s="141">
        <v>7.8071282480988797</v>
      </c>
      <c r="Q105" s="141">
        <v>7.6867640515879012</v>
      </c>
      <c r="R105" s="141">
        <v>7.5795780920388358</v>
      </c>
      <c r="S105" s="141">
        <v>7.4446624553711684</v>
      </c>
      <c r="T105" s="141">
        <v>7.314353483494008</v>
      </c>
      <c r="U105" s="141">
        <v>7.1598899729361225</v>
      </c>
      <c r="V105" s="141">
        <v>7.0374141230018248</v>
      </c>
      <c r="W105" s="141">
        <v>6.9482295043807127</v>
      </c>
      <c r="X105" s="141">
        <v>6.7938382299483546</v>
      </c>
      <c r="Y105" s="141">
        <v>6.68332167078447</v>
      </c>
      <c r="DA105" s="174" t="s">
        <v>878</v>
      </c>
    </row>
    <row r="106" spans="1:105" ht="11.45" customHeight="1" x14ac:dyDescent="0.25">
      <c r="A106" s="111" t="s">
        <v>110</v>
      </c>
      <c r="B106" s="96">
        <v>8.5845355997265518</v>
      </c>
      <c r="C106" s="96">
        <v>8.4623643433344995</v>
      </c>
      <c r="D106" s="96">
        <v>8.420838203281745</v>
      </c>
      <c r="E106" s="96">
        <v>8.32807598259771</v>
      </c>
      <c r="F106" s="96">
        <v>8.2488349166763975</v>
      </c>
      <c r="G106" s="96">
        <v>8.1525174266371021</v>
      </c>
      <c r="H106" s="96">
        <v>8.0329054514474798</v>
      </c>
      <c r="I106" s="96">
        <v>7.9347809233850723</v>
      </c>
      <c r="J106" s="96">
        <v>7.8311556724915636</v>
      </c>
      <c r="K106" s="96">
        <v>7.7093724985770207</v>
      </c>
      <c r="L106" s="96">
        <v>7.4415918663568146</v>
      </c>
      <c r="M106" s="96">
        <v>7.4142963781409454</v>
      </c>
      <c r="N106" s="96">
        <v>7.3278712928850149</v>
      </c>
      <c r="O106" s="96">
        <v>7.2337762150151166</v>
      </c>
      <c r="P106" s="96">
        <v>7.1013367335177549</v>
      </c>
      <c r="Q106" s="96">
        <v>6.9979533488030814</v>
      </c>
      <c r="R106" s="96">
        <v>6.8725952121063898</v>
      </c>
      <c r="S106" s="96">
        <v>6.7954504292748394</v>
      </c>
      <c r="T106" s="96">
        <v>6.7713088170886895</v>
      </c>
      <c r="U106" s="96">
        <v>6.6996748048658423</v>
      </c>
      <c r="V106" s="96">
        <v>6.614206787652618</v>
      </c>
      <c r="W106" s="96">
        <v>6.5229388716773853</v>
      </c>
      <c r="X106" s="96">
        <v>6.424676193702954</v>
      </c>
      <c r="Y106" s="96">
        <v>6.5217363800830155</v>
      </c>
      <c r="DA106" s="171" t="s">
        <v>879</v>
      </c>
    </row>
    <row r="107" spans="1:105" ht="11.45" customHeight="1" x14ac:dyDescent="0.25">
      <c r="A107" s="111" t="s">
        <v>111</v>
      </c>
      <c r="B107" s="96">
        <v>9.1887061471634404</v>
      </c>
      <c r="C107" s="96">
        <v>8.7023074852180056</v>
      </c>
      <c r="D107" s="96">
        <v>8.4810337758405776</v>
      </c>
      <c r="E107" s="96">
        <v>8.3323123210908694</v>
      </c>
      <c r="F107" s="96">
        <v>8.2708259088595888</v>
      </c>
      <c r="G107" s="96">
        <v>8.1500663269764271</v>
      </c>
      <c r="H107" s="96">
        <v>8.1514560379187735</v>
      </c>
      <c r="I107" s="96">
        <v>8.1466626033256091</v>
      </c>
      <c r="J107" s="96">
        <v>8.1342344585969339</v>
      </c>
      <c r="K107" s="96">
        <v>8.1252629017325599</v>
      </c>
      <c r="L107" s="96">
        <v>8.1222697484084208</v>
      </c>
      <c r="M107" s="96">
        <v>8.1293034152958104</v>
      </c>
      <c r="N107" s="96">
        <v>8.0431342682148141</v>
      </c>
      <c r="O107" s="96">
        <v>7.9252036822171519</v>
      </c>
      <c r="P107" s="96">
        <v>7.8048995862446491</v>
      </c>
      <c r="Q107" s="96">
        <v>7.6619782499426385</v>
      </c>
      <c r="R107" s="96">
        <v>7.5323386303068043</v>
      </c>
      <c r="S107" s="96">
        <v>7.3794962429207898</v>
      </c>
      <c r="T107" s="96">
        <v>7.2361142824866604</v>
      </c>
      <c r="U107" s="96">
        <v>7.0774458146708392</v>
      </c>
      <c r="V107" s="96">
        <v>6.9641888301432013</v>
      </c>
      <c r="W107" s="96">
        <v>6.8711604735348866</v>
      </c>
      <c r="X107" s="96">
        <v>6.7265805367552538</v>
      </c>
      <c r="Y107" s="96">
        <v>6.6339620775270873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7.1770862524199188</v>
      </c>
      <c r="O108" s="96">
        <v>7.177086252419917</v>
      </c>
      <c r="P108" s="96">
        <v>6.756431032752042</v>
      </c>
      <c r="Q108" s="96">
        <v>6.7977987368016937</v>
      </c>
      <c r="R108" s="96">
        <v>8.4562937255070505</v>
      </c>
      <c r="S108" s="96">
        <v>7.8717567783440634</v>
      </c>
      <c r="T108" s="96">
        <v>7.4983513828331212</v>
      </c>
      <c r="U108" s="96">
        <v>7.2093473257011755</v>
      </c>
      <c r="V108" s="96">
        <v>7.2067451991981244</v>
      </c>
      <c r="W108" s="96">
        <v>7.2097214323474725</v>
      </c>
      <c r="X108" s="96">
        <v>7.1673185277069038</v>
      </c>
      <c r="Y108" s="96">
        <v>7.0928246674350524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X109" s="96">
        <v>0</v>
      </c>
      <c r="Y109" s="96">
        <v>0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1.4845354446728654</v>
      </c>
      <c r="N110" s="96">
        <v>1.4845354446728654</v>
      </c>
      <c r="O110" s="96">
        <v>1.4620533025408757</v>
      </c>
      <c r="P110" s="96">
        <v>1.4624015106358408</v>
      </c>
      <c r="Q110" s="96">
        <v>1.4522548496923926</v>
      </c>
      <c r="R110" s="96">
        <v>1.3316282259045298</v>
      </c>
      <c r="S110" s="96">
        <v>1.4048477603732494</v>
      </c>
      <c r="T110" s="96">
        <v>1.4219744198777093</v>
      </c>
      <c r="U110" s="96">
        <v>1.5156398282155199</v>
      </c>
      <c r="V110" s="96">
        <v>2.1093819018237481</v>
      </c>
      <c r="W110" s="96">
        <v>2.2954496438674745</v>
      </c>
      <c r="X110" s="96">
        <v>2.354445154758273</v>
      </c>
      <c r="Y110" s="96">
        <v>2.2674773504993908</v>
      </c>
      <c r="DA110" s="171" t="s">
        <v>883</v>
      </c>
    </row>
    <row r="111" spans="1:105" ht="11.45" customHeight="1" x14ac:dyDescent="0.25">
      <c r="A111" s="109" t="s">
        <v>154</v>
      </c>
      <c r="B111" s="130">
        <v>28.112644580668007</v>
      </c>
      <c r="C111" s="130">
        <v>28.035137603432929</v>
      </c>
      <c r="D111" s="130">
        <v>27.950866183195334</v>
      </c>
      <c r="E111" s="130">
        <v>27.853998843649457</v>
      </c>
      <c r="F111" s="130">
        <v>27.773455326936649</v>
      </c>
      <c r="G111" s="130">
        <v>27.640849999580521</v>
      </c>
      <c r="H111" s="130">
        <v>27.486249385962925</v>
      </c>
      <c r="I111" s="130">
        <v>27.303662295782523</v>
      </c>
      <c r="J111" s="130">
        <v>27.16845458347834</v>
      </c>
      <c r="K111" s="130">
        <v>27.097439384072285</v>
      </c>
      <c r="L111" s="130">
        <v>26.646388005496217</v>
      </c>
      <c r="M111" s="130">
        <v>26.576512023670528</v>
      </c>
      <c r="N111" s="130">
        <v>26.435567420107144</v>
      </c>
      <c r="O111" s="130">
        <v>25.959507683153422</v>
      </c>
      <c r="P111" s="130">
        <v>25.720355279861455</v>
      </c>
      <c r="Q111" s="130">
        <v>25.617423385712776</v>
      </c>
      <c r="R111" s="130">
        <v>25.329034078293652</v>
      </c>
      <c r="S111" s="130">
        <v>24.842616247219212</v>
      </c>
      <c r="T111" s="130">
        <v>24.385252597245458</v>
      </c>
      <c r="U111" s="130">
        <v>24.053898890024442</v>
      </c>
      <c r="V111" s="130">
        <v>23.827388912977504</v>
      </c>
      <c r="W111" s="130">
        <v>23.394475193642037</v>
      </c>
      <c r="X111" s="130">
        <v>23.146908114997618</v>
      </c>
      <c r="Y111" s="130">
        <v>22.905928611095103</v>
      </c>
      <c r="DA111" s="176" t="s">
        <v>884</v>
      </c>
    </row>
    <row r="112" spans="1:105" ht="11.45" customHeight="1" x14ac:dyDescent="0.25">
      <c r="A112" s="128" t="s">
        <v>27</v>
      </c>
      <c r="B112" s="97">
        <v>28.013300489846433</v>
      </c>
      <c r="C112" s="97">
        <v>27.934714982334587</v>
      </c>
      <c r="D112" s="97">
        <v>27.850402681675526</v>
      </c>
      <c r="E112" s="97">
        <v>27.754117293759798</v>
      </c>
      <c r="F112" s="97">
        <v>27.663617298555419</v>
      </c>
      <c r="G112" s="97">
        <v>27.524340541678288</v>
      </c>
      <c r="H112" s="97">
        <v>27.349467619650287</v>
      </c>
      <c r="I112" s="97">
        <v>27.148289903771076</v>
      </c>
      <c r="J112" s="97">
        <v>27.01091001747691</v>
      </c>
      <c r="K112" s="97">
        <v>26.980784971466925</v>
      </c>
      <c r="L112" s="97">
        <v>26.464896527857253</v>
      </c>
      <c r="M112" s="97">
        <v>26.375227831727745</v>
      </c>
      <c r="N112" s="97">
        <v>26.224800981656024</v>
      </c>
      <c r="O112" s="97">
        <v>25.700103840887923</v>
      </c>
      <c r="P112" s="97">
        <v>25.422825033064647</v>
      </c>
      <c r="Q112" s="97">
        <v>25.281914516079674</v>
      </c>
      <c r="R112" s="97">
        <v>24.972071486132752</v>
      </c>
      <c r="S112" s="97">
        <v>24.473570592916566</v>
      </c>
      <c r="T112" s="97">
        <v>23.999439207307869</v>
      </c>
      <c r="U112" s="97">
        <v>23.685171804749046</v>
      </c>
      <c r="V112" s="97">
        <v>23.471092234695654</v>
      </c>
      <c r="W112" s="97">
        <v>23.013664220607417</v>
      </c>
      <c r="X112" s="97">
        <v>22.786111517109607</v>
      </c>
      <c r="Y112" s="97">
        <v>22.565251719841168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36.373196451159359</v>
      </c>
      <c r="D113" s="98">
        <v>36.052583297585684</v>
      </c>
      <c r="E113" s="98">
        <v>35.795307943233951</v>
      </c>
      <c r="F113" s="98">
        <v>35.133952590007162</v>
      </c>
      <c r="G113" s="98">
        <v>34.837730539904797</v>
      </c>
      <c r="H113" s="98">
        <v>34.152595782502893</v>
      </c>
      <c r="I113" s="98">
        <v>33.660228864504283</v>
      </c>
      <c r="J113" s="98">
        <v>33.477555244568038</v>
      </c>
      <c r="K113" s="98">
        <v>33.030149510859268</v>
      </c>
      <c r="L113" s="98">
        <v>32.558565487278138</v>
      </c>
      <c r="M113" s="98">
        <v>31.954335301958224</v>
      </c>
      <c r="N113" s="98">
        <v>31.466987859793676</v>
      </c>
      <c r="O113" s="98">
        <v>30.977939801168681</v>
      </c>
      <c r="P113" s="98">
        <v>30.737232507677575</v>
      </c>
      <c r="Q113" s="98">
        <v>30.09256848317191</v>
      </c>
      <c r="R113" s="98">
        <v>29.819247737580746</v>
      </c>
      <c r="S113" s="98">
        <v>29.555609813687713</v>
      </c>
      <c r="T113" s="98">
        <v>28.957547277779486</v>
      </c>
      <c r="U113" s="98">
        <v>28.814599357500743</v>
      </c>
      <c r="V113" s="98">
        <v>27.753726545414221</v>
      </c>
      <c r="W113" s="98">
        <v>27.557119746676467</v>
      </c>
      <c r="X113" s="98">
        <v>26.985072486614754</v>
      </c>
      <c r="Y113" s="98">
        <v>26.636364195630239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1.0725000000065619</v>
      </c>
      <c r="C117" s="150">
        <f>IF(TrRoad_act!C59=0,0,TrRoad_ene!C62/TrRoad_tech!C90)</f>
        <v>1.0725445919240266</v>
      </c>
      <c r="D117" s="150">
        <f>IF(TrRoad_act!D59=0,0,TrRoad_ene!D62/TrRoad_tech!D90)</f>
        <v>1.0727168378109446</v>
      </c>
      <c r="E117" s="150">
        <f>IF(TrRoad_act!E59=0,0,TrRoad_ene!E62/TrRoad_tech!E90)</f>
        <v>1.0730132884946944</v>
      </c>
      <c r="F117" s="150">
        <f>IF(TrRoad_act!F59=0,0,TrRoad_ene!F62/TrRoad_tech!F90)</f>
        <v>1.0735812468603154</v>
      </c>
      <c r="G117" s="150">
        <f>IF(TrRoad_act!G59=0,0,TrRoad_ene!G62/TrRoad_tech!G90)</f>
        <v>1.0743935257256472</v>
      </c>
      <c r="H117" s="150">
        <f>IF(TrRoad_act!H59=0,0,TrRoad_ene!H62/TrRoad_tech!H90)</f>
        <v>1.0759647112450896</v>
      </c>
      <c r="I117" s="150">
        <f>IF(TrRoad_act!I59=0,0,TrRoad_ene!I62/TrRoad_tech!I90)</f>
        <v>1.0792006508723804</v>
      </c>
      <c r="J117" s="150">
        <f>IF(TrRoad_act!J59=0,0,TrRoad_ene!J62/TrRoad_tech!J90)</f>
        <v>1.0831166149230578</v>
      </c>
      <c r="K117" s="150">
        <f>IF(TrRoad_act!K59=0,0,TrRoad_ene!K62/TrRoad_tech!K90)</f>
        <v>1.0849123289348337</v>
      </c>
      <c r="L117" s="150">
        <f>IF(TrRoad_act!L59=0,0,TrRoad_ene!L62/TrRoad_tech!L90)</f>
        <v>1.086811340509436</v>
      </c>
      <c r="M117" s="150">
        <f>IF(TrRoad_act!M59=0,0,TrRoad_ene!M62/TrRoad_tech!M90)</f>
        <v>1.0943389400798544</v>
      </c>
      <c r="N117" s="150">
        <f>IF(TrRoad_act!N59=0,0,TrRoad_ene!N62/TrRoad_tech!N90)</f>
        <v>1.1043957438454199</v>
      </c>
      <c r="O117" s="150">
        <f>IF(TrRoad_act!O59=0,0,TrRoad_ene!O62/TrRoad_tech!O90)</f>
        <v>1.1156745205513132</v>
      </c>
      <c r="P117" s="150">
        <f>IF(TrRoad_act!P59=0,0,TrRoad_ene!P62/TrRoad_tech!P90)</f>
        <v>1.1289359693192946</v>
      </c>
      <c r="Q117" s="150">
        <f>IF(TrRoad_act!Q59=0,0,TrRoad_ene!Q62/TrRoad_tech!Q90)</f>
        <v>1.1434632061147285</v>
      </c>
      <c r="R117" s="150">
        <f>IF(TrRoad_act!R59=0,0,TrRoad_ene!R62/TrRoad_tech!R90)</f>
        <v>1.1588891766816327</v>
      </c>
      <c r="S117" s="150">
        <f>IF(TrRoad_act!S59=0,0,TrRoad_ene!S62/TrRoad_tech!S90)</f>
        <v>1.1767434120964217</v>
      </c>
      <c r="T117" s="150">
        <f>IF(TrRoad_act!T59=0,0,TrRoad_ene!T62/TrRoad_tech!T90)</f>
        <v>1.1950726739991662</v>
      </c>
      <c r="U117" s="150">
        <f>IF(TrRoad_act!U59=0,0,TrRoad_ene!U62/TrRoad_tech!U90)</f>
        <v>1.2201777628205688</v>
      </c>
      <c r="V117" s="150">
        <f>IF(TrRoad_act!V59=0,0,TrRoad_ene!V62/TrRoad_tech!V90)</f>
        <v>1.2433432524686054</v>
      </c>
      <c r="W117" s="150">
        <f>IF(TrRoad_act!W59=0,0,TrRoad_ene!W62/TrRoad_tech!W90)</f>
        <v>1.3390968776368732</v>
      </c>
      <c r="X117" s="150">
        <f>IF(TrRoad_act!X59=0,0,TrRoad_ene!X62/TrRoad_tech!X90)</f>
        <v>1.3476167770187384</v>
      </c>
      <c r="Y117" s="150">
        <f>IF(TrRoad_act!Y59=0,0,TrRoad_ene!Y62/TrRoad_tech!Y90)</f>
        <v>1.3783767842968999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0.97687833895487841</v>
      </c>
      <c r="C118" s="151">
        <f>IF(TrRoad_act!C60=0,0,TrRoad_ene!C63/TrRoad_tech!C91)</f>
        <v>0.93336689013693641</v>
      </c>
      <c r="D118" s="151">
        <f>IF(TrRoad_act!D60=0,0,TrRoad_ene!D63/TrRoad_tech!D91)</f>
        <v>0.93992148090400673</v>
      </c>
      <c r="E118" s="151">
        <f>IF(TrRoad_act!E60=0,0,TrRoad_ene!E63/TrRoad_tech!E91)</f>
        <v>0.94537396338303725</v>
      </c>
      <c r="F118" s="151">
        <f>IF(TrRoad_act!F60=0,0,TrRoad_ene!F63/TrRoad_tech!F91)</f>
        <v>0.94232722234456157</v>
      </c>
      <c r="G118" s="151">
        <f>IF(TrRoad_act!G60=0,0,TrRoad_ene!G63/TrRoad_tech!G91)</f>
        <v>0.9454075085361735</v>
      </c>
      <c r="H118" s="151">
        <f>IF(TrRoad_act!H60=0,0,TrRoad_ene!H63/TrRoad_tech!H91)</f>
        <v>0.94725490928555844</v>
      </c>
      <c r="I118" s="151">
        <f>IF(TrRoad_act!I60=0,0,TrRoad_ene!I63/TrRoad_tech!I91)</f>
        <v>0.95715866363625601</v>
      </c>
      <c r="J118" s="151">
        <f>IF(TrRoad_act!J60=0,0,TrRoad_ene!J63/TrRoad_tech!J91)</f>
        <v>0.95917274919862638</v>
      </c>
      <c r="K118" s="151">
        <f>IF(TrRoad_act!K60=0,0,TrRoad_ene!K63/TrRoad_tech!K91)</f>
        <v>0.96824548105570596</v>
      </c>
      <c r="L118" s="151">
        <f>IF(TrRoad_act!L60=0,0,TrRoad_ene!L63/TrRoad_tech!L91)</f>
        <v>0.97851458514295975</v>
      </c>
      <c r="M118" s="151">
        <f>IF(TrRoad_act!M60=0,0,TrRoad_ene!M63/TrRoad_tech!M91)</f>
        <v>0.96427983714637233</v>
      </c>
      <c r="N118" s="151">
        <f>IF(TrRoad_act!N60=0,0,TrRoad_ene!N63/TrRoad_tech!N91)</f>
        <v>0.95327479804957349</v>
      </c>
      <c r="O118" s="151">
        <f>IF(TrRoad_act!O60=0,0,TrRoad_ene!O63/TrRoad_tech!O91)</f>
        <v>0.96561952680477059</v>
      </c>
      <c r="P118" s="151">
        <f>IF(TrRoad_act!P60=0,0,TrRoad_ene!P63/TrRoad_tech!P91)</f>
        <v>0.97012571462538388</v>
      </c>
      <c r="Q118" s="151">
        <f>IF(TrRoad_act!Q60=0,0,TrRoad_ene!Q63/TrRoad_tech!Q91)</f>
        <v>0.98340718072451028</v>
      </c>
      <c r="R118" s="151">
        <f>IF(TrRoad_act!R60=0,0,TrRoad_ene!R63/TrRoad_tech!R91)</f>
        <v>0.99675109176236476</v>
      </c>
      <c r="S118" s="151">
        <f>IF(TrRoad_act!S60=0,0,TrRoad_ene!S63/TrRoad_tech!S91)</f>
        <v>0.99786754766099828</v>
      </c>
      <c r="T118" s="151">
        <f>IF(TrRoad_act!T60=0,0,TrRoad_ene!T63/TrRoad_tech!T91)</f>
        <v>1.0016801397403532</v>
      </c>
      <c r="U118" s="151">
        <f>IF(TrRoad_act!U60=0,0,TrRoad_ene!U63/TrRoad_tech!U91)</f>
        <v>0.99728041119066657</v>
      </c>
      <c r="V118" s="151">
        <f>IF(TrRoad_act!V60=0,0,TrRoad_ene!V63/TrRoad_tech!V91)</f>
        <v>1.0212137424714203</v>
      </c>
      <c r="W118" s="151">
        <f>IF(TrRoad_act!W60=0,0,TrRoad_ene!W63/TrRoad_tech!W91)</f>
        <v>1.0191259752083097</v>
      </c>
      <c r="X118" s="151">
        <f>IF(TrRoad_act!X60=0,0,TrRoad_ene!X63/TrRoad_tech!X91)</f>
        <v>1.0192388530705037</v>
      </c>
      <c r="Y118" s="151">
        <f>IF(TrRoad_act!Y60=0,0,TrRoad_ene!Y63/TrRoad_tech!Y91)</f>
        <v>1.0185556623890228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0.96826544074558996</v>
      </c>
      <c r="C119" s="91">
        <f>IF(TrRoad_act!C61=0,0,TrRoad_ene!C64/TrRoad_tech!C92)</f>
        <v>0.92424994133378624</v>
      </c>
      <c r="D119" s="91">
        <f>IF(TrRoad_act!D61=0,0,TrRoad_ene!D64/TrRoad_tech!D92)</f>
        <v>0.92763556199431985</v>
      </c>
      <c r="E119" s="91">
        <f>IF(TrRoad_act!E61=0,0,TrRoad_ene!E64/TrRoad_tech!E92)</f>
        <v>0.93128969939609252</v>
      </c>
      <c r="F119" s="91">
        <f>IF(TrRoad_act!F61=0,0,TrRoad_ene!F64/TrRoad_tech!F92)</f>
        <v>0.93424023401937506</v>
      </c>
      <c r="G119" s="91">
        <f>IF(TrRoad_act!G61=0,0,TrRoad_ene!G64/TrRoad_tech!G92)</f>
        <v>0.93618225969564162</v>
      </c>
      <c r="H119" s="91">
        <f>IF(TrRoad_act!H61=0,0,TrRoad_ene!H64/TrRoad_tech!H92)</f>
        <v>0.93861081411392</v>
      </c>
      <c r="I119" s="91">
        <f>IF(TrRoad_act!I61=0,0,TrRoad_ene!I64/TrRoad_tech!I92)</f>
        <v>0.939303351422484</v>
      </c>
      <c r="J119" s="91">
        <f>IF(TrRoad_act!J61=0,0,TrRoad_ene!J64/TrRoad_tech!J92)</f>
        <v>0.93997466381465034</v>
      </c>
      <c r="K119" s="91">
        <f>IF(TrRoad_act!K61=0,0,TrRoad_ene!K64/TrRoad_tech!K92)</f>
        <v>0.95918557059349385</v>
      </c>
      <c r="L119" s="91">
        <f>IF(TrRoad_act!L61=0,0,TrRoad_ene!L64/TrRoad_tech!L92)</f>
        <v>0.94515552525382429</v>
      </c>
      <c r="M119" s="91">
        <f>IF(TrRoad_act!M61=0,0,TrRoad_ene!M64/TrRoad_tech!M92)</f>
        <v>0.96921702737584281</v>
      </c>
      <c r="N119" s="91">
        <f>IF(TrRoad_act!N61=0,0,TrRoad_ene!N64/TrRoad_tech!N92)</f>
        <v>0.9554585008324511</v>
      </c>
      <c r="O119" s="91">
        <f>IF(TrRoad_act!O61=0,0,TrRoad_ene!O64/TrRoad_tech!O92)</f>
        <v>0.93928115875935381</v>
      </c>
      <c r="P119" s="91">
        <f>IF(TrRoad_act!P61=0,0,TrRoad_ene!P64/TrRoad_tech!P92)</f>
        <v>0.95761079421558848</v>
      </c>
      <c r="Q119" s="91">
        <f>IF(TrRoad_act!Q61=0,0,TrRoad_ene!Q64/TrRoad_tech!Q92)</f>
        <v>0.95644809684044596</v>
      </c>
      <c r="R119" s="91">
        <f>IF(TrRoad_act!R61=0,0,TrRoad_ene!R64/TrRoad_tech!R92)</f>
        <v>1.0429786421567018</v>
      </c>
      <c r="S119" s="91">
        <f>IF(TrRoad_act!S61=0,0,TrRoad_ene!S64/TrRoad_tech!S92)</f>
        <v>1.0468283618848877</v>
      </c>
      <c r="T119" s="91">
        <f>IF(TrRoad_act!T61=0,0,TrRoad_ene!T64/TrRoad_tech!T92)</f>
        <v>1.0516456967368868</v>
      </c>
      <c r="U119" s="91">
        <f>IF(TrRoad_act!U61=0,0,TrRoad_ene!U64/TrRoad_tech!U92)</f>
        <v>1.0570569674672898</v>
      </c>
      <c r="V119" s="91">
        <f>IF(TrRoad_act!V61=0,0,TrRoad_ene!V64/TrRoad_tech!V92)</f>
        <v>1.1224759613692572</v>
      </c>
      <c r="W119" s="91">
        <f>IF(TrRoad_act!W61=0,0,TrRoad_ene!W64/TrRoad_tech!W92)</f>
        <v>1.1042695141115231</v>
      </c>
      <c r="X119" s="91">
        <f>IF(TrRoad_act!X61=0,0,TrRoad_ene!X64/TrRoad_tech!X92)</f>
        <v>1.0745269384121405</v>
      </c>
      <c r="Y119" s="91">
        <f>IF(TrRoad_act!Y61=0,0,TrRoad_ene!Y64/TrRoad_tech!Y92)</f>
        <v>1.079400448469515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1.0180122992811618</v>
      </c>
      <c r="C120" s="91">
        <f>IF(TrRoad_act!C62=0,0,TrRoad_ene!C65/TrRoad_tech!C93)</f>
        <v>1.0805950236572055</v>
      </c>
      <c r="D120" s="91">
        <f>IF(TrRoad_act!D62=0,0,TrRoad_ene!D65/TrRoad_tech!D93)</f>
        <v>1.0746746252844859</v>
      </c>
      <c r="E120" s="91">
        <f>IF(TrRoad_act!E62=0,0,TrRoad_ene!E65/TrRoad_tech!E93)</f>
        <v>1.0654903560073496</v>
      </c>
      <c r="F120" s="91">
        <f>IF(TrRoad_act!F62=0,0,TrRoad_ene!F65/TrRoad_tech!F93)</f>
        <v>1.0596739532786639</v>
      </c>
      <c r="G120" s="91">
        <f>IF(TrRoad_act!G62=0,0,TrRoad_ene!G65/TrRoad_tech!G93)</f>
        <v>1.0501189059405058</v>
      </c>
      <c r="H120" s="91">
        <f>IF(TrRoad_act!H62=0,0,TrRoad_ene!H65/TrRoad_tech!H93)</f>
        <v>1.0376196524669004</v>
      </c>
      <c r="I120" s="91">
        <f>IF(TrRoad_act!I62=0,0,TrRoad_ene!I65/TrRoad_tech!I93)</f>
        <v>1.0616829965538308</v>
      </c>
      <c r="J120" s="91">
        <f>IF(TrRoad_act!J62=0,0,TrRoad_ene!J65/TrRoad_tech!J93)</f>
        <v>1.0521734456381175</v>
      </c>
      <c r="K120" s="91">
        <f>IF(TrRoad_act!K62=0,0,TrRoad_ene!K65/TrRoad_tech!K93)</f>
        <v>1.0429546390117774</v>
      </c>
      <c r="L120" s="91">
        <f>IF(TrRoad_act!L62=0,0,TrRoad_ene!L65/TrRoad_tech!L93)</f>
        <v>1.0844733653399323</v>
      </c>
      <c r="M120" s="91">
        <f>IF(TrRoad_act!M62=0,0,TrRoad_ene!M65/TrRoad_tech!M93)</f>
        <v>1.003386285391721</v>
      </c>
      <c r="N120" s="91">
        <f>IF(TrRoad_act!N62=0,0,TrRoad_ene!N65/TrRoad_tech!N93)</f>
        <v>0.99767326049056326</v>
      </c>
      <c r="O120" s="91">
        <f>IF(TrRoad_act!O62=0,0,TrRoad_ene!O65/TrRoad_tech!O93)</f>
        <v>1.0079358200474695</v>
      </c>
      <c r="P120" s="91">
        <f>IF(TrRoad_act!P62=0,0,TrRoad_ene!P65/TrRoad_tech!P93)</f>
        <v>0.99887072036486513</v>
      </c>
      <c r="Q120" s="91">
        <f>IF(TrRoad_act!Q62=0,0,TrRoad_ene!Q65/TrRoad_tech!Q93)</f>
        <v>1.0019257732019664</v>
      </c>
      <c r="R120" s="91">
        <f>IF(TrRoad_act!R62=0,0,TrRoad_ene!R65/TrRoad_tech!R93)</f>
        <v>0.99886942349886987</v>
      </c>
      <c r="S120" s="91">
        <f>IF(TrRoad_act!S62=0,0,TrRoad_ene!S65/TrRoad_tech!S93)</f>
        <v>1.0032893728473167</v>
      </c>
      <c r="T120" s="91">
        <f>IF(TrRoad_act!T62=0,0,TrRoad_ene!T65/TrRoad_tech!T93)</f>
        <v>1.0091022772488478</v>
      </c>
      <c r="U120" s="91">
        <f>IF(TrRoad_act!U62=0,0,TrRoad_ene!U65/TrRoad_tech!U93)</f>
        <v>1.0082467109187458</v>
      </c>
      <c r="V120" s="91">
        <f>IF(TrRoad_act!V62=0,0,TrRoad_ene!V65/TrRoad_tech!V93)</f>
        <v>1.0150063523662813</v>
      </c>
      <c r="W120" s="91">
        <f>IF(TrRoad_act!W62=0,0,TrRoad_ene!W65/TrRoad_tech!W93)</f>
        <v>1.0206859322201172</v>
      </c>
      <c r="X120" s="91">
        <f>IF(TrRoad_act!X62=0,0,TrRoad_ene!X65/TrRoad_tech!X93)</f>
        <v>1.0276831372153166</v>
      </c>
      <c r="Y120" s="91">
        <f>IF(TrRoad_act!Y62=0,0,TrRoad_ene!Y65/TrRoad_tech!Y93)</f>
        <v>1.0290077673937887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1.1717308600428886</v>
      </c>
      <c r="C121" s="91">
        <f>IF(TrRoad_act!C63=0,0,TrRoad_ene!C66/TrRoad_tech!C94)</f>
        <v>1.0215764886596639</v>
      </c>
      <c r="D121" s="91">
        <f>IF(TrRoad_act!D63=0,0,TrRoad_ene!D66/TrRoad_tech!D94)</f>
        <v>1.1128718931114443</v>
      </c>
      <c r="E121" s="91">
        <f>IF(TrRoad_act!E63=0,0,TrRoad_ene!E66/TrRoad_tech!E94)</f>
        <v>1.179940989116099</v>
      </c>
      <c r="F121" s="91">
        <f>IF(TrRoad_act!F63=0,0,TrRoad_ene!F66/TrRoad_tech!F94)</f>
        <v>1.0478529677801289</v>
      </c>
      <c r="G121" s="91">
        <f>IF(TrRoad_act!G63=0,0,TrRoad_ene!G66/TrRoad_tech!G94)</f>
        <v>1.0552570122031477</v>
      </c>
      <c r="H121" s="91">
        <f>IF(TrRoad_act!H63=0,0,TrRoad_ene!H66/TrRoad_tech!H94)</f>
        <v>1.0274354606274843</v>
      </c>
      <c r="I121" s="91">
        <f>IF(TrRoad_act!I63=0,0,TrRoad_ene!I66/TrRoad_tech!I94)</f>
        <v>0.95681167343427787</v>
      </c>
      <c r="J121" s="91">
        <f>IF(TrRoad_act!J63=0,0,TrRoad_ene!J66/TrRoad_tech!J94)</f>
        <v>0.93514305210222715</v>
      </c>
      <c r="K121" s="91">
        <f>IF(TrRoad_act!K63=0,0,TrRoad_ene!K66/TrRoad_tech!K94)</f>
        <v>0.90238157565967669</v>
      </c>
      <c r="L121" s="91">
        <f>IF(TrRoad_act!L63=0,0,TrRoad_ene!L66/TrRoad_tech!L94)</f>
        <v>0.94368420906802919</v>
      </c>
      <c r="M121" s="91">
        <f>IF(TrRoad_act!M63=0,0,TrRoad_ene!M66/TrRoad_tech!M94)</f>
        <v>0.93216893179041416</v>
      </c>
      <c r="N121" s="91">
        <f>IF(TrRoad_act!N63=0,0,TrRoad_ene!N66/TrRoad_tech!N94)</f>
        <v>0.9284498763615906</v>
      </c>
      <c r="O121" s="91">
        <f>IF(TrRoad_act!O63=0,0,TrRoad_ene!O66/TrRoad_tech!O94)</f>
        <v>1.0745689296903334</v>
      </c>
      <c r="P121" s="91">
        <f>IF(TrRoad_act!P63=0,0,TrRoad_ene!P66/TrRoad_tech!P94)</f>
        <v>1.0476502063163389</v>
      </c>
      <c r="Q121" s="91">
        <f>IF(TrRoad_act!Q63=0,0,TrRoad_ene!Q66/TrRoad_tech!Q94)</f>
        <v>1.1951005036525399</v>
      </c>
      <c r="R121" s="91">
        <f>IF(TrRoad_act!R63=0,0,TrRoad_ene!R66/TrRoad_tech!R94)</f>
        <v>1.0406314280697559</v>
      </c>
      <c r="S121" s="91">
        <f>IF(TrRoad_act!S63=0,0,TrRoad_ene!S66/TrRoad_tech!S94)</f>
        <v>1.0410878679925228</v>
      </c>
      <c r="T121" s="91">
        <f>IF(TrRoad_act!T63=0,0,TrRoad_ene!T66/TrRoad_tech!T94)</f>
        <v>1.0409339633748484</v>
      </c>
      <c r="U121" s="91">
        <f>IF(TrRoad_act!U63=0,0,TrRoad_ene!U66/TrRoad_tech!U94)</f>
        <v>0.99533854750967521</v>
      </c>
      <c r="V121" s="91">
        <f>IF(TrRoad_act!V63=0,0,TrRoad_ene!V66/TrRoad_tech!V94)</f>
        <v>1.0412997205423624</v>
      </c>
      <c r="W121" s="91">
        <f>IF(TrRoad_act!W63=0,0,TrRoad_ene!W66/TrRoad_tech!W94)</f>
        <v>1.0348495375299469</v>
      </c>
      <c r="X121" s="91">
        <f>IF(TrRoad_act!X63=0,0,TrRoad_ene!X66/TrRoad_tech!X94)</f>
        <v>1.0458659543983746</v>
      </c>
      <c r="Y121" s="91">
        <f>IF(TrRoad_act!Y63=0,0,TrRoad_ene!Y66/TrRoad_tech!Y94)</f>
        <v>0.94958075789922614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1.02777777778159</v>
      </c>
      <c r="C122" s="91">
        <f>IF(TrRoad_act!C64=0,0,TrRoad_ene!C67/TrRoad_tech!C95)</f>
        <v>1.02777777778159</v>
      </c>
      <c r="D122" s="91">
        <f>IF(TrRoad_act!D64=0,0,TrRoad_ene!D67/TrRoad_tech!D95)</f>
        <v>1.02777777778159</v>
      </c>
      <c r="E122" s="91">
        <f>IF(TrRoad_act!E64=0,0,TrRoad_ene!E67/TrRoad_tech!E95)</f>
        <v>1.02777777778159</v>
      </c>
      <c r="F122" s="91">
        <f>IF(TrRoad_act!F64=0,0,TrRoad_ene!F67/TrRoad_tech!F95)</f>
        <v>1.0277777777815897</v>
      </c>
      <c r="G122" s="91">
        <f>IF(TrRoad_act!G64=0,0,TrRoad_ene!G67/TrRoad_tech!G95)</f>
        <v>1.02777777778159</v>
      </c>
      <c r="H122" s="91">
        <f>IF(TrRoad_act!H64=0,0,TrRoad_ene!H67/TrRoad_tech!H95)</f>
        <v>1.02777777778159</v>
      </c>
      <c r="I122" s="91">
        <f>IF(TrRoad_act!I64=0,0,TrRoad_ene!I67/TrRoad_tech!I95)</f>
        <v>1.02777777778159</v>
      </c>
      <c r="J122" s="91">
        <f>IF(TrRoad_act!J64=0,0,TrRoad_ene!J67/TrRoad_tech!J95)</f>
        <v>1.02777777778159</v>
      </c>
      <c r="K122" s="91">
        <f>IF(TrRoad_act!K64=0,0,TrRoad_ene!K67/TrRoad_tech!K95)</f>
        <v>1.0300261435050493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0.73499817809907453</v>
      </c>
      <c r="U122" s="91">
        <f>IF(TrRoad_act!U64=0,0,TrRoad_ene!U67/TrRoad_tech!U95)</f>
        <v>1.0946500667115471</v>
      </c>
      <c r="V122" s="91">
        <f>IF(TrRoad_act!V64=0,0,TrRoad_ene!V67/TrRoad_tech!V95)</f>
        <v>1.0951917043607</v>
      </c>
      <c r="W122" s="91">
        <f>IF(TrRoad_act!W64=0,0,TrRoad_ene!W67/TrRoad_tech!W95)</f>
        <v>1.0956231723325063</v>
      </c>
      <c r="X122" s="91">
        <f>IF(TrRoad_act!X64=0,0,TrRoad_ene!X67/TrRoad_tech!X95)</f>
        <v>1.0960619049270739</v>
      </c>
      <c r="Y122" s="91">
        <f>IF(TrRoad_act!Y64=0,0,TrRoad_ene!Y67/TrRoad_tech!Y95)</f>
        <v>1.0968987969949551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1.0122810334681549</v>
      </c>
      <c r="O123" s="91">
        <f>IF(TrRoad_act!O65=0,0,TrRoad_ene!O68/TrRoad_tech!O96)</f>
        <v>1.0003387142389346</v>
      </c>
      <c r="P123" s="91">
        <f>IF(TrRoad_act!P65=0,0,TrRoad_ene!P68/TrRoad_tech!P96)</f>
        <v>1.0154893988779854</v>
      </c>
      <c r="Q123" s="91">
        <f>IF(TrRoad_act!Q65=0,0,TrRoad_ene!Q68/TrRoad_tech!Q96)</f>
        <v>1.0216915305265863</v>
      </c>
      <c r="R123" s="91">
        <f>IF(TrRoad_act!R65=0,0,TrRoad_ene!R68/TrRoad_tech!R96)</f>
        <v>1.086134460543386</v>
      </c>
      <c r="S123" s="91">
        <f>IF(TrRoad_act!S65=0,0,TrRoad_ene!S68/TrRoad_tech!S96)</f>
        <v>1.0900449908500474</v>
      </c>
      <c r="T123" s="91">
        <f>IF(TrRoad_act!T65=0,0,TrRoad_ene!T68/TrRoad_tech!T96)</f>
        <v>1.0920488069438772</v>
      </c>
      <c r="U123" s="91">
        <f>IF(TrRoad_act!U65=0,0,TrRoad_ene!U68/TrRoad_tech!U96)</f>
        <v>1.0933935497028502</v>
      </c>
      <c r="V123" s="91">
        <f>IF(TrRoad_act!V65=0,0,TrRoad_ene!V68/TrRoad_tech!V96)</f>
        <v>1.1332832668510269</v>
      </c>
      <c r="W123" s="91">
        <f>IF(TrRoad_act!W65=0,0,TrRoad_ene!W68/TrRoad_tech!W96)</f>
        <v>1.1176664197576034</v>
      </c>
      <c r="X123" s="91">
        <f>IF(TrRoad_act!X65=0,0,TrRoad_ene!X68/TrRoad_tech!X96)</f>
        <v>1.0987159977553294</v>
      </c>
      <c r="Y123" s="91">
        <f>IF(TrRoad_act!Y65=0,0,TrRoad_ene!Y68/TrRoad_tech!Y96)</f>
        <v>1.0995367150443549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1.0655555555606799</v>
      </c>
      <c r="O124" s="91">
        <f>IF(TrRoad_act!O66=0,0,TrRoad_ene!O69/TrRoad_tech!O97)</f>
        <v>1.0675039591843316</v>
      </c>
      <c r="P124" s="91">
        <f>IF(TrRoad_act!P66=0,0,TrRoad_ene!P69/TrRoad_tech!P97)</f>
        <v>1.0761711647462628</v>
      </c>
      <c r="Q124" s="91">
        <f>IF(TrRoad_act!Q66=0,0,TrRoad_ene!Q69/TrRoad_tech!Q97)</f>
        <v>1.0772490485318491</v>
      </c>
      <c r="R124" s="91">
        <f>IF(TrRoad_act!R66=0,0,TrRoad_ene!R69/TrRoad_tech!R97)</f>
        <v>1.0791300075101125</v>
      </c>
      <c r="S124" s="91">
        <f>IF(TrRoad_act!S66=0,0,TrRoad_ene!S69/TrRoad_tech!S97)</f>
        <v>1.0824877861534314</v>
      </c>
      <c r="T124" s="91">
        <f>IF(TrRoad_act!T66=0,0,TrRoad_ene!T69/TrRoad_tech!T97)</f>
        <v>1.0868975195192021</v>
      </c>
      <c r="U124" s="91">
        <f>IF(TrRoad_act!U66=0,0,TrRoad_ene!U69/TrRoad_tech!U97)</f>
        <v>1.0908286105889546</v>
      </c>
      <c r="V124" s="91">
        <f>IF(TrRoad_act!V66=0,0,TrRoad_ene!V69/TrRoad_tech!V97)</f>
        <v>1.0944606559130534</v>
      </c>
      <c r="W124" s="91">
        <f>IF(TrRoad_act!W66=0,0,TrRoad_ene!W69/TrRoad_tech!W97)</f>
        <v>1.0966007111848097</v>
      </c>
      <c r="X124" s="91">
        <f>IF(TrRoad_act!X66=0,0,TrRoad_ene!X69/TrRoad_tech!X97)</f>
        <v>1.0981871885273427</v>
      </c>
      <c r="Y124" s="91">
        <f>IF(TrRoad_act!Y66=0,0,TrRoad_ene!Y69/TrRoad_tech!Y97)</f>
        <v>1.0991560026265987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1.2000329167396671</v>
      </c>
      <c r="C125" s="151">
        <f>IF(TrRoad_act!C67=0,0,TrRoad_ene!C70/TrRoad_tech!C98)</f>
        <v>1.3223250273716205</v>
      </c>
      <c r="D125" s="151">
        <f>IF(TrRoad_act!D67=0,0,TrRoad_ene!D70/TrRoad_tech!D98)</f>
        <v>1.2622209534142608</v>
      </c>
      <c r="E125" s="151">
        <f>IF(TrRoad_act!E67=0,0,TrRoad_ene!E70/TrRoad_tech!E98)</f>
        <v>1.250498560372872</v>
      </c>
      <c r="F125" s="151">
        <f>IF(TrRoad_act!F67=0,0,TrRoad_ene!F70/TrRoad_tech!F98)</f>
        <v>1.2632368074087277</v>
      </c>
      <c r="G125" s="151">
        <f>IF(TrRoad_act!G67=0,0,TrRoad_ene!G70/TrRoad_tech!G98)</f>
        <v>1.2792629278254648</v>
      </c>
      <c r="H125" s="151">
        <f>IF(TrRoad_act!H67=0,0,TrRoad_ene!H70/TrRoad_tech!H98)</f>
        <v>1.3049909642901141</v>
      </c>
      <c r="I125" s="151">
        <f>IF(TrRoad_act!I67=0,0,TrRoad_ene!I70/TrRoad_tech!I98)</f>
        <v>1.3341518696598318</v>
      </c>
      <c r="J125" s="151">
        <f>IF(TrRoad_act!J67=0,0,TrRoad_ene!J70/TrRoad_tech!J98)</f>
        <v>1.3109754494519645</v>
      </c>
      <c r="K125" s="151">
        <f>IF(TrRoad_act!K67=0,0,TrRoad_ene!K70/TrRoad_tech!K98)</f>
        <v>1.2538968261455019</v>
      </c>
      <c r="L125" s="151">
        <f>IF(TrRoad_act!L67=0,0,TrRoad_ene!L70/TrRoad_tech!L98)</f>
        <v>1.3614821033455267</v>
      </c>
      <c r="M125" s="151">
        <f>IF(TrRoad_act!M67=0,0,TrRoad_ene!M70/TrRoad_tech!M98)</f>
        <v>1.2583457387419017</v>
      </c>
      <c r="N125" s="151">
        <f>IF(TrRoad_act!N67=0,0,TrRoad_ene!N70/TrRoad_tech!N98)</f>
        <v>1.2510448622995001</v>
      </c>
      <c r="O125" s="151">
        <f>IF(TrRoad_act!O67=0,0,TrRoad_ene!O70/TrRoad_tech!O98)</f>
        <v>1.2464152991874446</v>
      </c>
      <c r="P125" s="151">
        <f>IF(TrRoad_act!P67=0,0,TrRoad_ene!P70/TrRoad_tech!P98)</f>
        <v>1.2375267146277658</v>
      </c>
      <c r="Q125" s="151">
        <f>IF(TrRoad_act!Q67=0,0,TrRoad_ene!Q70/TrRoad_tech!Q98)</f>
        <v>1.2547516149606288</v>
      </c>
      <c r="R125" s="151">
        <f>IF(TrRoad_act!R67=0,0,TrRoad_ene!R70/TrRoad_tech!R98)</f>
        <v>1.2511100317394641</v>
      </c>
      <c r="S125" s="151">
        <f>IF(TrRoad_act!S67=0,0,TrRoad_ene!S70/TrRoad_tech!S98)</f>
        <v>1.2772140549698021</v>
      </c>
      <c r="T125" s="151">
        <f>IF(TrRoad_act!T67=0,0,TrRoad_ene!T70/TrRoad_tech!T98)</f>
        <v>1.289694176975225</v>
      </c>
      <c r="U125" s="151">
        <f>IF(TrRoad_act!U67=0,0,TrRoad_ene!U70/TrRoad_tech!U98)</f>
        <v>1.2910169118454979</v>
      </c>
      <c r="V125" s="151">
        <f>IF(TrRoad_act!V67=0,0,TrRoad_ene!V70/TrRoad_tech!V98)</f>
        <v>1.2873199821035524</v>
      </c>
      <c r="W125" s="151">
        <f>IF(TrRoad_act!W67=0,0,TrRoad_ene!W70/TrRoad_tech!W98)</f>
        <v>1.3053361940660213</v>
      </c>
      <c r="X125" s="151">
        <f>IF(TrRoad_act!X67=0,0,TrRoad_ene!X70/TrRoad_tech!X98)</f>
        <v>1.3246869959365537</v>
      </c>
      <c r="Y125" s="151">
        <f>IF(TrRoad_act!Y67=0,0,TrRoad_ene!Y70/TrRoad_tech!Y98)</f>
        <v>1.3256195383625697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1.1002736085761919</v>
      </c>
      <c r="D126" s="93">
        <f>IF(TrRoad_act!D68=0,0,TrRoad_ene!D71/TrRoad_tech!D99)</f>
        <v>1.1006445935518203</v>
      </c>
      <c r="E126" s="93">
        <f>IF(TrRoad_act!E68=0,0,TrRoad_ene!E71/TrRoad_tech!E99)</f>
        <v>1.1010459139799049</v>
      </c>
      <c r="F126" s="93">
        <f>IF(TrRoad_act!F68=0,0,TrRoad_ene!F71/TrRoad_tech!F99)</f>
        <v>1.1014293157371791</v>
      </c>
      <c r="G126" s="93">
        <f>IF(TrRoad_act!G68=0,0,TrRoad_ene!G71/TrRoad_tech!G99)</f>
        <v>1.1021133386211588</v>
      </c>
      <c r="H126" s="93">
        <f>IF(TrRoad_act!H68=0,0,TrRoad_ene!H71/TrRoad_tech!H99)</f>
        <v>1.1030549541365779</v>
      </c>
      <c r="I126" s="93">
        <f>IF(TrRoad_act!I68=0,0,TrRoad_ene!I71/TrRoad_tech!I99)</f>
        <v>1.1063269774133819</v>
      </c>
      <c r="J126" s="93">
        <f>IF(TrRoad_act!J68=0,0,TrRoad_ene!J71/TrRoad_tech!J99)</f>
        <v>1.1085411581097122</v>
      </c>
      <c r="K126" s="93">
        <f>IF(TrRoad_act!K68=0,0,TrRoad_ene!K71/TrRoad_tech!K99)</f>
        <v>1.1101886938483294</v>
      </c>
      <c r="L126" s="93">
        <f>IF(TrRoad_act!L68=0,0,TrRoad_ene!L71/TrRoad_tech!L99)</f>
        <v>1.1122172795808878</v>
      </c>
      <c r="M126" s="93">
        <f>IF(TrRoad_act!M68=0,0,TrRoad_ene!M71/TrRoad_tech!M99)</f>
        <v>1.117289003314011</v>
      </c>
      <c r="N126" s="93">
        <f>IF(TrRoad_act!N68=0,0,TrRoad_ene!N71/TrRoad_tech!N99)</f>
        <v>1.1214020697395375</v>
      </c>
      <c r="O126" s="93">
        <f>IF(TrRoad_act!O68=0,0,TrRoad_ene!O71/TrRoad_tech!O99)</f>
        <v>1.1361641238677564</v>
      </c>
      <c r="P126" s="93">
        <f>IF(TrRoad_act!P68=0,0,TrRoad_ene!P71/TrRoad_tech!P99)</f>
        <v>1.1514341293474393</v>
      </c>
      <c r="Q126" s="93">
        <f>IF(TrRoad_act!Q68=0,0,TrRoad_ene!Q71/TrRoad_tech!Q99)</f>
        <v>1.1588201825365387</v>
      </c>
      <c r="R126" s="93">
        <f>IF(TrRoad_act!R68=0,0,TrRoad_ene!R71/TrRoad_tech!R99)</f>
        <v>1.1719407439889149</v>
      </c>
      <c r="S126" s="93">
        <f>IF(TrRoad_act!S68=0,0,TrRoad_ene!S71/TrRoad_tech!S99)</f>
        <v>1.1741747526464312</v>
      </c>
      <c r="T126" s="93">
        <f>IF(TrRoad_act!T68=0,0,TrRoad_ene!T71/TrRoad_tech!T99)</f>
        <v>1.1780421459867336</v>
      </c>
      <c r="U126" s="93">
        <f>IF(TrRoad_act!U68=0,0,TrRoad_ene!U71/TrRoad_tech!U99)</f>
        <v>1.1805864389579621</v>
      </c>
      <c r="V126" s="93">
        <f>IF(TrRoad_act!V68=0,0,TrRoad_ene!V71/TrRoad_tech!V99)</f>
        <v>1.1782158736080521</v>
      </c>
      <c r="W126" s="93">
        <f>IF(TrRoad_act!W68=0,0,TrRoad_ene!W71/TrRoad_tech!W99)</f>
        <v>1.1844770659078034</v>
      </c>
      <c r="X126" s="93">
        <f>IF(TrRoad_act!X68=0,0,TrRoad_ene!X71/TrRoad_tech!X99)</f>
        <v>1.1844770659078034</v>
      </c>
      <c r="Y126" s="93">
        <f>IF(TrRoad_act!Y68=0,0,TrRoad_ene!Y71/TrRoad_tech!Y99)</f>
        <v>1.1983330616686756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1.2021115048261946</v>
      </c>
      <c r="C127" s="93">
        <f>IF(TrRoad_act!C69=0,0,TrRoad_ene!C72/TrRoad_tech!C100)</f>
        <v>1.3334813348935084</v>
      </c>
      <c r="D127" s="93">
        <f>IF(TrRoad_act!D69=0,0,TrRoad_ene!D72/TrRoad_tech!D100)</f>
        <v>1.2779546922097644</v>
      </c>
      <c r="E127" s="93">
        <f>IF(TrRoad_act!E69=0,0,TrRoad_ene!E72/TrRoad_tech!E100)</f>
        <v>1.2648845684786807</v>
      </c>
      <c r="F127" s="93">
        <f>IF(TrRoad_act!F69=0,0,TrRoad_ene!F72/TrRoad_tech!F100)</f>
        <v>1.2750595029713157</v>
      </c>
      <c r="G127" s="93">
        <f>IF(TrRoad_act!G69=0,0,TrRoad_ene!G72/TrRoad_tech!G100)</f>
        <v>1.2894241995024087</v>
      </c>
      <c r="H127" s="93">
        <f>IF(TrRoad_act!H69=0,0,TrRoad_ene!H72/TrRoad_tech!H100)</f>
        <v>1.3109327896430349</v>
      </c>
      <c r="I127" s="93">
        <f>IF(TrRoad_act!I69=0,0,TrRoad_ene!I72/TrRoad_tech!I100)</f>
        <v>1.3374196051968528</v>
      </c>
      <c r="J127" s="93">
        <f>IF(TrRoad_act!J69=0,0,TrRoad_ene!J72/TrRoad_tech!J100)</f>
        <v>1.3092403568901936</v>
      </c>
      <c r="K127" s="93">
        <f>IF(TrRoad_act!K69=0,0,TrRoad_ene!K72/TrRoad_tech!K100)</f>
        <v>1.2529851293137217</v>
      </c>
      <c r="L127" s="93">
        <f>IF(TrRoad_act!L69=0,0,TrRoad_ene!L72/TrRoad_tech!L100)</f>
        <v>1.3735837026551208</v>
      </c>
      <c r="M127" s="93">
        <f>IF(TrRoad_act!M69=0,0,TrRoad_ene!M72/TrRoad_tech!M100)</f>
        <v>1.2649497147731974</v>
      </c>
      <c r="N127" s="93">
        <f>IF(TrRoad_act!N69=0,0,TrRoad_ene!N72/TrRoad_tech!N100)</f>
        <v>1.2567049817670748</v>
      </c>
      <c r="O127" s="93">
        <f>IF(TrRoad_act!O69=0,0,TrRoad_ene!O72/TrRoad_tech!O100)</f>
        <v>1.2527028564037264</v>
      </c>
      <c r="P127" s="93">
        <f>IF(TrRoad_act!P69=0,0,TrRoad_ene!P72/TrRoad_tech!P100)</f>
        <v>1.2444398604311193</v>
      </c>
      <c r="Q127" s="93">
        <f>IF(TrRoad_act!Q69=0,0,TrRoad_ene!Q72/TrRoad_tech!Q100)</f>
        <v>1.2636625828928389</v>
      </c>
      <c r="R127" s="93">
        <f>IF(TrRoad_act!R69=0,0,TrRoad_ene!R72/TrRoad_tech!R100)</f>
        <v>1.2601003058527309</v>
      </c>
      <c r="S127" s="93">
        <f>IF(TrRoad_act!S69=0,0,TrRoad_ene!S72/TrRoad_tech!S100)</f>
        <v>1.2891431133340583</v>
      </c>
      <c r="T127" s="93">
        <f>IF(TrRoad_act!T69=0,0,TrRoad_ene!T72/TrRoad_tech!T100)</f>
        <v>1.3048148238123551</v>
      </c>
      <c r="U127" s="93">
        <f>IF(TrRoad_act!U69=0,0,TrRoad_ene!U72/TrRoad_tech!U100)</f>
        <v>1.3084844131863715</v>
      </c>
      <c r="V127" s="93">
        <f>IF(TrRoad_act!V69=0,0,TrRoad_ene!V72/TrRoad_tech!V100)</f>
        <v>1.3007473585059315</v>
      </c>
      <c r="W127" s="93">
        <f>IF(TrRoad_act!W69=0,0,TrRoad_ene!W72/TrRoad_tech!W100)</f>
        <v>1.32732891732498</v>
      </c>
      <c r="X127" s="93">
        <f>IF(TrRoad_act!X69=0,0,TrRoad_ene!X72/TrRoad_tech!X100)</f>
        <v>1.3451606839633508</v>
      </c>
      <c r="Y127" s="93">
        <f>IF(TrRoad_act!Y69=0,0,TrRoad_ene!Y72/TrRoad_tech!Y100)</f>
        <v>1.3434716343055213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1.317263573193203</v>
      </c>
      <c r="S128" s="93">
        <f>IF(TrRoad_act!S70=0,0,TrRoad_ene!S73/TrRoad_tech!S101)</f>
        <v>1.3172635731932032</v>
      </c>
      <c r="T128" s="93">
        <f>IF(TrRoad_act!T70=0,0,TrRoad_ene!T73/TrRoad_tech!T101)</f>
        <v>1.3172635731932032</v>
      </c>
      <c r="U128" s="93">
        <f>IF(TrRoad_act!U70=0,0,TrRoad_ene!U73/TrRoad_tech!U101)</f>
        <v>1.317263573193203</v>
      </c>
      <c r="V128" s="93">
        <f>IF(TrRoad_act!V70=0,0,TrRoad_ene!V73/TrRoad_tech!V101)</f>
        <v>1.3172635731932034</v>
      </c>
      <c r="W128" s="93">
        <f>IF(TrRoad_act!W70=0,0,TrRoad_ene!W73/TrRoad_tech!W101)</f>
        <v>1.3172635731932032</v>
      </c>
      <c r="X128" s="93">
        <f>IF(TrRoad_act!X70=0,0,TrRoad_ene!X73/TrRoad_tech!X101)</f>
        <v>1.317263573193203</v>
      </c>
      <c r="Y128" s="93">
        <f>IF(TrRoad_act!Y70=0,0,TrRoad_ene!Y73/TrRoad_tech!Y101)</f>
        <v>1.3172635731932034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1.0462359890310997</v>
      </c>
      <c r="C129" s="93">
        <f>IF(TrRoad_act!C71=0,0,TrRoad_ene!C74/TrRoad_tech!C102)</f>
        <v>1.3539717088727281</v>
      </c>
      <c r="D129" s="93">
        <f>IF(TrRoad_act!D71=0,0,TrRoad_ene!D74/TrRoad_tech!D102)</f>
        <v>1.1035704326431679</v>
      </c>
      <c r="E129" s="93">
        <f>IF(TrRoad_act!E71=0,0,TrRoad_ene!E74/TrRoad_tech!E102)</f>
        <v>1.1137876942337661</v>
      </c>
      <c r="F129" s="93">
        <f>IF(TrRoad_act!F71=0,0,TrRoad_ene!F74/TrRoad_tech!F102)</f>
        <v>1.1240839425335183</v>
      </c>
      <c r="G129" s="93">
        <f>IF(TrRoad_act!G71=0,0,TrRoad_ene!G74/TrRoad_tech!G102)</f>
        <v>1.108453286232882</v>
      </c>
      <c r="H129" s="93">
        <f>IF(TrRoad_act!H71=0,0,TrRoad_ene!H74/TrRoad_tech!H102)</f>
        <v>1.1997809802812291</v>
      </c>
      <c r="I129" s="93">
        <f>IF(TrRoad_act!I71=0,0,TrRoad_ene!I74/TrRoad_tech!I102)</f>
        <v>1.2821340875045195</v>
      </c>
      <c r="J129" s="93">
        <f>IF(TrRoad_act!J71=0,0,TrRoad_ene!J74/TrRoad_tech!J102)</f>
        <v>1.7434841665189198</v>
      </c>
      <c r="K129" s="93">
        <f>IF(TrRoad_act!K71=0,0,TrRoad_ene!K74/TrRoad_tech!K102)</f>
        <v>2.7002916278462865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1.1959708128002033</v>
      </c>
      <c r="V129" s="93">
        <f>IF(TrRoad_act!V71=0,0,TrRoad_ene!V74/TrRoad_tech!V102)</f>
        <v>1.3860970032705962</v>
      </c>
      <c r="W129" s="93">
        <f>IF(TrRoad_act!W71=0,0,TrRoad_ene!W74/TrRoad_tech!W102)</f>
        <v>1.5859997031565469</v>
      </c>
      <c r="X129" s="93">
        <f>IF(TrRoad_act!X71=0,0,TrRoad_ene!X74/TrRoad_tech!X102)</f>
        <v>1.3580213487191859</v>
      </c>
      <c r="Y129" s="93">
        <f>IF(TrRoad_act!Y71=0,0,TrRoad_ene!Y74/TrRoad_tech!Y102)</f>
        <v>1.5237130609666025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1.1023903866091018</v>
      </c>
      <c r="D130" s="93">
        <f>IF(TrRoad_act!D72=0,0,TrRoad_ene!D75/TrRoad_tech!D103)</f>
        <v>1.1023903866091018</v>
      </c>
      <c r="E130" s="93">
        <f>IF(TrRoad_act!E72=0,0,TrRoad_ene!E75/TrRoad_tech!E103)</f>
        <v>1.1025022666628028</v>
      </c>
      <c r="F130" s="93">
        <f>IF(TrRoad_act!F72=0,0,TrRoad_ene!F75/TrRoad_tech!F103)</f>
        <v>1.1025022666628026</v>
      </c>
      <c r="G130" s="93">
        <f>IF(TrRoad_act!G72=0,0,TrRoad_ene!G75/TrRoad_tech!G103)</f>
        <v>1.1218981465279025</v>
      </c>
      <c r="H130" s="93">
        <f>IF(TrRoad_act!H72=0,0,TrRoad_ene!H75/TrRoad_tech!H103)</f>
        <v>1.1235824377874835</v>
      </c>
      <c r="I130" s="93">
        <f>IF(TrRoad_act!I72=0,0,TrRoad_ene!I75/TrRoad_tech!I103)</f>
        <v>1.136652404161159</v>
      </c>
      <c r="J130" s="93">
        <f>IF(TrRoad_act!J72=0,0,TrRoad_ene!J75/TrRoad_tech!J103)</f>
        <v>1.152302001880616</v>
      </c>
      <c r="K130" s="93">
        <f>IF(TrRoad_act!K72=0,0,TrRoad_ene!K75/TrRoad_tech!K103)</f>
        <v>1.1649958724144776</v>
      </c>
      <c r="L130" s="93">
        <f>IF(TrRoad_act!L72=0,0,TrRoad_ene!L75/TrRoad_tech!L103)</f>
        <v>1.1752266429000182</v>
      </c>
      <c r="M130" s="93">
        <f>IF(TrRoad_act!M72=0,0,TrRoad_ene!M75/TrRoad_tech!M103)</f>
        <v>1.1766607078769702</v>
      </c>
      <c r="N130" s="93">
        <f>IF(TrRoad_act!N72=0,0,TrRoad_ene!N75/TrRoad_tech!N103)</f>
        <v>1.1770437472423827</v>
      </c>
      <c r="O130" s="93">
        <f>IF(TrRoad_act!O72=0,0,TrRoad_ene!O75/TrRoad_tech!O103)</f>
        <v>1.1772708459807744</v>
      </c>
      <c r="P130" s="93">
        <f>IF(TrRoad_act!P72=0,0,TrRoad_ene!P75/TrRoad_tech!P103)</f>
        <v>1.1774222878156499</v>
      </c>
      <c r="Q130" s="93">
        <f>IF(TrRoad_act!Q72=0,0,TrRoad_ene!Q75/TrRoad_tech!Q103)</f>
        <v>1.1909699590208973</v>
      </c>
      <c r="R130" s="93">
        <f>IF(TrRoad_act!R72=0,0,TrRoad_ene!R75/TrRoad_tech!R103)</f>
        <v>1.2046463710961219</v>
      </c>
      <c r="S130" s="93">
        <f>IF(TrRoad_act!S72=0,0,TrRoad_ene!S75/TrRoad_tech!S103)</f>
        <v>1.2102479503176786</v>
      </c>
      <c r="T130" s="93">
        <f>IF(TrRoad_act!T72=0,0,TrRoad_ene!T75/TrRoad_tech!T103)</f>
        <v>1.2167369301370241</v>
      </c>
      <c r="U130" s="93">
        <f>IF(TrRoad_act!U72=0,0,TrRoad_ene!U75/TrRoad_tech!U103)</f>
        <v>1.2264803756091751</v>
      </c>
      <c r="V130" s="93">
        <f>IF(TrRoad_act!V72=0,0,TrRoad_ene!V75/TrRoad_tech!V103)</f>
        <v>1.2562163975232077</v>
      </c>
      <c r="W130" s="93">
        <f>IF(TrRoad_act!W72=0,0,TrRoad_ene!W75/TrRoad_tech!W103)</f>
        <v>1.2718334409773266</v>
      </c>
      <c r="X130" s="93">
        <f>IF(TrRoad_act!X72=0,0,TrRoad_ene!X75/TrRoad_tech!X103)</f>
        <v>1.2898100052337895</v>
      </c>
      <c r="Y130" s="93">
        <f>IF(TrRoad_act!Y72=0,0,TrRoad_ene!Y75/TrRoad_tech!Y103)</f>
        <v>1.3046226470798437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1.1745975952698526</v>
      </c>
      <c r="C132" s="150">
        <f>IF(TrRoad_act!C74=0,0,TrRoad_ene!C77/TrRoad_tech!C105)</f>
        <v>1.2464009289057374</v>
      </c>
      <c r="D132" s="150">
        <f>IF(TrRoad_act!D74=0,0,TrRoad_ene!D77/TrRoad_tech!D105)</f>
        <v>1.2197333560909573</v>
      </c>
      <c r="E132" s="150">
        <f>IF(TrRoad_act!E74=0,0,TrRoad_ene!E77/TrRoad_tech!E105)</f>
        <v>1.2062072786520355</v>
      </c>
      <c r="F132" s="150">
        <f>IF(TrRoad_act!F74=0,0,TrRoad_ene!F77/TrRoad_tech!F105)</f>
        <v>1.2247107878675345</v>
      </c>
      <c r="G132" s="150">
        <f>IF(TrRoad_act!G74=0,0,TrRoad_ene!G77/TrRoad_tech!G105)</f>
        <v>1.234317345530503</v>
      </c>
      <c r="H132" s="150">
        <f>IF(TrRoad_act!H74=0,0,TrRoad_ene!H77/TrRoad_tech!H105)</f>
        <v>1.2548643339975782</v>
      </c>
      <c r="I132" s="150">
        <f>IF(TrRoad_act!I74=0,0,TrRoad_ene!I77/TrRoad_tech!I105)</f>
        <v>1.2834715559786398</v>
      </c>
      <c r="J132" s="150">
        <f>IF(TrRoad_act!J74=0,0,TrRoad_ene!J77/TrRoad_tech!J105)</f>
        <v>1.2675035219234945</v>
      </c>
      <c r="K132" s="150">
        <f>IF(TrRoad_act!K74=0,0,TrRoad_ene!K77/TrRoad_tech!K105)</f>
        <v>1.2223566202294485</v>
      </c>
      <c r="L132" s="150">
        <f>IF(TrRoad_act!L74=0,0,TrRoad_ene!L77/TrRoad_tech!L105)</f>
        <v>1.3418696667721248</v>
      </c>
      <c r="M132" s="150">
        <f>IF(TrRoad_act!M74=0,0,TrRoad_ene!M77/TrRoad_tech!M105)</f>
        <v>1.2408705082578604</v>
      </c>
      <c r="N132" s="150">
        <f>IF(TrRoad_act!N74=0,0,TrRoad_ene!N77/TrRoad_tech!N105)</f>
        <v>1.2338619833418403</v>
      </c>
      <c r="O132" s="150">
        <f>IF(TrRoad_act!O74=0,0,TrRoad_ene!O77/TrRoad_tech!O105)</f>
        <v>1.2279156160224112</v>
      </c>
      <c r="P132" s="150">
        <f>IF(TrRoad_act!P74=0,0,TrRoad_ene!P77/TrRoad_tech!P105)</f>
        <v>1.2163257564333196</v>
      </c>
      <c r="Q132" s="150">
        <f>IF(TrRoad_act!Q74=0,0,TrRoad_ene!Q77/TrRoad_tech!Q105)</f>
        <v>1.2255134916526687</v>
      </c>
      <c r="R132" s="150">
        <f>IF(TrRoad_act!R74=0,0,TrRoad_ene!R77/TrRoad_tech!R105)</f>
        <v>1.2134055657563865</v>
      </c>
      <c r="S132" s="150">
        <f>IF(TrRoad_act!S74=0,0,TrRoad_ene!S77/TrRoad_tech!S105)</f>
        <v>1.2309851163666801</v>
      </c>
      <c r="T132" s="150">
        <f>IF(TrRoad_act!T74=0,0,TrRoad_ene!T77/TrRoad_tech!T105)</f>
        <v>1.2402613014136974</v>
      </c>
      <c r="U132" s="150">
        <f>IF(TrRoad_act!U74=0,0,TrRoad_ene!U77/TrRoad_tech!U105)</f>
        <v>1.2438090325787867</v>
      </c>
      <c r="V132" s="150">
        <f>IF(TrRoad_act!V74=0,0,TrRoad_ene!V77/TrRoad_tech!V105)</f>
        <v>1.2466603729361623</v>
      </c>
      <c r="W132" s="150">
        <f>IF(TrRoad_act!W74=0,0,TrRoad_ene!W77/TrRoad_tech!W105)</f>
        <v>1.2717558086044916</v>
      </c>
      <c r="X132" s="150">
        <f>IF(TrRoad_act!X74=0,0,TrRoad_ene!X77/TrRoad_tech!X105)</f>
        <v>1.2891451451019638</v>
      </c>
      <c r="Y132" s="150">
        <f>IF(TrRoad_act!Y74=0,0,TrRoad_ene!Y77/TrRoad_tech!Y105)</f>
        <v>1.3006492755467898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1.1001307000475105</v>
      </c>
      <c r="D133" s="91">
        <f>IF(TrRoad_act!D75=0,0,TrRoad_ene!D78/TrRoad_tech!D106)</f>
        <v>1.1002827755281233</v>
      </c>
      <c r="E133" s="91">
        <f>IF(TrRoad_act!E75=0,0,TrRoad_ene!E78/TrRoad_tech!E106)</f>
        <v>1.1008963983121267</v>
      </c>
      <c r="F133" s="91">
        <f>IF(TrRoad_act!F75=0,0,TrRoad_ene!F78/TrRoad_tech!F106)</f>
        <v>1.1016565061309029</v>
      </c>
      <c r="G133" s="91">
        <f>IF(TrRoad_act!G75=0,0,TrRoad_ene!G78/TrRoad_tech!G106)</f>
        <v>1.1029312981186667</v>
      </c>
      <c r="H133" s="91">
        <f>IF(TrRoad_act!H75=0,0,TrRoad_ene!H78/TrRoad_tech!H106)</f>
        <v>1.1052734325817726</v>
      </c>
      <c r="I133" s="91">
        <f>IF(TrRoad_act!I75=0,0,TrRoad_ene!I78/TrRoad_tech!I106)</f>
        <v>1.107725198428233</v>
      </c>
      <c r="J133" s="91">
        <f>IF(TrRoad_act!J75=0,0,TrRoad_ene!J78/TrRoad_tech!J106)</f>
        <v>1.1095119163535878</v>
      </c>
      <c r="K133" s="91">
        <f>IF(TrRoad_act!K75=0,0,TrRoad_ene!K78/TrRoad_tech!K106)</f>
        <v>1.1114870472773144</v>
      </c>
      <c r="L133" s="91">
        <f>IF(TrRoad_act!L75=0,0,TrRoad_ene!L78/TrRoad_tech!L106)</f>
        <v>1.1209160786306278</v>
      </c>
      <c r="M133" s="91">
        <f>IF(TrRoad_act!M75=0,0,TrRoad_ene!M78/TrRoad_tech!M106)</f>
        <v>1.1232064916456403</v>
      </c>
      <c r="N133" s="91">
        <f>IF(TrRoad_act!N75=0,0,TrRoad_ene!N78/TrRoad_tech!N106)</f>
        <v>1.1286005079242492</v>
      </c>
      <c r="O133" s="91">
        <f>IF(TrRoad_act!O75=0,0,TrRoad_ene!O78/TrRoad_tech!O106)</f>
        <v>1.1357633263217315</v>
      </c>
      <c r="P133" s="91">
        <f>IF(TrRoad_act!P75=0,0,TrRoad_ene!P78/TrRoad_tech!P106)</f>
        <v>1.1461092057307212</v>
      </c>
      <c r="Q133" s="91">
        <f>IF(TrRoad_act!Q75=0,0,TrRoad_ene!Q78/TrRoad_tech!Q106)</f>
        <v>1.1532798784706584</v>
      </c>
      <c r="R133" s="91">
        <f>IF(TrRoad_act!R75=0,0,TrRoad_ene!R78/TrRoad_tech!R106)</f>
        <v>1.1631928944203516</v>
      </c>
      <c r="S133" s="91">
        <f>IF(TrRoad_act!S75=0,0,TrRoad_ene!S78/TrRoad_tech!S106)</f>
        <v>1.1696385757775736</v>
      </c>
      <c r="T133" s="91">
        <f>IF(TrRoad_act!T75=0,0,TrRoad_ene!T78/TrRoad_tech!T106)</f>
        <v>1.1898305558573885</v>
      </c>
      <c r="U133" s="91">
        <f>IF(TrRoad_act!U75=0,0,TrRoad_ene!U78/TrRoad_tech!U106)</f>
        <v>1.20497713330492</v>
      </c>
      <c r="V133" s="91">
        <f>IF(TrRoad_act!V75=0,0,TrRoad_ene!V78/TrRoad_tech!V106)</f>
        <v>1.2153186693121663</v>
      </c>
      <c r="W133" s="91">
        <f>IF(TrRoad_act!W75=0,0,TrRoad_ene!W78/TrRoad_tech!W106)</f>
        <v>1.2274363341692849</v>
      </c>
      <c r="X133" s="91">
        <f>IF(TrRoad_act!X75=0,0,TrRoad_ene!X78/TrRoad_tech!X106)</f>
        <v>1.2395935165798393</v>
      </c>
      <c r="Y133" s="91">
        <f>IF(TrRoad_act!Y75=0,0,TrRoad_ene!Y78/TrRoad_tech!Y106)</f>
        <v>1.2597396186883487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1.2021115048261946</v>
      </c>
      <c r="C134" s="91">
        <f>IF(TrRoad_act!C76=0,0,TrRoad_ene!C79/TrRoad_tech!C107)</f>
        <v>1.3328456758390259</v>
      </c>
      <c r="D134" s="91">
        <f>IF(TrRoad_act!D76=0,0,TrRoad_ene!D79/TrRoad_tech!D107)</f>
        <v>1.2760186911659379</v>
      </c>
      <c r="E134" s="91">
        <f>IF(TrRoad_act!E76=0,0,TrRoad_ene!E79/TrRoad_tech!E107)</f>
        <v>1.2598376036863281</v>
      </c>
      <c r="F134" s="91">
        <f>IF(TrRoad_act!F76=0,0,TrRoad_ene!F79/TrRoad_tech!F107)</f>
        <v>1.2684894866741414</v>
      </c>
      <c r="G134" s="91">
        <f>IF(TrRoad_act!G76=0,0,TrRoad_ene!G79/TrRoad_tech!G107)</f>
        <v>1.2811791967366792</v>
      </c>
      <c r="H134" s="91">
        <f>IF(TrRoad_act!H76=0,0,TrRoad_ene!H79/TrRoad_tech!H107)</f>
        <v>1.2996150678781788</v>
      </c>
      <c r="I134" s="91">
        <f>IF(TrRoad_act!I76=0,0,TrRoad_ene!I79/TrRoad_tech!I107)</f>
        <v>1.324850852975334</v>
      </c>
      <c r="J134" s="91">
        <f>IF(TrRoad_act!J76=0,0,TrRoad_ene!J79/TrRoad_tech!J107)</f>
        <v>1.2938946134219407</v>
      </c>
      <c r="K134" s="91">
        <f>IF(TrRoad_act!K76=0,0,TrRoad_ene!K79/TrRoad_tech!K107)</f>
        <v>1.2341052583703302</v>
      </c>
      <c r="L134" s="91">
        <f>IF(TrRoad_act!L76=0,0,TrRoad_ene!L79/TrRoad_tech!L107)</f>
        <v>1.3508919527822096</v>
      </c>
      <c r="M134" s="91">
        <f>IF(TrRoad_act!M76=0,0,TrRoad_ene!M79/TrRoad_tech!M107)</f>
        <v>1.2420496243876531</v>
      </c>
      <c r="N134" s="91">
        <f>IF(TrRoad_act!N76=0,0,TrRoad_ene!N79/TrRoad_tech!N107)</f>
        <v>1.2361910523134036</v>
      </c>
      <c r="O134" s="91">
        <f>IF(TrRoad_act!O76=0,0,TrRoad_ene!O79/TrRoad_tech!O107)</f>
        <v>1.2320169742785607</v>
      </c>
      <c r="P134" s="91">
        <f>IF(TrRoad_act!P76=0,0,TrRoad_ene!P79/TrRoad_tech!P107)</f>
        <v>1.2223349041698692</v>
      </c>
      <c r="Q134" s="91">
        <f>IF(TrRoad_act!Q76=0,0,TrRoad_ene!Q79/TrRoad_tech!Q107)</f>
        <v>1.2346742270444786</v>
      </c>
      <c r="R134" s="91">
        <f>IF(TrRoad_act!R76=0,0,TrRoad_ene!R79/TrRoad_tech!R107)</f>
        <v>1.2246273377536225</v>
      </c>
      <c r="S134" s="91">
        <f>IF(TrRoad_act!S76=0,0,TrRoad_ene!S79/TrRoad_tech!S107)</f>
        <v>1.2452864218230808</v>
      </c>
      <c r="T134" s="91">
        <f>IF(TrRoad_act!T76=0,0,TrRoad_ene!T79/TrRoad_tech!T107)</f>
        <v>1.2564729664460039</v>
      </c>
      <c r="U134" s="91">
        <f>IF(TrRoad_act!U76=0,0,TrRoad_ene!U79/TrRoad_tech!U107)</f>
        <v>1.2604841908053233</v>
      </c>
      <c r="V134" s="91">
        <f>IF(TrRoad_act!V76=0,0,TrRoad_ene!V79/TrRoad_tech!V107)</f>
        <v>1.2616540564022565</v>
      </c>
      <c r="W134" s="91">
        <f>IF(TrRoad_act!W76=0,0,TrRoad_ene!W79/TrRoad_tech!W107)</f>
        <v>1.288357142532031</v>
      </c>
      <c r="X134" s="91">
        <f>IF(TrRoad_act!X76=0,0,TrRoad_ene!X79/TrRoad_tech!X107)</f>
        <v>1.3045403812266905</v>
      </c>
      <c r="Y134" s="91">
        <f>IF(TrRoad_act!Y76=0,0,TrRoad_ene!Y79/TrRoad_tech!Y107)</f>
        <v>1.3124455319342245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1.2360000000066975</v>
      </c>
      <c r="O135" s="91">
        <f>IF(TrRoad_act!O77=0,0,TrRoad_ene!O80/TrRoad_tech!O108)</f>
        <v>1.236000000006698</v>
      </c>
      <c r="P135" s="91">
        <f>IF(TrRoad_act!P77=0,0,TrRoad_ene!P80/TrRoad_tech!P108)</f>
        <v>1.2481886832612157</v>
      </c>
      <c r="Q135" s="91">
        <f>IF(TrRoad_act!Q77=0,0,TrRoad_ene!Q80/TrRoad_tech!Q108)</f>
        <v>1.2552486645442913</v>
      </c>
      <c r="R135" s="91">
        <f>IF(TrRoad_act!R77=0,0,TrRoad_ene!R80/TrRoad_tech!R108)</f>
        <v>1.2218426099588746</v>
      </c>
      <c r="S135" s="91">
        <f>IF(TrRoad_act!S77=0,0,TrRoad_ene!S80/TrRoad_tech!S108)</f>
        <v>1.2280933272528367</v>
      </c>
      <c r="T135" s="91">
        <f>IF(TrRoad_act!T77=0,0,TrRoad_ene!T80/TrRoad_tech!T108)</f>
        <v>1.2339638042766667</v>
      </c>
      <c r="U135" s="91">
        <f>IF(TrRoad_act!U77=0,0,TrRoad_ene!U80/TrRoad_tech!U108)</f>
        <v>1.2418501367398753</v>
      </c>
      <c r="V135" s="91">
        <f>IF(TrRoad_act!V77=0,0,TrRoad_ene!V80/TrRoad_tech!V108)</f>
        <v>1.2465390359506223</v>
      </c>
      <c r="W135" s="91">
        <f>IF(TrRoad_act!W77=0,0,TrRoad_ene!W80/TrRoad_tech!W108)</f>
        <v>1.2488325572968588</v>
      </c>
      <c r="X135" s="91">
        <f>IF(TrRoad_act!X77=0,0,TrRoad_ene!X80/TrRoad_tech!X108)</f>
        <v>1.2506214038413479</v>
      </c>
      <c r="Y135" s="91">
        <f>IF(TrRoad_act!Y77=0,0,TrRoad_ene!Y80/TrRoad_tech!Y108)</f>
        <v>1.2542128199436333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X136" s="91">
        <f>IF(TrRoad_act!X78=0,0,TrRoad_ene!X81/TrRoad_tech!X109)</f>
        <v>0</v>
      </c>
      <c r="Y136" s="91">
        <f>IF(TrRoad_act!Y78=0,0,TrRoad_ene!Y81/TrRoad_tech!Y109)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1.2173333333398664</v>
      </c>
      <c r="N137" s="91">
        <f>IF(TrRoad_act!N79=0,0,TrRoad_ene!N82/TrRoad_tech!N110)</f>
        <v>1.2173333333398659</v>
      </c>
      <c r="O137" s="91">
        <f>IF(TrRoad_act!O79=0,0,TrRoad_ene!O82/TrRoad_tech!O110)</f>
        <v>1.2498478221905105</v>
      </c>
      <c r="P137" s="91">
        <f>IF(TrRoad_act!P79=0,0,TrRoad_ene!P82/TrRoad_tech!P110)</f>
        <v>1.2581571819486204</v>
      </c>
      <c r="Q137" s="91">
        <f>IF(TrRoad_act!Q79=0,0,TrRoad_ene!Q82/TrRoad_tech!Q110)</f>
        <v>1.2608647129127188</v>
      </c>
      <c r="R137" s="91">
        <f>IF(TrRoad_act!R79=0,0,TrRoad_ene!R82/TrRoad_tech!R110)</f>
        <v>1.3157592355235435</v>
      </c>
      <c r="S137" s="91">
        <f>IF(TrRoad_act!S79=0,0,TrRoad_ene!S82/TrRoad_tech!S110)</f>
        <v>1.3283532612944677</v>
      </c>
      <c r="T137" s="91">
        <f>IF(TrRoad_act!T79=0,0,TrRoad_ene!T82/TrRoad_tech!T110)</f>
        <v>1.3303008381361701</v>
      </c>
      <c r="U137" s="91">
        <f>IF(TrRoad_act!U79=0,0,TrRoad_ene!U82/TrRoad_tech!U110)</f>
        <v>1.3338691003277956</v>
      </c>
      <c r="V137" s="91">
        <f>IF(TrRoad_act!V79=0,0,TrRoad_ene!V82/TrRoad_tech!V110)</f>
        <v>1.348109026141874</v>
      </c>
      <c r="W137" s="91">
        <f>IF(TrRoad_act!W79=0,0,TrRoad_ene!W82/TrRoad_tech!W110)</f>
        <v>1.3536005646188665</v>
      </c>
      <c r="X137" s="91">
        <f>IF(TrRoad_act!X79=0,0,TrRoad_ene!X82/TrRoad_tech!X110)</f>
        <v>1.3567036937469454</v>
      </c>
      <c r="Y137" s="91">
        <f>IF(TrRoad_act!Y79=0,0,TrRoad_ene!Y82/TrRoad_tech!Y110)</f>
        <v>1.3614522671944325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1.5291076993226798</v>
      </c>
      <c r="C138" s="151">
        <f>IF(TrRoad_act!C80=0,0,TrRoad_ene!C83/TrRoad_tech!C111)</f>
        <v>1.9661209938746924</v>
      </c>
      <c r="D138" s="151">
        <f>IF(TrRoad_act!D80=0,0,TrRoad_ene!D83/TrRoad_tech!D111)</f>
        <v>1.750610772796487</v>
      </c>
      <c r="E138" s="151">
        <f>IF(TrRoad_act!E80=0,0,TrRoad_ene!E83/TrRoad_tech!E111)</f>
        <v>1.6924433037954654</v>
      </c>
      <c r="F138" s="151">
        <f>IF(TrRoad_act!F80=0,0,TrRoad_ene!F83/TrRoad_tech!F111)</f>
        <v>1.7820557114745157</v>
      </c>
      <c r="G138" s="151">
        <f>IF(TrRoad_act!G80=0,0,TrRoad_ene!G83/TrRoad_tech!G111)</f>
        <v>1.8308419495547561</v>
      </c>
      <c r="H138" s="151">
        <f>IF(TrRoad_act!H80=0,0,TrRoad_ene!H83/TrRoad_tech!H111)</f>
        <v>1.982625061245826</v>
      </c>
      <c r="I138" s="151">
        <f>IF(TrRoad_act!I80=0,0,TrRoad_ene!I83/TrRoad_tech!I111)</f>
        <v>2.0373775682940494</v>
      </c>
      <c r="J138" s="151">
        <f>IF(TrRoad_act!J80=0,0,TrRoad_ene!J83/TrRoad_tech!J111)</f>
        <v>1.9569591313217967</v>
      </c>
      <c r="K138" s="151">
        <f>IF(TrRoad_act!K80=0,0,TrRoad_ene!K83/TrRoad_tech!K111)</f>
        <v>1.7061768380970621</v>
      </c>
      <c r="L138" s="151">
        <f>IF(TrRoad_act!L80=0,0,TrRoad_ene!L83/TrRoad_tech!L111)</f>
        <v>2.3291876912559859</v>
      </c>
      <c r="M138" s="151">
        <f>IF(TrRoad_act!M80=0,0,TrRoad_ene!M83/TrRoad_tech!M111)</f>
        <v>1.9383216003759867</v>
      </c>
      <c r="N138" s="151">
        <f>IF(TrRoad_act!N80=0,0,TrRoad_ene!N83/TrRoad_tech!N111)</f>
        <v>1.9560236514758256</v>
      </c>
      <c r="O138" s="151">
        <f>IF(TrRoad_act!O80=0,0,TrRoad_ene!O83/TrRoad_tech!O111)</f>
        <v>1.8617988267567465</v>
      </c>
      <c r="P138" s="151">
        <f>IF(TrRoad_act!P80=0,0,TrRoad_ene!P83/TrRoad_tech!P111)</f>
        <v>1.8542325409910589</v>
      </c>
      <c r="Q138" s="151">
        <f>IF(TrRoad_act!Q80=0,0,TrRoad_ene!Q83/TrRoad_tech!Q111)</f>
        <v>1.9016905806694446</v>
      </c>
      <c r="R138" s="151">
        <f>IF(TrRoad_act!R80=0,0,TrRoad_ene!R83/TrRoad_tech!R111)</f>
        <v>1.8027245547376411</v>
      </c>
      <c r="S138" s="151">
        <f>IF(TrRoad_act!S80=0,0,TrRoad_ene!S83/TrRoad_tech!S111)</f>
        <v>1.8851413193872941</v>
      </c>
      <c r="T138" s="151">
        <f>IF(TrRoad_act!T80=0,0,TrRoad_ene!T83/TrRoad_tech!T111)</f>
        <v>1.902382777430349</v>
      </c>
      <c r="U138" s="151">
        <f>IF(TrRoad_act!U80=0,0,TrRoad_ene!U83/TrRoad_tech!U111)</f>
        <v>1.8766447747702266</v>
      </c>
      <c r="V138" s="151">
        <f>IF(TrRoad_act!V80=0,0,TrRoad_ene!V83/TrRoad_tech!V111)</f>
        <v>1.7225158342001807</v>
      </c>
      <c r="W138" s="151">
        <f>IF(TrRoad_act!W80=0,0,TrRoad_ene!W83/TrRoad_tech!W111)</f>
        <v>1.8209615792202476</v>
      </c>
      <c r="X138" s="151">
        <f>IF(TrRoad_act!X80=0,0,TrRoad_ene!X83/TrRoad_tech!X111)</f>
        <v>1.8085497077599988</v>
      </c>
      <c r="Y138" s="151">
        <f>IF(TrRoad_act!Y80=0,0,TrRoad_ene!Y83/TrRoad_tech!Y111)</f>
        <v>1.7696334742343089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1.1363624658002665</v>
      </c>
      <c r="C139" s="93">
        <f>IF(TrRoad_act!C81=0,0,TrRoad_ene!C84/TrRoad_tech!C112)</f>
        <v>1.1795898769909172</v>
      </c>
      <c r="D139" s="93">
        <f>IF(TrRoad_act!D81=0,0,TrRoad_ene!D84/TrRoad_tech!D112)</f>
        <v>1.1601420481874096</v>
      </c>
      <c r="E139" s="93">
        <f>IF(TrRoad_act!E81=0,0,TrRoad_ene!E84/TrRoad_tech!E112)</f>
        <v>1.1559095514292306</v>
      </c>
      <c r="F139" s="93">
        <f>IF(TrRoad_act!F81=0,0,TrRoad_ene!F84/TrRoad_tech!F112)</f>
        <v>1.1648848847278088</v>
      </c>
      <c r="G139" s="93">
        <f>IF(TrRoad_act!G81=0,0,TrRoad_ene!G84/TrRoad_tech!G112)</f>
        <v>1.1719931037736495</v>
      </c>
      <c r="H139" s="93">
        <f>IF(TrRoad_act!H81=0,0,TrRoad_ene!H84/TrRoad_tech!H112)</f>
        <v>1.1888220209048752</v>
      </c>
      <c r="I139" s="93">
        <f>IF(TrRoad_act!I81=0,0,TrRoad_ene!I84/TrRoad_tech!I112)</f>
        <v>1.1983105297676617</v>
      </c>
      <c r="J139" s="93">
        <f>IF(TrRoad_act!J81=0,0,TrRoad_ene!J84/TrRoad_tech!J112)</f>
        <v>1.1929796093923997</v>
      </c>
      <c r="K139" s="93">
        <f>IF(TrRoad_act!K81=0,0,TrRoad_ene!K84/TrRoad_tech!K112)</f>
        <v>1.1703393086845624</v>
      </c>
      <c r="L139" s="93">
        <f>IF(TrRoad_act!L81=0,0,TrRoad_ene!L84/TrRoad_tech!L112)</f>
        <v>1.2380860033971928</v>
      </c>
      <c r="M139" s="93">
        <f>IF(TrRoad_act!M81=0,0,TrRoad_ene!M84/TrRoad_tech!M112)</f>
        <v>1.2017481125836391</v>
      </c>
      <c r="N139" s="93">
        <f>IF(TrRoad_act!N81=0,0,TrRoad_ene!N84/TrRoad_tech!N112)</f>
        <v>1.2059619433408173</v>
      </c>
      <c r="O139" s="93">
        <f>IF(TrRoad_act!O81=0,0,TrRoad_ene!O84/TrRoad_tech!O112)</f>
        <v>1.2113196472399519</v>
      </c>
      <c r="P139" s="93">
        <f>IF(TrRoad_act!P81=0,0,TrRoad_ene!P84/TrRoad_tech!P112)</f>
        <v>1.2180872702375438</v>
      </c>
      <c r="Q139" s="93">
        <f>IF(TrRoad_act!Q81=0,0,TrRoad_ene!Q84/TrRoad_tech!Q112)</f>
        <v>1.2273872619715736</v>
      </c>
      <c r="R139" s="93">
        <f>IF(TrRoad_act!R81=0,0,TrRoad_ene!R84/TrRoad_tech!R112)</f>
        <v>1.2301468410875964</v>
      </c>
      <c r="S139" s="93">
        <f>IF(TrRoad_act!S81=0,0,TrRoad_ene!S84/TrRoad_tech!S112)</f>
        <v>1.2580160049843947</v>
      </c>
      <c r="T139" s="93">
        <f>IF(TrRoad_act!T81=0,0,TrRoad_ene!T84/TrRoad_tech!T112)</f>
        <v>1.2781420552166929</v>
      </c>
      <c r="U139" s="93">
        <f>IF(TrRoad_act!U81=0,0,TrRoad_ene!U84/TrRoad_tech!U112)</f>
        <v>1.2882607219916042</v>
      </c>
      <c r="V139" s="93">
        <f>IF(TrRoad_act!V81=0,0,TrRoad_ene!V84/TrRoad_tech!V112)</f>
        <v>1.2824559533360835</v>
      </c>
      <c r="W139" s="93">
        <f>IF(TrRoad_act!W81=0,0,TrRoad_ene!W84/TrRoad_tech!W112)</f>
        <v>1.3166007088475518</v>
      </c>
      <c r="X139" s="93">
        <f>IF(TrRoad_act!X81=0,0,TrRoad_ene!X84/TrRoad_tech!X112)</f>
        <v>1.3290423176693056</v>
      </c>
      <c r="Y139" s="93">
        <f>IF(TrRoad_act!Y81=0,0,TrRoad_ene!Y84/TrRoad_tech!Y112)</f>
        <v>1.3387010526791578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2.818985494421554</v>
      </c>
      <c r="C140" s="94">
        <f>IF(TrRoad_act!C82=0,0,TrRoad_ene!C85/TrRoad_tech!C113)</f>
        <v>5.3110520894219029</v>
      </c>
      <c r="D140" s="94">
        <f>IF(TrRoad_act!D82=0,0,TrRoad_ene!D85/TrRoad_tech!D113)</f>
        <v>4.6202223848114752</v>
      </c>
      <c r="E140" s="94">
        <f>IF(TrRoad_act!E82=0,0,TrRoad_ene!E85/TrRoad_tech!E113)</f>
        <v>4.6330431740089644</v>
      </c>
      <c r="F140" s="94">
        <f>IF(TrRoad_act!F82=0,0,TrRoad_ene!F85/TrRoad_tech!F113)</f>
        <v>4.5148236539635382</v>
      </c>
      <c r="G140" s="94">
        <f>IF(TrRoad_act!G82=0,0,TrRoad_ene!G85/TrRoad_tech!G113)</f>
        <v>5.0654436100326539</v>
      </c>
      <c r="H140" s="94">
        <f>IF(TrRoad_act!H82=0,0,TrRoad_ene!H85/TrRoad_tech!H113)</f>
        <v>5.243618217354272</v>
      </c>
      <c r="I140" s="94">
        <f>IF(TrRoad_act!I82=0,0,TrRoad_ene!I85/TrRoad_tech!I113)</f>
        <v>5.7096655143916113</v>
      </c>
      <c r="J140" s="94">
        <f>IF(TrRoad_act!J82=0,0,TrRoad_ene!J85/TrRoad_tech!J113)</f>
        <v>5.1290375465557911</v>
      </c>
      <c r="K140" s="94">
        <f>IF(TrRoad_act!K82=0,0,TrRoad_ene!K85/TrRoad_tech!K113)</f>
        <v>4.3894162702132009</v>
      </c>
      <c r="L140" s="94">
        <f>IF(TrRoad_act!L82=0,0,TrRoad_ene!L85/TrRoad_tech!L113)</f>
        <v>6.7230543972556278</v>
      </c>
      <c r="M140" s="94">
        <f>IF(TrRoad_act!M82=0,0,TrRoad_ene!M85/TrRoad_tech!M113)</f>
        <v>3.9487466145913954</v>
      </c>
      <c r="N140" s="94">
        <f>IF(TrRoad_act!N82=0,0,TrRoad_ene!N85/TrRoad_tech!N113)</f>
        <v>3.4395258633858665</v>
      </c>
      <c r="O140" s="94">
        <f>IF(TrRoad_act!O82=0,0,TrRoad_ene!O85/TrRoad_tech!O113)</f>
        <v>3.0113930083270075</v>
      </c>
      <c r="P140" s="94">
        <f>IF(TrRoad_act!P82=0,0,TrRoad_ene!P85/TrRoad_tech!P113)</f>
        <v>2.9358997869643884</v>
      </c>
      <c r="Q140" s="94">
        <f>IF(TrRoad_act!Q82=0,0,TrRoad_ene!Q85/TrRoad_tech!Q113)</f>
        <v>2.9073634398876469</v>
      </c>
      <c r="R140" s="94">
        <f>IF(TrRoad_act!R82=0,0,TrRoad_ene!R85/TrRoad_tech!R113)</f>
        <v>2.6427465719124417</v>
      </c>
      <c r="S140" s="94">
        <f>IF(TrRoad_act!S82=0,0,TrRoad_ene!S85/TrRoad_tech!S113)</f>
        <v>2.9588415577755569</v>
      </c>
      <c r="T140" s="94">
        <f>IF(TrRoad_act!T82=0,0,TrRoad_ene!T85/TrRoad_tech!T113)</f>
        <v>2.9079788532589972</v>
      </c>
      <c r="U140" s="94">
        <f>IF(TrRoad_act!U82=0,0,TrRoad_ene!U85/TrRoad_tech!U113)</f>
        <v>2.9050946370236757</v>
      </c>
      <c r="V140" s="94">
        <f>IF(TrRoad_act!V82=0,0,TrRoad_ene!V85/TrRoad_tech!V113)</f>
        <v>2.3459122402194623</v>
      </c>
      <c r="W140" s="94">
        <f>IF(TrRoad_act!W82=0,0,TrRoad_ene!W85/TrRoad_tech!W113)</f>
        <v>2.7050016564133665</v>
      </c>
      <c r="X140" s="94">
        <f>IF(TrRoad_act!X82=0,0,TrRoad_ene!X85/TrRoad_tech!X113)</f>
        <v>2.5512307121032127</v>
      </c>
      <c r="Y140" s="94">
        <f>IF(TrRoad_act!Y82=0,0,TrRoad_ene!Y85/TrRoad_tech!Y113)</f>
        <v>2.4053765952393973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0</v>
      </c>
      <c r="C144" s="141">
        <v>3.5936251606179246</v>
      </c>
      <c r="D144" s="141">
        <v>3.5718939460544106</v>
      </c>
      <c r="E144" s="141">
        <v>3.5271854610464453</v>
      </c>
      <c r="F144" s="141">
        <v>3.5223009219931782</v>
      </c>
      <c r="G144" s="141">
        <v>3.4748511140471545</v>
      </c>
      <c r="H144" s="141">
        <v>3.4047729313033432</v>
      </c>
      <c r="I144" s="141">
        <v>3.3548310115954489</v>
      </c>
      <c r="J144" s="141">
        <v>3.2670512124122584</v>
      </c>
      <c r="K144" s="141">
        <v>3.1227086855439299</v>
      </c>
      <c r="L144" s="141">
        <v>3.0091340636772808</v>
      </c>
      <c r="M144" s="141">
        <v>2.8714065981388761</v>
      </c>
      <c r="N144" s="141">
        <v>2.8077919679699006</v>
      </c>
      <c r="O144" s="141">
        <v>2.7555785727720226</v>
      </c>
      <c r="P144" s="141">
        <v>2.6012903055035368</v>
      </c>
      <c r="Q144" s="141">
        <v>2.5205092965804723</v>
      </c>
      <c r="R144" s="141">
        <v>2.4944123160386007</v>
      </c>
      <c r="S144" s="141">
        <v>2.4735347316051035</v>
      </c>
      <c r="T144" s="141">
        <v>2.4568326640583056</v>
      </c>
      <c r="U144" s="141">
        <v>2.4434710100208674</v>
      </c>
      <c r="V144" s="141">
        <v>2.4327816867909169</v>
      </c>
      <c r="W144" s="141">
        <v>2.4242302282069561</v>
      </c>
      <c r="X144" s="141">
        <v>2.4173890613397875</v>
      </c>
      <c r="Y144" s="141">
        <v>2.4119161278460526</v>
      </c>
      <c r="DA144" s="174" t="s">
        <v>887</v>
      </c>
    </row>
    <row r="145" spans="1:105" ht="11.45" customHeight="1" x14ac:dyDescent="0.25">
      <c r="A145" s="109" t="s">
        <v>20</v>
      </c>
      <c r="B145" s="130">
        <v>8.1265151820014552</v>
      </c>
      <c r="C145" s="130">
        <v>8.1001365437476363</v>
      </c>
      <c r="D145" s="130">
        <v>7.9681858000796311</v>
      </c>
      <c r="E145" s="130">
        <v>7.8763824621255623</v>
      </c>
      <c r="F145" s="130">
        <v>7.8632278995595986</v>
      </c>
      <c r="G145" s="130">
        <v>7.7474728976849789</v>
      </c>
      <c r="H145" s="130">
        <v>7.625645457224965</v>
      </c>
      <c r="I145" s="130">
        <v>7.4964939225269056</v>
      </c>
      <c r="J145" s="130">
        <v>7.1379202708422893</v>
      </c>
      <c r="K145" s="130">
        <v>6.7177246340827175</v>
      </c>
      <c r="L145" s="130">
        <v>6.4551289163671752</v>
      </c>
      <c r="M145" s="130">
        <v>6.0898435728117573</v>
      </c>
      <c r="N145" s="130">
        <v>6.1388345628601391</v>
      </c>
      <c r="O145" s="130">
        <v>5.8885169117004779</v>
      </c>
      <c r="P145" s="130">
        <v>5.6649753669397498</v>
      </c>
      <c r="Q145" s="130">
        <v>5.4525241614496709</v>
      </c>
      <c r="R145" s="130">
        <v>4.9842065640263682</v>
      </c>
      <c r="S145" s="130">
        <v>5.09536229372421</v>
      </c>
      <c r="T145" s="130">
        <v>5.1179233383391391</v>
      </c>
      <c r="U145" s="130">
        <v>5.1744854713803665</v>
      </c>
      <c r="V145" s="130">
        <v>4.9701152051594306</v>
      </c>
      <c r="W145" s="130">
        <v>4.9810377370698911</v>
      </c>
      <c r="X145" s="130">
        <v>4.9828495978599241</v>
      </c>
      <c r="Y145" s="130">
        <v>5.0485803411205712</v>
      </c>
      <c r="DA145" s="176" t="s">
        <v>888</v>
      </c>
    </row>
    <row r="146" spans="1:105" ht="11.45" customHeight="1" x14ac:dyDescent="0.25">
      <c r="A146" s="111" t="s">
        <v>110</v>
      </c>
      <c r="B146" s="96">
        <v>8.4606113083710923</v>
      </c>
      <c r="C146" s="96">
        <v>8.4145509765918121</v>
      </c>
      <c r="D146" s="96">
        <v>8.3636668680509807</v>
      </c>
      <c r="E146" s="96">
        <v>8.2589809841951833</v>
      </c>
      <c r="F146" s="96">
        <v>8.2475437304405954</v>
      </c>
      <c r="G146" s="96">
        <v>8.13643897968171</v>
      </c>
      <c r="H146" s="96">
        <v>7.9723494003046218</v>
      </c>
      <c r="I146" s="96">
        <v>7.8554093159974769</v>
      </c>
      <c r="J146" s="96">
        <v>7.4740119152831621</v>
      </c>
      <c r="K146" s="96">
        <v>7.0626209001307885</v>
      </c>
      <c r="L146" s="96">
        <v>6.8057495173363574</v>
      </c>
      <c r="M146" s="96">
        <v>6.4843940634773363</v>
      </c>
      <c r="N146" s="96">
        <v>6.3051227235058285</v>
      </c>
      <c r="O146" s="96">
        <v>6.2308283366418697</v>
      </c>
      <c r="P146" s="96">
        <v>5.8845361798414384</v>
      </c>
      <c r="Q146" s="96">
        <v>5.7036476133173686</v>
      </c>
      <c r="R146" s="96">
        <v>5.4543018804372903</v>
      </c>
      <c r="S146" s="96">
        <v>5.3716778153854348</v>
      </c>
      <c r="T146" s="96">
        <v>5.3621128535798963</v>
      </c>
      <c r="U146" s="96">
        <v>5.3012975852044724</v>
      </c>
      <c r="V146" s="96">
        <v>5.2041412395498501</v>
      </c>
      <c r="W146" s="96">
        <v>5.0151561790207628</v>
      </c>
      <c r="X146" s="96">
        <v>4.9384523160861606</v>
      </c>
      <c r="Y146" s="96">
        <v>4.9330174152163204</v>
      </c>
      <c r="DA146" s="171" t="s">
        <v>889</v>
      </c>
    </row>
    <row r="147" spans="1:105" ht="11.45" customHeight="1" x14ac:dyDescent="0.25">
      <c r="A147" s="111" t="s">
        <v>111</v>
      </c>
      <c r="B147" s="96">
        <v>7.0267766703761838</v>
      </c>
      <c r="C147" s="96">
        <v>7.0232856704851452</v>
      </c>
      <c r="D147" s="96">
        <v>7.0194088158258205</v>
      </c>
      <c r="E147" s="96">
        <v>7.0354008412955258</v>
      </c>
      <c r="F147" s="96">
        <v>6.9889997370917696</v>
      </c>
      <c r="G147" s="96">
        <v>7.0098378308856244</v>
      </c>
      <c r="H147" s="96">
        <v>7.0547851145921312</v>
      </c>
      <c r="I147" s="96">
        <v>6.9898477990484977</v>
      </c>
      <c r="J147" s="96">
        <v>6.6744899028543161</v>
      </c>
      <c r="K147" s="96">
        <v>6.4121964548095978</v>
      </c>
      <c r="L147" s="96">
        <v>6.1658950322345829</v>
      </c>
      <c r="M147" s="96">
        <v>5.9205814673374979</v>
      </c>
      <c r="N147" s="96">
        <v>5.8923552619777135</v>
      </c>
      <c r="O147" s="96">
        <v>5.6319113607580027</v>
      </c>
      <c r="P147" s="96">
        <v>5.5720728204157259</v>
      </c>
      <c r="Q147" s="96">
        <v>5.3323375740070063</v>
      </c>
      <c r="R147" s="96">
        <v>4.8711123095218598</v>
      </c>
      <c r="S147" s="96">
        <v>4.9929364147407549</v>
      </c>
      <c r="T147" s="96">
        <v>5.0369443405825933</v>
      </c>
      <c r="U147" s="96">
        <v>5.1400186691380183</v>
      </c>
      <c r="V147" s="96">
        <v>4.9149935765911348</v>
      </c>
      <c r="W147" s="96">
        <v>5.0373514778899189</v>
      </c>
      <c r="X147" s="96">
        <v>5.1501539938594059</v>
      </c>
      <c r="Y147" s="96">
        <v>5.3198968568005292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7.7260837107303795</v>
      </c>
      <c r="D148" s="96">
        <v>7.7218189114558582</v>
      </c>
      <c r="E148" s="96">
        <v>7.7394112084632649</v>
      </c>
      <c r="F148" s="96">
        <v>7.6883668921463189</v>
      </c>
      <c r="G148" s="96">
        <v>7.7112901882468803</v>
      </c>
      <c r="H148" s="96">
        <v>7.7607352048358811</v>
      </c>
      <c r="I148" s="96">
        <v>7.6892998169876181</v>
      </c>
      <c r="J148" s="96">
        <v>7.3423850510006403</v>
      </c>
      <c r="K148" s="96">
        <v>7.0538447250836951</v>
      </c>
      <c r="L148" s="96">
        <v>5.8684524816548853</v>
      </c>
      <c r="M148" s="96">
        <v>5.9331956051272519</v>
      </c>
      <c r="N148" s="96">
        <v>6.481984664060767</v>
      </c>
      <c r="O148" s="96">
        <v>6.4586427624038691</v>
      </c>
      <c r="P148" s="96">
        <v>6.1331870371089705</v>
      </c>
      <c r="Q148" s="96">
        <v>6.0672524650366686</v>
      </c>
      <c r="R148" s="96">
        <v>5.4643742784814533</v>
      </c>
      <c r="S148" s="96">
        <v>5.8139127500779537</v>
      </c>
      <c r="T148" s="96">
        <v>5.8454248189794651</v>
      </c>
      <c r="U148" s="96">
        <v>5.9679930853040464</v>
      </c>
      <c r="V148" s="96">
        <v>4.7801054664109914</v>
      </c>
      <c r="W148" s="96">
        <v>4.597994607574182</v>
      </c>
      <c r="X148" s="96">
        <v>4.4565263672170827</v>
      </c>
      <c r="Y148" s="96">
        <v>4.4650972002629494</v>
      </c>
      <c r="DA148" s="171" t="s">
        <v>891</v>
      </c>
    </row>
    <row r="149" spans="1:105" ht="11.45" customHeight="1" x14ac:dyDescent="0.25">
      <c r="A149" s="111" t="s">
        <v>113</v>
      </c>
      <c r="B149" s="96">
        <v>7.6481270900890852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8.3628112421511087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5.2589913013502239</v>
      </c>
      <c r="U149" s="96">
        <v>5.2963332514189831</v>
      </c>
      <c r="V149" s="96">
        <v>4.6097141935399071</v>
      </c>
      <c r="W149" s="96">
        <v>4.3807461103926695</v>
      </c>
      <c r="X149" s="96">
        <v>4.3408787065321031</v>
      </c>
      <c r="Y149" s="96">
        <v>4.413611042849154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3.1122818545186401</v>
      </c>
      <c r="O150" s="96">
        <v>4.0607259317854014</v>
      </c>
      <c r="P150" s="96">
        <v>3.7120352060590482</v>
      </c>
      <c r="Q150" s="96">
        <v>3.0803031871366242</v>
      </c>
      <c r="R150" s="96">
        <v>2.7621604353539442</v>
      </c>
      <c r="S150" s="96">
        <v>3.1942646879386833</v>
      </c>
      <c r="T150" s="96">
        <v>3.0608449480108635</v>
      </c>
      <c r="U150" s="96">
        <v>3.0697721300841314</v>
      </c>
      <c r="V150" s="96">
        <v>3.6948999897053083</v>
      </c>
      <c r="W150" s="96">
        <v>2.8738754749578685</v>
      </c>
      <c r="X150" s="96">
        <v>2.7542616254421421</v>
      </c>
      <c r="Y150" s="96">
        <v>2.623786958662397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1.4120366083272058</v>
      </c>
      <c r="O151" s="96">
        <v>1.470335339638865</v>
      </c>
      <c r="P151" s="96">
        <v>1.0699143119755685</v>
      </c>
      <c r="Q151" s="96">
        <v>1.5224318446209097</v>
      </c>
      <c r="R151" s="96">
        <v>1.4638865004299226</v>
      </c>
      <c r="S151" s="96">
        <v>1.2565359856847387</v>
      </c>
      <c r="T151" s="96">
        <v>1.4506305531670962</v>
      </c>
      <c r="U151" s="96">
        <v>1.5813245569820422</v>
      </c>
      <c r="V151" s="96">
        <v>1.5332904412870016</v>
      </c>
      <c r="W151" s="96">
        <v>1.5348025532744007</v>
      </c>
      <c r="X151" s="96">
        <v>1.5495829307425695</v>
      </c>
      <c r="Y151" s="96">
        <v>1.4964605875892836</v>
      </c>
      <c r="DA151" s="171" t="s">
        <v>894</v>
      </c>
    </row>
    <row r="152" spans="1:105" ht="11.45" customHeight="1" x14ac:dyDescent="0.25">
      <c r="A152" s="109" t="s">
        <v>21</v>
      </c>
      <c r="B152" s="130">
        <v>19.104912376706931</v>
      </c>
      <c r="C152" s="130">
        <v>45.772719607288714</v>
      </c>
      <c r="D152" s="130">
        <v>47.031255423921678</v>
      </c>
      <c r="E152" s="130">
        <v>47.078242753220096</v>
      </c>
      <c r="F152" s="130">
        <v>46.887863358646001</v>
      </c>
      <c r="G152" s="130">
        <v>45.090512009823343</v>
      </c>
      <c r="H152" s="130">
        <v>46.267341276540193</v>
      </c>
      <c r="I152" s="130">
        <v>44.179754740840558</v>
      </c>
      <c r="J152" s="130">
        <v>42.514857255511046</v>
      </c>
      <c r="K152" s="130">
        <v>40.955864027026834</v>
      </c>
      <c r="L152" s="130">
        <v>39.446477668877932</v>
      </c>
      <c r="M152" s="130">
        <v>44.652671606230022</v>
      </c>
      <c r="N152" s="130">
        <v>44.401178211844453</v>
      </c>
      <c r="O152" s="130">
        <v>43.606963735035393</v>
      </c>
      <c r="P152" s="130">
        <v>43.546134369478338</v>
      </c>
      <c r="Q152" s="130">
        <v>41.842712704483134</v>
      </c>
      <c r="R152" s="130">
        <v>40.879229581245276</v>
      </c>
      <c r="S152" s="130">
        <v>41.537965424077115</v>
      </c>
      <c r="T152" s="130">
        <v>40.017103346257713</v>
      </c>
      <c r="U152" s="130">
        <v>38.127882740058318</v>
      </c>
      <c r="V152" s="130">
        <v>30.745095995432141</v>
      </c>
      <c r="W152" s="130">
        <v>33.939642545399956</v>
      </c>
      <c r="X152" s="130">
        <v>33.581901126393468</v>
      </c>
      <c r="Y152" s="130">
        <v>30.872855877012217</v>
      </c>
      <c r="DA152" s="176" t="s">
        <v>895</v>
      </c>
    </row>
    <row r="153" spans="1:105" ht="11.45" customHeight="1" x14ac:dyDescent="0.25">
      <c r="A153" s="111" t="s">
        <v>110</v>
      </c>
      <c r="B153" s="97">
        <v>17.712236626109782</v>
      </c>
      <c r="C153" s="97">
        <v>17.61580961087218</v>
      </c>
      <c r="D153" s="97">
        <v>17.509284049286325</v>
      </c>
      <c r="E153" s="97">
        <v>17.2901248090512</v>
      </c>
      <c r="F153" s="97">
        <v>17.266180990162638</v>
      </c>
      <c r="G153" s="97">
        <v>17.033583892388013</v>
      </c>
      <c r="H153" s="97">
        <v>16.69006338874188</v>
      </c>
      <c r="I153" s="97">
        <v>16.44525005684044</v>
      </c>
      <c r="J153" s="97">
        <v>15.646796994311583</v>
      </c>
      <c r="K153" s="97">
        <v>14.785552488370882</v>
      </c>
      <c r="L153" s="97">
        <v>14.247793862108336</v>
      </c>
      <c r="M153" s="97">
        <v>0</v>
      </c>
      <c r="N153" s="97">
        <v>0</v>
      </c>
      <c r="O153" s="97">
        <v>13.047247030170563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10.619885187818824</v>
      </c>
      <c r="DA153" s="175" t="s">
        <v>896</v>
      </c>
    </row>
    <row r="154" spans="1:105" ht="11.45" customHeight="1" x14ac:dyDescent="0.25">
      <c r="A154" s="111" t="s">
        <v>111</v>
      </c>
      <c r="B154" s="97">
        <v>0</v>
      </c>
      <c r="C154" s="97">
        <v>47.686346065692071</v>
      </c>
      <c r="D154" s="97">
        <v>47.61392591157896</v>
      </c>
      <c r="E154" s="97">
        <v>47.463521137953038</v>
      </c>
      <c r="F154" s="97">
        <v>47.447071870794396</v>
      </c>
      <c r="G154" s="97">
        <v>47.285648053980033</v>
      </c>
      <c r="H154" s="97">
        <v>47.043581346665647</v>
      </c>
      <c r="I154" s="97">
        <v>46.869151146215088</v>
      </c>
      <c r="J154" s="97">
        <v>46.27875217482439</v>
      </c>
      <c r="K154" s="97">
        <v>45.614501734388313</v>
      </c>
      <c r="L154" s="97">
        <v>45.188114696546002</v>
      </c>
      <c r="M154" s="97">
        <v>44.652671606230022</v>
      </c>
      <c r="N154" s="97">
        <v>44.401178211844453</v>
      </c>
      <c r="O154" s="97">
        <v>44.191838695894049</v>
      </c>
      <c r="P154" s="97">
        <v>43.546134369478338</v>
      </c>
      <c r="Q154" s="97">
        <v>43.199999999908329</v>
      </c>
      <c r="R154" s="97">
        <v>42.547705407183074</v>
      </c>
      <c r="S154" s="97">
        <v>41.633313126029989</v>
      </c>
      <c r="T154" s="97">
        <v>40.500556560864339</v>
      </c>
      <c r="U154" s="97">
        <v>39.191391199093147</v>
      </c>
      <c r="V154" s="97">
        <v>37.744968930398294</v>
      </c>
      <c r="W154" s="97">
        <v>36.196976617196505</v>
      </c>
      <c r="X154" s="97">
        <v>34.579274078716793</v>
      </c>
      <c r="Y154" s="97">
        <v>32.919767649534869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35.591417128308599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39.738621721410063</v>
      </c>
      <c r="D156" s="97">
        <v>0</v>
      </c>
      <c r="E156" s="97">
        <v>39.552934281627529</v>
      </c>
      <c r="F156" s="97">
        <v>39.539226558995331</v>
      </c>
      <c r="G156" s="97">
        <v>39.404706711650029</v>
      </c>
      <c r="H156" s="97">
        <v>39.202984455554706</v>
      </c>
      <c r="I156" s="97">
        <v>39.05762595517924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33.776428275212652</v>
      </c>
      <c r="V156" s="97">
        <v>33.580348971286931</v>
      </c>
      <c r="W156" s="97">
        <v>33.42978493977698</v>
      </c>
      <c r="X156" s="97">
        <v>33.306430984049797</v>
      </c>
      <c r="Y156" s="97">
        <v>33.199404562115589</v>
      </c>
      <c r="DA156" s="175" t="s">
        <v>899</v>
      </c>
    </row>
    <row r="157" spans="1:105" ht="11.45" customHeight="1" x14ac:dyDescent="0.25">
      <c r="A157" s="111" t="s">
        <v>115</v>
      </c>
      <c r="B157" s="97">
        <v>33.341153382811143</v>
      </c>
      <c r="C157" s="97">
        <v>33.040932414140372</v>
      </c>
      <c r="D157" s="97">
        <v>0</v>
      </c>
      <c r="E157" s="97">
        <v>0</v>
      </c>
      <c r="F157" s="97">
        <v>0</v>
      </c>
      <c r="G157" s="97">
        <v>31.738987843702901</v>
      </c>
      <c r="H157" s="97">
        <v>31.421597965265867</v>
      </c>
      <c r="I157" s="97">
        <v>31.107381985613209</v>
      </c>
      <c r="J157" s="97">
        <v>30.796308165757075</v>
      </c>
      <c r="K157" s="97">
        <v>30.488345084099503</v>
      </c>
      <c r="L157" s="97">
        <v>30.18346163325851</v>
      </c>
      <c r="M157" s="97">
        <v>0</v>
      </c>
      <c r="N157" s="97">
        <v>0</v>
      </c>
      <c r="O157" s="97">
        <v>0</v>
      </c>
      <c r="P157" s="97">
        <v>0</v>
      </c>
      <c r="Q157" s="97">
        <v>28.704171684767246</v>
      </c>
      <c r="R157" s="97">
        <v>28.303475972237351</v>
      </c>
      <c r="S157" s="97">
        <v>27.807896342863575</v>
      </c>
      <c r="T157" s="97">
        <v>27.232451671104691</v>
      </c>
      <c r="U157" s="97">
        <v>26.591116174736758</v>
      </c>
      <c r="V157" s="97">
        <v>25.89670391845657</v>
      </c>
      <c r="W157" s="97">
        <v>25.160814959683563</v>
      </c>
      <c r="X157" s="97">
        <v>24.393829032959523</v>
      </c>
      <c r="Y157" s="97">
        <v>23.604934578760641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8.0638807626873561</v>
      </c>
      <c r="C159" s="141">
        <v>8.0495651963037478</v>
      </c>
      <c r="D159" s="141">
        <v>8.1238306843994703</v>
      </c>
      <c r="E159" s="141">
        <v>7.9829783155068155</v>
      </c>
      <c r="F159" s="141">
        <v>8.0802562626672056</v>
      </c>
      <c r="G159" s="141">
        <v>7.9895109157719899</v>
      </c>
      <c r="H159" s="141">
        <v>7.9766704018256904</v>
      </c>
      <c r="I159" s="141">
        <v>8.017944457406049</v>
      </c>
      <c r="J159" s="141">
        <v>7.9811859799441311</v>
      </c>
      <c r="K159" s="141">
        <v>7.8681589343716913</v>
      </c>
      <c r="L159" s="141">
        <v>8.0688316754136391</v>
      </c>
      <c r="M159" s="141">
        <v>8.1409504478302228</v>
      </c>
      <c r="N159" s="141">
        <v>7.5471153997457305</v>
      </c>
      <c r="O159" s="141">
        <v>7.3558089524608912</v>
      </c>
      <c r="P159" s="141">
        <v>6.9468383208175393</v>
      </c>
      <c r="Q159" s="141">
        <v>6.8355418513713042</v>
      </c>
      <c r="R159" s="141">
        <v>6.5453748950079387</v>
      </c>
      <c r="S159" s="141">
        <v>6.5769916969336979</v>
      </c>
      <c r="T159" s="141">
        <v>6.4658134549888784</v>
      </c>
      <c r="U159" s="141">
        <v>6.3496388220962396</v>
      </c>
      <c r="V159" s="141">
        <v>6.4877660629080003</v>
      </c>
      <c r="W159" s="141">
        <v>6.3559237394084631</v>
      </c>
      <c r="X159" s="141">
        <v>6.0996076059296378</v>
      </c>
      <c r="Y159" s="141">
        <v>6.3974813956984162</v>
      </c>
      <c r="DA159" s="174" t="s">
        <v>901</v>
      </c>
    </row>
    <row r="160" spans="1:105" ht="11.45" customHeight="1" x14ac:dyDescent="0.25">
      <c r="A160" s="111" t="s">
        <v>110</v>
      </c>
      <c r="B160" s="96">
        <v>7.6531728183568148</v>
      </c>
      <c r="C160" s="96">
        <v>7.6115082546120041</v>
      </c>
      <c r="D160" s="96">
        <v>7.5654802712692755</v>
      </c>
      <c r="E160" s="96">
        <v>7.4707850853554465</v>
      </c>
      <c r="F160" s="96">
        <v>7.4604393459802472</v>
      </c>
      <c r="G160" s="96">
        <v>7.3599378777640085</v>
      </c>
      <c r="H160" s="96">
        <v>7.211508188360618</v>
      </c>
      <c r="I160" s="96">
        <v>7.1057282816876448</v>
      </c>
      <c r="J160" s="96">
        <v>6.7607295441554385</v>
      </c>
      <c r="K160" s="96">
        <v>6.3885996329556125</v>
      </c>
      <c r="L160" s="96">
        <v>6.1562427720901347</v>
      </c>
      <c r="M160" s="96">
        <v>5.874472769060441</v>
      </c>
      <c r="N160" s="96">
        <v>5.7405629147419912</v>
      </c>
      <c r="O160" s="96">
        <v>6.0260520111539373</v>
      </c>
      <c r="P160" s="96">
        <v>5.7676742673792853</v>
      </c>
      <c r="Q160" s="96">
        <v>5.3484999648649456</v>
      </c>
      <c r="R160" s="96">
        <v>5.4020729125985048</v>
      </c>
      <c r="S160" s="96">
        <v>5.4165969106238379</v>
      </c>
      <c r="T160" s="96">
        <v>7.3800827781240859</v>
      </c>
      <c r="U160" s="96">
        <v>6.9681576639953766</v>
      </c>
      <c r="V160" s="96">
        <v>5.5454484735168634</v>
      </c>
      <c r="W160" s="96">
        <v>5.6009812162201449</v>
      </c>
      <c r="X160" s="96">
        <v>5.5367807799821014</v>
      </c>
      <c r="Y160" s="96">
        <v>7.4309766377694153</v>
      </c>
      <c r="DA160" s="171" t="s">
        <v>902</v>
      </c>
    </row>
    <row r="161" spans="1:105" ht="11.45" customHeight="1" x14ac:dyDescent="0.25">
      <c r="A161" s="111" t="s">
        <v>111</v>
      </c>
      <c r="B161" s="96">
        <v>8.1512478180526173</v>
      </c>
      <c r="C161" s="96">
        <v>8.14719816533424</v>
      </c>
      <c r="D161" s="96">
        <v>8.1427009108226578</v>
      </c>
      <c r="E161" s="96">
        <v>8.1612520856829196</v>
      </c>
      <c r="F161" s="96">
        <v>8.1074255707474681</v>
      </c>
      <c r="G161" s="96">
        <v>8.131598313747201</v>
      </c>
      <c r="H161" s="96">
        <v>8.1837383582408094</v>
      </c>
      <c r="I161" s="96">
        <v>8.1084093451718768</v>
      </c>
      <c r="J161" s="96">
        <v>7.7425857984956936</v>
      </c>
      <c r="K161" s="96">
        <v>7.4383184229467343</v>
      </c>
      <c r="L161" s="96">
        <v>7.1526022222580377</v>
      </c>
      <c r="M161" s="96">
        <v>6.8680319627482351</v>
      </c>
      <c r="N161" s="96">
        <v>6.8352888138418209</v>
      </c>
      <c r="O161" s="96">
        <v>6.5647874236987862</v>
      </c>
      <c r="P161" s="96">
        <v>6.4247817550544681</v>
      </c>
      <c r="Q161" s="96">
        <v>6.3637002834582699</v>
      </c>
      <c r="R161" s="96">
        <v>6.0039896331023437</v>
      </c>
      <c r="S161" s="96">
        <v>5.8975561002782619</v>
      </c>
      <c r="T161" s="96">
        <v>6.2015236171848418</v>
      </c>
      <c r="U161" s="96">
        <v>6.168870437005026</v>
      </c>
      <c r="V161" s="96">
        <v>6.977534616458045</v>
      </c>
      <c r="W161" s="96">
        <v>7.1271698802683021</v>
      </c>
      <c r="X161" s="96">
        <v>6.6846793490413345</v>
      </c>
      <c r="Y161" s="96">
        <v>6.8933697856406146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7.1770862524199188</v>
      </c>
      <c r="O162" s="96">
        <v>0</v>
      </c>
      <c r="P162" s="96">
        <v>5.9259358517733016</v>
      </c>
      <c r="Q162" s="96">
        <v>7.2272756667725204</v>
      </c>
      <c r="R162" s="96">
        <v>7.2996672651824515</v>
      </c>
      <c r="S162" s="96">
        <v>5.6785737381784092</v>
      </c>
      <c r="T162" s="96">
        <v>5.6785737381784092</v>
      </c>
      <c r="U162" s="96">
        <v>6.508235485639541</v>
      </c>
      <c r="V162" s="96">
        <v>6.6493284481083137</v>
      </c>
      <c r="W162" s="96">
        <v>7.3780553323196187</v>
      </c>
      <c r="X162" s="96">
        <v>7.7548718798646048</v>
      </c>
      <c r="Y162" s="96">
        <v>7.3324921582571321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1.4845354446728654</v>
      </c>
      <c r="N164" s="96">
        <v>0</v>
      </c>
      <c r="O164" s="96">
        <v>1.4578757724680216</v>
      </c>
      <c r="P164" s="96">
        <v>1.470335339638865</v>
      </c>
      <c r="Q164" s="96">
        <v>1.3198853792075025</v>
      </c>
      <c r="R164" s="96">
        <v>1.3327601031814273</v>
      </c>
      <c r="S164" s="96">
        <v>1.418744625967326</v>
      </c>
      <c r="T164" s="96">
        <v>1.5359929773310257</v>
      </c>
      <c r="U164" s="96">
        <v>2.0378331900257955</v>
      </c>
      <c r="V164" s="96">
        <v>2.467755803955288</v>
      </c>
      <c r="W164" s="96">
        <v>2.4495270851246778</v>
      </c>
      <c r="X164" s="96">
        <v>2.4247635425623391</v>
      </c>
      <c r="Y164" s="96">
        <v>2.1303992441854289</v>
      </c>
      <c r="DA164" s="171" t="s">
        <v>906</v>
      </c>
    </row>
    <row r="165" spans="1:105" ht="11.45" customHeight="1" x14ac:dyDescent="0.25">
      <c r="A165" s="109" t="s">
        <v>154</v>
      </c>
      <c r="B165" s="130">
        <v>26.956389495735085</v>
      </c>
      <c r="C165" s="130">
        <v>26.791214290249709</v>
      </c>
      <c r="D165" s="130">
        <v>26.659520944313964</v>
      </c>
      <c r="E165" s="130">
        <v>26.482020968830213</v>
      </c>
      <c r="F165" s="130">
        <v>26.592800545456921</v>
      </c>
      <c r="G165" s="130">
        <v>26.153455269672598</v>
      </c>
      <c r="H165" s="130">
        <v>26.177787907535109</v>
      </c>
      <c r="I165" s="130">
        <v>25.86958237687767</v>
      </c>
      <c r="J165" s="130">
        <v>25.364316322407284</v>
      </c>
      <c r="K165" s="130">
        <v>24.908891395702327</v>
      </c>
      <c r="L165" s="130">
        <v>25.59988501542086</v>
      </c>
      <c r="M165" s="130">
        <v>25.16144808647902</v>
      </c>
      <c r="N165" s="130">
        <v>24.60642039659438</v>
      </c>
      <c r="O165" s="130">
        <v>23.919669066279919</v>
      </c>
      <c r="P165" s="130">
        <v>24.432177539161618</v>
      </c>
      <c r="Q165" s="130">
        <v>24.264833057799745</v>
      </c>
      <c r="R165" s="130">
        <v>22.401899305732545</v>
      </c>
      <c r="S165" s="130">
        <v>21.79844512356064</v>
      </c>
      <c r="T165" s="130">
        <v>21.731175413417425</v>
      </c>
      <c r="U165" s="130">
        <v>20.73859339566517</v>
      </c>
      <c r="V165" s="130">
        <v>21.854558044607824</v>
      </c>
      <c r="W165" s="130">
        <v>21.026552306018296</v>
      </c>
      <c r="X165" s="130">
        <v>21.31689267985147</v>
      </c>
      <c r="Y165" s="130">
        <v>20.930671992457718</v>
      </c>
      <c r="DA165" s="176" t="s">
        <v>907</v>
      </c>
    </row>
    <row r="166" spans="1:105" ht="11.45" customHeight="1" x14ac:dyDescent="0.25">
      <c r="A166" s="128" t="s">
        <v>27</v>
      </c>
      <c r="B166" s="97">
        <v>26.744840288051101</v>
      </c>
      <c r="C166" s="97">
        <v>26.638144329843865</v>
      </c>
      <c r="D166" s="97">
        <v>26.520092414257846</v>
      </c>
      <c r="E166" s="97">
        <v>26.373095805670992</v>
      </c>
      <c r="F166" s="97">
        <v>26.197528025234373</v>
      </c>
      <c r="G166" s="97">
        <v>25.993832045097577</v>
      </c>
      <c r="H166" s="97">
        <v>25.762517526046807</v>
      </c>
      <c r="I166" s="97">
        <v>25.504157678220771</v>
      </c>
      <c r="J166" s="97">
        <v>25.219385780347327</v>
      </c>
      <c r="K166" s="97">
        <v>24.908891395702327</v>
      </c>
      <c r="L166" s="97">
        <v>24.573416326469424</v>
      </c>
      <c r="M166" s="97">
        <v>24.213750348828022</v>
      </c>
      <c r="N166" s="97">
        <v>23.83072677273692</v>
      </c>
      <c r="O166" s="97">
        <v>23.425217870895061</v>
      </c>
      <c r="P166" s="97">
        <v>22.998130220315108</v>
      </c>
      <c r="Q166" s="97">
        <v>22.550399999952141</v>
      </c>
      <c r="R166" s="97">
        <v>22.006858018666051</v>
      </c>
      <c r="S166" s="97">
        <v>21.626378631765785</v>
      </c>
      <c r="T166" s="97">
        <v>21.226875275520509</v>
      </c>
      <c r="U166" s="97">
        <v>20.73859339566517</v>
      </c>
      <c r="V166" s="97">
        <v>20.808578373478667</v>
      </c>
      <c r="W166" s="97">
        <v>20.924043088519429</v>
      </c>
      <c r="X166" s="97">
        <v>20.808764706139044</v>
      </c>
      <c r="Y166" s="97">
        <v>20.600677059077654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0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138.3487956692482</v>
      </c>
      <c r="C171" s="152">
        <v>137.83366552148917</v>
      </c>
      <c r="D171" s="152">
        <v>136.96722729909703</v>
      </c>
      <c r="E171" s="152">
        <v>136.06393062898425</v>
      </c>
      <c r="F171" s="152">
        <v>134.92369955029255</v>
      </c>
      <c r="G171" s="152">
        <v>133.71115039699583</v>
      </c>
      <c r="H171" s="152">
        <v>131.85781436983919</v>
      </c>
      <c r="I171" s="152">
        <v>128.85013369448046</v>
      </c>
      <c r="J171" s="152">
        <v>125.79836151874288</v>
      </c>
      <c r="K171" s="152">
        <v>124.48284786716974</v>
      </c>
      <c r="L171" s="152">
        <v>123.20737210907406</v>
      </c>
      <c r="M171" s="152">
        <v>118.71683980474258</v>
      </c>
      <c r="N171" s="152">
        <v>113.70274375549458</v>
      </c>
      <c r="O171" s="152">
        <v>109.02149863732555</v>
      </c>
      <c r="P171" s="152">
        <v>103.95388850675852</v>
      </c>
      <c r="Q171" s="152">
        <v>99.179519643329186</v>
      </c>
      <c r="R171" s="152">
        <v>94.529382088257506</v>
      </c>
      <c r="S171" s="152">
        <v>90.267274637195172</v>
      </c>
      <c r="T171" s="152">
        <v>86.653454067668889</v>
      </c>
      <c r="U171" s="152">
        <v>82.690132974367401</v>
      </c>
      <c r="V171" s="152">
        <v>79.782960933381432</v>
      </c>
      <c r="W171" s="152">
        <v>76.157375440692917</v>
      </c>
      <c r="X171" s="152">
        <v>74.703271900667133</v>
      </c>
      <c r="Y171" s="152">
        <v>73.478605304393554</v>
      </c>
      <c r="DA171" s="174" t="s">
        <v>910</v>
      </c>
    </row>
    <row r="172" spans="1:105" ht="11.45" customHeight="1" x14ac:dyDescent="0.25">
      <c r="A172" s="109" t="s">
        <v>20</v>
      </c>
      <c r="B172" s="116">
        <v>272.90814574023005</v>
      </c>
      <c r="C172" s="116">
        <v>267.03322576437847</v>
      </c>
      <c r="D172" s="116">
        <v>264.98920989368315</v>
      </c>
      <c r="E172" s="116">
        <v>260.30359016408408</v>
      </c>
      <c r="F172" s="116">
        <v>254.48105262419713</v>
      </c>
      <c r="G172" s="116">
        <v>251.56204113201326</v>
      </c>
      <c r="H172" s="116">
        <v>247.24039611491733</v>
      </c>
      <c r="I172" s="116">
        <v>243.40406810856652</v>
      </c>
      <c r="J172" s="116">
        <v>239.34406221807362</v>
      </c>
      <c r="K172" s="116">
        <v>238.2669033936757</v>
      </c>
      <c r="L172" s="116">
        <v>236.40280321772531</v>
      </c>
      <c r="M172" s="116">
        <v>232.79297397181008</v>
      </c>
      <c r="N172" s="116">
        <v>225.15689791219094</v>
      </c>
      <c r="O172" s="116">
        <v>227.03420742134244</v>
      </c>
      <c r="P172" s="116">
        <v>223.32092493290222</v>
      </c>
      <c r="Q172" s="116">
        <v>219.55213119415188</v>
      </c>
      <c r="R172" s="116">
        <v>215.66138644641896</v>
      </c>
      <c r="S172" s="116">
        <v>209.18803811823656</v>
      </c>
      <c r="T172" s="116">
        <v>203.08266074142944</v>
      </c>
      <c r="U172" s="116">
        <v>197.04248621989902</v>
      </c>
      <c r="V172" s="116">
        <v>191.16854192677425</v>
      </c>
      <c r="W172" s="116">
        <v>184.38477435469434</v>
      </c>
      <c r="X172" s="116">
        <v>176.68444417754458</v>
      </c>
      <c r="Y172" s="116">
        <v>171.45779135918187</v>
      </c>
      <c r="DA172" s="176" t="s">
        <v>911</v>
      </c>
    </row>
    <row r="173" spans="1:105" ht="11.45" customHeight="1" x14ac:dyDescent="0.25">
      <c r="A173" s="111" t="s">
        <v>110</v>
      </c>
      <c r="B173" s="87">
        <v>275.3546907164008</v>
      </c>
      <c r="C173" s="87">
        <v>269.68527038895166</v>
      </c>
      <c r="D173" s="87">
        <v>266.87352910650822</v>
      </c>
      <c r="E173" s="87">
        <v>263.87142804472791</v>
      </c>
      <c r="F173" s="87">
        <v>260.49902616382036</v>
      </c>
      <c r="G173" s="87">
        <v>257.19092858408231</v>
      </c>
      <c r="H173" s="87">
        <v>252.96880254306089</v>
      </c>
      <c r="I173" s="87">
        <v>248.49010197706767</v>
      </c>
      <c r="J173" s="87">
        <v>245.22265086518698</v>
      </c>
      <c r="K173" s="87">
        <v>243.44278855842362</v>
      </c>
      <c r="L173" s="87">
        <v>241.16972367732782</v>
      </c>
      <c r="M173" s="87">
        <v>238.93211620074877</v>
      </c>
      <c r="N173" s="87">
        <v>236.92733216222138</v>
      </c>
      <c r="O173" s="87">
        <v>234.34645639900847</v>
      </c>
      <c r="P173" s="87">
        <v>231.42390566224495</v>
      </c>
      <c r="Q173" s="87">
        <v>225.7073008747293</v>
      </c>
      <c r="R173" s="87">
        <v>220.39154956682091</v>
      </c>
      <c r="S173" s="87">
        <v>213.45239133960357</v>
      </c>
      <c r="T173" s="87">
        <v>205.78610011485847</v>
      </c>
      <c r="U173" s="87">
        <v>197.50990576605304</v>
      </c>
      <c r="V173" s="87">
        <v>191.15798526002234</v>
      </c>
      <c r="W173" s="87">
        <v>182.32417962192079</v>
      </c>
      <c r="X173" s="87">
        <v>173.07008289273497</v>
      </c>
      <c r="Y173" s="87">
        <v>167.05856580064238</v>
      </c>
      <c r="DA173" s="171" t="s">
        <v>912</v>
      </c>
    </row>
    <row r="174" spans="1:105" ht="11.45" customHeight="1" x14ac:dyDescent="0.25">
      <c r="A174" s="111" t="s">
        <v>111</v>
      </c>
      <c r="B174" s="87">
        <v>245.74621659537868</v>
      </c>
      <c r="C174" s="87">
        <v>233.6204861032322</v>
      </c>
      <c r="D174" s="87">
        <v>229.00321721087747</v>
      </c>
      <c r="E174" s="87">
        <v>225.81411555499128</v>
      </c>
      <c r="F174" s="87">
        <v>223.5124657690701</v>
      </c>
      <c r="G174" s="87">
        <v>221.84050864026355</v>
      </c>
      <c r="H174" s="87">
        <v>219.5410539661263</v>
      </c>
      <c r="I174" s="87">
        <v>217.93320138873818</v>
      </c>
      <c r="J174" s="87">
        <v>217.76363665339713</v>
      </c>
      <c r="K174" s="87">
        <v>217.55626286561136</v>
      </c>
      <c r="L174" s="87">
        <v>217.13355244131986</v>
      </c>
      <c r="M174" s="87">
        <v>216.33742217253732</v>
      </c>
      <c r="N174" s="87">
        <v>215.38349655277167</v>
      </c>
      <c r="O174" s="87">
        <v>212.85932116131676</v>
      </c>
      <c r="P174" s="87">
        <v>209.53275053862447</v>
      </c>
      <c r="Q174" s="87">
        <v>205.72015408381171</v>
      </c>
      <c r="R174" s="87">
        <v>201.53884780592287</v>
      </c>
      <c r="S174" s="87">
        <v>197.29226050165471</v>
      </c>
      <c r="T174" s="87">
        <v>192.54926614584167</v>
      </c>
      <c r="U174" s="87">
        <v>188.30761795159577</v>
      </c>
      <c r="V174" s="87">
        <v>183.86155541338428</v>
      </c>
      <c r="W174" s="87">
        <v>178.97207122534039</v>
      </c>
      <c r="X174" s="87">
        <v>174.4746875247844</v>
      </c>
      <c r="Y174" s="87">
        <v>170.7827791687219</v>
      </c>
      <c r="DA174" s="171" t="s">
        <v>913</v>
      </c>
    </row>
    <row r="175" spans="1:105" ht="11.45" customHeight="1" x14ac:dyDescent="0.25">
      <c r="A175" s="111" t="s">
        <v>112</v>
      </c>
      <c r="B175" s="87">
        <v>223.934117364266</v>
      </c>
      <c r="C175" s="87">
        <v>214.07531981285479</v>
      </c>
      <c r="D175" s="87">
        <v>210.51217106926634</v>
      </c>
      <c r="E175" s="87">
        <v>205.04264107594489</v>
      </c>
      <c r="F175" s="87">
        <v>200.0699473311854</v>
      </c>
      <c r="G175" s="87">
        <v>198.67853773003449</v>
      </c>
      <c r="H175" s="87">
        <v>198.48756264686133</v>
      </c>
      <c r="I175" s="87">
        <v>197.43005748539034</v>
      </c>
      <c r="J175" s="87">
        <v>196.61227454730479</v>
      </c>
      <c r="K175" s="87">
        <v>195.81100083848816</v>
      </c>
      <c r="L175" s="87">
        <v>196.86533944725574</v>
      </c>
      <c r="M175" s="87">
        <v>199.33385811814594</v>
      </c>
      <c r="N175" s="87">
        <v>201.53013758221772</v>
      </c>
      <c r="O175" s="87">
        <v>200.55780787872055</v>
      </c>
      <c r="P175" s="87">
        <v>198.1179204070587</v>
      </c>
      <c r="Q175" s="87">
        <v>198.31476418050866</v>
      </c>
      <c r="R175" s="87">
        <v>197.53930445700735</v>
      </c>
      <c r="S175" s="87">
        <v>197.10847296907684</v>
      </c>
      <c r="T175" s="87">
        <v>197.05100193916763</v>
      </c>
      <c r="U175" s="87">
        <v>196.8527702935456</v>
      </c>
      <c r="V175" s="87">
        <v>196.62165963695691</v>
      </c>
      <c r="W175" s="87">
        <v>194.6421094517957</v>
      </c>
      <c r="X175" s="87">
        <v>192.83670895670403</v>
      </c>
      <c r="Y175" s="87">
        <v>191.06912152761143</v>
      </c>
      <c r="DA175" s="171" t="s">
        <v>914</v>
      </c>
    </row>
    <row r="176" spans="1:105" ht="11.45" customHeight="1" x14ac:dyDescent="0.25">
      <c r="A176" s="111" t="s">
        <v>113</v>
      </c>
      <c r="B176" s="87">
        <v>185.40850703266722</v>
      </c>
      <c r="C176" s="87">
        <v>185.26774085241283</v>
      </c>
      <c r="D176" s="87">
        <v>185.25580764135756</v>
      </c>
      <c r="E176" s="87">
        <v>185.23746554000769</v>
      </c>
      <c r="F176" s="87">
        <v>185.21139190348137</v>
      </c>
      <c r="G176" s="87">
        <v>185.20300906350414</v>
      </c>
      <c r="H176" s="87">
        <v>185.11775300361887</v>
      </c>
      <c r="I176" s="87">
        <v>185.05045293750882</v>
      </c>
      <c r="J176" s="87">
        <v>185.01826334371188</v>
      </c>
      <c r="K176" s="87">
        <v>186.16232339090854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123.52291421856643</v>
      </c>
      <c r="U176" s="87">
        <v>123.60486091723753</v>
      </c>
      <c r="V176" s="87">
        <v>120.76327211988119</v>
      </c>
      <c r="W176" s="87">
        <v>118.4741964971472</v>
      </c>
      <c r="X176" s="87">
        <v>116.52040624296997</v>
      </c>
      <c r="Y176" s="87">
        <v>113.71159737918478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59.331645569620264</v>
      </c>
      <c r="O177" s="87">
        <v>71.797600602226026</v>
      </c>
      <c r="P177" s="87">
        <v>72.120988439936994</v>
      </c>
      <c r="Q177" s="87">
        <v>62.499666892281795</v>
      </c>
      <c r="R177" s="87">
        <v>51.783265745133086</v>
      </c>
      <c r="S177" s="87">
        <v>55.385784017608749</v>
      </c>
      <c r="T177" s="87">
        <v>55.347185015896137</v>
      </c>
      <c r="U177" s="87">
        <v>54.70034291186689</v>
      </c>
      <c r="V177" s="87">
        <v>57.831073005177096</v>
      </c>
      <c r="W177" s="87">
        <v>49.859338111916763</v>
      </c>
      <c r="X177" s="87">
        <v>41.398027769982583</v>
      </c>
      <c r="Y177" s="87">
        <v>34.433719685668265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1197.8641552946644</v>
      </c>
      <c r="C179" s="116">
        <v>1444.4179664210087</v>
      </c>
      <c r="D179" s="116">
        <v>1469.2865978313405</v>
      </c>
      <c r="E179" s="116">
        <v>1450.2581562729511</v>
      </c>
      <c r="F179" s="116">
        <v>1429.2905057926471</v>
      </c>
      <c r="G179" s="116">
        <v>1320.0379168169577</v>
      </c>
      <c r="H179" s="116">
        <v>1395.1301299205847</v>
      </c>
      <c r="I179" s="116">
        <v>1309.929388945573</v>
      </c>
      <c r="J179" s="116">
        <v>1184.9761357640343</v>
      </c>
      <c r="K179" s="116">
        <v>1074.6272388195728</v>
      </c>
      <c r="L179" s="116">
        <v>978.14908772234696</v>
      </c>
      <c r="M179" s="116">
        <v>1382.2142545354704</v>
      </c>
      <c r="N179" s="116">
        <v>1381.2974592052531</v>
      </c>
      <c r="O179" s="116">
        <v>1380.7679196812269</v>
      </c>
      <c r="P179" s="116">
        <v>1380.760357826073</v>
      </c>
      <c r="Q179" s="116">
        <v>1281.0574608752629</v>
      </c>
      <c r="R179" s="116">
        <v>1259.101294303596</v>
      </c>
      <c r="S179" s="116">
        <v>1341.2091043003641</v>
      </c>
      <c r="T179" s="116">
        <v>1298.4063422762499</v>
      </c>
      <c r="U179" s="116">
        <v>1239.5511292195986</v>
      </c>
      <c r="V179" s="116">
        <v>664.48724987454386</v>
      </c>
      <c r="W179" s="116">
        <v>1044.7150968726357</v>
      </c>
      <c r="X179" s="116">
        <v>1070.504478438806</v>
      </c>
      <c r="Y179" s="116">
        <v>965.87128072531459</v>
      </c>
      <c r="DA179" s="176" t="s">
        <v>918</v>
      </c>
    </row>
    <row r="180" spans="1:105" ht="11.45" customHeight="1" x14ac:dyDescent="0.25">
      <c r="A180" s="111" t="s">
        <v>110</v>
      </c>
      <c r="B180" s="101">
        <v>593.78064224995774</v>
      </c>
      <c r="C180" s="101">
        <v>562.18630345515101</v>
      </c>
      <c r="D180" s="101">
        <v>558.8533158934697</v>
      </c>
      <c r="E180" s="101">
        <v>556.16806422328477</v>
      </c>
      <c r="F180" s="101">
        <v>554.06101753096277</v>
      </c>
      <c r="G180" s="101">
        <v>551.36860576886522</v>
      </c>
      <c r="H180" s="101">
        <v>548.35192873528092</v>
      </c>
      <c r="I180" s="101">
        <v>541.57828449124509</v>
      </c>
      <c r="J180" s="101">
        <v>536.60681514014141</v>
      </c>
      <c r="K180" s="101">
        <v>531.45783936912665</v>
      </c>
      <c r="L180" s="101">
        <v>524.98518741453097</v>
      </c>
      <c r="M180" s="101">
        <v>508.83971652215985</v>
      </c>
      <c r="N180" s="101">
        <v>499.94089871030093</v>
      </c>
      <c r="O180" s="101">
        <v>483.02047666441899</v>
      </c>
      <c r="P180" s="101">
        <v>470.71933934113133</v>
      </c>
      <c r="Q180" s="101">
        <v>464.9031342202199</v>
      </c>
      <c r="R180" s="101">
        <v>453.56201562103217</v>
      </c>
      <c r="S180" s="101">
        <v>450.92418168819393</v>
      </c>
      <c r="T180" s="101">
        <v>446.90798864812876</v>
      </c>
      <c r="U180" s="101">
        <v>444.07382212854776</v>
      </c>
      <c r="V180" s="101">
        <v>446.94377264015566</v>
      </c>
      <c r="W180" s="101">
        <v>440.03628094048986</v>
      </c>
      <c r="X180" s="101">
        <v>440.03628094048997</v>
      </c>
      <c r="Y180" s="101">
        <v>425.90297840570355</v>
      </c>
      <c r="DA180" s="175" t="s">
        <v>919</v>
      </c>
    </row>
    <row r="181" spans="1:105" ht="11.45" customHeight="1" x14ac:dyDescent="0.25">
      <c r="A181" s="111" t="s">
        <v>111</v>
      </c>
      <c r="B181" s="101">
        <v>1628.9032102498716</v>
      </c>
      <c r="C181" s="101">
        <v>1594.8400091522233</v>
      </c>
      <c r="D181" s="101">
        <v>1562.0280684663339</v>
      </c>
      <c r="E181" s="101">
        <v>1533.504912294758</v>
      </c>
      <c r="F181" s="101">
        <v>1517.7728100622321</v>
      </c>
      <c r="G181" s="101">
        <v>1505.7584911460206</v>
      </c>
      <c r="H181" s="101">
        <v>1494.410132381556</v>
      </c>
      <c r="I181" s="101">
        <v>1485.4855180422605</v>
      </c>
      <c r="J181" s="101">
        <v>1474.8230738598152</v>
      </c>
      <c r="K181" s="101">
        <v>1465.0188696522798</v>
      </c>
      <c r="L181" s="101">
        <v>1461.4556080584236</v>
      </c>
      <c r="M181" s="101">
        <v>1455.5264649598028</v>
      </c>
      <c r="N181" s="101">
        <v>1446.9180927004757</v>
      </c>
      <c r="O181" s="101">
        <v>1438.7641441394278</v>
      </c>
      <c r="P181" s="101">
        <v>1430.1587593058682</v>
      </c>
      <c r="Q181" s="101">
        <v>1416.5225016074889</v>
      </c>
      <c r="R181" s="101">
        <v>1403.3007070486444</v>
      </c>
      <c r="S181" s="101">
        <v>1384.4794909057935</v>
      </c>
      <c r="T181" s="101">
        <v>1365.4180151219236</v>
      </c>
      <c r="U181" s="101">
        <v>1344.3229201290105</v>
      </c>
      <c r="V181" s="101">
        <v>1336.3237701571854</v>
      </c>
      <c r="W181" s="101">
        <v>1309.9624460726777</v>
      </c>
      <c r="X181" s="101">
        <v>1267.9221263320703</v>
      </c>
      <c r="Y181" s="101">
        <v>1236.5142542632773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940.27925641898355</v>
      </c>
      <c r="S182" s="101">
        <v>940.27925641898378</v>
      </c>
      <c r="T182" s="101">
        <v>940.27925641898366</v>
      </c>
      <c r="U182" s="101">
        <v>940.27925641898332</v>
      </c>
      <c r="V182" s="101">
        <v>940.27925641898355</v>
      </c>
      <c r="W182" s="101">
        <v>940.27925641898366</v>
      </c>
      <c r="X182" s="101">
        <v>940.27925641898355</v>
      </c>
      <c r="Y182" s="101">
        <v>940.27925641898355</v>
      </c>
      <c r="DA182" s="175" t="s">
        <v>921</v>
      </c>
    </row>
    <row r="183" spans="1:105" ht="11.45" customHeight="1" x14ac:dyDescent="0.25">
      <c r="A183" s="111" t="s">
        <v>113</v>
      </c>
      <c r="B183" s="101">
        <v>1027.6403405008464</v>
      </c>
      <c r="C183" s="101">
        <v>989.40562326160682</v>
      </c>
      <c r="D183" s="101">
        <v>984.55449666465586</v>
      </c>
      <c r="E183" s="101">
        <v>974.10333526995839</v>
      </c>
      <c r="F183" s="101">
        <v>961.32761490329096</v>
      </c>
      <c r="G183" s="101">
        <v>949.43026470584653</v>
      </c>
      <c r="H183" s="101">
        <v>940.53541451178705</v>
      </c>
      <c r="I183" s="101">
        <v>932.72060053301107</v>
      </c>
      <c r="J183" s="101">
        <v>921.85484373441238</v>
      </c>
      <c r="K183" s="101">
        <v>917.3834874387004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793.33899095392462</v>
      </c>
      <c r="V183" s="101">
        <v>789.77810156304577</v>
      </c>
      <c r="W183" s="101">
        <v>786.9799599012033</v>
      </c>
      <c r="X183" s="101">
        <v>784.74328326174532</v>
      </c>
      <c r="Y183" s="101">
        <v>784.39194533797775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268.86314681518974</v>
      </c>
      <c r="C186" s="152">
        <v>262.65872012143893</v>
      </c>
      <c r="D186" s="152">
        <v>262.69875367013265</v>
      </c>
      <c r="E186" s="152">
        <v>253.29204367176945</v>
      </c>
      <c r="F186" s="152">
        <v>254.72275667156373</v>
      </c>
      <c r="G186" s="152">
        <v>248.2967454857461</v>
      </c>
      <c r="H186" s="152">
        <v>247.5838435500342</v>
      </c>
      <c r="I186" s="152">
        <v>247.52370556287732</v>
      </c>
      <c r="J186" s="152">
        <v>240.17229165106491</v>
      </c>
      <c r="K186" s="152">
        <v>233.82233308110659</v>
      </c>
      <c r="L186" s="152">
        <v>217.44663623872185</v>
      </c>
      <c r="M186" s="152">
        <v>208.78575862586888</v>
      </c>
      <c r="N186" s="152">
        <v>221.17931587303266</v>
      </c>
      <c r="O186" s="152">
        <v>217.29736019683099</v>
      </c>
      <c r="P186" s="152">
        <v>223.110491300115</v>
      </c>
      <c r="Q186" s="152">
        <v>221.11379838698861</v>
      </c>
      <c r="R186" s="152">
        <v>214.97640563871897</v>
      </c>
      <c r="S186" s="152">
        <v>205.66085260815714</v>
      </c>
      <c r="T186" s="152">
        <v>217.55605295651338</v>
      </c>
      <c r="U186" s="152">
        <v>215.62554607401884</v>
      </c>
      <c r="V186" s="152">
        <v>232.62757857047637</v>
      </c>
      <c r="W186" s="152">
        <v>239.30778854801537</v>
      </c>
      <c r="X186" s="152">
        <v>228.65664709054312</v>
      </c>
      <c r="Y186" s="152">
        <v>220.82055024775786</v>
      </c>
      <c r="DA186" s="174" t="s">
        <v>924</v>
      </c>
    </row>
    <row r="187" spans="1:105" ht="11.45" customHeight="1" x14ac:dyDescent="0.25">
      <c r="A187" s="111" t="s">
        <v>110</v>
      </c>
      <c r="B187" s="87">
        <v>249.0762141871204</v>
      </c>
      <c r="C187" s="87">
        <v>245.53147333642309</v>
      </c>
      <c r="D187" s="87">
        <v>244.32661214923507</v>
      </c>
      <c r="E187" s="87">
        <v>241.63516047090482</v>
      </c>
      <c r="F187" s="87">
        <v>239.33601866194533</v>
      </c>
      <c r="G187" s="87">
        <v>236.54141253558043</v>
      </c>
      <c r="H187" s="87">
        <v>233.07092801075376</v>
      </c>
      <c r="I187" s="87">
        <v>230.2238915362984</v>
      </c>
      <c r="J187" s="87">
        <v>227.21725420724263</v>
      </c>
      <c r="K187" s="87">
        <v>223.68377338490293</v>
      </c>
      <c r="L187" s="87">
        <v>215.91424580461464</v>
      </c>
      <c r="M187" s="87">
        <v>215.12228020668357</v>
      </c>
      <c r="N187" s="87">
        <v>212.61469749632334</v>
      </c>
      <c r="O187" s="87">
        <v>209.88457360118528</v>
      </c>
      <c r="P187" s="87">
        <v>206.04190508673253</v>
      </c>
      <c r="Q187" s="87">
        <v>203.0422853897274</v>
      </c>
      <c r="R187" s="87">
        <v>199.40507872394593</v>
      </c>
      <c r="S187" s="87">
        <v>197.16675957100514</v>
      </c>
      <c r="T187" s="87">
        <v>196.46630218483139</v>
      </c>
      <c r="U187" s="87">
        <v>194.38787541797532</v>
      </c>
      <c r="V187" s="87">
        <v>191.90806158130979</v>
      </c>
      <c r="W187" s="87">
        <v>189.25996644281642</v>
      </c>
      <c r="X187" s="87">
        <v>186.40892161442298</v>
      </c>
      <c r="Y187" s="87">
        <v>189.22507672159176</v>
      </c>
      <c r="DA187" s="171" t="s">
        <v>925</v>
      </c>
    </row>
    <row r="188" spans="1:105" ht="11.45" customHeight="1" x14ac:dyDescent="0.25">
      <c r="A188" s="111" t="s">
        <v>111</v>
      </c>
      <c r="B188" s="87">
        <v>285.07214698635426</v>
      </c>
      <c r="C188" s="87">
        <v>269.98202345521059</v>
      </c>
      <c r="D188" s="87">
        <v>263.11718629602797</v>
      </c>
      <c r="E188" s="87">
        <v>258.50322392423948</v>
      </c>
      <c r="F188" s="87">
        <v>256.59565791173077</v>
      </c>
      <c r="G188" s="87">
        <v>252.84918994058617</v>
      </c>
      <c r="H188" s="87">
        <v>252.89230459412718</v>
      </c>
      <c r="I188" s="87">
        <v>252.74359217814313</v>
      </c>
      <c r="J188" s="87">
        <v>252.3580190795895</v>
      </c>
      <c r="K188" s="87">
        <v>252.07968381277652</v>
      </c>
      <c r="L188" s="87">
        <v>251.98682366133559</v>
      </c>
      <c r="M188" s="87">
        <v>252.20503746517929</v>
      </c>
      <c r="N188" s="87">
        <v>249.53170964633881</v>
      </c>
      <c r="O188" s="87">
        <v>245.8730089753972</v>
      </c>
      <c r="P188" s="87">
        <v>242.14067208477618</v>
      </c>
      <c r="Q188" s="87">
        <v>237.7066536781314</v>
      </c>
      <c r="R188" s="87">
        <v>233.68468974630079</v>
      </c>
      <c r="S188" s="87">
        <v>228.94287878566826</v>
      </c>
      <c r="T188" s="87">
        <v>224.49456988935128</v>
      </c>
      <c r="U188" s="87">
        <v>219.57200951416129</v>
      </c>
      <c r="V188" s="87">
        <v>216.05830353386276</v>
      </c>
      <c r="W188" s="87">
        <v>213.17217430911535</v>
      </c>
      <c r="X188" s="87">
        <v>208.68669916943591</v>
      </c>
      <c r="Y188" s="87">
        <v>205.81328667807091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189.60934599349616</v>
      </c>
      <c r="O189" s="87">
        <v>189.60934599349611</v>
      </c>
      <c r="P189" s="87">
        <v>178.49617857641465</v>
      </c>
      <c r="Q189" s="87">
        <v>179.58905987033285</v>
      </c>
      <c r="R189" s="87">
        <v>223.40435469640298</v>
      </c>
      <c r="S189" s="87">
        <v>207.96164377409255</v>
      </c>
      <c r="T189" s="87">
        <v>198.09675566446447</v>
      </c>
      <c r="U189" s="87">
        <v>190.46164186828028</v>
      </c>
      <c r="V189" s="87">
        <v>190.39289704801709</v>
      </c>
      <c r="W189" s="87">
        <v>190.47152528252968</v>
      </c>
      <c r="X189" s="87">
        <v>189.35129532647863</v>
      </c>
      <c r="Y189" s="87">
        <v>187.38326378416377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X190" s="87">
        <v>0</v>
      </c>
      <c r="Y190" s="87">
        <v>0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872.17197064782545</v>
      </c>
      <c r="C192" s="116">
        <v>869.76737961477272</v>
      </c>
      <c r="D192" s="116">
        <v>867.15292723029449</v>
      </c>
      <c r="E192" s="116">
        <v>864.14769667716337</v>
      </c>
      <c r="F192" s="116">
        <v>861.64889947248423</v>
      </c>
      <c r="G192" s="116">
        <v>857.53492686678601</v>
      </c>
      <c r="H192" s="116">
        <v>852.7385683649984</v>
      </c>
      <c r="I192" s="116">
        <v>847.07395215286851</v>
      </c>
      <c r="J192" s="116">
        <v>842.87924266729374</v>
      </c>
      <c r="K192" s="116">
        <v>840.67605377006282</v>
      </c>
      <c r="L192" s="116">
        <v>826.68255100345959</v>
      </c>
      <c r="M192" s="116">
        <v>824.51470540661501</v>
      </c>
      <c r="N192" s="116">
        <v>820.14201352807902</v>
      </c>
      <c r="O192" s="116">
        <v>805.37264674959613</v>
      </c>
      <c r="P192" s="116">
        <v>797.95313762921444</v>
      </c>
      <c r="Q192" s="116">
        <v>794.75975919394978</v>
      </c>
      <c r="R192" s="116">
        <v>785.81271510338911</v>
      </c>
      <c r="S192" s="116">
        <v>770.72199686558349</v>
      </c>
      <c r="T192" s="116">
        <v>756.53266100443147</v>
      </c>
      <c r="U192" s="116">
        <v>746.25268129710946</v>
      </c>
      <c r="V192" s="116">
        <v>739.22539318532984</v>
      </c>
      <c r="W192" s="116">
        <v>725.79459656888696</v>
      </c>
      <c r="X192" s="116">
        <v>718.11402897841174</v>
      </c>
      <c r="Y192" s="116">
        <v>710.6378355451933</v>
      </c>
      <c r="DA192" s="176" t="s">
        <v>930</v>
      </c>
    </row>
    <row r="193" spans="1:105" ht="11.45" customHeight="1" x14ac:dyDescent="0.25">
      <c r="A193" s="128" t="s">
        <v>27</v>
      </c>
      <c r="B193" s="101">
        <v>812.79257938186117</v>
      </c>
      <c r="C193" s="101">
        <v>810.51245828810647</v>
      </c>
      <c r="D193" s="101">
        <v>808.0661770171389</v>
      </c>
      <c r="E193" s="101">
        <v>805.27250231860876</v>
      </c>
      <c r="F193" s="101">
        <v>802.64668803575137</v>
      </c>
      <c r="G193" s="101">
        <v>798.60563923069765</v>
      </c>
      <c r="H193" s="101">
        <v>793.53178463756615</v>
      </c>
      <c r="I193" s="101">
        <v>787.69470897192366</v>
      </c>
      <c r="J193" s="101">
        <v>783.70869696392424</v>
      </c>
      <c r="K193" s="101">
        <v>782.83463309346644</v>
      </c>
      <c r="L193" s="101">
        <v>767.86637546503107</v>
      </c>
      <c r="M193" s="101">
        <v>765.26468092913262</v>
      </c>
      <c r="N193" s="101">
        <v>760.90011747748224</v>
      </c>
      <c r="O193" s="101">
        <v>745.67627969393482</v>
      </c>
      <c r="P193" s="101">
        <v>737.63116706965502</v>
      </c>
      <c r="Q193" s="101">
        <v>733.54271549274199</v>
      </c>
      <c r="R193" s="101">
        <v>724.55276746411437</v>
      </c>
      <c r="S193" s="101">
        <v>710.08900133387192</v>
      </c>
      <c r="T193" s="101">
        <v>696.33230486697505</v>
      </c>
      <c r="U193" s="101">
        <v>687.21398577301443</v>
      </c>
      <c r="V193" s="101">
        <v>681.00256894979066</v>
      </c>
      <c r="W193" s="101">
        <v>667.73051285675524</v>
      </c>
      <c r="X193" s="101">
        <v>661.12817947985309</v>
      </c>
      <c r="Y193" s="101">
        <v>654.72003759137294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1055.3509813888782</v>
      </c>
      <c r="D194" s="88">
        <v>1046.048543349799</v>
      </c>
      <c r="E194" s="88">
        <v>1038.5838214063522</v>
      </c>
      <c r="F194" s="88">
        <v>1019.394910637625</v>
      </c>
      <c r="G194" s="88">
        <v>1010.8001688556008</v>
      </c>
      <c r="H194" s="88">
        <v>990.92130999372898</v>
      </c>
      <c r="I194" s="88">
        <v>976.6355182346523</v>
      </c>
      <c r="J194" s="88">
        <v>971.3353301048453</v>
      </c>
      <c r="K194" s="88">
        <v>958.35406570641464</v>
      </c>
      <c r="L194" s="88">
        <v>944.67127973620336</v>
      </c>
      <c r="M194" s="88">
        <v>927.13982852271408</v>
      </c>
      <c r="N194" s="88">
        <v>912.99967446569235</v>
      </c>
      <c r="O194" s="88">
        <v>898.81017783156381</v>
      </c>
      <c r="P194" s="88">
        <v>891.82617028759125</v>
      </c>
      <c r="Q194" s="88">
        <v>873.12155047663487</v>
      </c>
      <c r="R194" s="88">
        <v>865.19127914398234</v>
      </c>
      <c r="S194" s="88">
        <v>857.54195027387777</v>
      </c>
      <c r="T194" s="88">
        <v>840.18945047226771</v>
      </c>
      <c r="U194" s="88">
        <v>836.04188460859007</v>
      </c>
      <c r="V194" s="88">
        <v>805.26116494135806</v>
      </c>
      <c r="W194" s="88">
        <v>799.55671226081824</v>
      </c>
      <c r="X194" s="88">
        <v>782.95903330462352</v>
      </c>
      <c r="Y194" s="88">
        <v>772.84142822685419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1.0725000000065616</v>
      </c>
      <c r="C198" s="150">
        <f>IF(TrRoad_act!C59=0,0,TrRoad_emi!C56/TrRoad_tech!C171)</f>
        <v>1.0725445919240264</v>
      </c>
      <c r="D198" s="150">
        <f>IF(TrRoad_act!D59=0,0,TrRoad_emi!D56/TrRoad_tech!D171)</f>
        <v>1.0727168378109444</v>
      </c>
      <c r="E198" s="150">
        <f>IF(TrRoad_act!E59=0,0,TrRoad_emi!E56/TrRoad_tech!E171)</f>
        <v>1.0730132884946944</v>
      </c>
      <c r="F198" s="150">
        <f>IF(TrRoad_act!F59=0,0,TrRoad_emi!F56/TrRoad_tech!F171)</f>
        <v>1.0735812468603152</v>
      </c>
      <c r="G198" s="150">
        <f>IF(TrRoad_act!G59=0,0,TrRoad_emi!G56/TrRoad_tech!G171)</f>
        <v>1.0743935257256469</v>
      </c>
      <c r="H198" s="150">
        <f>IF(TrRoad_act!H59=0,0,TrRoad_emi!H56/TrRoad_tech!H171)</f>
        <v>1.0724409132189996</v>
      </c>
      <c r="I198" s="150">
        <f>IF(TrRoad_act!I59=0,0,TrRoad_emi!I56/TrRoad_tech!I171)</f>
        <v>1.0792006508723804</v>
      </c>
      <c r="J198" s="150">
        <f>IF(TrRoad_act!J59=0,0,TrRoad_emi!J56/TrRoad_tech!J171)</f>
        <v>1.0831166149230578</v>
      </c>
      <c r="K198" s="150">
        <f>IF(TrRoad_act!K59=0,0,TrRoad_emi!K56/TrRoad_tech!K171)</f>
        <v>1.0764192628387206</v>
      </c>
      <c r="L198" s="150">
        <f>IF(TrRoad_act!L59=0,0,TrRoad_emi!L56/TrRoad_tech!L171)</f>
        <v>1.0569025012841633</v>
      </c>
      <c r="M198" s="150">
        <f>IF(TrRoad_act!M59=0,0,TrRoad_emi!M56/TrRoad_tech!M171)</f>
        <v>1.0643964416681959</v>
      </c>
      <c r="N198" s="150">
        <f>IF(TrRoad_act!N59=0,0,TrRoad_emi!N56/TrRoad_tech!N171)</f>
        <v>1.0747547403404329</v>
      </c>
      <c r="O198" s="150">
        <f>IF(TrRoad_act!O59=0,0,TrRoad_emi!O56/TrRoad_tech!O171)</f>
        <v>1.0826797056291804</v>
      </c>
      <c r="P198" s="150">
        <f>IF(TrRoad_act!P59=0,0,TrRoad_emi!P56/TrRoad_tech!P171)</f>
        <v>1.0948881379604101</v>
      </c>
      <c r="Q198" s="150">
        <f>IF(TrRoad_act!Q59=0,0,TrRoad_emi!Q56/TrRoad_tech!Q171)</f>
        <v>1.1021247586377958</v>
      </c>
      <c r="R198" s="150">
        <f>IF(TrRoad_act!R59=0,0,TrRoad_emi!R56/TrRoad_tech!R171)</f>
        <v>1.1124946254970853</v>
      </c>
      <c r="S198" s="150">
        <f>IF(TrRoad_act!S59=0,0,TrRoad_emi!S56/TrRoad_tech!S171)</f>
        <v>1.130121406574057</v>
      </c>
      <c r="T198" s="150">
        <f>IF(TrRoad_act!T59=0,0,TrRoad_emi!T56/TrRoad_tech!T171)</f>
        <v>1.1425123801591113</v>
      </c>
      <c r="U198" s="150">
        <f>IF(TrRoad_act!U59=0,0,TrRoad_emi!U56/TrRoad_tech!U171)</f>
        <v>1.1711452057131808</v>
      </c>
      <c r="V198" s="150">
        <f>IF(TrRoad_act!V59=0,0,TrRoad_emi!V56/TrRoad_tech!V171)</f>
        <v>1.1554176113832075</v>
      </c>
      <c r="W198" s="150">
        <f>IF(TrRoad_act!W59=0,0,TrRoad_emi!W56/TrRoad_tech!W171)</f>
        <v>1.25067619274539</v>
      </c>
      <c r="X198" s="150">
        <f>IF(TrRoad_act!X59=0,0,TrRoad_emi!X56/TrRoad_tech!X171)</f>
        <v>1.2579320674842345</v>
      </c>
      <c r="Y198" s="150">
        <f>IF(TrRoad_act!Y59=0,0,TrRoad_emi!Y56/TrRoad_tech!Y171)</f>
        <v>1.3017961753945253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0.96989410029008682</v>
      </c>
      <c r="C199" s="151">
        <f>IF(TrRoad_act!C60=0,0,TrRoad_emi!C57/TrRoad_tech!C172)</f>
        <v>0.92905225218827014</v>
      </c>
      <c r="D199" s="151">
        <f>IF(TrRoad_act!D60=0,0,TrRoad_emi!D57/TrRoad_tech!D172)</f>
        <v>0.93098972405291769</v>
      </c>
      <c r="E199" s="151">
        <f>IF(TrRoad_act!E60=0,0,TrRoad_emi!E57/TrRoad_tech!E172)</f>
        <v>0.9396101417210061</v>
      </c>
      <c r="F199" s="151">
        <f>IF(TrRoad_act!F60=0,0,TrRoad_emi!F57/TrRoad_tech!F172)</f>
        <v>0.94325740090166366</v>
      </c>
      <c r="G199" s="151">
        <f>IF(TrRoad_act!G60=0,0,TrRoad_emi!G57/TrRoad_tech!G172)</f>
        <v>0.94098961562084149</v>
      </c>
      <c r="H199" s="151">
        <f>IF(TrRoad_act!H60=0,0,TrRoad_emi!H57/TrRoad_tech!H172)</f>
        <v>0.93905434708127045</v>
      </c>
      <c r="I199" s="151">
        <f>IF(TrRoad_act!I60=0,0,TrRoad_emi!I57/TrRoad_tech!I172)</f>
        <v>0.94714525576100705</v>
      </c>
      <c r="J199" s="151">
        <f>IF(TrRoad_act!J60=0,0,TrRoad_emi!J57/TrRoad_tech!J172)</f>
        <v>0.95185699363547871</v>
      </c>
      <c r="K199" s="151">
        <f>IF(TrRoad_act!K60=0,0,TrRoad_emi!K57/TrRoad_tech!K172)</f>
        <v>0.95317822023438092</v>
      </c>
      <c r="L199" s="151">
        <f>IF(TrRoad_act!L60=0,0,TrRoad_emi!L57/TrRoad_tech!L172)</f>
        <v>0.94246923684894379</v>
      </c>
      <c r="M199" s="151">
        <f>IF(TrRoad_act!M60=0,0,TrRoad_emi!M57/TrRoad_tech!M172)</f>
        <v>0.93182581429029498</v>
      </c>
      <c r="N199" s="151">
        <f>IF(TrRoad_act!N60=0,0,TrRoad_emi!N57/TrRoad_tech!N172)</f>
        <v>0.94435629849441705</v>
      </c>
      <c r="O199" s="151">
        <f>IF(TrRoad_act!O60=0,0,TrRoad_emi!O57/TrRoad_tech!O172)</f>
        <v>0.93459144000374739</v>
      </c>
      <c r="P199" s="151">
        <f>IF(TrRoad_act!P60=0,0,TrRoad_emi!P57/TrRoad_tech!P172)</f>
        <v>0.93381745419781315</v>
      </c>
      <c r="Q199" s="151">
        <f>IF(TrRoad_act!Q60=0,0,TrRoad_emi!Q57/TrRoad_tech!Q172)</f>
        <v>0.94340896293576482</v>
      </c>
      <c r="R199" s="151">
        <f>IF(TrRoad_act!R60=0,0,TrRoad_emi!R57/TrRoad_tech!R172)</f>
        <v>0.96129115122853115</v>
      </c>
      <c r="S199" s="151">
        <f>IF(TrRoad_act!S60=0,0,TrRoad_emi!S57/TrRoad_tech!S172)</f>
        <v>0.97051479287751363</v>
      </c>
      <c r="T199" s="151">
        <f>IF(TrRoad_act!T60=0,0,TrRoad_emi!T57/TrRoad_tech!T172)</f>
        <v>0.95441590795432285</v>
      </c>
      <c r="U199" s="151">
        <f>IF(TrRoad_act!U60=0,0,TrRoad_emi!U57/TrRoad_tech!U172)</f>
        <v>0.95595610501527173</v>
      </c>
      <c r="V199" s="151">
        <f>IF(TrRoad_act!V60=0,0,TrRoad_emi!V57/TrRoad_tech!V172)</f>
        <v>0.96844372227379649</v>
      </c>
      <c r="W199" s="151">
        <f>IF(TrRoad_act!W60=0,0,TrRoad_emi!W57/TrRoad_tech!W172)</f>
        <v>0.97064286661434052</v>
      </c>
      <c r="X199" s="151">
        <f>IF(TrRoad_act!X60=0,0,TrRoad_emi!X57/TrRoad_tech!X172)</f>
        <v>1.0031609995457951</v>
      </c>
      <c r="Y199" s="151">
        <f>IF(TrRoad_act!Y60=0,0,TrRoad_emi!Y57/TrRoad_tech!Y172)</f>
        <v>1.0080907556256538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0.96826544074559007</v>
      </c>
      <c r="C200" s="91">
        <f>IF(TrRoad_act!C61=0,0,TrRoad_emi!C58/TrRoad_tech!C173)</f>
        <v>0.92424994133378646</v>
      </c>
      <c r="D200" s="91">
        <f>IF(TrRoad_act!D61=0,0,TrRoad_emi!D58/TrRoad_tech!D173)</f>
        <v>0.92763556199431974</v>
      </c>
      <c r="E200" s="91">
        <f>IF(TrRoad_act!E61=0,0,TrRoad_emi!E58/TrRoad_tech!E173)</f>
        <v>0.93128969939609263</v>
      </c>
      <c r="F200" s="91">
        <f>IF(TrRoad_act!F61=0,0,TrRoad_emi!F58/TrRoad_tech!F173)</f>
        <v>0.93424023401937528</v>
      </c>
      <c r="G200" s="91">
        <f>IF(TrRoad_act!G61=0,0,TrRoad_emi!G58/TrRoad_tech!G173)</f>
        <v>0.93618225969564151</v>
      </c>
      <c r="H200" s="91">
        <f>IF(TrRoad_act!H61=0,0,TrRoad_emi!H58/TrRoad_tech!H173)</f>
        <v>0.9355368518366497</v>
      </c>
      <c r="I200" s="91">
        <f>IF(TrRoad_act!I61=0,0,TrRoad_emi!I58/TrRoad_tech!I173)</f>
        <v>0.93930335142248389</v>
      </c>
      <c r="J200" s="91">
        <f>IF(TrRoad_act!J61=0,0,TrRoad_emi!J58/TrRoad_tech!J173)</f>
        <v>0.93997466381465011</v>
      </c>
      <c r="K200" s="91">
        <f>IF(TrRoad_act!K61=0,0,TrRoad_emi!K58/TrRoad_tech!K173)</f>
        <v>0.95167673671611819</v>
      </c>
      <c r="L200" s="91">
        <f>IF(TrRoad_act!L61=0,0,TrRoad_emi!L58/TrRoad_tech!L173)</f>
        <v>0.91914502684069188</v>
      </c>
      <c r="M200" s="91">
        <f>IF(TrRoad_act!M61=0,0,TrRoad_emi!M58/TrRoad_tech!M173)</f>
        <v>0.94269802285185522</v>
      </c>
      <c r="N200" s="91">
        <f>IF(TrRoad_act!N61=0,0,TrRoad_emi!N58/TrRoad_tech!N173)</f>
        <v>0.92981484100320022</v>
      </c>
      <c r="O200" s="91">
        <f>IF(TrRoad_act!O61=0,0,TrRoad_emi!O58/TrRoad_tech!O173)</f>
        <v>0.91150297845476369</v>
      </c>
      <c r="P200" s="91">
        <f>IF(TrRoad_act!P61=0,0,TrRoad_emi!P58/TrRoad_tech!P173)</f>
        <v>0.92872999697377523</v>
      </c>
      <c r="Q200" s="91">
        <f>IF(TrRoad_act!Q61=0,0,TrRoad_emi!Q58/TrRoad_tech!Q173)</f>
        <v>0.92187061397591719</v>
      </c>
      <c r="R200" s="91">
        <f>IF(TrRoad_act!R61=0,0,TrRoad_emi!R58/TrRoad_tech!R173)</f>
        <v>1.0012244114920537</v>
      </c>
      <c r="S200" s="91">
        <f>IF(TrRoad_act!S61=0,0,TrRoad_emi!S58/TrRoad_tech!S173)</f>
        <v>1.0053535278921346</v>
      </c>
      <c r="T200" s="91">
        <f>IF(TrRoad_act!T61=0,0,TrRoad_emi!T58/TrRoad_tech!T173)</f>
        <v>1.0053934410885761</v>
      </c>
      <c r="U200" s="91">
        <f>IF(TrRoad_act!U61=0,0,TrRoad_emi!U58/TrRoad_tech!U173)</f>
        <v>1.014579381247974</v>
      </c>
      <c r="V200" s="91">
        <f>IF(TrRoad_act!V61=0,0,TrRoad_emi!V58/TrRoad_tech!V173)</f>
        <v>1.0430977057585187</v>
      </c>
      <c r="W200" s="91">
        <f>IF(TrRoad_act!W61=0,0,TrRoad_emi!W58/TrRoad_tech!W173)</f>
        <v>1.031354500737111</v>
      </c>
      <c r="X200" s="91">
        <f>IF(TrRoad_act!X61=0,0,TrRoad_emi!X58/TrRoad_tech!X173)</f>
        <v>1.003016522393364</v>
      </c>
      <c r="Y200" s="91">
        <f>IF(TrRoad_act!Y61=0,0,TrRoad_emi!Y58/TrRoad_tech!Y173)</f>
        <v>1.0194305298413102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1.0180122992811618</v>
      </c>
      <c r="C201" s="91">
        <f>IF(TrRoad_act!C62=0,0,TrRoad_emi!C59/TrRoad_tech!C174)</f>
        <v>1.0805950236572055</v>
      </c>
      <c r="D201" s="91">
        <f>IF(TrRoad_act!D62=0,0,TrRoad_emi!D59/TrRoad_tech!D174)</f>
        <v>1.0746746252844857</v>
      </c>
      <c r="E201" s="91">
        <f>IF(TrRoad_act!E62=0,0,TrRoad_emi!E59/TrRoad_tech!E174)</f>
        <v>1.0654903560073499</v>
      </c>
      <c r="F201" s="91">
        <f>IF(TrRoad_act!F62=0,0,TrRoad_emi!F59/TrRoad_tech!F174)</f>
        <v>1.0596739532786639</v>
      </c>
      <c r="G201" s="91">
        <f>IF(TrRoad_act!G62=0,0,TrRoad_emi!G59/TrRoad_tech!G174)</f>
        <v>1.044861570149588</v>
      </c>
      <c r="H201" s="91">
        <f>IF(TrRoad_act!H62=0,0,TrRoad_emi!H59/TrRoad_tech!H174)</f>
        <v>1.0345698859147416</v>
      </c>
      <c r="I201" s="91">
        <f>IF(TrRoad_act!I62=0,0,TrRoad_emi!I59/TrRoad_tech!I174)</f>
        <v>1.0590110104058841</v>
      </c>
      <c r="J201" s="91">
        <f>IF(TrRoad_act!J62=0,0,TrRoad_emi!J59/TrRoad_tech!J174)</f>
        <v>1.0494102167270309</v>
      </c>
      <c r="K201" s="91">
        <f>IF(TrRoad_act!K62=0,0,TrRoad_emi!K59/TrRoad_tech!K174)</f>
        <v>1.0398788659997547</v>
      </c>
      <c r="L201" s="91">
        <f>IF(TrRoad_act!L62=0,0,TrRoad_emi!L59/TrRoad_tech!L174)</f>
        <v>1.0544627934742168</v>
      </c>
      <c r="M201" s="91">
        <f>IF(TrRoad_act!M62=0,0,TrRoad_emi!M59/TrRoad_tech!M174)</f>
        <v>0.97647265521617221</v>
      </c>
      <c r="N201" s="91">
        <f>IF(TrRoad_act!N62=0,0,TrRoad_emi!N59/TrRoad_tech!N174)</f>
        <v>0.97666034106822996</v>
      </c>
      <c r="O201" s="91">
        <f>IF(TrRoad_act!O62=0,0,TrRoad_emi!O59/TrRoad_tech!O174)</f>
        <v>0.98764545864953524</v>
      </c>
      <c r="P201" s="91">
        <f>IF(TrRoad_act!P62=0,0,TrRoad_emi!P59/TrRoad_tech!P174)</f>
        <v>0.97600801997636566</v>
      </c>
      <c r="Q201" s="91">
        <f>IF(TrRoad_act!Q62=0,0,TrRoad_emi!Q59/TrRoad_tech!Q174)</f>
        <v>0.98232041720838759</v>
      </c>
      <c r="R201" s="91">
        <f>IF(TrRoad_act!R62=0,0,TrRoad_emi!R59/TrRoad_tech!R174)</f>
        <v>0.99758883549704136</v>
      </c>
      <c r="S201" s="91">
        <f>IF(TrRoad_act!S62=0,0,TrRoad_emi!S59/TrRoad_tech!S174)</f>
        <v>1.0024081827676314</v>
      </c>
      <c r="T201" s="91">
        <f>IF(TrRoad_act!T62=0,0,TrRoad_emi!T59/TrRoad_tech!T174)</f>
        <v>0.97402284092035885</v>
      </c>
      <c r="U201" s="91">
        <f>IF(TrRoad_act!U62=0,0,TrRoad_emi!U59/TrRoad_tech!U174)</f>
        <v>0.97561960747905507</v>
      </c>
      <c r="V201" s="91">
        <f>IF(TrRoad_act!V62=0,0,TrRoad_emi!V59/TrRoad_tech!V174)</f>
        <v>0.97438123714677838</v>
      </c>
      <c r="W201" s="91">
        <f>IF(TrRoad_act!W62=0,0,TrRoad_emi!W59/TrRoad_tech!W174)</f>
        <v>0.9783139529618512</v>
      </c>
      <c r="X201" s="91">
        <f>IF(TrRoad_act!X62=0,0,TrRoad_emi!X59/TrRoad_tech!X174)</f>
        <v>1.0211883130182378</v>
      </c>
      <c r="Y201" s="91">
        <f>IF(TrRoad_act!Y62=0,0,TrRoad_emi!Y59/TrRoad_tech!Y174)</f>
        <v>1.0259636724531822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1.1717308600428886</v>
      </c>
      <c r="C202" s="91">
        <f>IF(TrRoad_act!C63=0,0,TrRoad_emi!C60/TrRoad_tech!C175)</f>
        <v>1.0215764886596637</v>
      </c>
      <c r="D202" s="91">
        <f>IF(TrRoad_act!D63=0,0,TrRoad_emi!D60/TrRoad_tech!D175)</f>
        <v>1.1128718931114443</v>
      </c>
      <c r="E202" s="91">
        <f>IF(TrRoad_act!E63=0,0,TrRoad_emi!E60/TrRoad_tech!E175)</f>
        <v>1.1799409891160988</v>
      </c>
      <c r="F202" s="91">
        <f>IF(TrRoad_act!F63=0,0,TrRoad_emi!F60/TrRoad_tech!F175)</f>
        <v>1.0478529677801289</v>
      </c>
      <c r="G202" s="91">
        <f>IF(TrRoad_act!G63=0,0,TrRoad_emi!G60/TrRoad_tech!G175)</f>
        <v>1.0552570122031477</v>
      </c>
      <c r="H202" s="91">
        <f>IF(TrRoad_act!H63=0,0,TrRoad_emi!H60/TrRoad_tech!H175)</f>
        <v>1.0274354606274843</v>
      </c>
      <c r="I202" s="91">
        <f>IF(TrRoad_act!I63=0,0,TrRoad_emi!I60/TrRoad_tech!I175)</f>
        <v>0.95681167343427798</v>
      </c>
      <c r="J202" s="91">
        <f>IF(TrRoad_act!J63=0,0,TrRoad_emi!J60/TrRoad_tech!J175)</f>
        <v>0.93514305210222715</v>
      </c>
      <c r="K202" s="91">
        <f>IF(TrRoad_act!K63=0,0,TrRoad_emi!K60/TrRoad_tech!K175)</f>
        <v>0.9023815756596768</v>
      </c>
      <c r="L202" s="91">
        <f>IF(TrRoad_act!L63=0,0,TrRoad_emi!L60/TrRoad_tech!L175)</f>
        <v>0.94368420906802919</v>
      </c>
      <c r="M202" s="91">
        <f>IF(TrRoad_act!M63=0,0,TrRoad_emi!M60/TrRoad_tech!M175)</f>
        <v>0.93216893179041393</v>
      </c>
      <c r="N202" s="91">
        <f>IF(TrRoad_act!N63=0,0,TrRoad_emi!N60/TrRoad_tech!N175)</f>
        <v>0.92844987636159071</v>
      </c>
      <c r="O202" s="91">
        <f>IF(TrRoad_act!O63=0,0,TrRoad_emi!O60/TrRoad_tech!O175)</f>
        <v>1.0745689296903336</v>
      </c>
      <c r="P202" s="91">
        <f>IF(TrRoad_act!P63=0,0,TrRoad_emi!P60/TrRoad_tech!P175)</f>
        <v>1.0476502063163387</v>
      </c>
      <c r="Q202" s="91">
        <f>IF(TrRoad_act!Q63=0,0,TrRoad_emi!Q60/TrRoad_tech!Q175)</f>
        <v>1.1951005036525399</v>
      </c>
      <c r="R202" s="91">
        <f>IF(TrRoad_act!R63=0,0,TrRoad_emi!R60/TrRoad_tech!R175)</f>
        <v>1.0406314280697559</v>
      </c>
      <c r="S202" s="91">
        <f>IF(TrRoad_act!S63=0,0,TrRoad_emi!S60/TrRoad_tech!S175)</f>
        <v>1.0410878679925228</v>
      </c>
      <c r="T202" s="91">
        <f>IF(TrRoad_act!T63=0,0,TrRoad_emi!T60/TrRoad_tech!T175)</f>
        <v>1.0409339633748484</v>
      </c>
      <c r="U202" s="91">
        <f>IF(TrRoad_act!U63=0,0,TrRoad_emi!U60/TrRoad_tech!U175)</f>
        <v>0.99533854750967521</v>
      </c>
      <c r="V202" s="91">
        <f>IF(TrRoad_act!V63=0,0,TrRoad_emi!V60/TrRoad_tech!V175)</f>
        <v>1.0412997205423624</v>
      </c>
      <c r="W202" s="91">
        <f>IF(TrRoad_act!W63=0,0,TrRoad_emi!W60/TrRoad_tech!W175)</f>
        <v>1.0348495375299471</v>
      </c>
      <c r="X202" s="91">
        <f>IF(TrRoad_act!X63=0,0,TrRoad_emi!X60/TrRoad_tech!X175)</f>
        <v>1.0458659543983748</v>
      </c>
      <c r="Y202" s="91">
        <f>IF(TrRoad_act!Y63=0,0,TrRoad_emi!Y60/TrRoad_tech!Y175)</f>
        <v>0.94958075789922625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1.02777777778159</v>
      </c>
      <c r="C203" s="91">
        <f>IF(TrRoad_act!C64=0,0,TrRoad_emi!C61/TrRoad_tech!C176)</f>
        <v>1.0277777777815902</v>
      </c>
      <c r="D203" s="91">
        <f>IF(TrRoad_act!D64=0,0,TrRoad_emi!D61/TrRoad_tech!D176)</f>
        <v>1.02777777778159</v>
      </c>
      <c r="E203" s="91">
        <f>IF(TrRoad_act!E64=0,0,TrRoad_emi!E61/TrRoad_tech!E176)</f>
        <v>1.02777777778159</v>
      </c>
      <c r="F203" s="91">
        <f>IF(TrRoad_act!F64=0,0,TrRoad_emi!F61/TrRoad_tech!F176)</f>
        <v>1.0277777777815897</v>
      </c>
      <c r="G203" s="91">
        <f>IF(TrRoad_act!G64=0,0,TrRoad_emi!G61/TrRoad_tech!G176)</f>
        <v>1.02777777778159</v>
      </c>
      <c r="H203" s="91">
        <f>IF(TrRoad_act!H64=0,0,TrRoad_emi!H61/TrRoad_tech!H176)</f>
        <v>1.02777777778159</v>
      </c>
      <c r="I203" s="91">
        <f>IF(TrRoad_act!I64=0,0,TrRoad_emi!I61/TrRoad_tech!I176)</f>
        <v>1.02777777778159</v>
      </c>
      <c r="J203" s="91">
        <f>IF(TrRoad_act!J64=0,0,TrRoad_emi!J61/TrRoad_tech!J176)</f>
        <v>1.0277777777815897</v>
      </c>
      <c r="K203" s="91">
        <f>IF(TrRoad_act!K64=0,0,TrRoad_emi!K61/TrRoad_tech!K176)</f>
        <v>1.0300261435050491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0.73499817809907442</v>
      </c>
      <c r="U203" s="91">
        <f>IF(TrRoad_act!U64=0,0,TrRoad_emi!U61/TrRoad_tech!U176)</f>
        <v>1.0946500667115473</v>
      </c>
      <c r="V203" s="91">
        <f>IF(TrRoad_act!V64=0,0,TrRoad_emi!V61/TrRoad_tech!V176)</f>
        <v>1.0951917043606998</v>
      </c>
      <c r="W203" s="91">
        <f>IF(TrRoad_act!W64=0,0,TrRoad_emi!W61/TrRoad_tech!W176)</f>
        <v>1.0956231723325061</v>
      </c>
      <c r="X203" s="91">
        <f>IF(TrRoad_act!X64=0,0,TrRoad_emi!X61/TrRoad_tech!X176)</f>
        <v>1.0960619049270739</v>
      </c>
      <c r="Y203" s="91">
        <f>IF(TrRoad_act!Y64=0,0,TrRoad_emi!Y61/TrRoad_tech!Y176)</f>
        <v>1.0968987969949551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0.95805059650201896</v>
      </c>
      <c r="O204" s="91">
        <f>IF(TrRoad_act!O65=0,0,TrRoad_emi!O62/TrRoad_tech!O177)</f>
        <v>0.94068829107552965</v>
      </c>
      <c r="P204" s="91">
        <f>IF(TrRoad_act!P65=0,0,TrRoad_emi!P62/TrRoad_tech!P177)</f>
        <v>0.95965452320713363</v>
      </c>
      <c r="Q204" s="91">
        <f>IF(TrRoad_act!Q65=0,0,TrRoad_emi!Q62/TrRoad_tech!Q177)</f>
        <v>0.95592614737842652</v>
      </c>
      <c r="R204" s="91">
        <f>IF(TrRoad_act!R65=0,0,TrRoad_emi!R62/TrRoad_tech!R177)</f>
        <v>1.0426401316651783</v>
      </c>
      <c r="S204" s="91">
        <f>IF(TrRoad_act!S65=0,0,TrRoad_emi!S62/TrRoad_tech!S177)</f>
        <v>1.0468385321805622</v>
      </c>
      <c r="T204" s="91">
        <f>IF(TrRoad_act!T65=0,0,TrRoad_emi!T62/TrRoad_tech!T177)</f>
        <v>1.043982588216162</v>
      </c>
      <c r="U204" s="91">
        <f>IF(TrRoad_act!U65=0,0,TrRoad_emi!U62/TrRoad_tech!U177)</f>
        <v>1.049395797359151</v>
      </c>
      <c r="V204" s="91">
        <f>IF(TrRoad_act!V65=0,0,TrRoad_emi!V62/TrRoad_tech!V177)</f>
        <v>1.0770465207143811</v>
      </c>
      <c r="W204" s="91">
        <f>IF(TrRoad_act!W65=0,0,TrRoad_emi!W62/TrRoad_tech!W177)</f>
        <v>1.0597288575950063</v>
      </c>
      <c r="X204" s="91">
        <f>IF(TrRoad_act!X65=0,0,TrRoad_emi!X62/TrRoad_tech!X177)</f>
        <v>1.0252559575027518</v>
      </c>
      <c r="Y204" s="91">
        <f>IF(TrRoad_act!Y65=0,0,TrRoad_emi!Y62/TrRoad_tech!Y177)</f>
        <v>1.0379594464608539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1.5059225524689128</v>
      </c>
      <c r="C206" s="151">
        <f>IF(TrRoad_act!C67=0,0,TrRoad_emi!C64/TrRoad_tech!C179)</f>
        <v>1.3468802168853773</v>
      </c>
      <c r="D206" s="151">
        <f>IF(TrRoad_act!D67=0,0,TrRoad_emi!D64/TrRoad_tech!D179)</f>
        <v>1.2498568113219242</v>
      </c>
      <c r="E206" s="151">
        <f>IF(TrRoad_act!E67=0,0,TrRoad_emi!E64/TrRoad_tech!E179)</f>
        <v>1.2420475001168947</v>
      </c>
      <c r="F206" s="151">
        <f>IF(TrRoad_act!F67=0,0,TrRoad_emi!F64/TrRoad_tech!F179)</f>
        <v>1.2607813299550374</v>
      </c>
      <c r="G206" s="151">
        <f>IF(TrRoad_act!G67=0,0,TrRoad_emi!G64/TrRoad_tech!G179)</f>
        <v>1.353308438570479</v>
      </c>
      <c r="H206" s="151">
        <f>IF(TrRoad_act!H67=0,0,TrRoad_emi!H64/TrRoad_tech!H179)</f>
        <v>1.2980772176441366</v>
      </c>
      <c r="I206" s="151">
        <f>IF(TrRoad_act!I67=0,0,TrRoad_emi!I64/TrRoad_tech!I179)</f>
        <v>1.3958399946690725</v>
      </c>
      <c r="J206" s="151">
        <f>IF(TrRoad_act!J67=0,0,TrRoad_emi!J64/TrRoad_tech!J179)</f>
        <v>1.4851343513944055</v>
      </c>
      <c r="K206" s="151">
        <f>IF(TrRoad_act!K67=0,0,TrRoad_emi!K64/TrRoad_tech!K179)</f>
        <v>1.5317929627298961</v>
      </c>
      <c r="L206" s="151">
        <f>IF(TrRoad_act!L67=0,0,TrRoad_emi!L64/TrRoad_tech!L179)</f>
        <v>1.7571702403246057</v>
      </c>
      <c r="M206" s="151">
        <f>IF(TrRoad_act!M67=0,0,TrRoad_emi!M64/TrRoad_tech!M179)</f>
        <v>1.1572368122227521</v>
      </c>
      <c r="N206" s="151">
        <f>IF(TrRoad_act!N67=0,0,TrRoad_emi!N64/TrRoad_tech!N179)</f>
        <v>1.1578835070605193</v>
      </c>
      <c r="O206" s="151">
        <f>IF(TrRoad_act!O67=0,0,TrRoad_emi!O64/TrRoad_tech!O179)</f>
        <v>1.1546290612786869</v>
      </c>
      <c r="P206" s="151">
        <f>IF(TrRoad_act!P67=0,0,TrRoad_emi!P64/TrRoad_tech!P179)</f>
        <v>1.1422133602477742</v>
      </c>
      <c r="Q206" s="151">
        <f>IF(TrRoad_act!Q67=0,0,TrRoad_emi!Q64/TrRoad_tech!Q179)</f>
        <v>1.2379304828940512</v>
      </c>
      <c r="R206" s="151">
        <f>IF(TrRoad_act!R67=0,0,TrRoad_emi!R64/TrRoad_tech!R179)</f>
        <v>1.2609901063129008</v>
      </c>
      <c r="S206" s="151">
        <f>IF(TrRoad_act!S67=0,0,TrRoad_emi!S64/TrRoad_tech!S179)</f>
        <v>1.2117643691522406</v>
      </c>
      <c r="T206" s="151">
        <f>IF(TrRoad_act!T67=0,0,TrRoad_emi!T64/TrRoad_tech!T179)</f>
        <v>1.2039060063627403</v>
      </c>
      <c r="U206" s="151">
        <f>IF(TrRoad_act!U67=0,0,TrRoad_emi!U64/TrRoad_tech!U179)</f>
        <v>1.2381419794062587</v>
      </c>
      <c r="V206" s="151">
        <f>IF(TrRoad_act!V67=0,0,TrRoad_emi!V64/TrRoad_tech!V179)</f>
        <v>2.2172730501134073</v>
      </c>
      <c r="W206" s="151">
        <f>IF(TrRoad_act!W67=0,0,TrRoad_emi!W64/TrRoad_tech!W179)</f>
        <v>1.3440844630065427</v>
      </c>
      <c r="X206" s="151">
        <f>IF(TrRoad_act!X67=0,0,TrRoad_emi!X64/TrRoad_tech!X179)</f>
        <v>1.3468218692876937</v>
      </c>
      <c r="Y206" s="151">
        <f>IF(TrRoad_act!Y67=0,0,TrRoad_emi!Y64/TrRoad_tech!Y179)</f>
        <v>1.4333341323913507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1.1002736085761922</v>
      </c>
      <c r="D207" s="93">
        <f>IF(TrRoad_act!D68=0,0,TrRoad_emi!D65/TrRoad_tech!D180)</f>
        <v>1.1006445935518203</v>
      </c>
      <c r="E207" s="93">
        <f>IF(TrRoad_act!E68=0,0,TrRoad_emi!E65/TrRoad_tech!E180)</f>
        <v>1.1010459139799051</v>
      </c>
      <c r="F207" s="93">
        <f>IF(TrRoad_act!F68=0,0,TrRoad_emi!F65/TrRoad_tech!F180)</f>
        <v>1.1014293157371793</v>
      </c>
      <c r="G207" s="93">
        <f>IF(TrRoad_act!G68=0,0,TrRoad_emi!G65/TrRoad_tech!G180)</f>
        <v>1.102113338621159</v>
      </c>
      <c r="H207" s="93">
        <f>IF(TrRoad_act!H68=0,0,TrRoad_emi!H65/TrRoad_tech!H180)</f>
        <v>1.0994424352226841</v>
      </c>
      <c r="I207" s="93">
        <f>IF(TrRoad_act!I68=0,0,TrRoad_emi!I65/TrRoad_tech!I180)</f>
        <v>1.1063269774133819</v>
      </c>
      <c r="J207" s="93">
        <f>IF(TrRoad_act!J68=0,0,TrRoad_emi!J65/TrRoad_tech!J180)</f>
        <v>1.1085411581097122</v>
      </c>
      <c r="K207" s="93">
        <f>IF(TrRoad_act!K68=0,0,TrRoad_emi!K65/TrRoad_tech!K180)</f>
        <v>1.1014977556918164</v>
      </c>
      <c r="L207" s="93">
        <f>IF(TrRoad_act!L68=0,0,TrRoad_emi!L65/TrRoad_tech!L180)</f>
        <v>1.0816092737949325</v>
      </c>
      <c r="M207" s="93">
        <f>IF(TrRoad_act!M68=0,0,TrRoad_emi!M65/TrRoad_tech!M180)</f>
        <v>1.0867185621263364</v>
      </c>
      <c r="N207" s="93">
        <f>IF(TrRoad_act!N68=0,0,TrRoad_emi!N65/TrRoad_tech!N180)</f>
        <v>1.0913046315115413</v>
      </c>
      <c r="O207" s="93">
        <f>IF(TrRoad_act!O68=0,0,TrRoad_emi!O65/TrRoad_tech!O180)</f>
        <v>1.102563352049772</v>
      </c>
      <c r="P207" s="93">
        <f>IF(TrRoad_act!P68=0,0,TrRoad_emi!P65/TrRoad_tech!P180)</f>
        <v>1.1167077709690054</v>
      </c>
      <c r="Q207" s="93">
        <f>IF(TrRoad_act!Q68=0,0,TrRoad_emi!Q65/TrRoad_tech!Q180)</f>
        <v>1.1169265501093406</v>
      </c>
      <c r="R207" s="93">
        <f>IF(TrRoad_act!R68=0,0,TrRoad_emi!R65/TrRoad_tech!R180)</f>
        <v>1.1250236910676525</v>
      </c>
      <c r="S207" s="93">
        <f>IF(TrRoad_act!S68=0,0,TrRoad_emi!S65/TrRoad_tech!S180)</f>
        <v>1.1276545161705986</v>
      </c>
      <c r="T207" s="93">
        <f>IF(TrRoad_act!T68=0,0,TrRoad_emi!T65/TrRoad_tech!T180)</f>
        <v>1.1262308689856209</v>
      </c>
      <c r="U207" s="93">
        <f>IF(TrRoad_act!U68=0,0,TrRoad_emi!U65/TrRoad_tech!U180)</f>
        <v>1.1331448499106394</v>
      </c>
      <c r="V207" s="93">
        <f>IF(TrRoad_act!V68=0,0,TrRoad_emi!V65/TrRoad_tech!V180)</f>
        <v>1.0948958525130761</v>
      </c>
      <c r="W207" s="93">
        <f>IF(TrRoad_act!W68=0,0,TrRoad_emi!W65/TrRoad_tech!W180)</f>
        <v>1.1062659408168054</v>
      </c>
      <c r="X207" s="93">
        <f>IF(TrRoad_act!X68=0,0,TrRoad_emi!X65/TrRoad_tech!X180)</f>
        <v>1.1056494025707311</v>
      </c>
      <c r="Y207" s="93">
        <f>IF(TrRoad_act!Y68=0,0,TrRoad_emi!Y65/TrRoad_tech!Y180)</f>
        <v>1.1317554200717561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1.2021115048261943</v>
      </c>
      <c r="C208" s="93">
        <f>IF(TrRoad_act!C69=0,0,TrRoad_emi!C66/TrRoad_tech!C181)</f>
        <v>1.3334813348935084</v>
      </c>
      <c r="D208" s="93">
        <f>IF(TrRoad_act!D69=0,0,TrRoad_emi!D66/TrRoad_tech!D181)</f>
        <v>1.2779546922097644</v>
      </c>
      <c r="E208" s="93">
        <f>IF(TrRoad_act!E69=0,0,TrRoad_emi!E66/TrRoad_tech!E181)</f>
        <v>1.2648845684786807</v>
      </c>
      <c r="F208" s="93">
        <f>IF(TrRoad_act!F69=0,0,TrRoad_emi!F66/TrRoad_tech!F181)</f>
        <v>1.2750595029713157</v>
      </c>
      <c r="G208" s="93">
        <f>IF(TrRoad_act!G69=0,0,TrRoad_emi!G66/TrRoad_tech!G181)</f>
        <v>1.2829688010181304</v>
      </c>
      <c r="H208" s="93">
        <f>IF(TrRoad_act!H69=0,0,TrRoad_emi!H66/TrRoad_tech!H181)</f>
        <v>1.3070797024694487</v>
      </c>
      <c r="I208" s="93">
        <f>IF(TrRoad_act!I69=0,0,TrRoad_emi!I66/TrRoad_tech!I181)</f>
        <v>1.3340536601165622</v>
      </c>
      <c r="J208" s="93">
        <f>IF(TrRoad_act!J69=0,0,TrRoad_emi!J66/TrRoad_tech!J181)</f>
        <v>1.3058020161672663</v>
      </c>
      <c r="K208" s="93">
        <f>IF(TrRoad_act!K69=0,0,TrRoad_emi!K66/TrRoad_tech!K181)</f>
        <v>1.2492899562917574</v>
      </c>
      <c r="L208" s="93">
        <f>IF(TrRoad_act!L69=0,0,TrRoad_emi!L66/TrRoad_tech!L181)</f>
        <v>1.3355725963065697</v>
      </c>
      <c r="M208" s="93">
        <f>IF(TrRoad_act!M69=0,0,TrRoad_emi!M66/TrRoad_tech!M181)</f>
        <v>1.2310202209085483</v>
      </c>
      <c r="N208" s="93">
        <f>IF(TrRoad_act!N69=0,0,TrRoad_emi!N66/TrRoad_tech!N181)</f>
        <v>1.2302363556494103</v>
      </c>
      <c r="O208" s="93">
        <f>IF(TrRoad_act!O69=0,0,TrRoad_emi!O66/TrRoad_tech!O181)</f>
        <v>1.2274851856204227</v>
      </c>
      <c r="P208" s="93">
        <f>IF(TrRoad_act!P69=0,0,TrRoad_emi!P66/TrRoad_tech!P181)</f>
        <v>1.2159564390028188</v>
      </c>
      <c r="Q208" s="93">
        <f>IF(TrRoad_act!Q69=0,0,TrRoad_emi!Q66/TrRoad_tech!Q181)</f>
        <v>1.2389356465707948</v>
      </c>
      <c r="R208" s="93">
        <f>IF(TrRoad_act!R69=0,0,TrRoad_emi!R66/TrRoad_tech!R181)</f>
        <v>1.2584848100783952</v>
      </c>
      <c r="S208" s="93">
        <f>IF(TrRoad_act!S69=0,0,TrRoad_emi!S66/TrRoad_tech!S181)</f>
        <v>1.2880108576224876</v>
      </c>
      <c r="T208" s="93">
        <f>IF(TrRoad_act!T69=0,0,TrRoad_emi!T66/TrRoad_tech!T181)</f>
        <v>1.2594555281647581</v>
      </c>
      <c r="U208" s="93">
        <f>IF(TrRoad_act!U69=0,0,TrRoad_emi!U66/TrRoad_tech!U181)</f>
        <v>1.2661415462710381</v>
      </c>
      <c r="V208" s="93">
        <f>IF(TrRoad_act!V69=0,0,TrRoad_emi!V66/TrRoad_tech!V181)</f>
        <v>1.248685604224715</v>
      </c>
      <c r="W208" s="93">
        <f>IF(TrRoad_act!W69=0,0,TrRoad_emi!W66/TrRoad_tech!W181)</f>
        <v>1.2722271944752699</v>
      </c>
      <c r="X208" s="93">
        <f>IF(TrRoad_act!X69=0,0,TrRoad_emi!X66/TrRoad_tech!X181)</f>
        <v>1.3366594428290095</v>
      </c>
      <c r="Y208" s="93">
        <f>IF(TrRoad_act!Y69=0,0,TrRoad_emi!Y66/TrRoad_tech!Y181)</f>
        <v>1.3394972666336469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1.317263573193203</v>
      </c>
      <c r="S209" s="93">
        <f>IF(TrRoad_act!S70=0,0,TrRoad_emi!S67/TrRoad_tech!S182)</f>
        <v>1.3172635731932034</v>
      </c>
      <c r="T209" s="93">
        <f>IF(TrRoad_act!T70=0,0,TrRoad_emi!T67/TrRoad_tech!T182)</f>
        <v>1.3172635731932032</v>
      </c>
      <c r="U209" s="93">
        <f>IF(TrRoad_act!U70=0,0,TrRoad_emi!U67/TrRoad_tech!U182)</f>
        <v>1.3172635731932034</v>
      </c>
      <c r="V209" s="93">
        <f>IF(TrRoad_act!V70=0,0,TrRoad_emi!V67/TrRoad_tech!V182)</f>
        <v>1.3172635731932034</v>
      </c>
      <c r="W209" s="93">
        <f>IF(TrRoad_act!W70=0,0,TrRoad_emi!W67/TrRoad_tech!W182)</f>
        <v>1.3172635731932032</v>
      </c>
      <c r="X209" s="93">
        <f>IF(TrRoad_act!X70=0,0,TrRoad_emi!X67/TrRoad_tech!X182)</f>
        <v>1.317263573193203</v>
      </c>
      <c r="Y209" s="93">
        <f>IF(TrRoad_act!Y70=0,0,TrRoad_emi!Y67/TrRoad_tech!Y182)</f>
        <v>1.3172635731932034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1.0462359890310995</v>
      </c>
      <c r="C210" s="93">
        <f>IF(TrRoad_act!C71=0,0,TrRoad_emi!C68/TrRoad_tech!C183)</f>
        <v>1.3539717088727281</v>
      </c>
      <c r="D210" s="93">
        <f>IF(TrRoad_act!D71=0,0,TrRoad_emi!D68/TrRoad_tech!D183)</f>
        <v>1.1035704326431677</v>
      </c>
      <c r="E210" s="93">
        <f>IF(TrRoad_act!E71=0,0,TrRoad_emi!E68/TrRoad_tech!E183)</f>
        <v>1.1137876942337661</v>
      </c>
      <c r="F210" s="93">
        <f>IF(TrRoad_act!F71=0,0,TrRoad_emi!F68/TrRoad_tech!F183)</f>
        <v>1.1240839425335183</v>
      </c>
      <c r="G210" s="93">
        <f>IF(TrRoad_act!G71=0,0,TrRoad_emi!G68/TrRoad_tech!G183)</f>
        <v>1.108453286232882</v>
      </c>
      <c r="H210" s="93">
        <f>IF(TrRoad_act!H71=0,0,TrRoad_emi!H68/TrRoad_tech!H183)</f>
        <v>1.1997809802812294</v>
      </c>
      <c r="I210" s="93">
        <f>IF(TrRoad_act!I71=0,0,TrRoad_emi!I68/TrRoad_tech!I183)</f>
        <v>1.2821340875045195</v>
      </c>
      <c r="J210" s="93">
        <f>IF(TrRoad_act!J71=0,0,TrRoad_emi!J68/TrRoad_tech!J183)</f>
        <v>1.7434841665189196</v>
      </c>
      <c r="K210" s="93">
        <f>IF(TrRoad_act!K71=0,0,TrRoad_emi!K68/TrRoad_tech!K183)</f>
        <v>2.7002916278462861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1.1959708128002031</v>
      </c>
      <c r="V210" s="93">
        <f>IF(TrRoad_act!V71=0,0,TrRoad_emi!V68/TrRoad_tech!V183)</f>
        <v>1.3860970032705964</v>
      </c>
      <c r="W210" s="93">
        <f>IF(TrRoad_act!W71=0,0,TrRoad_emi!W68/TrRoad_tech!W183)</f>
        <v>1.5859997031565469</v>
      </c>
      <c r="X210" s="93">
        <f>IF(TrRoad_act!X71=0,0,TrRoad_emi!X68/TrRoad_tech!X183)</f>
        <v>1.3580213487191859</v>
      </c>
      <c r="Y210" s="93">
        <f>IF(TrRoad_act!Y71=0,0,TrRoad_emi!Y68/TrRoad_tech!Y183)</f>
        <v>1.5237130609666028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1.1684744927029116</v>
      </c>
      <c r="C213" s="150">
        <f>IF(TrRoad_act!C74=0,0,TrRoad_emi!C71/TrRoad_tech!C186)</f>
        <v>1.2446301821449393</v>
      </c>
      <c r="D213" s="150">
        <f>IF(TrRoad_act!D74=0,0,TrRoad_emi!D71/TrRoad_tech!D186)</f>
        <v>1.2081604087420155</v>
      </c>
      <c r="E213" s="150">
        <f>IF(TrRoad_act!E74=0,0,TrRoad_emi!E71/TrRoad_tech!E186)</f>
        <v>1.2168015867044562</v>
      </c>
      <c r="F213" s="150">
        <f>IF(TrRoad_act!F74=0,0,TrRoad_emi!F71/TrRoad_tech!F186)</f>
        <v>1.2238584550296665</v>
      </c>
      <c r="G213" s="150">
        <f>IF(TrRoad_act!G74=0,0,TrRoad_emi!G71/TrRoad_tech!G186)</f>
        <v>1.2399021653887772</v>
      </c>
      <c r="H213" s="150">
        <f>IF(TrRoad_act!H74=0,0,TrRoad_emi!H71/TrRoad_tech!H186)</f>
        <v>1.2610414996503536</v>
      </c>
      <c r="I213" s="150">
        <f>IF(TrRoad_act!I74=0,0,TrRoad_emi!I71/TrRoad_tech!I186)</f>
        <v>1.2884165677018846</v>
      </c>
      <c r="J213" s="150">
        <f>IF(TrRoad_act!J74=0,0,TrRoad_emi!J71/TrRoad_tech!J186)</f>
        <v>1.3077031917008208</v>
      </c>
      <c r="K213" s="150">
        <f>IF(TrRoad_act!K74=0,0,TrRoad_emi!K71/TrRoad_tech!K186)</f>
        <v>1.2900596102617286</v>
      </c>
      <c r="L213" s="150">
        <f>IF(TrRoad_act!L74=0,0,TrRoad_emi!L71/TrRoad_tech!L186)</f>
        <v>1.4901567741610473</v>
      </c>
      <c r="M213" s="150">
        <f>IF(TrRoad_act!M74=0,0,TrRoad_emi!M71/TrRoad_tech!M186)</f>
        <v>1.4388531340868198</v>
      </c>
      <c r="N213" s="150">
        <f>IF(TrRoad_act!N74=0,0,TrRoad_emi!N71/TrRoad_tech!N186)</f>
        <v>1.3471367178208018</v>
      </c>
      <c r="O213" s="150">
        <f>IF(TrRoad_act!O74=0,0,TrRoad_emi!O71/TrRoad_tech!O186)</f>
        <v>1.3525199009534674</v>
      </c>
      <c r="P213" s="150">
        <f>IF(TrRoad_act!P74=0,0,TrRoad_emi!P71/TrRoad_tech!P186)</f>
        <v>1.2877255813014654</v>
      </c>
      <c r="Q213" s="150">
        <f>IF(TrRoad_act!Q74=0,0,TrRoad_emi!Q71/TrRoad_tech!Q186)</f>
        <v>1.2933209146861524</v>
      </c>
      <c r="R213" s="150">
        <f>IF(TrRoad_act!R74=0,0,TrRoad_emi!R71/TrRoad_tech!R186)</f>
        <v>1.3223087033300893</v>
      </c>
      <c r="S213" s="150">
        <f>IF(TrRoad_act!S74=0,0,TrRoad_emi!S71/TrRoad_tech!S186)</f>
        <v>1.3777734420686574</v>
      </c>
      <c r="T213" s="150">
        <f>IF(TrRoad_act!T74=0,0,TrRoad_emi!T71/TrRoad_tech!T186)</f>
        <v>1.2463089607780899</v>
      </c>
      <c r="U213" s="150">
        <f>IF(TrRoad_act!U74=0,0,TrRoad_emi!U71/TrRoad_tech!U186)</f>
        <v>1.2375266008575088</v>
      </c>
      <c r="V213" s="150">
        <f>IF(TrRoad_act!V74=0,0,TrRoad_emi!V71/TrRoad_tech!V186)</f>
        <v>1.1206539040672152</v>
      </c>
      <c r="W213" s="150">
        <f>IF(TrRoad_act!W74=0,0,TrRoad_emi!W71/TrRoad_tech!W186)</f>
        <v>1.095579066258151</v>
      </c>
      <c r="X213" s="150">
        <f>IF(TrRoad_act!X74=0,0,TrRoad_emi!X71/TrRoad_tech!X186)</f>
        <v>1.1772774742044367</v>
      </c>
      <c r="Y213" s="150">
        <f>IF(TrRoad_act!Y74=0,0,TrRoad_emi!Y71/TrRoad_tech!Y186)</f>
        <v>1.2138853291581895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1.1001307000475105</v>
      </c>
      <c r="D214" s="91">
        <f>IF(TrRoad_act!D75=0,0,TrRoad_emi!D72/TrRoad_tech!D187)</f>
        <v>1.1002827755281233</v>
      </c>
      <c r="E214" s="91">
        <f>IF(TrRoad_act!E75=0,0,TrRoad_emi!E72/TrRoad_tech!E187)</f>
        <v>1.1008963983121267</v>
      </c>
      <c r="F214" s="91">
        <f>IF(TrRoad_act!F75=0,0,TrRoad_emi!F72/TrRoad_tech!F187)</f>
        <v>1.1016565061309032</v>
      </c>
      <c r="G214" s="91">
        <f>IF(TrRoad_act!G75=0,0,TrRoad_emi!G72/TrRoad_tech!G187)</f>
        <v>1.1029312981186667</v>
      </c>
      <c r="H214" s="91">
        <f>IF(TrRoad_act!H75=0,0,TrRoad_emi!H72/TrRoad_tech!H187)</f>
        <v>1.101653648122936</v>
      </c>
      <c r="I214" s="91">
        <f>IF(TrRoad_act!I75=0,0,TrRoad_emi!I72/TrRoad_tech!I187)</f>
        <v>1.107725198428233</v>
      </c>
      <c r="J214" s="91">
        <f>IF(TrRoad_act!J75=0,0,TrRoad_emi!J72/TrRoad_tech!J187)</f>
        <v>1.1095119163535878</v>
      </c>
      <c r="K214" s="91">
        <f>IF(TrRoad_act!K75=0,0,TrRoad_emi!K72/TrRoad_tech!K187)</f>
        <v>1.1027859451645126</v>
      </c>
      <c r="L214" s="91">
        <f>IF(TrRoad_act!L75=0,0,TrRoad_emi!L72/TrRoad_tech!L187)</f>
        <v>1.0900686835665756</v>
      </c>
      <c r="M214" s="91">
        <f>IF(TrRoad_act!M75=0,0,TrRoad_emi!M72/TrRoad_tech!M187)</f>
        <v>1.0924741404879545</v>
      </c>
      <c r="N214" s="91">
        <f>IF(TrRoad_act!N75=0,0,TrRoad_emi!N72/TrRoad_tech!N187)</f>
        <v>1.0983098699916609</v>
      </c>
      <c r="O214" s="91">
        <f>IF(TrRoad_act!O75=0,0,TrRoad_emi!O72/TrRoad_tech!O187)</f>
        <v>1.1021744076388758</v>
      </c>
      <c r="P214" s="91">
        <f>IF(TrRoad_act!P75=0,0,TrRoad_emi!P72/TrRoad_tech!P187)</f>
        <v>1.1115434429097222</v>
      </c>
      <c r="Q214" s="91">
        <f>IF(TrRoad_act!Q75=0,0,TrRoad_emi!Q72/TrRoad_tech!Q187)</f>
        <v>1.1115865389496147</v>
      </c>
      <c r="R214" s="91">
        <f>IF(TrRoad_act!R75=0,0,TrRoad_emi!R72/TrRoad_tech!R187)</f>
        <v>1.1166260497525875</v>
      </c>
      <c r="S214" s="91">
        <f>IF(TrRoad_act!S75=0,0,TrRoad_emi!S72/TrRoad_tech!S187)</f>
        <v>1.1232980604379348</v>
      </c>
      <c r="T214" s="91">
        <f>IF(TrRoad_act!T75=0,0,TrRoad_emi!T72/TrRoad_tech!T187)</f>
        <v>1.1375008147492893</v>
      </c>
      <c r="U214" s="91">
        <f>IF(TrRoad_act!U75=0,0,TrRoad_emi!U72/TrRoad_tech!U187)</f>
        <v>1.1565554099280784</v>
      </c>
      <c r="V214" s="91">
        <f>IF(TrRoad_act!V75=0,0,TrRoad_emi!V72/TrRoad_tech!V187)</f>
        <v>1.1293748457460162</v>
      </c>
      <c r="W214" s="91">
        <f>IF(TrRoad_act!W75=0,0,TrRoad_emi!W72/TrRoad_tech!W187)</f>
        <v>1.1463886048074885</v>
      </c>
      <c r="X214" s="91">
        <f>IF(TrRoad_act!X75=0,0,TrRoad_emi!X72/TrRoad_tech!X187)</f>
        <v>1.1570978201985147</v>
      </c>
      <c r="Y214" s="91">
        <f>IF(TrRoad_act!Y75=0,0,TrRoad_emi!Y72/TrRoad_tech!Y187)</f>
        <v>1.189750318116366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1.2021115048261946</v>
      </c>
      <c r="C215" s="91">
        <f>IF(TrRoad_act!C76=0,0,TrRoad_emi!C73/TrRoad_tech!C188)</f>
        <v>1.3328456758390259</v>
      </c>
      <c r="D215" s="91">
        <f>IF(TrRoad_act!D76=0,0,TrRoad_emi!D73/TrRoad_tech!D188)</f>
        <v>1.2760186911659379</v>
      </c>
      <c r="E215" s="91">
        <f>IF(TrRoad_act!E76=0,0,TrRoad_emi!E73/TrRoad_tech!E188)</f>
        <v>1.2598376036863284</v>
      </c>
      <c r="F215" s="91">
        <f>IF(TrRoad_act!F76=0,0,TrRoad_emi!F73/TrRoad_tech!F188)</f>
        <v>1.2684894866741412</v>
      </c>
      <c r="G215" s="91">
        <f>IF(TrRoad_act!G76=0,0,TrRoad_emi!G73/TrRoad_tech!G188)</f>
        <v>1.2747650761952043</v>
      </c>
      <c r="H215" s="91">
        <f>IF(TrRoad_act!H76=0,0,TrRoad_emi!H73/TrRoad_tech!H188)</f>
        <v>1.295795245696445</v>
      </c>
      <c r="I215" s="91">
        <f>IF(TrRoad_act!I76=0,0,TrRoad_emi!I73/TrRoad_tech!I188)</f>
        <v>1.3215165402485256</v>
      </c>
      <c r="J215" s="91">
        <f>IF(TrRoad_act!J76=0,0,TrRoad_emi!J73/TrRoad_tech!J188)</f>
        <v>1.2904965738510614</v>
      </c>
      <c r="K215" s="91">
        <f>IF(TrRoad_act!K76=0,0,TrRoad_emi!K73/TrRoad_tech!K188)</f>
        <v>1.230465763894053</v>
      </c>
      <c r="L215" s="91">
        <f>IF(TrRoad_act!L76=0,0,TrRoad_emi!L73/TrRoad_tech!L188)</f>
        <v>1.3135087939813663</v>
      </c>
      <c r="M215" s="91">
        <f>IF(TrRoad_act!M76=0,0,TrRoad_emi!M73/TrRoad_tech!M188)</f>
        <v>1.2087343750792594</v>
      </c>
      <c r="N215" s="91">
        <f>IF(TrRoad_act!N76=0,0,TrRoad_emi!N73/TrRoad_tech!N188)</f>
        <v>1.2101544890400753</v>
      </c>
      <c r="O215" s="91">
        <f>IF(TrRoad_act!O76=0,0,TrRoad_emi!O73/TrRoad_tech!O188)</f>
        <v>1.2072157228900304</v>
      </c>
      <c r="P215" s="91">
        <f>IF(TrRoad_act!P76=0,0,TrRoad_emi!P73/TrRoad_tech!P188)</f>
        <v>1.1943574330930991</v>
      </c>
      <c r="Q215" s="91">
        <f>IF(TrRoad_act!Q76=0,0,TrRoad_emi!Q73/TrRoad_tech!Q188)</f>
        <v>1.2105145253931826</v>
      </c>
      <c r="R215" s="91">
        <f>IF(TrRoad_act!R76=0,0,TrRoad_emi!R73/TrRoad_tech!R188)</f>
        <v>1.2230573196526127</v>
      </c>
      <c r="S215" s="91">
        <f>IF(TrRoad_act!S76=0,0,TrRoad_emi!S73/TrRoad_tech!S188)</f>
        <v>1.2441926854884053</v>
      </c>
      <c r="T215" s="91">
        <f>IF(TrRoad_act!T76=0,0,TrRoad_emi!T73/TrRoad_tech!T188)</f>
        <v>1.2127941794502224</v>
      </c>
      <c r="U215" s="91">
        <f>IF(TrRoad_act!U76=0,0,TrRoad_emi!U73/TrRoad_tech!U188)</f>
        <v>1.219694622506087</v>
      </c>
      <c r="V215" s="91">
        <f>IF(TrRoad_act!V76=0,0,TrRoad_emi!V73/TrRoad_tech!V188)</f>
        <v>1.2111569917395537</v>
      </c>
      <c r="W215" s="91">
        <f>IF(TrRoad_act!W76=0,0,TrRoad_emi!W73/TrRoad_tech!W188)</f>
        <v>1.2348732642915761</v>
      </c>
      <c r="X215" s="91">
        <f>IF(TrRoad_act!X76=0,0,TrRoad_emi!X73/TrRoad_tech!X188)</f>
        <v>1.2962958551395785</v>
      </c>
      <c r="Y215" s="91">
        <f>IF(TrRoad_act!Y76=0,0,TrRoad_emi!Y73/TrRoad_tech!Y188)</f>
        <v>1.3085629482160264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1.2360000000066975</v>
      </c>
      <c r="O216" s="91">
        <f>IF(TrRoad_act!O77=0,0,TrRoad_emi!O74/TrRoad_tech!O189)</f>
        <v>1.2360000000066977</v>
      </c>
      <c r="P216" s="91">
        <f>IF(TrRoad_act!P77=0,0,TrRoad_emi!P74/TrRoad_tech!P189)</f>
        <v>1.2481886832612159</v>
      </c>
      <c r="Q216" s="91">
        <f>IF(TrRoad_act!Q77=0,0,TrRoad_emi!Q74/TrRoad_tech!Q189)</f>
        <v>1.2552486645442911</v>
      </c>
      <c r="R216" s="91">
        <f>IF(TrRoad_act!R77=0,0,TrRoad_emi!R74/TrRoad_tech!R189)</f>
        <v>1.2218426099588748</v>
      </c>
      <c r="S216" s="91">
        <f>IF(TrRoad_act!S77=0,0,TrRoad_emi!S74/TrRoad_tech!S189)</f>
        <v>1.2280933272528367</v>
      </c>
      <c r="T216" s="91">
        <f>IF(TrRoad_act!T77=0,0,TrRoad_emi!T74/TrRoad_tech!T189)</f>
        <v>1.233963804276667</v>
      </c>
      <c r="U216" s="91">
        <f>IF(TrRoad_act!U77=0,0,TrRoad_emi!U74/TrRoad_tech!U189)</f>
        <v>1.2418501367398753</v>
      </c>
      <c r="V216" s="91">
        <f>IF(TrRoad_act!V77=0,0,TrRoad_emi!V74/TrRoad_tech!V189)</f>
        <v>1.2465390359506225</v>
      </c>
      <c r="W216" s="91">
        <f>IF(TrRoad_act!W77=0,0,TrRoad_emi!W74/TrRoad_tech!W189)</f>
        <v>1.2488325572968588</v>
      </c>
      <c r="X216" s="91">
        <f>IF(TrRoad_act!X77=0,0,TrRoad_emi!X74/TrRoad_tech!X189)</f>
        <v>1.2506214038413479</v>
      </c>
      <c r="Y216" s="91">
        <f>IF(TrRoad_act!Y77=0,0,TrRoad_emi!Y74/TrRoad_tech!Y189)</f>
        <v>1.2542128199436335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X217" s="91">
        <f>IF(TrRoad_act!X78=0,0,TrRoad_emi!X75/TrRoad_tech!X190)</f>
        <v>0</v>
      </c>
      <c r="Y217" s="91">
        <f>IF(TrRoad_act!Y78=0,0,TrRoad_emi!Y75/TrRoad_tech!Y190)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1.52910769932268</v>
      </c>
      <c r="C219" s="151">
        <f>IF(TrRoad_act!C80=0,0,TrRoad_emi!C77/TrRoad_tech!C192)</f>
        <v>1.9661209938746929</v>
      </c>
      <c r="D219" s="151">
        <f>IF(TrRoad_act!D80=0,0,TrRoad_emi!D77/TrRoad_tech!D192)</f>
        <v>1.750610772796487</v>
      </c>
      <c r="E219" s="151">
        <f>IF(TrRoad_act!E80=0,0,TrRoad_emi!E77/TrRoad_tech!E192)</f>
        <v>1.6924433037954658</v>
      </c>
      <c r="F219" s="151">
        <f>IF(TrRoad_act!F80=0,0,TrRoad_emi!F77/TrRoad_tech!F192)</f>
        <v>1.7820557114745155</v>
      </c>
      <c r="G219" s="151">
        <f>IF(TrRoad_act!G80=0,0,TrRoad_emi!G77/TrRoad_tech!G192)</f>
        <v>1.8216759866771639</v>
      </c>
      <c r="H219" s="151">
        <f>IF(TrRoad_act!H80=0,0,TrRoad_emi!H77/TrRoad_tech!H192)</f>
        <v>1.9767977394686378</v>
      </c>
      <c r="I219" s="151">
        <f>IF(TrRoad_act!I80=0,0,TrRoad_emi!I77/TrRoad_tech!I192)</f>
        <v>2.0322500069991154</v>
      </c>
      <c r="J219" s="151">
        <f>IF(TrRoad_act!J80=0,0,TrRoad_emi!J77/TrRoad_tech!J192)</f>
        <v>1.9518197447768302</v>
      </c>
      <c r="K219" s="151">
        <f>IF(TrRoad_act!K80=0,0,TrRoad_emi!K77/TrRoad_tech!K192)</f>
        <v>1.7011451593681297</v>
      </c>
      <c r="L219" s="151">
        <f>IF(TrRoad_act!L80=0,0,TrRoad_emi!L77/TrRoad_tech!L192)</f>
        <v>2.264732208225043</v>
      </c>
      <c r="M219" s="151">
        <f>IF(TrRoad_act!M80=0,0,TrRoad_emi!M77/TrRoad_tech!M192)</f>
        <v>1.886330386749391</v>
      </c>
      <c r="N219" s="151">
        <f>IF(TrRoad_act!N80=0,0,TrRoad_emi!N77/TrRoad_tech!N192)</f>
        <v>1.9148260279608593</v>
      </c>
      <c r="O219" s="151">
        <f>IF(TrRoad_act!O80=0,0,TrRoad_emi!O77/TrRoad_tech!O192)</f>
        <v>1.8243196834484303</v>
      </c>
      <c r="P219" s="151">
        <f>IF(TrRoad_act!P80=0,0,TrRoad_emi!P77/TrRoad_tech!P192)</f>
        <v>1.8117918505483563</v>
      </c>
      <c r="Q219" s="151">
        <f>IF(TrRoad_act!Q80=0,0,TrRoad_emi!Q77/TrRoad_tech!Q192)</f>
        <v>1.8644789210626556</v>
      </c>
      <c r="R219" s="151">
        <f>IF(TrRoad_act!R80=0,0,TrRoad_emi!R77/TrRoad_tech!R192)</f>
        <v>1.8004133943586274</v>
      </c>
      <c r="S219" s="151">
        <f>IF(TrRoad_act!S80=0,0,TrRoad_emi!S77/TrRoad_tech!S192)</f>
        <v>1.8834855978433347</v>
      </c>
      <c r="T219" s="151">
        <f>IF(TrRoad_act!T80=0,0,TrRoad_emi!T77/TrRoad_tech!T192)</f>
        <v>1.8362502188008882</v>
      </c>
      <c r="U219" s="151">
        <f>IF(TrRoad_act!U80=0,0,TrRoad_emi!U77/TrRoad_tech!U192)</f>
        <v>1.8159161033816642</v>
      </c>
      <c r="V219" s="151">
        <f>IF(TrRoad_act!V80=0,0,TrRoad_emi!V77/TrRoad_tech!V192)</f>
        <v>1.6535730102772941</v>
      </c>
      <c r="W219" s="151">
        <f>IF(TrRoad_act!W80=0,0,TrRoad_emi!W77/TrRoad_tech!W192)</f>
        <v>1.745367565597475</v>
      </c>
      <c r="X219" s="151">
        <f>IF(TrRoad_act!X80=0,0,TrRoad_emi!X77/TrRoad_tech!X192)</f>
        <v>1.7971199080695932</v>
      </c>
      <c r="Y219" s="151">
        <f>IF(TrRoad_act!Y80=0,0,TrRoad_emi!Y77/TrRoad_tech!Y192)</f>
        <v>1.7643983997515496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1.2150715543405446</v>
      </c>
      <c r="C220" s="93">
        <f>IF(TrRoad_act!C81=0,0,TrRoad_emi!C78/TrRoad_tech!C193)</f>
        <v>1.2612930719340112</v>
      </c>
      <c r="D220" s="93">
        <f>IF(TrRoad_act!D81=0,0,TrRoad_emi!D78/TrRoad_tech!D193)</f>
        <v>1.2404982073692215</v>
      </c>
      <c r="E220" s="93">
        <f>IF(TrRoad_act!E81=0,0,TrRoad_emi!E78/TrRoad_tech!E193)</f>
        <v>1.235972550662424</v>
      </c>
      <c r="F220" s="93">
        <f>IF(TrRoad_act!F81=0,0,TrRoad_emi!F78/TrRoad_tech!F193)</f>
        <v>1.2455695520682633</v>
      </c>
      <c r="G220" s="93">
        <f>IF(TrRoad_act!G81=0,0,TrRoad_emi!G78/TrRoad_tech!G193)</f>
        <v>1.2468962199611051</v>
      </c>
      <c r="H220" s="93">
        <f>IF(TrRoad_act!H81=0,0,TrRoad_emi!H78/TrRoad_tech!H193)</f>
        <v>1.267428470785515</v>
      </c>
      <c r="I220" s="93">
        <f>IF(TrRoad_act!I81=0,0,TrRoad_emi!I78/TrRoad_tech!I193)</f>
        <v>1.2780856608405009</v>
      </c>
      <c r="J220" s="93">
        <f>IF(TrRoad_act!J81=0,0,TrRoad_emi!J78/TrRoad_tech!J193)</f>
        <v>1.2722602107517038</v>
      </c>
      <c r="K220" s="93">
        <f>IF(TrRoad_act!K81=0,0,TrRoad_emi!K78/TrRoad_tech!K193)</f>
        <v>1.2477112680750997</v>
      </c>
      <c r="L220" s="93">
        <f>IF(TrRoad_act!L81=0,0,TrRoad_emi!L78/TrRoad_tech!L193)</f>
        <v>1.2872063021944509</v>
      </c>
      <c r="M220" s="93">
        <f>IF(TrRoad_act!M81=0,0,TrRoad_emi!M78/TrRoad_tech!M193)</f>
        <v>1.2505191518773751</v>
      </c>
      <c r="N220" s="93">
        <f>IF(TrRoad_act!N81=0,0,TrRoad_emi!N78/TrRoad_tech!N193)</f>
        <v>1.262332595817125</v>
      </c>
      <c r="O220" s="93">
        <f>IF(TrRoad_act!O81=0,0,TrRoad_emi!O78/TrRoad_tech!O193)</f>
        <v>1.2691469968523763</v>
      </c>
      <c r="P220" s="93">
        <f>IF(TrRoad_act!P81=0,0,TrRoad_emi!P78/TrRoad_tech!P193)</f>
        <v>1.2726456028979907</v>
      </c>
      <c r="Q220" s="93">
        <f>IF(TrRoad_act!Q81=0,0,TrRoad_emi!Q78/TrRoad_tech!Q193)</f>
        <v>1.2867204626400617</v>
      </c>
      <c r="R220" s="93">
        <f>IF(TrRoad_act!R81=0,0,TrRoad_emi!R78/TrRoad_tech!R193)</f>
        <v>1.3136654868131221</v>
      </c>
      <c r="S220" s="93">
        <f>IF(TrRoad_act!S81=0,0,TrRoad_emi!S78/TrRoad_tech!S193)</f>
        <v>1.3439698649187404</v>
      </c>
      <c r="T220" s="93">
        <f>IF(TrRoad_act!T81=0,0,TrRoad_emi!T78/TrRoad_tech!T193)</f>
        <v>1.3191617592701002</v>
      </c>
      <c r="U220" s="93">
        <f>IF(TrRoad_act!U81=0,0,TrRoad_emi!U78/TrRoad_tech!U193)</f>
        <v>1.332914968563184</v>
      </c>
      <c r="V220" s="93">
        <f>IF(TrRoad_act!V81=0,0,TrRoad_emi!V78/TrRoad_tech!V193)</f>
        <v>1.3163991208268355</v>
      </c>
      <c r="W220" s="93">
        <f>IF(TrRoad_act!W81=0,0,TrRoad_emi!W78/TrRoad_tech!W193)</f>
        <v>1.3493517494571681</v>
      </c>
      <c r="X220" s="93">
        <f>IF(TrRoad_act!X81=0,0,TrRoad_emi!X78/TrRoad_tech!X193)</f>
        <v>1.4121160467641705</v>
      </c>
      <c r="Y220" s="93">
        <f>IF(TrRoad_act!Y81=0,0,TrRoad_emi!Y78/TrRoad_tech!Y193)</f>
        <v>1.4271903767957292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3.0142399009615746</v>
      </c>
      <c r="C221" s="94">
        <f>IF(TrRoad_act!C82=0,0,TrRoad_emi!C79/TrRoad_tech!C194)</f>
        <v>5.6789171692087015</v>
      </c>
      <c r="D221" s="94">
        <f>IF(TrRoad_act!D82=0,0,TrRoad_emi!D79/TrRoad_tech!D194)</f>
        <v>4.9402377880884609</v>
      </c>
      <c r="E221" s="94">
        <f>IF(TrRoad_act!E82=0,0,TrRoad_emi!E79/TrRoad_tech!E194)</f>
        <v>4.9539465973169454</v>
      </c>
      <c r="F221" s="94">
        <f>IF(TrRoad_act!F82=0,0,TrRoad_emi!F79/TrRoad_tech!F194)</f>
        <v>4.827538712246727</v>
      </c>
      <c r="G221" s="94">
        <f>IF(TrRoad_act!G82=0,0,TrRoad_emi!G79/TrRoad_tech!G194)</f>
        <v>5.3891805928200176</v>
      </c>
      <c r="H221" s="94">
        <f>IF(TrRoad_act!H82=0,0,TrRoad_emi!H79/TrRoad_tech!H194)</f>
        <v>5.5903330370225133</v>
      </c>
      <c r="I221" s="94">
        <f>IF(TrRoad_act!I82=0,0,TrRoad_emi!I79/TrRoad_tech!I194)</f>
        <v>6.0897750965722626</v>
      </c>
      <c r="J221" s="94">
        <f>IF(TrRoad_act!J82=0,0,TrRoad_emi!J79/TrRoad_tech!J194)</f>
        <v>5.4698926440645392</v>
      </c>
      <c r="K221" s="94">
        <f>IF(TrRoad_act!K82=0,0,TrRoad_emi!K79/TrRoad_tech!K194)</f>
        <v>4.6796036841426023</v>
      </c>
      <c r="L221" s="94">
        <f>IF(TrRoad_act!L82=0,0,TrRoad_emi!L79/TrRoad_tech!L194)</f>
        <v>6.9897874351199407</v>
      </c>
      <c r="M221" s="94">
        <f>IF(TrRoad_act!M82=0,0,TrRoad_emi!M79/TrRoad_tech!M194)</f>
        <v>4.1090002270453452</v>
      </c>
      <c r="N221" s="94">
        <f>IF(TrRoad_act!N82=0,0,TrRoad_emi!N79/TrRoad_tech!N194)</f>
        <v>3.6003006856750974</v>
      </c>
      <c r="O221" s="94">
        <f>IF(TrRoad_act!O82=0,0,TrRoad_emi!O79/TrRoad_tech!O194)</f>
        <v>3.1551542993369619</v>
      </c>
      <c r="P221" s="94">
        <f>IF(TrRoad_act!P82=0,0,TrRoad_emi!P79/TrRoad_tech!P194)</f>
        <v>3.0673992296961887</v>
      </c>
      <c r="Q221" s="94">
        <f>IF(TrRoad_act!Q82=0,0,TrRoad_emi!Q79/TrRoad_tech!Q194)</f>
        <v>3.047908468942278</v>
      </c>
      <c r="R221" s="94">
        <f>IF(TrRoad_act!R82=0,0,TrRoad_emi!R79/TrRoad_tech!R194)</f>
        <v>2.8221711798614901</v>
      </c>
      <c r="S221" s="94">
        <f>IF(TrRoad_act!S82=0,0,TrRoad_emi!S79/TrRoad_tech!S194)</f>
        <v>3.1610042105695615</v>
      </c>
      <c r="T221" s="94">
        <f>IF(TrRoad_act!T82=0,0,TrRoad_emi!T79/TrRoad_tech!T194)</f>
        <v>3.0013052808398708</v>
      </c>
      <c r="U221" s="94">
        <f>IF(TrRoad_act!U82=0,0,TrRoad_emi!U79/TrRoad_tech!U194)</f>
        <v>3.0057922753362676</v>
      </c>
      <c r="V221" s="94">
        <f>IF(TrRoad_act!V82=0,0,TrRoad_emi!V79/TrRoad_tech!V194)</f>
        <v>2.4080022417366576</v>
      </c>
      <c r="W221" s="94">
        <f>IF(TrRoad_act!W82=0,0,TrRoad_emi!W79/TrRoad_tech!W194)</f>
        <v>2.7722898011811306</v>
      </c>
      <c r="X221" s="94">
        <f>IF(TrRoad_act!X82=0,0,TrRoad_emi!X79/TrRoad_tech!X194)</f>
        <v>2.7106991099247613</v>
      </c>
      <c r="Y221" s="94">
        <f>IF(TrRoad_act!Y82=0,0,TrRoad_emi!Y79/TrRoad_tech!Y194)</f>
        <v>2.5643741165549869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0</v>
      </c>
      <c r="C225" s="152">
        <v>104.26732346975264</v>
      </c>
      <c r="D225" s="152">
        <v>103.6368026232504</v>
      </c>
      <c r="E225" s="152">
        <v>102.33960721198315</v>
      </c>
      <c r="F225" s="152">
        <v>102.1978846363932</v>
      </c>
      <c r="G225" s="152">
        <v>100.82115104494792</v>
      </c>
      <c r="H225" s="152">
        <v>98.787865929851193</v>
      </c>
      <c r="I225" s="152">
        <v>97.338824901880443</v>
      </c>
      <c r="J225" s="152">
        <v>94.79193581176456</v>
      </c>
      <c r="K225" s="152">
        <v>90.603906101722814</v>
      </c>
      <c r="L225" s="152">
        <v>87.308592509781988</v>
      </c>
      <c r="M225" s="152">
        <v>83.31249565545879</v>
      </c>
      <c r="N225" s="152">
        <v>81.466747441669909</v>
      </c>
      <c r="O225" s="152">
        <v>79.951800633579595</v>
      </c>
      <c r="P225" s="152">
        <v>75.475199999999703</v>
      </c>
      <c r="Q225" s="152">
        <v>73.131377477857242</v>
      </c>
      <c r="R225" s="152">
        <v>72.374186009597565</v>
      </c>
      <c r="S225" s="152">
        <v>71.768432834989852</v>
      </c>
      <c r="T225" s="152">
        <v>71.283830295303645</v>
      </c>
      <c r="U225" s="152">
        <v>70.896148263554693</v>
      </c>
      <c r="V225" s="152">
        <v>70.586002638155549</v>
      </c>
      <c r="W225" s="152">
        <v>70.337886137836207</v>
      </c>
      <c r="X225" s="152">
        <v>70.139392937580723</v>
      </c>
      <c r="Y225" s="152">
        <v>69.980598377376353</v>
      </c>
      <c r="DA225" s="174" t="s">
        <v>933</v>
      </c>
    </row>
    <row r="226" spans="1:105" ht="11.45" customHeight="1" x14ac:dyDescent="0.25">
      <c r="A226" s="109" t="s">
        <v>20</v>
      </c>
      <c r="B226" s="116">
        <v>237.82757226297258</v>
      </c>
      <c r="C226" s="116">
        <v>237.0374730768811</v>
      </c>
      <c r="D226" s="116">
        <v>234.72070876270521</v>
      </c>
      <c r="E226" s="116">
        <v>231.62775621498474</v>
      </c>
      <c r="F226" s="116">
        <v>230.02608954825567</v>
      </c>
      <c r="G226" s="116">
        <v>228.17288105638298</v>
      </c>
      <c r="H226" s="116">
        <v>225.61933259161222</v>
      </c>
      <c r="I226" s="116">
        <v>223.18293164249158</v>
      </c>
      <c r="J226" s="116">
        <v>212.44512650045411</v>
      </c>
      <c r="K226" s="116">
        <v>201.12972031904695</v>
      </c>
      <c r="L226" s="116">
        <v>193.70964582585231</v>
      </c>
      <c r="M226" s="116">
        <v>182.12399567072467</v>
      </c>
      <c r="N226" s="116">
        <v>179.58889721118555</v>
      </c>
      <c r="O226" s="116">
        <v>176.23564424367683</v>
      </c>
      <c r="P226" s="116">
        <v>170.78819540629831</v>
      </c>
      <c r="Q226" s="116">
        <v>165.37453288109262</v>
      </c>
      <c r="R226" s="116">
        <v>152.19117681374243</v>
      </c>
      <c r="S226" s="116">
        <v>154.95742725806258</v>
      </c>
      <c r="T226" s="116">
        <v>155.70049797491333</v>
      </c>
      <c r="U226" s="116">
        <v>157.42706994712512</v>
      </c>
      <c r="V226" s="116">
        <v>150.75014296449973</v>
      </c>
      <c r="W226" s="116">
        <v>150.66730088558506</v>
      </c>
      <c r="X226" s="116">
        <v>149.79986519258733</v>
      </c>
      <c r="Y226" s="116">
        <v>151.63716898182619</v>
      </c>
      <c r="DA226" s="176" t="s">
        <v>934</v>
      </c>
    </row>
    <row r="227" spans="1:105" ht="11.45" customHeight="1" x14ac:dyDescent="0.25">
      <c r="A227" s="111" t="s">
        <v>110</v>
      </c>
      <c r="B227" s="87">
        <v>245.48060986140445</v>
      </c>
      <c r="C227" s="87">
        <v>244.14419125954657</v>
      </c>
      <c r="D227" s="87">
        <v>242.66781307107004</v>
      </c>
      <c r="E227" s="87">
        <v>239.63040198147476</v>
      </c>
      <c r="F227" s="87">
        <v>239.29855550791817</v>
      </c>
      <c r="G227" s="87">
        <v>236.0749040505105</v>
      </c>
      <c r="H227" s="87">
        <v>231.31392301152405</v>
      </c>
      <c r="I227" s="87">
        <v>227.9209621288324</v>
      </c>
      <c r="J227" s="87">
        <v>216.85489809226931</v>
      </c>
      <c r="K227" s="87">
        <v>204.91858360974638</v>
      </c>
      <c r="L227" s="87">
        <v>197.46558270874417</v>
      </c>
      <c r="M227" s="87">
        <v>188.14160718022069</v>
      </c>
      <c r="N227" s="87">
        <v>182.94013458410524</v>
      </c>
      <c r="O227" s="87">
        <v>180.78451831337563</v>
      </c>
      <c r="P227" s="87">
        <v>170.73701621887776</v>
      </c>
      <c r="Q227" s="87">
        <v>165.48862056413952</v>
      </c>
      <c r="R227" s="87">
        <v>158.25397281319292</v>
      </c>
      <c r="S227" s="87">
        <v>155.85667489476828</v>
      </c>
      <c r="T227" s="87">
        <v>155.57915208090239</v>
      </c>
      <c r="U227" s="87">
        <v>153.81462601705721</v>
      </c>
      <c r="V227" s="87">
        <v>150.99568089430889</v>
      </c>
      <c r="W227" s="87">
        <v>145.5123693199462</v>
      </c>
      <c r="X227" s="87">
        <v>143.2868432479375</v>
      </c>
      <c r="Y227" s="87">
        <v>143.12915218621191</v>
      </c>
      <c r="DA227" s="171" t="s">
        <v>935</v>
      </c>
    </row>
    <row r="228" spans="1:105" ht="11.45" customHeight="1" x14ac:dyDescent="0.25">
      <c r="A228" s="111" t="s">
        <v>111</v>
      </c>
      <c r="B228" s="87">
        <v>218.00004045576478</v>
      </c>
      <c r="C228" s="87">
        <v>217.89173501883721</v>
      </c>
      <c r="D228" s="87">
        <v>217.77145875103767</v>
      </c>
      <c r="E228" s="87">
        <v>218.26759835571053</v>
      </c>
      <c r="F228" s="87">
        <v>216.82804177548564</v>
      </c>
      <c r="G228" s="87">
        <v>217.4745267149078</v>
      </c>
      <c r="H228" s="87">
        <v>218.86897969470783</v>
      </c>
      <c r="I228" s="87">
        <v>216.8543522090668</v>
      </c>
      <c r="J228" s="87">
        <v>207.07062955025404</v>
      </c>
      <c r="K228" s="87">
        <v>198.93318830694648</v>
      </c>
      <c r="L228" s="87">
        <v>191.29188666831175</v>
      </c>
      <c r="M228" s="87">
        <v>183.68123251199441</v>
      </c>
      <c r="N228" s="87">
        <v>182.80553741038585</v>
      </c>
      <c r="O228" s="87">
        <v>174.7254768554921</v>
      </c>
      <c r="P228" s="87">
        <v>172.86903473026774</v>
      </c>
      <c r="Q228" s="87">
        <v>165.43144337545726</v>
      </c>
      <c r="R228" s="87">
        <v>151.12230405972036</v>
      </c>
      <c r="S228" s="87">
        <v>154.90179800296318</v>
      </c>
      <c r="T228" s="87">
        <v>156.2671081677704</v>
      </c>
      <c r="U228" s="87">
        <v>159.46490551484769</v>
      </c>
      <c r="V228" s="87">
        <v>152.48368473895579</v>
      </c>
      <c r="W228" s="87">
        <v>156.27973927213469</v>
      </c>
      <c r="X228" s="87">
        <v>159.77934573444509</v>
      </c>
      <c r="Y228" s="87">
        <v>165.04548022598871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204.11314953734242</v>
      </c>
      <c r="D229" s="87">
        <v>204.00047905063022</v>
      </c>
      <c r="E229" s="87">
        <v>204.46524480831818</v>
      </c>
      <c r="F229" s="87">
        <v>203.1167199204811</v>
      </c>
      <c r="G229" s="87">
        <v>203.7223237865594</v>
      </c>
      <c r="H229" s="87">
        <v>205.02859724187934</v>
      </c>
      <c r="I229" s="87">
        <v>203.14136658944935</v>
      </c>
      <c r="J229" s="87">
        <v>193.97632668595105</v>
      </c>
      <c r="K229" s="87">
        <v>186.35346406932644</v>
      </c>
      <c r="L229" s="87">
        <v>155.03693252471581</v>
      </c>
      <c r="M229" s="87">
        <v>156.74736219874021</v>
      </c>
      <c r="N229" s="87">
        <v>171.24566010029952</v>
      </c>
      <c r="O229" s="87">
        <v>170.62899721626121</v>
      </c>
      <c r="P229" s="87">
        <v>162.03087744276709</v>
      </c>
      <c r="Q229" s="87">
        <v>160.28897123608397</v>
      </c>
      <c r="R229" s="87">
        <v>144.36170846591222</v>
      </c>
      <c r="S229" s="87">
        <v>153.59606328178648</v>
      </c>
      <c r="T229" s="87">
        <v>154.42857142857139</v>
      </c>
      <c r="U229" s="87">
        <v>157.66666666666671</v>
      </c>
      <c r="V229" s="87">
        <v>126.28421052631582</v>
      </c>
      <c r="W229" s="87">
        <v>121.4730769230769</v>
      </c>
      <c r="X229" s="87">
        <v>117.7356687898089</v>
      </c>
      <c r="Y229" s="87">
        <v>117.9620991253644</v>
      </c>
      <c r="DA229" s="171" t="s">
        <v>937</v>
      </c>
    </row>
    <row r="230" spans="1:105" ht="11.45" customHeight="1" x14ac:dyDescent="0.25">
      <c r="A230" s="111" t="s">
        <v>113</v>
      </c>
      <c r="B230" s="87">
        <v>179.63881138940377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196.42527558946068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123.52291421856641</v>
      </c>
      <c r="U230" s="87">
        <v>124.4</v>
      </c>
      <c r="V230" s="87">
        <v>108.27272727272728</v>
      </c>
      <c r="W230" s="87">
        <v>102.8947368421053</v>
      </c>
      <c r="X230" s="87">
        <v>101.9583333333333</v>
      </c>
      <c r="Y230" s="87">
        <v>103.6666666666667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59.331645569620264</v>
      </c>
      <c r="O231" s="87">
        <v>84.775080347556766</v>
      </c>
      <c r="P231" s="87">
        <v>72.650994575045218</v>
      </c>
      <c r="Q231" s="87">
        <v>56.909945750452088</v>
      </c>
      <c r="R231" s="87">
        <v>48.247711781889009</v>
      </c>
      <c r="S231" s="87">
        <v>58.86593406593407</v>
      </c>
      <c r="T231" s="87">
        <v>55.295479204339962</v>
      </c>
      <c r="U231" s="87">
        <v>53.14285714285716</v>
      </c>
      <c r="V231" s="87">
        <v>60.121212121212118</v>
      </c>
      <c r="W231" s="87">
        <v>40.257352941176471</v>
      </c>
      <c r="X231" s="87">
        <v>36.033670033670028</v>
      </c>
      <c r="Y231" s="87">
        <v>30.351585014409221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468.11796584889703</v>
      </c>
      <c r="C233" s="116">
        <v>1377.1416021111686</v>
      </c>
      <c r="D233" s="116">
        <v>1458.425456383515</v>
      </c>
      <c r="E233" s="116">
        <v>1456.5725007631031</v>
      </c>
      <c r="F233" s="116">
        <v>1443.8904732689589</v>
      </c>
      <c r="G233" s="116">
        <v>1297.5763234592052</v>
      </c>
      <c r="H233" s="116">
        <v>1418.1258496620678</v>
      </c>
      <c r="I233" s="116">
        <v>1282.3729525894023</v>
      </c>
      <c r="J233" s="116">
        <v>1128.4222518671543</v>
      </c>
      <c r="K233" s="116">
        <v>993.90698157630845</v>
      </c>
      <c r="L233" s="116">
        <v>874.79320001118822</v>
      </c>
      <c r="M233" s="116">
        <v>1385.3128786139421</v>
      </c>
      <c r="N233" s="116">
        <v>1377.5105002657663</v>
      </c>
      <c r="O233" s="116">
        <v>1352.3782357168329</v>
      </c>
      <c r="P233" s="116">
        <v>1350.9834593519574</v>
      </c>
      <c r="Q233" s="116">
        <v>1214.7538240693325</v>
      </c>
      <c r="R233" s="116">
        <v>1177.0780359299881</v>
      </c>
      <c r="S233" s="116">
        <v>1282.7318732538924</v>
      </c>
      <c r="T233" s="116">
        <v>1210.7135936924517</v>
      </c>
      <c r="U233" s="116">
        <v>1118.8778528218531</v>
      </c>
      <c r="V233" s="116">
        <v>491.23082817453263</v>
      </c>
      <c r="W233" s="116">
        <v>876.48041673190471</v>
      </c>
      <c r="X233" s="116">
        <v>918.26519647767452</v>
      </c>
      <c r="Y233" s="116">
        <v>782.76552821984274</v>
      </c>
      <c r="DA233" s="176" t="s">
        <v>941</v>
      </c>
    </row>
    <row r="234" spans="1:105" ht="11.45" customHeight="1" x14ac:dyDescent="0.25">
      <c r="A234" s="111" t="s">
        <v>110</v>
      </c>
      <c r="B234" s="101">
        <v>513.91211468194126</v>
      </c>
      <c r="C234" s="101">
        <v>511.11433073408153</v>
      </c>
      <c r="D234" s="101">
        <v>508.02354227083526</v>
      </c>
      <c r="E234" s="101">
        <v>501.66474123521141</v>
      </c>
      <c r="F234" s="101">
        <v>500.97002272741764</v>
      </c>
      <c r="G234" s="101">
        <v>494.22132865170551</v>
      </c>
      <c r="H234" s="101">
        <v>484.25424475417265</v>
      </c>
      <c r="I234" s="101">
        <v>477.15110246019833</v>
      </c>
      <c r="J234" s="101">
        <v>453.9843669145813</v>
      </c>
      <c r="K234" s="101">
        <v>428.99576752709675</v>
      </c>
      <c r="L234" s="101">
        <v>413.39295695919503</v>
      </c>
      <c r="M234" s="101">
        <v>0</v>
      </c>
      <c r="N234" s="101">
        <v>0</v>
      </c>
      <c r="O234" s="101">
        <v>378.55966209081254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308.13091365921372</v>
      </c>
      <c r="DA234" s="175" t="s">
        <v>942</v>
      </c>
    </row>
    <row r="235" spans="1:105" ht="11.45" customHeight="1" x14ac:dyDescent="0.25">
      <c r="A235" s="111" t="s">
        <v>111</v>
      </c>
      <c r="B235" s="101">
        <v>0</v>
      </c>
      <c r="C235" s="101">
        <v>1479.4301653750913</v>
      </c>
      <c r="D235" s="101">
        <v>1477.183388898897</v>
      </c>
      <c r="E235" s="101">
        <v>1472.517202925829</v>
      </c>
      <c r="F235" s="101">
        <v>1472.0068777690371</v>
      </c>
      <c r="G235" s="101">
        <v>1466.9988349285109</v>
      </c>
      <c r="H235" s="101">
        <v>1459.4889118922483</v>
      </c>
      <c r="I235" s="101">
        <v>1454.0773565605928</v>
      </c>
      <c r="J235" s="101">
        <v>1435.7607078771607</v>
      </c>
      <c r="K235" s="101">
        <v>1415.152877333989</v>
      </c>
      <c r="L235" s="101">
        <v>1401.9245657112062</v>
      </c>
      <c r="M235" s="101">
        <v>1385.3128786139421</v>
      </c>
      <c r="N235" s="101">
        <v>1377.5105002657663</v>
      </c>
      <c r="O235" s="101">
        <v>1371.0159117670917</v>
      </c>
      <c r="P235" s="101">
        <v>1350.9834593519574</v>
      </c>
      <c r="Q235" s="101">
        <v>1340.2449215971562</v>
      </c>
      <c r="R235" s="101">
        <v>1320.0080115210642</v>
      </c>
      <c r="S235" s="101">
        <v>1291.6397334848223</v>
      </c>
      <c r="T235" s="101">
        <v>1256.4968808488888</v>
      </c>
      <c r="U235" s="101">
        <v>1215.8810885422113</v>
      </c>
      <c r="V235" s="101">
        <v>1171.0070121508356</v>
      </c>
      <c r="W235" s="101">
        <v>1122.9818076035085</v>
      </c>
      <c r="X235" s="101">
        <v>1072.7938999216367</v>
      </c>
      <c r="Y235" s="101">
        <v>1021.309060475488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940.27925641898344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933.37868058415006</v>
      </c>
      <c r="D237" s="101">
        <v>0</v>
      </c>
      <c r="E237" s="101">
        <v>929.01726365428487</v>
      </c>
      <c r="F237" s="101">
        <v>928.69529737790151</v>
      </c>
      <c r="G237" s="101">
        <v>925.53570219848689</v>
      </c>
      <c r="H237" s="101">
        <v>920.79766033687736</v>
      </c>
      <c r="I237" s="101">
        <v>917.38348743870051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793.33899095392462</v>
      </c>
      <c r="V237" s="101">
        <v>788.73349045944099</v>
      </c>
      <c r="W237" s="101">
        <v>785.1970503166649</v>
      </c>
      <c r="X237" s="101">
        <v>782.29971901895055</v>
      </c>
      <c r="Y237" s="101">
        <v>779.78588798593375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245.33265800112335</v>
      </c>
      <c r="C240" s="152">
        <v>244.94165573058564</v>
      </c>
      <c r="D240" s="152">
        <v>250.41836128465823</v>
      </c>
      <c r="E240" s="152">
        <v>241.28592270867625</v>
      </c>
      <c r="F240" s="152">
        <v>247.63285727301417</v>
      </c>
      <c r="G240" s="152">
        <v>242.42601221889242</v>
      </c>
      <c r="H240" s="152">
        <v>242.50282101593564</v>
      </c>
      <c r="I240" s="152">
        <v>244.68290419986971</v>
      </c>
      <c r="J240" s="152">
        <v>237.37247401318515</v>
      </c>
      <c r="K240" s="152">
        <v>228.73779374016553</v>
      </c>
      <c r="L240" s="152">
        <v>218.38303115062504</v>
      </c>
      <c r="M240" s="152">
        <v>211.23845773580436</v>
      </c>
      <c r="N240" s="152">
        <v>209.2076184911962</v>
      </c>
      <c r="O240" s="152">
        <v>202.44621051446398</v>
      </c>
      <c r="P240" s="152">
        <v>198.52530424583298</v>
      </c>
      <c r="Q240" s="152">
        <v>196.62794547176344</v>
      </c>
      <c r="R240" s="152">
        <v>185.64373259306538</v>
      </c>
      <c r="S240" s="152">
        <v>181.69120871454157</v>
      </c>
      <c r="T240" s="152">
        <v>192.31731930851925</v>
      </c>
      <c r="U240" s="152">
        <v>191.22421483606036</v>
      </c>
      <c r="V240" s="152">
        <v>214.45850466765398</v>
      </c>
      <c r="W240" s="152">
        <v>218.90786038352638</v>
      </c>
      <c r="X240" s="152">
        <v>205.2912913927961</v>
      </c>
      <c r="Y240" s="152">
        <v>211.37623349380101</v>
      </c>
      <c r="DA240" s="174" t="s">
        <v>947</v>
      </c>
    </row>
    <row r="241" spans="1:105" ht="11.45" customHeight="1" x14ac:dyDescent="0.25">
      <c r="A241" s="111" t="s">
        <v>110</v>
      </c>
      <c r="B241" s="87">
        <v>222.05316641436144</v>
      </c>
      <c r="C241" s="87">
        <v>220.84428892963811</v>
      </c>
      <c r="D241" s="87">
        <v>219.50880890226892</v>
      </c>
      <c r="E241" s="87">
        <v>216.76127315788764</v>
      </c>
      <c r="F241" s="87">
        <v>216.46109645448817</v>
      </c>
      <c r="G241" s="87">
        <v>213.54509419289289</v>
      </c>
      <c r="H241" s="87">
        <v>209.23847740738569</v>
      </c>
      <c r="I241" s="87">
        <v>206.16932376650496</v>
      </c>
      <c r="J241" s="87">
        <v>196.15934961640704</v>
      </c>
      <c r="K241" s="87">
        <v>185.36217737678183</v>
      </c>
      <c r="L241" s="87">
        <v>178.62045366063577</v>
      </c>
      <c r="M241" s="87">
        <v>170.44503114525065</v>
      </c>
      <c r="N241" s="87">
        <v>166.55970046329148</v>
      </c>
      <c r="O241" s="87">
        <v>174.84303070287419</v>
      </c>
      <c r="P241" s="87">
        <v>167.34632345505869</v>
      </c>
      <c r="Q241" s="87">
        <v>155.18418059457312</v>
      </c>
      <c r="R241" s="87">
        <v>156.73857417233921</v>
      </c>
      <c r="S241" s="87">
        <v>157.15998106162121</v>
      </c>
      <c r="T241" s="87">
        <v>214.12958888786798</v>
      </c>
      <c r="U241" s="87">
        <v>202.17777777777781</v>
      </c>
      <c r="V241" s="87">
        <v>160.89854782561841</v>
      </c>
      <c r="W241" s="87">
        <v>162.50980392156859</v>
      </c>
      <c r="X241" s="87">
        <v>160.64705882352939</v>
      </c>
      <c r="Y241" s="87">
        <v>215.60624999999999</v>
      </c>
      <c r="DA241" s="171" t="s">
        <v>948</v>
      </c>
    </row>
    <row r="242" spans="1:105" ht="11.45" customHeight="1" x14ac:dyDescent="0.25">
      <c r="A242" s="111" t="s">
        <v>111</v>
      </c>
      <c r="B242" s="87">
        <v>252.88584474185421</v>
      </c>
      <c r="C242" s="87">
        <v>252.76020755458453</v>
      </c>
      <c r="D242" s="87">
        <v>252.62068388513342</v>
      </c>
      <c r="E242" s="87">
        <v>253.19621902161899</v>
      </c>
      <c r="F242" s="87">
        <v>251.52629510287676</v>
      </c>
      <c r="G242" s="87">
        <v>252.27623482617616</v>
      </c>
      <c r="H242" s="87">
        <v>253.89383736887424</v>
      </c>
      <c r="I242" s="87">
        <v>251.55681590556921</v>
      </c>
      <c r="J242" s="87">
        <v>240.2074374186605</v>
      </c>
      <c r="K242" s="87">
        <v>230.76778915736304</v>
      </c>
      <c r="L242" s="87">
        <v>221.90367603255118</v>
      </c>
      <c r="M242" s="87">
        <v>213.07511480231022</v>
      </c>
      <c r="N242" s="87">
        <v>212.05928519492565</v>
      </c>
      <c r="O242" s="87">
        <v>203.66719921286682</v>
      </c>
      <c r="P242" s="87">
        <v>199.32363702777977</v>
      </c>
      <c r="Q242" s="87">
        <v>197.42863396966266</v>
      </c>
      <c r="R242" s="87">
        <v>186.26890312741813</v>
      </c>
      <c r="S242" s="87">
        <v>182.96688919557965</v>
      </c>
      <c r="T242" s="87">
        <v>192.39723458598257</v>
      </c>
      <c r="U242" s="87">
        <v>191.3841961852861</v>
      </c>
      <c r="V242" s="87">
        <v>216.47234571750229</v>
      </c>
      <c r="W242" s="87">
        <v>221.11465827338131</v>
      </c>
      <c r="X242" s="87">
        <v>207.386748844376</v>
      </c>
      <c r="Y242" s="87">
        <v>213.8612001832341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189.60934599349616</v>
      </c>
      <c r="O243" s="87">
        <v>0</v>
      </c>
      <c r="P243" s="87">
        <v>156.55556889473016</v>
      </c>
      <c r="Q243" s="87">
        <v>190.93528547596856</v>
      </c>
      <c r="R243" s="87">
        <v>192.84777797601379</v>
      </c>
      <c r="S243" s="87">
        <v>150.02058144540385</v>
      </c>
      <c r="T243" s="87">
        <v>150.02058144540385</v>
      </c>
      <c r="U243" s="87">
        <v>171.93917289034925</v>
      </c>
      <c r="V243" s="87">
        <v>175.66666666666671</v>
      </c>
      <c r="W243" s="87">
        <v>194.91868943239501</v>
      </c>
      <c r="X243" s="87">
        <v>204.87369577155411</v>
      </c>
      <c r="Y243" s="87">
        <v>193.71496924128499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X244" s="87">
        <v>0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836.30009551691046</v>
      </c>
      <c r="C246" s="116">
        <v>831.17566888899364</v>
      </c>
      <c r="D246" s="116">
        <v>827.08998976633393</v>
      </c>
      <c r="E246" s="116">
        <v>821.58319715693074</v>
      </c>
      <c r="F246" s="116">
        <v>825.02004356875818</v>
      </c>
      <c r="G246" s="116">
        <v>811.38971313591344</v>
      </c>
      <c r="H246" s="116">
        <v>812.1446134674959</v>
      </c>
      <c r="I246" s="116">
        <v>802.58278714173969</v>
      </c>
      <c r="J246" s="116">
        <v>786.9073180778322</v>
      </c>
      <c r="K246" s="116">
        <v>772.77812953185139</v>
      </c>
      <c r="L246" s="116">
        <v>794.21564549679965</v>
      </c>
      <c r="M246" s="116">
        <v>780.61349578716545</v>
      </c>
      <c r="N246" s="116">
        <v>763.39421239097862</v>
      </c>
      <c r="O246" s="116">
        <v>742.08831001005262</v>
      </c>
      <c r="P246" s="116">
        <v>757.98846922432745</v>
      </c>
      <c r="Q246" s="116">
        <v>752.79674257379418</v>
      </c>
      <c r="R246" s="116">
        <v>695.0007356181161</v>
      </c>
      <c r="S246" s="116">
        <v>676.27905962102864</v>
      </c>
      <c r="T246" s="116">
        <v>674.19207148683995</v>
      </c>
      <c r="U246" s="116">
        <v>643.39802036267452</v>
      </c>
      <c r="V246" s="116">
        <v>678.01991743282554</v>
      </c>
      <c r="W246" s="116">
        <v>652.33171173374512</v>
      </c>
      <c r="X246" s="116">
        <v>661.33928607553582</v>
      </c>
      <c r="Y246" s="116">
        <v>649.35710286034271</v>
      </c>
      <c r="DA246" s="176" t="s">
        <v>953</v>
      </c>
    </row>
    <row r="247" spans="1:105" ht="11.45" customHeight="1" x14ac:dyDescent="0.25">
      <c r="A247" s="128" t="s">
        <v>27</v>
      </c>
      <c r="B247" s="101">
        <v>775.98881041382572</v>
      </c>
      <c r="C247" s="101">
        <v>772.89307797371873</v>
      </c>
      <c r="D247" s="101">
        <v>769.46785783570215</v>
      </c>
      <c r="E247" s="101">
        <v>765.20282120794036</v>
      </c>
      <c r="F247" s="101">
        <v>760.1088056288354</v>
      </c>
      <c r="G247" s="101">
        <v>754.19866372445267</v>
      </c>
      <c r="H247" s="101">
        <v>747.48718305990576</v>
      </c>
      <c r="I247" s="101">
        <v>739.99099505452091</v>
      </c>
      <c r="J247" s="101">
        <v>731.72847398914632</v>
      </c>
      <c r="K247" s="101">
        <v>722.71962721399871</v>
      </c>
      <c r="L247" s="101">
        <v>712.98597776633903</v>
      </c>
      <c r="M247" s="101">
        <v>702.55044062607908</v>
      </c>
      <c r="N247" s="101">
        <v>691.4371938850179</v>
      </c>
      <c r="O247" s="101">
        <v>679.67154612031368</v>
      </c>
      <c r="P247" s="101">
        <v>667.279801232458</v>
      </c>
      <c r="Q247" s="101">
        <v>654.28912200821139</v>
      </c>
      <c r="R247" s="101">
        <v>638.51851014717863</v>
      </c>
      <c r="S247" s="101">
        <v>627.47908184445555</v>
      </c>
      <c r="T247" s="101">
        <v>615.88768212659636</v>
      </c>
      <c r="U247" s="101">
        <v>601.72041580476855</v>
      </c>
      <c r="V247" s="101">
        <v>603.7509966231778</v>
      </c>
      <c r="W247" s="101">
        <v>607.10115036888112</v>
      </c>
      <c r="X247" s="101">
        <v>603.75640297662426</v>
      </c>
      <c r="Y247" s="101">
        <v>597.71883894685811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0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981.7</v>
      </c>
      <c r="C4" s="28">
        <f t="shared" ref="C4:V4" si="1">SUM(C5,C6,C9)</f>
        <v>966.7</v>
      </c>
      <c r="D4" s="28">
        <f t="shared" si="1"/>
        <v>1008.6</v>
      </c>
      <c r="E4" s="28">
        <f t="shared" si="1"/>
        <v>1015.8</v>
      </c>
      <c r="F4" s="28">
        <f t="shared" si="1"/>
        <v>1069.7</v>
      </c>
      <c r="G4" s="28">
        <f t="shared" si="1"/>
        <v>1161.7</v>
      </c>
      <c r="H4" s="28">
        <f t="shared" si="1"/>
        <v>1265.3</v>
      </c>
      <c r="I4" s="28">
        <f t="shared" si="1"/>
        <v>1254.5999999999999</v>
      </c>
      <c r="J4" s="28">
        <f t="shared" si="1"/>
        <v>1199.3</v>
      </c>
      <c r="K4" s="28">
        <f t="shared" si="1"/>
        <v>919</v>
      </c>
      <c r="L4" s="28">
        <f t="shared" si="1"/>
        <v>1105.502</v>
      </c>
      <c r="M4" s="28">
        <f t="shared" si="1"/>
        <v>1108.6379999999999</v>
      </c>
      <c r="N4" s="28">
        <f t="shared" si="1"/>
        <v>1069.3720000000001</v>
      </c>
      <c r="O4" s="28">
        <f t="shared" si="1"/>
        <v>1098.008</v>
      </c>
      <c r="P4" s="28">
        <f t="shared" si="1"/>
        <v>1028.71</v>
      </c>
      <c r="Q4" s="28">
        <f t="shared" si="1"/>
        <v>945.69</v>
      </c>
      <c r="R4" s="28">
        <f t="shared" si="1"/>
        <v>921.63900000000001</v>
      </c>
      <c r="S4" s="28">
        <f t="shared" si="1"/>
        <v>937.63900000000001</v>
      </c>
      <c r="T4" s="28">
        <f t="shared" si="1"/>
        <v>980.19299999999998</v>
      </c>
      <c r="U4" s="28">
        <f t="shared" si="1"/>
        <v>979.23099999999999</v>
      </c>
      <c r="V4" s="28">
        <f t="shared" si="1"/>
        <v>614.65700000000004</v>
      </c>
      <c r="W4" s="28">
        <f t="shared" ref="W4:Y4" si="2">SUM(W5,W6,W9)</f>
        <v>419.512</v>
      </c>
      <c r="X4" s="28">
        <f t="shared" si="2"/>
        <v>615.06999999999994</v>
      </c>
      <c r="Y4" s="28">
        <f t="shared" si="2"/>
        <v>695.17200000000003</v>
      </c>
      <c r="DA4" s="173" t="s">
        <v>376</v>
      </c>
    </row>
    <row r="5" spans="1:105" ht="11.45" customHeight="1" x14ac:dyDescent="0.25">
      <c r="A5" s="107" t="s">
        <v>23</v>
      </c>
      <c r="B5" s="108">
        <v>266.70000000000005</v>
      </c>
      <c r="C5" s="108">
        <v>260.70000000000005</v>
      </c>
      <c r="D5" s="108">
        <v>264.60000000000002</v>
      </c>
      <c r="E5" s="108">
        <v>253.79999999999998</v>
      </c>
      <c r="F5" s="108">
        <v>263.70000000000005</v>
      </c>
      <c r="G5" s="108">
        <v>272.7</v>
      </c>
      <c r="H5" s="108">
        <v>279.3</v>
      </c>
      <c r="I5" s="108">
        <v>279.60000000000002</v>
      </c>
      <c r="J5" s="108">
        <v>258.29999999999995</v>
      </c>
      <c r="K5" s="108">
        <v>171</v>
      </c>
      <c r="L5" s="108">
        <v>364.50200000000001</v>
      </c>
      <c r="M5" s="108">
        <v>375.63800000000003</v>
      </c>
      <c r="N5" s="108">
        <v>352.37200000000001</v>
      </c>
      <c r="O5" s="108">
        <v>377.00800000000004</v>
      </c>
      <c r="P5" s="108">
        <v>384.71</v>
      </c>
      <c r="Q5" s="108">
        <v>355.69</v>
      </c>
      <c r="R5" s="108">
        <v>337.63900000000001</v>
      </c>
      <c r="S5" s="108">
        <v>341.63900000000001</v>
      </c>
      <c r="T5" s="108">
        <v>356.19299999999998</v>
      </c>
      <c r="U5" s="108">
        <v>336.23099999999999</v>
      </c>
      <c r="V5" s="108">
        <v>201.65700000000001</v>
      </c>
      <c r="W5" s="108">
        <v>58.512</v>
      </c>
      <c r="X5" s="108">
        <v>74.069999999999993</v>
      </c>
      <c r="Y5" s="108">
        <v>83.171999999999997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715</v>
      </c>
      <c r="C6" s="110">
        <f t="shared" ref="C6:V6" si="4">SUM(C7:C8)</f>
        <v>706</v>
      </c>
      <c r="D6" s="110">
        <f t="shared" si="4"/>
        <v>744</v>
      </c>
      <c r="E6" s="110">
        <f t="shared" si="4"/>
        <v>762</v>
      </c>
      <c r="F6" s="110">
        <f t="shared" si="4"/>
        <v>806</v>
      </c>
      <c r="G6" s="110">
        <f t="shared" si="4"/>
        <v>889</v>
      </c>
      <c r="H6" s="110">
        <f t="shared" si="4"/>
        <v>986</v>
      </c>
      <c r="I6" s="110">
        <f t="shared" si="4"/>
        <v>975</v>
      </c>
      <c r="J6" s="110">
        <f t="shared" si="4"/>
        <v>941</v>
      </c>
      <c r="K6" s="110">
        <f t="shared" si="4"/>
        <v>748</v>
      </c>
      <c r="L6" s="110">
        <f t="shared" si="4"/>
        <v>741</v>
      </c>
      <c r="M6" s="110">
        <f t="shared" si="4"/>
        <v>733</v>
      </c>
      <c r="N6" s="110">
        <f t="shared" si="4"/>
        <v>717</v>
      </c>
      <c r="O6" s="110">
        <f t="shared" si="4"/>
        <v>721</v>
      </c>
      <c r="P6" s="110">
        <f t="shared" si="4"/>
        <v>644</v>
      </c>
      <c r="Q6" s="110">
        <f t="shared" si="4"/>
        <v>590</v>
      </c>
      <c r="R6" s="110">
        <f t="shared" si="4"/>
        <v>584</v>
      </c>
      <c r="S6" s="110">
        <f t="shared" si="4"/>
        <v>596</v>
      </c>
      <c r="T6" s="110">
        <f t="shared" si="4"/>
        <v>624</v>
      </c>
      <c r="U6" s="110">
        <f t="shared" si="4"/>
        <v>643</v>
      </c>
      <c r="V6" s="110">
        <f t="shared" si="4"/>
        <v>413</v>
      </c>
      <c r="W6" s="110">
        <f t="shared" ref="W6:Y6" si="5">SUM(W7:W8)</f>
        <v>361</v>
      </c>
      <c r="X6" s="110">
        <f t="shared" si="5"/>
        <v>541</v>
      </c>
      <c r="Y6" s="110">
        <f t="shared" si="5"/>
        <v>612</v>
      </c>
      <c r="DA6" s="176" t="s">
        <v>378</v>
      </c>
    </row>
    <row r="7" spans="1:105" ht="11.45" customHeight="1" x14ac:dyDescent="0.25">
      <c r="A7" s="111" t="s">
        <v>90</v>
      </c>
      <c r="B7" s="84">
        <v>528.54277713676458</v>
      </c>
      <c r="C7" s="84">
        <v>513.00097351021464</v>
      </c>
      <c r="D7" s="84">
        <v>542.609021059204</v>
      </c>
      <c r="E7" s="84">
        <v>537.32887175027111</v>
      </c>
      <c r="F7" s="84">
        <v>567.74281397134075</v>
      </c>
      <c r="G7" s="84">
        <v>618.4091749760604</v>
      </c>
      <c r="H7" s="84">
        <v>685.93794660474498</v>
      </c>
      <c r="I7" s="84">
        <v>679.40095057365897</v>
      </c>
      <c r="J7" s="84">
        <v>617.5300140303608</v>
      </c>
      <c r="K7" s="84">
        <v>468.78643091042113</v>
      </c>
      <c r="L7" s="84">
        <v>427.18035029641942</v>
      </c>
      <c r="M7" s="84">
        <v>419.32054654303732</v>
      </c>
      <c r="N7" s="84">
        <v>402.9277033658131</v>
      </c>
      <c r="O7" s="84">
        <v>408.32795606806292</v>
      </c>
      <c r="P7" s="84">
        <v>353.45417637717679</v>
      </c>
      <c r="Q7" s="84">
        <v>327.96157571760534</v>
      </c>
      <c r="R7" s="84">
        <v>306.19301520538454</v>
      </c>
      <c r="S7" s="84">
        <v>290.19852903564737</v>
      </c>
      <c r="T7" s="84">
        <v>278.8911683164232</v>
      </c>
      <c r="U7" s="84">
        <v>265.02574389508976</v>
      </c>
      <c r="V7" s="84">
        <v>104.90735858472264</v>
      </c>
      <c r="W7" s="84">
        <v>100.19947711574183</v>
      </c>
      <c r="X7" s="84">
        <v>156.68085933131184</v>
      </c>
      <c r="Y7" s="84">
        <v>179.67590668474122</v>
      </c>
      <c r="DA7" s="171" t="s">
        <v>1031</v>
      </c>
    </row>
    <row r="8" spans="1:105" ht="11.45" customHeight="1" x14ac:dyDescent="0.25">
      <c r="A8" s="111" t="s">
        <v>93</v>
      </c>
      <c r="B8" s="84">
        <v>186.45722286323542</v>
      </c>
      <c r="C8" s="84">
        <v>192.99902648978536</v>
      </c>
      <c r="D8" s="84">
        <v>201.390978940796</v>
      </c>
      <c r="E8" s="84">
        <v>224.67112824972889</v>
      </c>
      <c r="F8" s="84">
        <v>238.25718602865925</v>
      </c>
      <c r="G8" s="84">
        <v>270.5908250239396</v>
      </c>
      <c r="H8" s="84">
        <v>300.06205339525502</v>
      </c>
      <c r="I8" s="84">
        <v>295.59904942634103</v>
      </c>
      <c r="J8" s="84">
        <v>323.4699859696392</v>
      </c>
      <c r="K8" s="84">
        <v>279.21356908957887</v>
      </c>
      <c r="L8" s="84">
        <v>313.81964970358058</v>
      </c>
      <c r="M8" s="84">
        <v>313.67945345696268</v>
      </c>
      <c r="N8" s="84">
        <v>314.0722966341869</v>
      </c>
      <c r="O8" s="84">
        <v>312.67204393193708</v>
      </c>
      <c r="P8" s="84">
        <v>290.54582362282321</v>
      </c>
      <c r="Q8" s="84">
        <v>262.03842428239466</v>
      </c>
      <c r="R8" s="84">
        <v>277.80698479461546</v>
      </c>
      <c r="S8" s="84">
        <v>305.80147096435263</v>
      </c>
      <c r="T8" s="84">
        <v>345.1088316835768</v>
      </c>
      <c r="U8" s="84">
        <v>377.97425610491024</v>
      </c>
      <c r="V8" s="84">
        <v>308.09264141527734</v>
      </c>
      <c r="W8" s="84">
        <v>260.80052288425816</v>
      </c>
      <c r="X8" s="84">
        <v>384.31914066868819</v>
      </c>
      <c r="Y8" s="84">
        <v>432.32409331525878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13309.999999999998</v>
      </c>
      <c r="C10" s="28">
        <f t="shared" ref="C10:V10" si="7">SUM(C11:C12)</f>
        <v>14179.999999999998</v>
      </c>
      <c r="D10" s="28">
        <f t="shared" si="7"/>
        <v>15020.000000000004</v>
      </c>
      <c r="E10" s="28">
        <f t="shared" si="7"/>
        <v>17955.000000000004</v>
      </c>
      <c r="F10" s="28">
        <f t="shared" si="7"/>
        <v>18618</v>
      </c>
      <c r="G10" s="28">
        <f t="shared" si="7"/>
        <v>19779</v>
      </c>
      <c r="H10" s="28">
        <f t="shared" si="7"/>
        <v>16830.999999999996</v>
      </c>
      <c r="I10" s="28">
        <f t="shared" si="7"/>
        <v>18313</v>
      </c>
      <c r="J10" s="28">
        <f t="shared" si="7"/>
        <v>19581</v>
      </c>
      <c r="K10" s="28">
        <f t="shared" si="7"/>
        <v>18725</v>
      </c>
      <c r="L10" s="28">
        <f t="shared" si="7"/>
        <v>17179</v>
      </c>
      <c r="M10" s="28">
        <f t="shared" si="7"/>
        <v>21410</v>
      </c>
      <c r="N10" s="28">
        <f t="shared" si="7"/>
        <v>21867</v>
      </c>
      <c r="O10" s="28">
        <f t="shared" si="7"/>
        <v>19532</v>
      </c>
      <c r="P10" s="28">
        <f t="shared" si="7"/>
        <v>19440.999999999996</v>
      </c>
      <c r="Q10" s="28">
        <f t="shared" si="7"/>
        <v>18906</v>
      </c>
      <c r="R10" s="28">
        <f t="shared" si="7"/>
        <v>15873</v>
      </c>
      <c r="S10" s="28">
        <f t="shared" si="7"/>
        <v>15013.999999999998</v>
      </c>
      <c r="T10" s="28">
        <f t="shared" si="7"/>
        <v>17859</v>
      </c>
      <c r="U10" s="28">
        <f t="shared" si="7"/>
        <v>15019</v>
      </c>
      <c r="V10" s="28">
        <f t="shared" si="7"/>
        <v>7979</v>
      </c>
      <c r="W10" s="28">
        <f t="shared" ref="W10:Y10" si="8">SUM(W11:W12)</f>
        <v>7366.9999999999991</v>
      </c>
      <c r="X10" s="28">
        <f t="shared" si="8"/>
        <v>7409.9999999999991</v>
      </c>
      <c r="Y10" s="28">
        <f t="shared" si="8"/>
        <v>5191</v>
      </c>
      <c r="DA10" s="173" t="s">
        <v>384</v>
      </c>
    </row>
    <row r="11" spans="1:105" ht="11.45" customHeight="1" x14ac:dyDescent="0.25">
      <c r="A11" s="83" t="s">
        <v>90</v>
      </c>
      <c r="B11" s="84">
        <v>13309.999999999998</v>
      </c>
      <c r="C11" s="84">
        <v>14179.999999999998</v>
      </c>
      <c r="D11" s="84">
        <v>15020.000000000004</v>
      </c>
      <c r="E11" s="84">
        <v>17955.000000000004</v>
      </c>
      <c r="F11" s="84">
        <v>18618</v>
      </c>
      <c r="G11" s="84">
        <v>19779</v>
      </c>
      <c r="H11" s="84">
        <v>16830.999999999996</v>
      </c>
      <c r="I11" s="84">
        <v>18313</v>
      </c>
      <c r="J11" s="84">
        <v>19581</v>
      </c>
      <c r="K11" s="84">
        <v>18725</v>
      </c>
      <c r="L11" s="84">
        <v>17179</v>
      </c>
      <c r="M11" s="84">
        <v>21410</v>
      </c>
      <c r="N11" s="84">
        <v>21867</v>
      </c>
      <c r="O11" s="84">
        <v>19532</v>
      </c>
      <c r="P11" s="84">
        <v>19440.999999999996</v>
      </c>
      <c r="Q11" s="84">
        <v>18906</v>
      </c>
      <c r="R11" s="84">
        <v>15873</v>
      </c>
      <c r="S11" s="84">
        <v>15013.999999999998</v>
      </c>
      <c r="T11" s="84">
        <v>17859</v>
      </c>
      <c r="U11" s="84">
        <v>15019</v>
      </c>
      <c r="V11" s="84">
        <v>7979</v>
      </c>
      <c r="W11" s="84">
        <v>7366.9999999999991</v>
      </c>
      <c r="X11" s="84">
        <v>7409.9999999999991</v>
      </c>
      <c r="Y11" s="84">
        <v>5191</v>
      </c>
      <c r="DA11" s="171" t="s">
        <v>1033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20.114568207440819</v>
      </c>
      <c r="C14" s="62">
        <f t="shared" ref="C14:V14" si="10">C15+C21</f>
        <v>20.612047763722753</v>
      </c>
      <c r="D14" s="62">
        <f t="shared" si="10"/>
        <v>21.437765161054262</v>
      </c>
      <c r="E14" s="62">
        <f t="shared" si="10"/>
        <v>24.024884730674717</v>
      </c>
      <c r="F14" s="62">
        <f t="shared" si="10"/>
        <v>24.530507831368908</v>
      </c>
      <c r="G14" s="62">
        <f t="shared" si="10"/>
        <v>25.22757032379679</v>
      </c>
      <c r="H14" s="62">
        <f t="shared" si="10"/>
        <v>23.243153888958432</v>
      </c>
      <c r="I14" s="62">
        <f t="shared" si="10"/>
        <v>24.512681456096942</v>
      </c>
      <c r="J14" s="62">
        <f t="shared" si="10"/>
        <v>25.376149944293459</v>
      </c>
      <c r="K14" s="62">
        <f t="shared" si="10"/>
        <v>23.028019094814674</v>
      </c>
      <c r="L14" s="62">
        <f t="shared" si="10"/>
        <v>23.175272667610798</v>
      </c>
      <c r="M14" s="62">
        <f t="shared" si="10"/>
        <v>26.392354864862906</v>
      </c>
      <c r="N14" s="62">
        <f t="shared" si="10"/>
        <v>27.227813290604306</v>
      </c>
      <c r="O14" s="62">
        <f t="shared" si="10"/>
        <v>25.523960810321849</v>
      </c>
      <c r="P14" s="62">
        <f t="shared" si="10"/>
        <v>25.522639351903365</v>
      </c>
      <c r="Q14" s="62">
        <f t="shared" si="10"/>
        <v>26.188243381039285</v>
      </c>
      <c r="R14" s="62">
        <f t="shared" si="10"/>
        <v>23.769109087972865</v>
      </c>
      <c r="S14" s="62">
        <f t="shared" si="10"/>
        <v>22.931135396699979</v>
      </c>
      <c r="T14" s="62">
        <f t="shared" si="10"/>
        <v>23.863799070491808</v>
      </c>
      <c r="U14" s="62">
        <f t="shared" si="10"/>
        <v>21.096666492988174</v>
      </c>
      <c r="V14" s="62">
        <f t="shared" si="10"/>
        <v>15.207736998823806</v>
      </c>
      <c r="W14" s="62">
        <f t="shared" ref="W14:Y14" si="11">W15+W21</f>
        <v>13.314415153158746</v>
      </c>
      <c r="X14" s="62">
        <f t="shared" si="11"/>
        <v>12.845267927068809</v>
      </c>
      <c r="Y14" s="62">
        <f t="shared" si="11"/>
        <v>12.619251257020302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9.3266814180438047</v>
      </c>
      <c r="C15" s="29">
        <f t="shared" ref="C15:V15" si="13">SUM(C16,C17,C20)</f>
        <v>9.1817976804408712</v>
      </c>
      <c r="D15" s="29">
        <f t="shared" si="13"/>
        <v>9.4460414614279706</v>
      </c>
      <c r="E15" s="29">
        <f t="shared" si="13"/>
        <v>9.8660361858524972</v>
      </c>
      <c r="F15" s="29">
        <f t="shared" si="13"/>
        <v>9.9970508412881642</v>
      </c>
      <c r="G15" s="29">
        <f t="shared" si="13"/>
        <v>10.50833635064625</v>
      </c>
      <c r="H15" s="29">
        <f t="shared" si="13"/>
        <v>10.409581962043754</v>
      </c>
      <c r="I15" s="29">
        <f t="shared" si="13"/>
        <v>10.481809005899109</v>
      </c>
      <c r="J15" s="29">
        <f t="shared" si="13"/>
        <v>10.36839673027721</v>
      </c>
      <c r="K15" s="29">
        <f t="shared" si="13"/>
        <v>8.6089973487304761</v>
      </c>
      <c r="L15" s="29">
        <f t="shared" si="13"/>
        <v>9.8982629844376451</v>
      </c>
      <c r="M15" s="29">
        <f t="shared" si="13"/>
        <v>10.09805269454932</v>
      </c>
      <c r="N15" s="29">
        <f t="shared" si="13"/>
        <v>9.7600123896919015</v>
      </c>
      <c r="O15" s="29">
        <f t="shared" si="13"/>
        <v>9.938747496833944</v>
      </c>
      <c r="P15" s="29">
        <f t="shared" si="13"/>
        <v>9.8470518899463464</v>
      </c>
      <c r="Q15" s="29">
        <f t="shared" si="13"/>
        <v>10.993406327255077</v>
      </c>
      <c r="R15" s="29">
        <f t="shared" si="13"/>
        <v>10.797754561959326</v>
      </c>
      <c r="S15" s="29">
        <f t="shared" si="13"/>
        <v>10.716703141216668</v>
      </c>
      <c r="T15" s="29">
        <f t="shared" si="13"/>
        <v>10.700865710730904</v>
      </c>
      <c r="U15" s="29">
        <f t="shared" si="13"/>
        <v>10.288368066608191</v>
      </c>
      <c r="V15" s="29">
        <f t="shared" si="13"/>
        <v>8.6465717080650499</v>
      </c>
      <c r="W15" s="29">
        <f t="shared" ref="W15:Y15" si="14">SUM(W16,W17,W20)</f>
        <v>7.3384010111442803</v>
      </c>
      <c r="X15" s="29">
        <f t="shared" si="14"/>
        <v>7.2482192222359316</v>
      </c>
      <c r="Y15" s="29">
        <f t="shared" si="14"/>
        <v>7.6397823683816712</v>
      </c>
      <c r="DA15" s="173" t="s">
        <v>1036</v>
      </c>
    </row>
    <row r="16" spans="1:105" ht="11.45" customHeight="1" x14ac:dyDescent="0.25">
      <c r="A16" s="107" t="s">
        <v>23</v>
      </c>
      <c r="B16" s="115">
        <v>3.896328879682831</v>
      </c>
      <c r="C16" s="115">
        <v>3.7225724123156412</v>
      </c>
      <c r="D16" s="115">
        <v>3.6298926165983723</v>
      </c>
      <c r="E16" s="115">
        <v>3.4637196381450841</v>
      </c>
      <c r="F16" s="115">
        <v>3.5438961944346641</v>
      </c>
      <c r="G16" s="115">
        <v>3.5876156792235951</v>
      </c>
      <c r="H16" s="115">
        <v>3.5570345518076381</v>
      </c>
      <c r="I16" s="115">
        <v>3.5745847899063574</v>
      </c>
      <c r="J16" s="115">
        <v>3.349800772789171</v>
      </c>
      <c r="K16" s="115">
        <v>2.2978142580897294</v>
      </c>
      <c r="L16" s="115">
        <v>4.7750959122604604</v>
      </c>
      <c r="M16" s="115">
        <v>4.9550348481993431</v>
      </c>
      <c r="N16" s="115">
        <v>4.6537452478364614</v>
      </c>
      <c r="O16" s="115">
        <v>4.9556132535845219</v>
      </c>
      <c r="P16" s="115">
        <v>5.1940815590028935</v>
      </c>
      <c r="Q16" s="115">
        <v>4.8998404868466823</v>
      </c>
      <c r="R16" s="115">
        <v>4.6500416648601401</v>
      </c>
      <c r="S16" s="115">
        <v>4.6860547166718645</v>
      </c>
      <c r="T16" s="115">
        <v>4.8361867250966242</v>
      </c>
      <c r="U16" s="115">
        <v>4.5327315303265943</v>
      </c>
      <c r="V16" s="115">
        <v>4.1297484209616053</v>
      </c>
      <c r="W16" s="115">
        <v>1.388218618124258</v>
      </c>
      <c r="X16" s="115">
        <v>1.1959188788269466</v>
      </c>
      <c r="Y16" s="115">
        <v>1.1957893344004269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5.4303525383609736</v>
      </c>
      <c r="C17" s="116">
        <f t="shared" ref="C17:V17" si="16">SUM(C18:C19)</f>
        <v>5.4592252681252296</v>
      </c>
      <c r="D17" s="116">
        <f t="shared" si="16"/>
        <v>5.8161488448295975</v>
      </c>
      <c r="E17" s="116">
        <f t="shared" si="16"/>
        <v>6.4023165477074135</v>
      </c>
      <c r="F17" s="116">
        <f t="shared" si="16"/>
        <v>6.4531546468535002</v>
      </c>
      <c r="G17" s="116">
        <f t="shared" si="16"/>
        <v>6.9207206714226546</v>
      </c>
      <c r="H17" s="116">
        <f t="shared" si="16"/>
        <v>6.8525474102361157</v>
      </c>
      <c r="I17" s="116">
        <f t="shared" si="16"/>
        <v>6.907224215992751</v>
      </c>
      <c r="J17" s="116">
        <f t="shared" si="16"/>
        <v>7.0185959574880386</v>
      </c>
      <c r="K17" s="116">
        <f t="shared" si="16"/>
        <v>6.3111830906407471</v>
      </c>
      <c r="L17" s="116">
        <f t="shared" si="16"/>
        <v>5.1231670721771847</v>
      </c>
      <c r="M17" s="116">
        <f t="shared" si="16"/>
        <v>5.1430178463499781</v>
      </c>
      <c r="N17" s="116">
        <f t="shared" si="16"/>
        <v>5.1062671418554393</v>
      </c>
      <c r="O17" s="116">
        <f t="shared" si="16"/>
        <v>4.983134243249423</v>
      </c>
      <c r="P17" s="116">
        <f t="shared" si="16"/>
        <v>4.652970330943452</v>
      </c>
      <c r="Q17" s="116">
        <f t="shared" si="16"/>
        <v>6.0935658404083943</v>
      </c>
      <c r="R17" s="116">
        <f t="shared" si="16"/>
        <v>6.1477128970991854</v>
      </c>
      <c r="S17" s="116">
        <f t="shared" si="16"/>
        <v>6.0306484245448031</v>
      </c>
      <c r="T17" s="116">
        <f t="shared" si="16"/>
        <v>5.8646789856342796</v>
      </c>
      <c r="U17" s="116">
        <f t="shared" si="16"/>
        <v>5.7556365362815969</v>
      </c>
      <c r="V17" s="116">
        <f t="shared" si="16"/>
        <v>4.5168232871034446</v>
      </c>
      <c r="W17" s="116">
        <f t="shared" ref="W17:Y17" si="17">SUM(W18:W19)</f>
        <v>5.9501823930200226</v>
      </c>
      <c r="X17" s="116">
        <f t="shared" si="17"/>
        <v>6.0523003434089855</v>
      </c>
      <c r="Y17" s="116">
        <f t="shared" si="17"/>
        <v>6.4439930339812443</v>
      </c>
      <c r="DA17" s="176" t="s">
        <v>1038</v>
      </c>
    </row>
    <row r="18" spans="1:105" ht="11.45" customHeight="1" x14ac:dyDescent="0.25">
      <c r="A18" s="111" t="s">
        <v>92</v>
      </c>
      <c r="B18" s="87">
        <v>4.3227909677697474</v>
      </c>
      <c r="C18" s="87">
        <v>4.3447074361238265</v>
      </c>
      <c r="D18" s="87">
        <v>4.7699013922137876</v>
      </c>
      <c r="E18" s="87">
        <v>5.1401138515404785</v>
      </c>
      <c r="F18" s="87">
        <v>5.1792026250547911</v>
      </c>
      <c r="G18" s="87">
        <v>5.5135224665525477</v>
      </c>
      <c r="H18" s="87">
        <v>5.4580131272310481</v>
      </c>
      <c r="I18" s="87">
        <v>5.4919605919023651</v>
      </c>
      <c r="J18" s="87">
        <v>5.2935736423134072</v>
      </c>
      <c r="K18" s="87">
        <v>4.49129023177285</v>
      </c>
      <c r="L18" s="87">
        <v>3.8216147624806136</v>
      </c>
      <c r="M18" s="87">
        <v>3.8555317070987725</v>
      </c>
      <c r="N18" s="87">
        <v>3.7269663524168712</v>
      </c>
      <c r="O18" s="87">
        <v>3.7090185910812767</v>
      </c>
      <c r="P18" s="87">
        <v>3.3406922169799147</v>
      </c>
      <c r="Q18" s="87">
        <v>3.0145347300239349</v>
      </c>
      <c r="R18" s="87">
        <v>2.9398511839980594</v>
      </c>
      <c r="S18" s="87">
        <v>2.7649423984368995</v>
      </c>
      <c r="T18" s="87">
        <v>2.3991211483387112</v>
      </c>
      <c r="U18" s="87">
        <v>2.2016607831749884</v>
      </c>
      <c r="V18" s="87">
        <v>1.1575449230362902</v>
      </c>
      <c r="W18" s="87">
        <v>1.6768928928639244</v>
      </c>
      <c r="X18" s="87">
        <v>1.7723452590999353</v>
      </c>
      <c r="Y18" s="87">
        <v>2.2738084204220863</v>
      </c>
      <c r="DA18" s="171" t="s">
        <v>1039</v>
      </c>
    </row>
    <row r="19" spans="1:105" ht="11.45" customHeight="1" x14ac:dyDescent="0.25">
      <c r="A19" s="111" t="s">
        <v>93</v>
      </c>
      <c r="B19" s="87">
        <v>1.1075615705912263</v>
      </c>
      <c r="C19" s="87">
        <v>1.1145178320014031</v>
      </c>
      <c r="D19" s="87">
        <v>1.0462474526158099</v>
      </c>
      <c r="E19" s="87">
        <v>1.262202696166935</v>
      </c>
      <c r="F19" s="87">
        <v>1.273952021798709</v>
      </c>
      <c r="G19" s="87">
        <v>1.4071982048701068</v>
      </c>
      <c r="H19" s="87">
        <v>1.3945342830050675</v>
      </c>
      <c r="I19" s="87">
        <v>1.415263624090386</v>
      </c>
      <c r="J19" s="87">
        <v>1.7250223151746313</v>
      </c>
      <c r="K19" s="87">
        <v>1.8198928588678971</v>
      </c>
      <c r="L19" s="87">
        <v>1.3015523096965711</v>
      </c>
      <c r="M19" s="87">
        <v>1.2874861392512056</v>
      </c>
      <c r="N19" s="87">
        <v>1.379300789438568</v>
      </c>
      <c r="O19" s="87">
        <v>1.2741156521681463</v>
      </c>
      <c r="P19" s="87">
        <v>1.3122781139635373</v>
      </c>
      <c r="Q19" s="87">
        <v>3.0790311103844594</v>
      </c>
      <c r="R19" s="87">
        <v>3.207861713101126</v>
      </c>
      <c r="S19" s="87">
        <v>3.2657060261079036</v>
      </c>
      <c r="T19" s="87">
        <v>3.4655578372955684</v>
      </c>
      <c r="U19" s="87">
        <v>3.5539757531066085</v>
      </c>
      <c r="V19" s="87">
        <v>3.3592783640671544</v>
      </c>
      <c r="W19" s="87">
        <v>4.273289500156098</v>
      </c>
      <c r="X19" s="87">
        <v>4.2799550843090497</v>
      </c>
      <c r="Y19" s="87">
        <v>4.170184613559158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10.787886789397014</v>
      </c>
      <c r="C21" s="29">
        <f t="shared" ref="C21:V21" si="19">SUM(C22:C23)</f>
        <v>11.430250083281882</v>
      </c>
      <c r="D21" s="29">
        <f t="shared" si="19"/>
        <v>11.991723699626291</v>
      </c>
      <c r="E21" s="29">
        <f t="shared" si="19"/>
        <v>14.15884854482222</v>
      </c>
      <c r="F21" s="29">
        <f t="shared" si="19"/>
        <v>14.533456990080742</v>
      </c>
      <c r="G21" s="29">
        <f t="shared" si="19"/>
        <v>14.719233973150542</v>
      </c>
      <c r="H21" s="29">
        <f t="shared" si="19"/>
        <v>12.833571926914678</v>
      </c>
      <c r="I21" s="29">
        <f t="shared" si="19"/>
        <v>14.030872450197831</v>
      </c>
      <c r="J21" s="29">
        <f t="shared" si="19"/>
        <v>15.007753214016251</v>
      </c>
      <c r="K21" s="29">
        <f t="shared" si="19"/>
        <v>14.4190217460842</v>
      </c>
      <c r="L21" s="29">
        <f t="shared" si="19"/>
        <v>13.277009683173153</v>
      </c>
      <c r="M21" s="29">
        <f t="shared" si="19"/>
        <v>16.294302170313586</v>
      </c>
      <c r="N21" s="29">
        <f t="shared" si="19"/>
        <v>17.467800900912405</v>
      </c>
      <c r="O21" s="29">
        <f t="shared" si="19"/>
        <v>15.585213313487905</v>
      </c>
      <c r="P21" s="29">
        <f t="shared" si="19"/>
        <v>15.675587461957019</v>
      </c>
      <c r="Q21" s="29">
        <f t="shared" si="19"/>
        <v>15.194837053784207</v>
      </c>
      <c r="R21" s="29">
        <f t="shared" si="19"/>
        <v>12.97135452601354</v>
      </c>
      <c r="S21" s="29">
        <f t="shared" si="19"/>
        <v>12.214432255483311</v>
      </c>
      <c r="T21" s="29">
        <f t="shared" si="19"/>
        <v>13.162933359760906</v>
      </c>
      <c r="U21" s="29">
        <f t="shared" si="19"/>
        <v>10.808298426379983</v>
      </c>
      <c r="V21" s="29">
        <f t="shared" si="19"/>
        <v>6.5611652907587565</v>
      </c>
      <c r="W21" s="29">
        <f t="shared" ref="W21:Y21" si="20">SUM(W22:W23)</f>
        <v>5.9760141420144661</v>
      </c>
      <c r="X21" s="29">
        <f t="shared" si="20"/>
        <v>5.5970487048328774</v>
      </c>
      <c r="Y21" s="29">
        <f t="shared" si="20"/>
        <v>4.97946888863863</v>
      </c>
      <c r="DA21" s="173" t="s">
        <v>1042</v>
      </c>
    </row>
    <row r="22" spans="1:105" ht="11.45" customHeight="1" x14ac:dyDescent="0.25">
      <c r="A22" s="83" t="s">
        <v>92</v>
      </c>
      <c r="B22" s="87">
        <v>10.787886789397014</v>
      </c>
      <c r="C22" s="87">
        <v>11.430250083281882</v>
      </c>
      <c r="D22" s="87">
        <v>11.991723699626291</v>
      </c>
      <c r="E22" s="87">
        <v>14.15884854482222</v>
      </c>
      <c r="F22" s="87">
        <v>14.533456990080742</v>
      </c>
      <c r="G22" s="87">
        <v>14.719233973150542</v>
      </c>
      <c r="H22" s="87">
        <v>12.833571926914678</v>
      </c>
      <c r="I22" s="87">
        <v>14.030872450197831</v>
      </c>
      <c r="J22" s="87">
        <v>15.007753214016251</v>
      </c>
      <c r="K22" s="87">
        <v>14.4190217460842</v>
      </c>
      <c r="L22" s="87">
        <v>13.277009683173153</v>
      </c>
      <c r="M22" s="87">
        <v>16.294302170313586</v>
      </c>
      <c r="N22" s="87">
        <v>17.467800900912405</v>
      </c>
      <c r="O22" s="87">
        <v>15.585213313487905</v>
      </c>
      <c r="P22" s="87">
        <v>15.675587461957019</v>
      </c>
      <c r="Q22" s="87">
        <v>15.194837053784207</v>
      </c>
      <c r="R22" s="87">
        <v>12.97135452601354</v>
      </c>
      <c r="S22" s="87">
        <v>12.214432255483311</v>
      </c>
      <c r="T22" s="87">
        <v>13.162933359760906</v>
      </c>
      <c r="U22" s="87">
        <v>10.808298426379983</v>
      </c>
      <c r="V22" s="87">
        <v>6.5611652907587565</v>
      </c>
      <c r="W22" s="87">
        <v>5.9760141420144661</v>
      </c>
      <c r="X22" s="87">
        <v>5.5970487048328774</v>
      </c>
      <c r="Y22" s="87">
        <v>4.97946888863863</v>
      </c>
      <c r="DA22" s="171" t="s">
        <v>1043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0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125.56295700000001</v>
      </c>
      <c r="C25" s="62">
        <f t="shared" ref="C25:V25" si="22">C26+C32</f>
        <v>127.387655</v>
      </c>
      <c r="D25" s="62">
        <f t="shared" si="22"/>
        <v>131.73196999999999</v>
      </c>
      <c r="E25" s="62">
        <f t="shared" si="22"/>
        <v>144.96471500000001</v>
      </c>
      <c r="F25" s="62">
        <f t="shared" si="22"/>
        <v>147.90555599999999</v>
      </c>
      <c r="G25" s="62">
        <f t="shared" si="22"/>
        <v>152.348997</v>
      </c>
      <c r="H25" s="62">
        <f t="shared" si="22"/>
        <v>146.222556</v>
      </c>
      <c r="I25" s="62">
        <f t="shared" si="22"/>
        <v>148.69875100000002</v>
      </c>
      <c r="J25" s="62">
        <f t="shared" si="22"/>
        <v>152.28214199999999</v>
      </c>
      <c r="K25" s="62">
        <f t="shared" si="22"/>
        <v>143.546978</v>
      </c>
      <c r="L25" s="62">
        <f t="shared" si="22"/>
        <v>151.03214600000001</v>
      </c>
      <c r="M25" s="62">
        <f t="shared" si="22"/>
        <v>163.81806599999999</v>
      </c>
      <c r="N25" s="62">
        <f t="shared" si="22"/>
        <v>164.40972099999999</v>
      </c>
      <c r="O25" s="62">
        <f t="shared" si="22"/>
        <v>160.90200699999997</v>
      </c>
      <c r="P25" s="62">
        <f t="shared" si="22"/>
        <v>156.61666499999998</v>
      </c>
      <c r="Q25" s="62">
        <f t="shared" si="22"/>
        <v>161.141965</v>
      </c>
      <c r="R25" s="62">
        <f t="shared" si="22"/>
        <v>153.83810299999999</v>
      </c>
      <c r="S25" s="62">
        <f t="shared" si="22"/>
        <v>147.99112200000002</v>
      </c>
      <c r="T25" s="62">
        <f t="shared" si="22"/>
        <v>148.877861</v>
      </c>
      <c r="U25" s="62">
        <f t="shared" si="22"/>
        <v>139.99828600000001</v>
      </c>
      <c r="V25" s="62">
        <f t="shared" si="22"/>
        <v>127.441992</v>
      </c>
      <c r="W25" s="62">
        <f t="shared" ref="W25:Y25" si="23">W26+W32</f>
        <v>123.42313799999999</v>
      </c>
      <c r="X25" s="62">
        <f t="shared" si="23"/>
        <v>115.16786499999999</v>
      </c>
      <c r="Y25" s="62">
        <f t="shared" si="23"/>
        <v>108.84308899999999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71.623523000000006</v>
      </c>
      <c r="C26" s="29">
        <f t="shared" ref="C26:V26" si="25">SUM(C27,C28,C31)</f>
        <v>70.236403999999993</v>
      </c>
      <c r="D26" s="29">
        <f t="shared" si="25"/>
        <v>71.773350999999991</v>
      </c>
      <c r="E26" s="29">
        <f t="shared" si="25"/>
        <v>74.170472000000004</v>
      </c>
      <c r="F26" s="29">
        <f t="shared" si="25"/>
        <v>75.238270999999997</v>
      </c>
      <c r="G26" s="29">
        <f t="shared" si="25"/>
        <v>78.752826999999996</v>
      </c>
      <c r="H26" s="29">
        <f t="shared" si="25"/>
        <v>78.020329000000004</v>
      </c>
      <c r="I26" s="29">
        <f t="shared" si="25"/>
        <v>78.544387999999998</v>
      </c>
      <c r="J26" s="29">
        <f t="shared" si="25"/>
        <v>77.243375</v>
      </c>
      <c r="K26" s="29">
        <f t="shared" si="25"/>
        <v>71.451869000000002</v>
      </c>
      <c r="L26" s="29">
        <f t="shared" si="25"/>
        <v>84.330979999999997</v>
      </c>
      <c r="M26" s="29">
        <f t="shared" si="25"/>
        <v>82.346554999999995</v>
      </c>
      <c r="N26" s="29">
        <f t="shared" si="25"/>
        <v>77.070716000000004</v>
      </c>
      <c r="O26" s="29">
        <f t="shared" si="25"/>
        <v>78.95694499999999</v>
      </c>
      <c r="P26" s="29">
        <f t="shared" si="25"/>
        <v>78.238726999999983</v>
      </c>
      <c r="Q26" s="29">
        <f t="shared" si="25"/>
        <v>85.167778999999996</v>
      </c>
      <c r="R26" s="29">
        <f t="shared" si="25"/>
        <v>83.257859999999994</v>
      </c>
      <c r="S26" s="29">
        <f t="shared" si="25"/>
        <v>82.804822000000001</v>
      </c>
      <c r="T26" s="29">
        <f t="shared" si="25"/>
        <v>83.063193999999996</v>
      </c>
      <c r="U26" s="29">
        <f t="shared" si="25"/>
        <v>79.577562</v>
      </c>
      <c r="V26" s="29">
        <f t="shared" si="25"/>
        <v>72.415210999999999</v>
      </c>
      <c r="W26" s="29">
        <f t="shared" ref="W26:Y26" si="26">SUM(W27,W28,W31)</f>
        <v>73.790300000000002</v>
      </c>
      <c r="X26" s="29">
        <f t="shared" si="26"/>
        <v>70.928969999999993</v>
      </c>
      <c r="Y26" s="29">
        <f t="shared" si="26"/>
        <v>69.998137</v>
      </c>
      <c r="DA26" s="173" t="s">
        <v>1046</v>
      </c>
    </row>
    <row r="27" spans="1:105" ht="11.45" customHeight="1" x14ac:dyDescent="0.25">
      <c r="A27" s="107" t="s">
        <v>23</v>
      </c>
      <c r="B27" s="115">
        <v>35.421171999999999</v>
      </c>
      <c r="C27" s="115">
        <v>33.841567999999995</v>
      </c>
      <c r="D27" s="115">
        <v>32.999023999999999</v>
      </c>
      <c r="E27" s="115">
        <v>31.488361000000001</v>
      </c>
      <c r="F27" s="115">
        <v>32.217238999999999</v>
      </c>
      <c r="G27" s="115">
        <v>32.614688000000001</v>
      </c>
      <c r="H27" s="115">
        <v>32.336677999999999</v>
      </c>
      <c r="I27" s="115">
        <v>32.496226</v>
      </c>
      <c r="J27" s="115">
        <v>30.452735000000001</v>
      </c>
      <c r="K27" s="115">
        <v>26.910617999999999</v>
      </c>
      <c r="L27" s="115">
        <v>43.409962999999998</v>
      </c>
      <c r="M27" s="115">
        <v>45.045771999999999</v>
      </c>
      <c r="N27" s="115">
        <v>42.306774999999995</v>
      </c>
      <c r="O27" s="115">
        <v>45.051029999999997</v>
      </c>
      <c r="P27" s="115">
        <v>47.218923999999994</v>
      </c>
      <c r="Q27" s="115">
        <v>44.544004999999999</v>
      </c>
      <c r="R27" s="115">
        <v>42.273106999999996</v>
      </c>
      <c r="S27" s="115">
        <v>42.600497999999995</v>
      </c>
      <c r="T27" s="115">
        <v>43.965333999999999</v>
      </c>
      <c r="U27" s="115">
        <v>41.206651000000001</v>
      </c>
      <c r="V27" s="115">
        <v>37.664533999999996</v>
      </c>
      <c r="W27" s="115">
        <v>34.122416999999999</v>
      </c>
      <c r="X27" s="115">
        <v>30.580300000000001</v>
      </c>
      <c r="Y27" s="115">
        <v>27.038183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36.202351</v>
      </c>
      <c r="C28" s="116">
        <f t="shared" ref="C28:V28" si="28">SUM(C29:C30)</f>
        <v>36.394835999999998</v>
      </c>
      <c r="D28" s="116">
        <f t="shared" si="28"/>
        <v>38.774327</v>
      </c>
      <c r="E28" s="116">
        <f t="shared" si="28"/>
        <v>42.682110999999999</v>
      </c>
      <c r="F28" s="116">
        <f t="shared" si="28"/>
        <v>43.021031999999991</v>
      </c>
      <c r="G28" s="116">
        <f t="shared" si="28"/>
        <v>46.138138999999995</v>
      </c>
      <c r="H28" s="116">
        <f t="shared" si="28"/>
        <v>45.683650999999998</v>
      </c>
      <c r="I28" s="116">
        <f t="shared" si="28"/>
        <v>46.048161999999998</v>
      </c>
      <c r="J28" s="116">
        <f t="shared" si="28"/>
        <v>46.790639999999996</v>
      </c>
      <c r="K28" s="116">
        <f t="shared" si="28"/>
        <v>44.541251000000003</v>
      </c>
      <c r="L28" s="116">
        <f t="shared" si="28"/>
        <v>40.921016999999999</v>
      </c>
      <c r="M28" s="116">
        <f t="shared" si="28"/>
        <v>37.300782999999996</v>
      </c>
      <c r="N28" s="116">
        <f t="shared" si="28"/>
        <v>34.763941000000003</v>
      </c>
      <c r="O28" s="116">
        <f t="shared" si="28"/>
        <v>33.905915</v>
      </c>
      <c r="P28" s="116">
        <f t="shared" si="28"/>
        <v>31.019802999999996</v>
      </c>
      <c r="Q28" s="116">
        <f t="shared" si="28"/>
        <v>40.623773999999997</v>
      </c>
      <c r="R28" s="116">
        <f t="shared" si="28"/>
        <v>40.984752999999998</v>
      </c>
      <c r="S28" s="116">
        <f t="shared" si="28"/>
        <v>40.204324</v>
      </c>
      <c r="T28" s="116">
        <f t="shared" si="28"/>
        <v>39.097859999999997</v>
      </c>
      <c r="U28" s="116">
        <f t="shared" si="28"/>
        <v>38.370911</v>
      </c>
      <c r="V28" s="116">
        <f t="shared" si="28"/>
        <v>34.750676999999996</v>
      </c>
      <c r="W28" s="116">
        <f t="shared" ref="W28:Y28" si="29">SUM(W29:W30)</f>
        <v>39.667883000000003</v>
      </c>
      <c r="X28" s="116">
        <f t="shared" si="29"/>
        <v>40.348669999999998</v>
      </c>
      <c r="Y28" s="116">
        <f t="shared" si="29"/>
        <v>42.959953999999996</v>
      </c>
      <c r="DA28" s="176" t="s">
        <v>1048</v>
      </c>
    </row>
    <row r="29" spans="1:105" ht="11.45" customHeight="1" x14ac:dyDescent="0.25">
      <c r="A29" s="111" t="s">
        <v>92</v>
      </c>
      <c r="B29" s="87">
        <v>28.818607</v>
      </c>
      <c r="C29" s="87">
        <v>28.964717</v>
      </c>
      <c r="D29" s="87">
        <v>31.799343</v>
      </c>
      <c r="E29" s="87">
        <v>34.267426</v>
      </c>
      <c r="F29" s="87">
        <v>34.528017999999996</v>
      </c>
      <c r="G29" s="87">
        <v>36.756816999999998</v>
      </c>
      <c r="H29" s="87">
        <v>36.386755000000001</v>
      </c>
      <c r="I29" s="87">
        <v>36.613070999999998</v>
      </c>
      <c r="J29" s="87">
        <v>35.290490999999996</v>
      </c>
      <c r="K29" s="87">
        <v>32.408631</v>
      </c>
      <c r="L29" s="87">
        <v>29.526771</v>
      </c>
      <c r="M29" s="87">
        <v>26.644911</v>
      </c>
      <c r="N29" s="87">
        <v>24.846443000000001</v>
      </c>
      <c r="O29" s="87">
        <v>24.726791000000002</v>
      </c>
      <c r="P29" s="87">
        <v>22.271281999999999</v>
      </c>
      <c r="Q29" s="87">
        <v>20.096899000000001</v>
      </c>
      <c r="R29" s="87">
        <v>19.599008000000001</v>
      </c>
      <c r="S29" s="87">
        <v>18.432950000000002</v>
      </c>
      <c r="T29" s="87">
        <v>15.994140999999999</v>
      </c>
      <c r="U29" s="87">
        <v>14.677738999999999</v>
      </c>
      <c r="V29" s="87">
        <v>11.795878999999999</v>
      </c>
      <c r="W29" s="87">
        <v>11.179285999999999</v>
      </c>
      <c r="X29" s="87">
        <v>11.815636</v>
      </c>
      <c r="Y29" s="87">
        <v>15.158722999999998</v>
      </c>
      <c r="DA29" s="171" t="s">
        <v>1049</v>
      </c>
    </row>
    <row r="30" spans="1:105" ht="11.45" customHeight="1" x14ac:dyDescent="0.25">
      <c r="A30" s="111" t="s">
        <v>93</v>
      </c>
      <c r="B30" s="87">
        <v>7.3837440000000001</v>
      </c>
      <c r="C30" s="87">
        <v>7.4301190000000004</v>
      </c>
      <c r="D30" s="87">
        <v>6.9749840000000001</v>
      </c>
      <c r="E30" s="87">
        <v>8.4146849999999986</v>
      </c>
      <c r="F30" s="87">
        <v>8.4930139999999987</v>
      </c>
      <c r="G30" s="87">
        <v>9.3813219999999991</v>
      </c>
      <c r="H30" s="87">
        <v>9.2968959999999985</v>
      </c>
      <c r="I30" s="87">
        <v>9.4350909999999999</v>
      </c>
      <c r="J30" s="87">
        <v>11.500148999999999</v>
      </c>
      <c r="K30" s="87">
        <v>12.132619999999999</v>
      </c>
      <c r="L30" s="87">
        <v>11.394245999999999</v>
      </c>
      <c r="M30" s="87">
        <v>10.655871999999999</v>
      </c>
      <c r="N30" s="87">
        <v>9.9174979999999984</v>
      </c>
      <c r="O30" s="87">
        <v>9.1791239999999998</v>
      </c>
      <c r="P30" s="87">
        <v>8.7485209999999984</v>
      </c>
      <c r="Q30" s="87">
        <v>20.526875</v>
      </c>
      <c r="R30" s="87">
        <v>21.385745</v>
      </c>
      <c r="S30" s="87">
        <v>21.771374000000002</v>
      </c>
      <c r="T30" s="87">
        <v>23.103719000000002</v>
      </c>
      <c r="U30" s="87">
        <v>23.693172000000001</v>
      </c>
      <c r="V30" s="87">
        <v>22.954798</v>
      </c>
      <c r="W30" s="87">
        <v>28.488597000000002</v>
      </c>
      <c r="X30" s="87">
        <v>28.533034000000001</v>
      </c>
      <c r="Y30" s="87">
        <v>27.801231000000001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53.939433999999999</v>
      </c>
      <c r="C32" s="29">
        <f t="shared" ref="C32:V32" si="31">SUM(C33:C34)</f>
        <v>57.151250999999995</v>
      </c>
      <c r="D32" s="29">
        <f t="shared" si="31"/>
        <v>59.958618999999999</v>
      </c>
      <c r="E32" s="29">
        <f t="shared" si="31"/>
        <v>70.794242999999994</v>
      </c>
      <c r="F32" s="29">
        <f t="shared" si="31"/>
        <v>72.667284999999993</v>
      </c>
      <c r="G32" s="29">
        <f t="shared" si="31"/>
        <v>73.596170000000001</v>
      </c>
      <c r="H32" s="29">
        <f t="shared" si="31"/>
        <v>68.202226999999993</v>
      </c>
      <c r="I32" s="29">
        <f t="shared" si="31"/>
        <v>70.154363000000004</v>
      </c>
      <c r="J32" s="29">
        <f t="shared" si="31"/>
        <v>75.038766999999993</v>
      </c>
      <c r="K32" s="29">
        <f t="shared" si="31"/>
        <v>72.095108999999994</v>
      </c>
      <c r="L32" s="29">
        <f t="shared" si="31"/>
        <v>66.701166000000001</v>
      </c>
      <c r="M32" s="29">
        <f t="shared" si="31"/>
        <v>81.471510999999992</v>
      </c>
      <c r="N32" s="29">
        <f t="shared" si="31"/>
        <v>87.339005</v>
      </c>
      <c r="O32" s="29">
        <f t="shared" si="31"/>
        <v>81.945061999999993</v>
      </c>
      <c r="P32" s="29">
        <f t="shared" si="31"/>
        <v>78.377938</v>
      </c>
      <c r="Q32" s="29">
        <f t="shared" si="31"/>
        <v>75.974186000000003</v>
      </c>
      <c r="R32" s="29">
        <f t="shared" si="31"/>
        <v>70.580242999999996</v>
      </c>
      <c r="S32" s="29">
        <f t="shared" si="31"/>
        <v>65.186300000000003</v>
      </c>
      <c r="T32" s="29">
        <f t="shared" si="31"/>
        <v>65.814667</v>
      </c>
      <c r="U32" s="29">
        <f t="shared" si="31"/>
        <v>60.420724</v>
      </c>
      <c r="V32" s="29">
        <f t="shared" si="31"/>
        <v>55.026781</v>
      </c>
      <c r="W32" s="29">
        <f t="shared" ref="W32:Y32" si="32">SUM(W33:W34)</f>
        <v>49.632838</v>
      </c>
      <c r="X32" s="29">
        <f t="shared" si="32"/>
        <v>44.238894999999999</v>
      </c>
      <c r="Y32" s="29">
        <f t="shared" si="32"/>
        <v>38.844951999999999</v>
      </c>
      <c r="DA32" s="173" t="s">
        <v>1052</v>
      </c>
    </row>
    <row r="33" spans="1:105" ht="11.45" customHeight="1" x14ac:dyDescent="0.25">
      <c r="A33" s="83" t="s">
        <v>92</v>
      </c>
      <c r="B33" s="87">
        <v>53.939433999999999</v>
      </c>
      <c r="C33" s="87">
        <v>57.151250999999995</v>
      </c>
      <c r="D33" s="87">
        <v>59.958618999999999</v>
      </c>
      <c r="E33" s="87">
        <v>70.794242999999994</v>
      </c>
      <c r="F33" s="87">
        <v>72.667284999999993</v>
      </c>
      <c r="G33" s="87">
        <v>73.596170000000001</v>
      </c>
      <c r="H33" s="87">
        <v>68.202226999999993</v>
      </c>
      <c r="I33" s="87">
        <v>70.154363000000004</v>
      </c>
      <c r="J33" s="87">
        <v>75.038766999999993</v>
      </c>
      <c r="K33" s="87">
        <v>72.095108999999994</v>
      </c>
      <c r="L33" s="87">
        <v>66.701166000000001</v>
      </c>
      <c r="M33" s="87">
        <v>81.471510999999992</v>
      </c>
      <c r="N33" s="87">
        <v>87.339005</v>
      </c>
      <c r="O33" s="87">
        <v>81.945061999999993</v>
      </c>
      <c r="P33" s="87">
        <v>78.377938</v>
      </c>
      <c r="Q33" s="87">
        <v>75.974186000000003</v>
      </c>
      <c r="R33" s="87">
        <v>70.580242999999996</v>
      </c>
      <c r="S33" s="87">
        <v>65.186300000000003</v>
      </c>
      <c r="T33" s="87">
        <v>65.814667</v>
      </c>
      <c r="U33" s="87">
        <v>60.420724</v>
      </c>
      <c r="V33" s="87">
        <v>55.026781</v>
      </c>
      <c r="W33" s="87">
        <v>49.632838</v>
      </c>
      <c r="X33" s="87">
        <v>44.238894999999999</v>
      </c>
      <c r="Y33" s="87">
        <v>38.844951999999999</v>
      </c>
      <c r="DA33" s="171" t="s">
        <v>1053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6.8681339999999977</v>
      </c>
      <c r="D36" s="54">
        <f t="shared" ref="D36:V36" si="34">D37+D43</f>
        <v>9.1790450000000092</v>
      </c>
      <c r="E36" s="54">
        <f t="shared" si="34"/>
        <v>18.207239999999995</v>
      </c>
      <c r="F36" s="54">
        <f t="shared" si="34"/>
        <v>7.5327259999999931</v>
      </c>
      <c r="G36" s="54">
        <f t="shared" si="34"/>
        <v>9.0353260000000137</v>
      </c>
      <c r="H36" s="54">
        <f t="shared" si="34"/>
        <v>1.5733360000000012</v>
      </c>
      <c r="I36" s="54">
        <f t="shared" si="34"/>
        <v>7.0680800000000108</v>
      </c>
      <c r="J36" s="54">
        <f t="shared" si="34"/>
        <v>9.447802999999988</v>
      </c>
      <c r="K36" s="54">
        <f t="shared" si="34"/>
        <v>0.8447610000000001</v>
      </c>
      <c r="L36" s="54">
        <f t="shared" si="34"/>
        <v>17.627397999999999</v>
      </c>
      <c r="M36" s="54">
        <f t="shared" si="34"/>
        <v>19.820257999999995</v>
      </c>
      <c r="N36" s="54">
        <f t="shared" si="34"/>
        <v>8.1535450000000083</v>
      </c>
      <c r="O36" s="54">
        <f t="shared" si="34"/>
        <v>4.7181470000000054</v>
      </c>
      <c r="P36" s="54">
        <f t="shared" si="34"/>
        <v>3.2959469999999982</v>
      </c>
      <c r="Q36" s="54">
        <f t="shared" si="34"/>
        <v>11.990644000000001</v>
      </c>
      <c r="R36" s="54">
        <f t="shared" si="34"/>
        <v>1.5387599999999999</v>
      </c>
      <c r="S36" s="54">
        <f t="shared" si="34"/>
        <v>2.0533630000000009</v>
      </c>
      <c r="T36" s="54">
        <f t="shared" si="34"/>
        <v>6.9519420000000025</v>
      </c>
      <c r="U36" s="54">
        <f t="shared" si="34"/>
        <v>0.80174299999999832</v>
      </c>
      <c r="V36" s="54">
        <f t="shared" si="34"/>
        <v>0</v>
      </c>
      <c r="W36" s="54">
        <f t="shared" ref="W36:Y36" si="35">W37+W43</f>
        <v>6.0949870000000015</v>
      </c>
      <c r="X36" s="54">
        <f t="shared" si="35"/>
        <v>1.8585679999999982</v>
      </c>
      <c r="Y36" s="54">
        <f t="shared" si="35"/>
        <v>4.3085779999999989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1.3702660000000009</v>
      </c>
      <c r="D37" s="28">
        <f t="shared" ref="D37:V37" si="37">SUM(D38,D39,D42)</f>
        <v>4.0856260000000049</v>
      </c>
      <c r="E37" s="28">
        <f t="shared" si="37"/>
        <v>5.0855649999999981</v>
      </c>
      <c r="F37" s="28">
        <f t="shared" si="37"/>
        <v>3.3736329999999946</v>
      </c>
      <c r="G37" s="28">
        <f t="shared" si="37"/>
        <v>5.8203900000000051</v>
      </c>
      <c r="H37" s="28">
        <f t="shared" si="37"/>
        <v>1.5733360000000012</v>
      </c>
      <c r="I37" s="28">
        <f t="shared" si="37"/>
        <v>2.8298930000000002</v>
      </c>
      <c r="J37" s="28">
        <f t="shared" si="37"/>
        <v>2.2773479999999982</v>
      </c>
      <c r="K37" s="28">
        <f t="shared" si="37"/>
        <v>0.8447610000000001</v>
      </c>
      <c r="L37" s="28">
        <f t="shared" si="37"/>
        <v>17.627397999999999</v>
      </c>
      <c r="M37" s="28">
        <f t="shared" si="37"/>
        <v>2.7638620000000031</v>
      </c>
      <c r="N37" s="28">
        <f t="shared" si="37"/>
        <v>0</v>
      </c>
      <c r="O37" s="28">
        <f t="shared" si="37"/>
        <v>4.7181470000000054</v>
      </c>
      <c r="P37" s="28">
        <f t="shared" si="37"/>
        <v>3.2959469999999982</v>
      </c>
      <c r="Q37" s="28">
        <f t="shared" si="37"/>
        <v>11.990644000000001</v>
      </c>
      <c r="R37" s="28">
        <f t="shared" si="37"/>
        <v>1.5387599999999999</v>
      </c>
      <c r="S37" s="28">
        <f t="shared" si="37"/>
        <v>2.0533630000000009</v>
      </c>
      <c r="T37" s="28">
        <f t="shared" si="37"/>
        <v>4.0375240000000048</v>
      </c>
      <c r="U37" s="28">
        <f t="shared" si="37"/>
        <v>0.80174299999999832</v>
      </c>
      <c r="V37" s="28">
        <f t="shared" si="37"/>
        <v>0</v>
      </c>
      <c r="W37" s="28">
        <f t="shared" ref="W37:Y37" si="38">SUM(W38,W39,W42)</f>
        <v>6.0949870000000015</v>
      </c>
      <c r="X37" s="28">
        <f t="shared" si="38"/>
        <v>1.8585679999999982</v>
      </c>
      <c r="Y37" s="28">
        <f t="shared" si="38"/>
        <v>4.3085779999999989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0.28550900000000468</v>
      </c>
      <c r="E38" s="108">
        <v>0</v>
      </c>
      <c r="F38" s="108">
        <v>1.8569309999999994</v>
      </c>
      <c r="G38" s="108">
        <v>1.525502000000003</v>
      </c>
      <c r="H38" s="108">
        <v>0.85004299999999944</v>
      </c>
      <c r="I38" s="108">
        <v>1.2876010000000022</v>
      </c>
      <c r="J38" s="108">
        <v>0</v>
      </c>
      <c r="K38" s="108">
        <v>0</v>
      </c>
      <c r="L38" s="108">
        <v>17.627397999999999</v>
      </c>
      <c r="M38" s="108">
        <v>2.7638620000000031</v>
      </c>
      <c r="N38" s="108">
        <v>0</v>
      </c>
      <c r="O38" s="108">
        <v>3.8723080000000039</v>
      </c>
      <c r="P38" s="108">
        <v>3.2959469999999982</v>
      </c>
      <c r="Q38" s="108">
        <v>0</v>
      </c>
      <c r="R38" s="108">
        <v>0</v>
      </c>
      <c r="S38" s="108">
        <v>1.455444</v>
      </c>
      <c r="T38" s="108">
        <v>2.4928890000000052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1.3702660000000009</v>
      </c>
      <c r="D39" s="110">
        <f t="shared" ref="D39:V39" si="40">SUM(D40:D41)</f>
        <v>3.8001170000000002</v>
      </c>
      <c r="E39" s="110">
        <f t="shared" si="40"/>
        <v>5.0855649999999981</v>
      </c>
      <c r="F39" s="110">
        <f t="shared" si="40"/>
        <v>1.5167019999999951</v>
      </c>
      <c r="G39" s="110">
        <f t="shared" si="40"/>
        <v>4.294888000000002</v>
      </c>
      <c r="H39" s="110">
        <f t="shared" si="40"/>
        <v>0.72329300000000174</v>
      </c>
      <c r="I39" s="110">
        <f t="shared" si="40"/>
        <v>1.542291999999998</v>
      </c>
      <c r="J39" s="110">
        <f t="shared" si="40"/>
        <v>2.2773479999999982</v>
      </c>
      <c r="K39" s="110">
        <f t="shared" si="40"/>
        <v>0.8447610000000001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0.84583900000000156</v>
      </c>
      <c r="P39" s="110">
        <f t="shared" si="40"/>
        <v>0</v>
      </c>
      <c r="Q39" s="110">
        <f t="shared" si="40"/>
        <v>11.990644000000001</v>
      </c>
      <c r="R39" s="110">
        <f t="shared" si="40"/>
        <v>1.5387599999999999</v>
      </c>
      <c r="S39" s="110">
        <f t="shared" si="40"/>
        <v>0.59791900000000098</v>
      </c>
      <c r="T39" s="110">
        <f t="shared" si="40"/>
        <v>1.5446349999999995</v>
      </c>
      <c r="U39" s="110">
        <f t="shared" si="40"/>
        <v>0.80174299999999832</v>
      </c>
      <c r="V39" s="110">
        <f t="shared" si="40"/>
        <v>0</v>
      </c>
      <c r="W39" s="110">
        <f t="shared" ref="W39:Y39" si="41">SUM(W40:W41)</f>
        <v>6.0949870000000015</v>
      </c>
      <c r="X39" s="110">
        <f t="shared" si="41"/>
        <v>1.8585679999999982</v>
      </c>
      <c r="Y39" s="110">
        <f t="shared" si="41"/>
        <v>4.3085779999999989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1.1116010000000003</v>
      </c>
      <c r="D40" s="84">
        <v>3.8001170000000002</v>
      </c>
      <c r="E40" s="84">
        <v>3.4335740000000001</v>
      </c>
      <c r="F40" s="84">
        <v>1.2260829999999956</v>
      </c>
      <c r="G40" s="84">
        <v>3.1942900000000023</v>
      </c>
      <c r="H40" s="84">
        <v>0.59542900000000287</v>
      </c>
      <c r="I40" s="84">
        <v>1.1918069999999972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0.84583900000000156</v>
      </c>
      <c r="P40" s="84">
        <v>0</v>
      </c>
      <c r="Q40" s="84">
        <v>0</v>
      </c>
      <c r="R40" s="84">
        <v>0.4676000000000009</v>
      </c>
      <c r="S40" s="84">
        <v>0</v>
      </c>
      <c r="T40" s="84">
        <v>0</v>
      </c>
      <c r="U40" s="84">
        <v>0</v>
      </c>
      <c r="V40" s="84">
        <v>0</v>
      </c>
      <c r="W40" s="84">
        <v>0.34889800000000015</v>
      </c>
      <c r="X40" s="84">
        <v>1.6018410000000003</v>
      </c>
      <c r="Y40" s="84">
        <v>4.3085779999999989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0.25866500000000059</v>
      </c>
      <c r="D41" s="84">
        <v>0</v>
      </c>
      <c r="E41" s="84">
        <v>1.651990999999998</v>
      </c>
      <c r="F41" s="84">
        <v>0.29061899999999952</v>
      </c>
      <c r="G41" s="84">
        <v>1.1005979999999997</v>
      </c>
      <c r="H41" s="84">
        <v>0.12786399999999887</v>
      </c>
      <c r="I41" s="84">
        <v>0.35048500000000082</v>
      </c>
      <c r="J41" s="84">
        <v>2.2773479999999982</v>
      </c>
      <c r="K41" s="84">
        <v>0.8447610000000001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11.990644000000001</v>
      </c>
      <c r="R41" s="84">
        <v>1.071159999999999</v>
      </c>
      <c r="S41" s="84">
        <v>0.59791900000000098</v>
      </c>
      <c r="T41" s="84">
        <v>1.5446349999999995</v>
      </c>
      <c r="U41" s="84">
        <v>0.80174299999999832</v>
      </c>
      <c r="V41" s="84">
        <v>0</v>
      </c>
      <c r="W41" s="84">
        <v>5.7460890000000013</v>
      </c>
      <c r="X41" s="84">
        <v>0.25672699999999793</v>
      </c>
      <c r="Y41" s="84">
        <v>0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5.4978679999999969</v>
      </c>
      <c r="D43" s="28">
        <f t="shared" ref="D43:V43" si="43">SUM(D44:D45)</f>
        <v>5.0934190000000044</v>
      </c>
      <c r="E43" s="28">
        <f t="shared" si="43"/>
        <v>13.121674999999996</v>
      </c>
      <c r="F43" s="28">
        <f t="shared" si="43"/>
        <v>4.1590929999999986</v>
      </c>
      <c r="G43" s="28">
        <f t="shared" si="43"/>
        <v>3.2149360000000087</v>
      </c>
      <c r="H43" s="28">
        <f t="shared" si="43"/>
        <v>0</v>
      </c>
      <c r="I43" s="28">
        <f t="shared" si="43"/>
        <v>4.2381870000000106</v>
      </c>
      <c r="J43" s="28">
        <f t="shared" si="43"/>
        <v>7.1704549999999898</v>
      </c>
      <c r="K43" s="28">
        <f t="shared" si="43"/>
        <v>0</v>
      </c>
      <c r="L43" s="28">
        <f t="shared" si="43"/>
        <v>0</v>
      </c>
      <c r="M43" s="28">
        <f t="shared" si="43"/>
        <v>17.056395999999992</v>
      </c>
      <c r="N43" s="28">
        <f t="shared" si="43"/>
        <v>8.1535450000000083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2.9144179999999977</v>
      </c>
      <c r="U43" s="28">
        <f t="shared" si="43"/>
        <v>0</v>
      </c>
      <c r="V43" s="28">
        <f t="shared" si="43"/>
        <v>0</v>
      </c>
      <c r="W43" s="28">
        <f t="shared" ref="W43:Y43" si="44">SUM(W44:W45)</f>
        <v>0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5.4978679999999969</v>
      </c>
      <c r="D44" s="84">
        <v>5.0934190000000044</v>
      </c>
      <c r="E44" s="84">
        <v>13.121674999999996</v>
      </c>
      <c r="F44" s="84">
        <v>4.1590929999999986</v>
      </c>
      <c r="G44" s="84">
        <v>3.2149360000000087</v>
      </c>
      <c r="H44" s="84">
        <v>0</v>
      </c>
      <c r="I44" s="84">
        <v>4.2381870000000106</v>
      </c>
      <c r="J44" s="84">
        <v>7.1704549999999898</v>
      </c>
      <c r="K44" s="84">
        <v>0</v>
      </c>
      <c r="L44" s="84">
        <v>0</v>
      </c>
      <c r="M44" s="84">
        <v>17.056395999999992</v>
      </c>
      <c r="N44" s="84">
        <v>8.1535450000000083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2.9144179999999977</v>
      </c>
      <c r="U44" s="84">
        <v>0</v>
      </c>
      <c r="V44" s="84">
        <v>0</v>
      </c>
      <c r="W44" s="84">
        <v>0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105.25716018355257</v>
      </c>
      <c r="C50" s="29">
        <f t="shared" si="45"/>
        <v>105.28439349728551</v>
      </c>
      <c r="D50" s="29">
        <f t="shared" si="45"/>
        <v>106.77488597933051</v>
      </c>
      <c r="E50" s="29">
        <f t="shared" si="45"/>
        <v>102.95928180930622</v>
      </c>
      <c r="F50" s="29">
        <f t="shared" si="45"/>
        <v>107.0015564572406</v>
      </c>
      <c r="G50" s="29">
        <f t="shared" si="45"/>
        <v>110.55032511674</v>
      </c>
      <c r="H50" s="29">
        <f t="shared" si="45"/>
        <v>121.55147100177869</v>
      </c>
      <c r="I50" s="29">
        <f t="shared" si="45"/>
        <v>119.69307962909049</v>
      </c>
      <c r="J50" s="29">
        <f t="shared" si="45"/>
        <v>115.66879925590342</v>
      </c>
      <c r="K50" s="29">
        <f t="shared" ref="K50:V50" si="46">IF(K4=0,0,K4/K15)</f>
        <v>106.74878418164691</v>
      </c>
      <c r="L50" s="29">
        <f t="shared" si="46"/>
        <v>111.68646476034273</v>
      </c>
      <c r="M50" s="29">
        <f t="shared" si="46"/>
        <v>109.7873058830853</v>
      </c>
      <c r="N50" s="29">
        <f t="shared" si="46"/>
        <v>109.56666419085943</v>
      </c>
      <c r="O50" s="29">
        <f t="shared" si="46"/>
        <v>110.47750235628564</v>
      </c>
      <c r="P50" s="29">
        <f t="shared" si="46"/>
        <v>104.4688310265018</v>
      </c>
      <c r="Q50" s="29">
        <f t="shared" si="46"/>
        <v>86.023382730375957</v>
      </c>
      <c r="R50" s="29">
        <f t="shared" si="46"/>
        <v>85.354690617524312</v>
      </c>
      <c r="S50" s="29">
        <f t="shared" si="46"/>
        <v>87.493232540315546</v>
      </c>
      <c r="T50" s="29">
        <f t="shared" si="46"/>
        <v>91.599411346416161</v>
      </c>
      <c r="U50" s="29">
        <f t="shared" si="46"/>
        <v>95.178457230567091</v>
      </c>
      <c r="V50" s="29">
        <f t="shared" si="46"/>
        <v>71.08678685064065</v>
      </c>
      <c r="W50" s="29">
        <f t="shared" ref="W50:Y50" si="47">IF(W4=0,0,W4/W15)</f>
        <v>57.166676959043059</v>
      </c>
      <c r="X50" s="29">
        <f t="shared" si="47"/>
        <v>84.85808460554027</v>
      </c>
      <c r="Y50" s="29">
        <f t="shared" si="47"/>
        <v>90.993691505803682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68.449047356010141</v>
      </c>
      <c r="C51" s="115">
        <f t="shared" si="48"/>
        <v>70.032217274675006</v>
      </c>
      <c r="D51" s="115">
        <f t="shared" si="48"/>
        <v>72.894718369922671</v>
      </c>
      <c r="E51" s="115">
        <f t="shared" si="48"/>
        <v>73.273828864485338</v>
      </c>
      <c r="F51" s="115">
        <f t="shared" si="48"/>
        <v>74.40962870586182</v>
      </c>
      <c r="G51" s="115">
        <f t="shared" si="48"/>
        <v>76.011486285792927</v>
      </c>
      <c r="H51" s="115">
        <f t="shared" si="48"/>
        <v>78.520463023915084</v>
      </c>
      <c r="I51" s="115">
        <f t="shared" si="48"/>
        <v>78.218874759808017</v>
      </c>
      <c r="J51" s="115">
        <f t="shared" si="48"/>
        <v>77.109063350334594</v>
      </c>
      <c r="K51" s="115">
        <f t="shared" ref="K51:V51" si="49">IF(K5=0,0,K5/K16)</f>
        <v>74.418547712450689</v>
      </c>
      <c r="L51" s="115">
        <f t="shared" si="49"/>
        <v>76.333964112450701</v>
      </c>
      <c r="M51" s="115">
        <f t="shared" si="49"/>
        <v>75.809355838638893</v>
      </c>
      <c r="N51" s="115">
        <f t="shared" si="49"/>
        <v>75.717939258453967</v>
      </c>
      <c r="O51" s="115">
        <f t="shared" si="49"/>
        <v>76.07696176195762</v>
      </c>
      <c r="P51" s="115">
        <f t="shared" si="49"/>
        <v>74.066992524055138</v>
      </c>
      <c r="Q51" s="115">
        <f t="shared" si="49"/>
        <v>72.592159062081251</v>
      </c>
      <c r="R51" s="115">
        <f t="shared" si="49"/>
        <v>72.609887036389651</v>
      </c>
      <c r="S51" s="115">
        <f t="shared" si="49"/>
        <v>72.905465398116235</v>
      </c>
      <c r="T51" s="115">
        <f t="shared" si="49"/>
        <v>73.651622703398303</v>
      </c>
      <c r="U51" s="115">
        <f t="shared" si="49"/>
        <v>74.178450179636769</v>
      </c>
      <c r="V51" s="115">
        <f t="shared" si="49"/>
        <v>48.830335275736843</v>
      </c>
      <c r="W51" s="115">
        <f t="shared" ref="W51:Y51" si="50">IF(W5=0,0,W5/W16)</f>
        <v>42.148980885345431</v>
      </c>
      <c r="X51" s="115">
        <f t="shared" si="50"/>
        <v>61.935639039876854</v>
      </c>
      <c r="Y51" s="115">
        <f t="shared" si="50"/>
        <v>69.554057397328052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131.6673263750582</v>
      </c>
      <c r="C52" s="116">
        <f t="shared" si="51"/>
        <v>129.3223791518773</v>
      </c>
      <c r="D52" s="116">
        <f t="shared" si="51"/>
        <v>127.91969735461574</v>
      </c>
      <c r="E52" s="116">
        <f t="shared" si="51"/>
        <v>119.0194196619132</v>
      </c>
      <c r="F52" s="116">
        <f t="shared" si="51"/>
        <v>124.90015257777812</v>
      </c>
      <c r="G52" s="116">
        <f t="shared" si="51"/>
        <v>128.45483038650846</v>
      </c>
      <c r="H52" s="116">
        <f t="shared" si="51"/>
        <v>143.88809605711663</v>
      </c>
      <c r="I52" s="116">
        <f t="shared" si="51"/>
        <v>141.15655862777965</v>
      </c>
      <c r="J52" s="116">
        <f t="shared" si="51"/>
        <v>134.07239933737185</v>
      </c>
      <c r="K52" s="116">
        <f t="shared" ref="K52:V52" si="52">IF(K6=0,0,K6/K17)</f>
        <v>118.51977501797667</v>
      </c>
      <c r="L52" s="116">
        <f t="shared" si="52"/>
        <v>144.63709450824103</v>
      </c>
      <c r="M52" s="116">
        <f t="shared" si="52"/>
        <v>142.52332422299745</v>
      </c>
      <c r="N52" s="116">
        <f t="shared" si="52"/>
        <v>140.41568529050113</v>
      </c>
      <c r="O52" s="116">
        <f t="shared" si="52"/>
        <v>144.68805470708077</v>
      </c>
      <c r="P52" s="116">
        <f t="shared" si="52"/>
        <v>138.40621241816953</v>
      </c>
      <c r="Q52" s="116">
        <f t="shared" si="52"/>
        <v>96.823438927584945</v>
      </c>
      <c r="R52" s="116">
        <f t="shared" si="52"/>
        <v>94.99467684568711</v>
      </c>
      <c r="S52" s="116">
        <f t="shared" si="52"/>
        <v>98.828510309815726</v>
      </c>
      <c r="T52" s="116">
        <f t="shared" si="52"/>
        <v>106.3996855630987</v>
      </c>
      <c r="U52" s="116">
        <f t="shared" si="52"/>
        <v>111.7165748647859</v>
      </c>
      <c r="V52" s="116">
        <f t="shared" si="52"/>
        <v>91.435943748166707</v>
      </c>
      <c r="W52" s="116">
        <f t="shared" ref="W52:Y52" si="53">IF(W6=0,0,W6/W17)</f>
        <v>60.670409099303924</v>
      </c>
      <c r="X52" s="116">
        <f t="shared" si="53"/>
        <v>89.387500504523757</v>
      </c>
      <c r="Y52" s="116">
        <f t="shared" si="53"/>
        <v>94.972169704828588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122.26887237377917</v>
      </c>
      <c r="C53" s="87">
        <f t="shared" si="54"/>
        <v>118.07491782873498</v>
      </c>
      <c r="D53" s="87">
        <f t="shared" si="54"/>
        <v>113.75686339028708</v>
      </c>
      <c r="E53" s="87">
        <f t="shared" si="54"/>
        <v>104.53637551028856</v>
      </c>
      <c r="F53" s="87">
        <f t="shared" si="54"/>
        <v>109.6197339769719</v>
      </c>
      <c r="G53" s="87">
        <f t="shared" si="54"/>
        <v>112.16226626944979</v>
      </c>
      <c r="H53" s="87">
        <f t="shared" si="54"/>
        <v>125.67539333726998</v>
      </c>
      <c r="I53" s="87">
        <f t="shared" si="54"/>
        <v>123.70827124568289</v>
      </c>
      <c r="J53" s="87">
        <f t="shared" si="54"/>
        <v>116.65654541843432</v>
      </c>
      <c r="K53" s="87">
        <f t="shared" ref="K53:V53" si="55">IF(K7=0,0,K7/K18)</f>
        <v>104.37678411296451</v>
      </c>
      <c r="L53" s="87">
        <f t="shared" si="55"/>
        <v>111.78006597900419</v>
      </c>
      <c r="M53" s="87">
        <f t="shared" si="55"/>
        <v>108.75816317915059</v>
      </c>
      <c r="N53" s="87">
        <f t="shared" si="55"/>
        <v>108.11144112007388</v>
      </c>
      <c r="O53" s="87">
        <f t="shared" si="55"/>
        <v>110.09056601925109</v>
      </c>
      <c r="P53" s="87">
        <f t="shared" si="55"/>
        <v>105.80267603841395</v>
      </c>
      <c r="Q53" s="87">
        <f t="shared" si="55"/>
        <v>108.79343085723924</v>
      </c>
      <c r="R53" s="87">
        <f t="shared" si="55"/>
        <v>104.15255604502281</v>
      </c>
      <c r="S53" s="87">
        <f t="shared" si="55"/>
        <v>104.95644654286644</v>
      </c>
      <c r="T53" s="87">
        <f t="shared" si="55"/>
        <v>116.24722182518521</v>
      </c>
      <c r="U53" s="87">
        <f t="shared" si="55"/>
        <v>120.37537568021689</v>
      </c>
      <c r="V53" s="87">
        <f t="shared" si="55"/>
        <v>90.629189845648597</v>
      </c>
      <c r="W53" s="87">
        <f t="shared" ref="W53:Y53" si="56">IF(W7=0,0,W7/W18)</f>
        <v>59.753057301479515</v>
      </c>
      <c r="X53" s="87">
        <f t="shared" si="56"/>
        <v>88.403124914205691</v>
      </c>
      <c r="Y53" s="87">
        <f t="shared" si="56"/>
        <v>79.01980882425795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168.34930699491755</v>
      </c>
      <c r="C54" s="87">
        <f t="shared" si="57"/>
        <v>173.16818174475148</v>
      </c>
      <c r="D54" s="87">
        <f t="shared" si="57"/>
        <v>192.48885953058402</v>
      </c>
      <c r="E54" s="87">
        <f t="shared" si="57"/>
        <v>177.99924602602385</v>
      </c>
      <c r="F54" s="87">
        <f t="shared" si="57"/>
        <v>187.02210283575744</v>
      </c>
      <c r="G54" s="87">
        <f t="shared" si="57"/>
        <v>192.29048479984155</v>
      </c>
      <c r="H54" s="87">
        <f t="shared" si="57"/>
        <v>215.1700801135232</v>
      </c>
      <c r="I54" s="87">
        <f t="shared" si="57"/>
        <v>208.86500888929973</v>
      </c>
      <c r="J54" s="87">
        <f t="shared" si="57"/>
        <v>187.51640667146555</v>
      </c>
      <c r="K54" s="87">
        <f t="shared" ref="K54:V54" si="58">IF(K8=0,0,K8/K19)</f>
        <v>153.42308077590326</v>
      </c>
      <c r="L54" s="87">
        <f t="shared" si="58"/>
        <v>241.11182267944412</v>
      </c>
      <c r="M54" s="87">
        <f t="shared" si="58"/>
        <v>243.63714986430597</v>
      </c>
      <c r="N54" s="87">
        <f t="shared" si="58"/>
        <v>227.70399251495186</v>
      </c>
      <c r="O54" s="87">
        <f t="shared" si="58"/>
        <v>245.4031887920591</v>
      </c>
      <c r="P54" s="87">
        <f t="shared" si="58"/>
        <v>221.40567653397309</v>
      </c>
      <c r="Q54" s="87">
        <f t="shared" si="58"/>
        <v>85.104182091123974</v>
      </c>
      <c r="R54" s="87">
        <f t="shared" si="58"/>
        <v>86.601920419459731</v>
      </c>
      <c r="S54" s="87">
        <f t="shared" si="58"/>
        <v>93.640232317178118</v>
      </c>
      <c r="T54" s="87">
        <f t="shared" si="58"/>
        <v>99.582476439894251</v>
      </c>
      <c r="U54" s="87">
        <f t="shared" si="58"/>
        <v>106.35251401884625</v>
      </c>
      <c r="V54" s="87">
        <f t="shared" si="58"/>
        <v>91.713936156890142</v>
      </c>
      <c r="W54" s="87">
        <f t="shared" ref="W54:Y54" si="59">IF(W8=0,0,W8/W19)</f>
        <v>61.030389556975123</v>
      </c>
      <c r="X54" s="87">
        <f t="shared" si="59"/>
        <v>89.795134083920459</v>
      </c>
      <c r="Y54" s="87">
        <f t="shared" si="59"/>
        <v>103.67025284913704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1233.7912197115259</v>
      </c>
      <c r="C56" s="29">
        <f t="shared" si="63"/>
        <v>1240.5677825667137</v>
      </c>
      <c r="D56" s="29">
        <f t="shared" si="63"/>
        <v>1252.5305265720961</v>
      </c>
      <c r="E56" s="29">
        <f t="shared" si="63"/>
        <v>1268.1115941851081</v>
      </c>
      <c r="F56" s="29">
        <f t="shared" si="63"/>
        <v>1281.0441461179544</v>
      </c>
      <c r="G56" s="29">
        <f t="shared" si="63"/>
        <v>1343.7519938930934</v>
      </c>
      <c r="H56" s="29">
        <f t="shared" si="63"/>
        <v>1311.4821108145175</v>
      </c>
      <c r="I56" s="29">
        <f t="shared" si="63"/>
        <v>1305.1932490300553</v>
      </c>
      <c r="J56" s="29">
        <f t="shared" si="63"/>
        <v>1304.7256122064052</v>
      </c>
      <c r="K56" s="29">
        <f t="shared" ref="K56:V56" si="64">IF(K10=0,0,K10/K21)</f>
        <v>1298.6317886014135</v>
      </c>
      <c r="L56" s="29">
        <f t="shared" si="64"/>
        <v>1293.8907487408178</v>
      </c>
      <c r="M56" s="29">
        <f t="shared" si="64"/>
        <v>1313.9562391942534</v>
      </c>
      <c r="N56" s="29">
        <f t="shared" si="64"/>
        <v>1251.8461896859501</v>
      </c>
      <c r="O56" s="29">
        <f t="shared" si="64"/>
        <v>1253.2391830079366</v>
      </c>
      <c r="P56" s="29">
        <f t="shared" si="64"/>
        <v>1240.2087033217244</v>
      </c>
      <c r="Q56" s="29">
        <f t="shared" si="64"/>
        <v>1244.2384168438018</v>
      </c>
      <c r="R56" s="29">
        <f t="shared" si="64"/>
        <v>1223.6964125964889</v>
      </c>
      <c r="S56" s="29">
        <f t="shared" si="64"/>
        <v>1229.2016268918192</v>
      </c>
      <c r="T56" s="29">
        <f t="shared" si="64"/>
        <v>1356.7644469427287</v>
      </c>
      <c r="U56" s="29">
        <f t="shared" si="64"/>
        <v>1389.5804323225284</v>
      </c>
      <c r="V56" s="29">
        <f t="shared" si="64"/>
        <v>1216.0949536263367</v>
      </c>
      <c r="W56" s="29">
        <f t="shared" ref="W56:Y56" si="65">IF(W10=0,0,W10/W21)</f>
        <v>1232.7614736059916</v>
      </c>
      <c r="X56" s="29">
        <f t="shared" si="65"/>
        <v>1323.9120098422038</v>
      </c>
      <c r="Y56" s="29">
        <f t="shared" si="65"/>
        <v>1042.4806572933931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1233.7912197115259</v>
      </c>
      <c r="C57" s="87">
        <f t="shared" si="66"/>
        <v>1240.5677825667137</v>
      </c>
      <c r="D57" s="87">
        <f t="shared" si="66"/>
        <v>1252.5305265720961</v>
      </c>
      <c r="E57" s="87">
        <f t="shared" si="66"/>
        <v>1268.1115941851081</v>
      </c>
      <c r="F57" s="87">
        <f t="shared" si="66"/>
        <v>1281.0441461179544</v>
      </c>
      <c r="G57" s="87">
        <f t="shared" si="66"/>
        <v>1343.7519938930934</v>
      </c>
      <c r="H57" s="87">
        <f t="shared" si="66"/>
        <v>1311.4821108145175</v>
      </c>
      <c r="I57" s="87">
        <f t="shared" si="66"/>
        <v>1305.1932490300553</v>
      </c>
      <c r="J57" s="87">
        <f t="shared" si="66"/>
        <v>1304.7256122064052</v>
      </c>
      <c r="K57" s="87">
        <f t="shared" ref="K57:V57" si="67">IF(K11=0,0,K11/K22)</f>
        <v>1298.6317886014135</v>
      </c>
      <c r="L57" s="87">
        <f t="shared" si="67"/>
        <v>1293.8907487408178</v>
      </c>
      <c r="M57" s="87">
        <f t="shared" si="67"/>
        <v>1313.9562391942534</v>
      </c>
      <c r="N57" s="87">
        <f t="shared" si="67"/>
        <v>1251.8461896859501</v>
      </c>
      <c r="O57" s="87">
        <f t="shared" si="67"/>
        <v>1253.2391830079366</v>
      </c>
      <c r="P57" s="87">
        <f t="shared" si="67"/>
        <v>1240.2087033217244</v>
      </c>
      <c r="Q57" s="87">
        <f t="shared" si="67"/>
        <v>1244.2384168438018</v>
      </c>
      <c r="R57" s="87">
        <f t="shared" si="67"/>
        <v>1223.6964125964889</v>
      </c>
      <c r="S57" s="87">
        <f t="shared" si="67"/>
        <v>1229.2016268918192</v>
      </c>
      <c r="T57" s="87">
        <f t="shared" si="67"/>
        <v>1356.7644469427287</v>
      </c>
      <c r="U57" s="87">
        <f t="shared" si="67"/>
        <v>1389.5804323225284</v>
      </c>
      <c r="V57" s="87">
        <f t="shared" si="67"/>
        <v>1216.0949536263367</v>
      </c>
      <c r="W57" s="87">
        <f t="shared" ref="W57:Y57" si="68">IF(W11=0,0,W11/W22)</f>
        <v>1232.7614736059916</v>
      </c>
      <c r="X57" s="87">
        <f t="shared" si="68"/>
        <v>1323.9120098422038</v>
      </c>
      <c r="Y57" s="87">
        <f t="shared" si="68"/>
        <v>1042.4806572933931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:Y58" si="71">IF(W12=0,0,W12/W23)</f>
        <v>0</v>
      </c>
      <c r="X58" s="88">
        <f t="shared" si="71"/>
        <v>0</v>
      </c>
      <c r="Y58" s="88">
        <f t="shared" si="71"/>
        <v>0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359.56373047999881</v>
      </c>
      <c r="C61" s="29">
        <f t="shared" ref="C61" si="73">IF(C26=0,0,(C62*C27+C64*C29+C65*C30+C66*C31)/(C27+C29+C30+C31))</f>
        <v>358.54590049912014</v>
      </c>
      <c r="D61" s="29">
        <f t="shared" ref="D61" si="74">IF(D26=0,0,(D62*D27+D64*D29+D65*D30+D66*D31)/(D27+D29+D30+D31))</f>
        <v>356.78136638764437</v>
      </c>
      <c r="E61" s="29">
        <f t="shared" ref="E61" si="75">IF(E26=0,0,(E62*E27+E64*E29+E65*E30+E66*E31)/(E27+E29+E30+E31))</f>
        <v>353.96323108204035</v>
      </c>
      <c r="F61" s="29">
        <f t="shared" ref="F61" si="76">IF(F26=0,0,(F62*F27+F64*F29+F65*F30+F66*F31)/(F27+F29+F30+F31))</f>
        <v>354.25622473435095</v>
      </c>
      <c r="G61" s="29">
        <f t="shared" ref="G61" si="77">IF(G26=0,0,(G62*G27+G64*G29+G65*G30+G66*G31)/(G27+G29+G30+G31))</f>
        <v>353.13119210311021</v>
      </c>
      <c r="H61" s="29">
        <f t="shared" ref="H61" si="78">IF(H26=0,0,(H62*H27+H64*H29+H65*H30+H66*H31)/(H27+H29+H30+H31))</f>
        <v>353.15718189293972</v>
      </c>
      <c r="I61" s="29">
        <f t="shared" ref="I61" si="79">IF(I26=0,0,(I62*I27+I64*I29+I65*I30+I66*I31)/(I27+I29+I30+I31))</f>
        <v>353.09845739710903</v>
      </c>
      <c r="J61" s="29">
        <f t="shared" ref="J61" si="80">IF(J26=0,0,(J62*J27+J64*J29+J65*J30+J66*J31)/(J27+J29+J30+J31))</f>
        <v>351.53951779036072</v>
      </c>
      <c r="K61" s="29">
        <f t="shared" ref="K61" si="81">IF(K26=0,0,(K62*K27+K64*K29+K65*K30+K66*K31)/(K27+K29+K30+K31))</f>
        <v>350.13006475729838</v>
      </c>
      <c r="L61" s="29">
        <f t="shared" ref="L61" si="82">IF(L26=0,0,(L62*L27+L64*L29+L65*L30+L66*L31)/(L27+L29+L30+L31))</f>
        <v>361.18056069074493</v>
      </c>
      <c r="M61" s="29">
        <f t="shared" ref="M61" si="83">IF(M26=0,0,(M62*M27+M64*M29+M65*M30+M66*M31)/(M27+M29+M30+M31))</f>
        <v>363.76214354079531</v>
      </c>
      <c r="N61" s="29">
        <f t="shared" ref="N61" si="84">IF(N26=0,0,(N62*N27+N64*N29+N65*N30+N66*N31)/(N27+N29+N30+N31))</f>
        <v>363.91476004971855</v>
      </c>
      <c r="O61" s="29">
        <f t="shared" ref="O61" si="85">IF(O26=0,0,(O62*O27+O64*O29+O65*O30+O66*O31)/(O27+O29+O30+O31))</f>
        <v>365.64617336701667</v>
      </c>
      <c r="P61" s="29">
        <f t="shared" ref="P61" si="86">IF(P26=0,0,(P62*P27+P64*P29+P65*P30+P66*P31)/(P27+P29+P30+P31))</f>
        <v>368.28189395259454</v>
      </c>
      <c r="Q61" s="29">
        <f t="shared" ref="Q61" si="87">IF(Q26=0,0,(Q62*Q27+Q64*Q29+Q65*Q30+Q66*Q31)/(Q27+Q29+Q30+Q31))</f>
        <v>361.84118033652135</v>
      </c>
      <c r="R61" s="29">
        <f t="shared" ref="R61" si="88">IF(R26=0,0,(R62*R27+R64*R29+R65*R30+R66*R31)/(R27+R29+R30+R31))</f>
        <v>360.61897050921078</v>
      </c>
      <c r="S61" s="29">
        <f t="shared" ref="S61" si="89">IF(S26=0,0,(S62*S27+S64*S29+S65*S30+S66*S31)/(S27+S29+S30+S31))</f>
        <v>361.15750457141252</v>
      </c>
      <c r="T61" s="29">
        <f t="shared" ref="T61" si="90">IF(T26=0,0,(T62*T27+T64*T29+T65*T30+T66*T31)/(T27+T29+T30+T31))</f>
        <v>362.34398595363433</v>
      </c>
      <c r="U61" s="29">
        <f t="shared" ref="U61" si="91">IF(U26=0,0,(U62*U27+U64*U29+U65*U30+U66*U31)/(U27+U29+U30+U31))</f>
        <v>361.42539677201972</v>
      </c>
      <c r="V61" s="29">
        <f t="shared" ref="V61" si="92">IF(V26=0,0,(V62*V27+V64*V29+V65*V30+V66*V31)/(V27+V29+V30+V31))</f>
        <v>361.60952758944529</v>
      </c>
      <c r="W61" s="29">
        <f t="shared" ref="W61:Y61" si="93">IF(W26=0,0,(W62*W27+W64*W29+W65*W30+W66*W31)/(W27+W29+W30+W31))</f>
        <v>356.99393226480987</v>
      </c>
      <c r="X61" s="29">
        <f t="shared" si="93"/>
        <v>354.49118181188874</v>
      </c>
      <c r="Y61" s="29">
        <f t="shared" si="93"/>
        <v>350.90160299551974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320.00000000000006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X69" s="88">
        <v>0</v>
      </c>
      <c r="Y69" s="88">
        <v>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0.29273575519710998</v>
      </c>
      <c r="C72" s="30">
        <f t="shared" ref="C72:J72" si="138">IF(C50=0,0,C50/C61)</f>
        <v>0.29364272008332132</v>
      </c>
      <c r="D72" s="30">
        <f t="shared" si="138"/>
        <v>0.29927259671773099</v>
      </c>
      <c r="E72" s="30">
        <f t="shared" si="138"/>
        <v>0.2908756412200415</v>
      </c>
      <c r="F72" s="30">
        <f t="shared" si="138"/>
        <v>0.30204566352356615</v>
      </c>
      <c r="G72" s="30">
        <f t="shared" si="138"/>
        <v>0.31305737807624934</v>
      </c>
      <c r="H72" s="30">
        <f t="shared" si="138"/>
        <v>0.34418518788222535</v>
      </c>
      <c r="I72" s="30">
        <f t="shared" si="138"/>
        <v>0.3389793331622481</v>
      </c>
      <c r="J72" s="30">
        <f t="shared" si="138"/>
        <v>0.32903498298840494</v>
      </c>
      <c r="K72" s="30">
        <f t="shared" ref="K72:V72" si="139">IF(K50=0,0,K50/K61)</f>
        <v>0.30488322748188607</v>
      </c>
      <c r="L72" s="30">
        <f t="shared" si="139"/>
        <v>0.30922612376132969</v>
      </c>
      <c r="M72" s="30">
        <f t="shared" si="139"/>
        <v>0.30181069644695679</v>
      </c>
      <c r="N72" s="30">
        <f t="shared" si="139"/>
        <v>0.30107782431218311</v>
      </c>
      <c r="O72" s="30">
        <f t="shared" si="139"/>
        <v>0.30214319307368781</v>
      </c>
      <c r="P72" s="30">
        <f t="shared" si="139"/>
        <v>0.28366540072140795</v>
      </c>
      <c r="Q72" s="30">
        <f t="shared" si="139"/>
        <v>0.23773795633314057</v>
      </c>
      <c r="R72" s="30">
        <f t="shared" si="139"/>
        <v>0.23668940792826154</v>
      </c>
      <c r="S72" s="30">
        <f t="shared" si="139"/>
        <v>0.2422578277700313</v>
      </c>
      <c r="T72" s="30">
        <f t="shared" si="139"/>
        <v>0.25279683090459037</v>
      </c>
      <c r="U72" s="30">
        <f t="shared" si="139"/>
        <v>0.26334191808497581</v>
      </c>
      <c r="V72" s="30">
        <f t="shared" si="139"/>
        <v>0.19658438571715206</v>
      </c>
      <c r="W72" s="30">
        <f t="shared" ref="W72:Y72" si="140">IF(W50=0,0,W50/W61)</f>
        <v>0.16013346948608118</v>
      </c>
      <c r="X72" s="30">
        <f t="shared" si="140"/>
        <v>0.23937995910592308</v>
      </c>
      <c r="Y72" s="30">
        <f t="shared" si="140"/>
        <v>0.25931398069721978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0.17112261839002535</v>
      </c>
      <c r="C73" s="118">
        <f t="shared" si="141"/>
        <v>0.1750805431866875</v>
      </c>
      <c r="D73" s="118">
        <f t="shared" si="141"/>
        <v>0.18223679592480668</v>
      </c>
      <c r="E73" s="118">
        <f t="shared" si="141"/>
        <v>0.18318457216121334</v>
      </c>
      <c r="F73" s="118">
        <f t="shared" si="141"/>
        <v>0.18602407176465455</v>
      </c>
      <c r="G73" s="118">
        <f t="shared" si="141"/>
        <v>0.19002871571448232</v>
      </c>
      <c r="H73" s="118">
        <f t="shared" si="141"/>
        <v>0.19630115755978772</v>
      </c>
      <c r="I73" s="118">
        <f t="shared" si="141"/>
        <v>0.19554718689952005</v>
      </c>
      <c r="J73" s="118">
        <f t="shared" si="141"/>
        <v>0.19277265837583649</v>
      </c>
      <c r="K73" s="118">
        <f t="shared" ref="K73:V73" si="142">IF(K51=0,0,K51/K62)</f>
        <v>0.18604636928112672</v>
      </c>
      <c r="L73" s="118">
        <f t="shared" si="142"/>
        <v>0.19083491028112676</v>
      </c>
      <c r="M73" s="118">
        <f t="shared" si="142"/>
        <v>0.18952338959659723</v>
      </c>
      <c r="N73" s="118">
        <f t="shared" si="142"/>
        <v>0.18929484814613493</v>
      </c>
      <c r="O73" s="118">
        <f t="shared" si="142"/>
        <v>0.19019240440489404</v>
      </c>
      <c r="P73" s="118">
        <f t="shared" si="142"/>
        <v>0.18516748131013785</v>
      </c>
      <c r="Q73" s="118">
        <f t="shared" si="142"/>
        <v>0.18148039765520313</v>
      </c>
      <c r="R73" s="118">
        <f t="shared" si="142"/>
        <v>0.18152471759097413</v>
      </c>
      <c r="S73" s="118">
        <f t="shared" si="142"/>
        <v>0.18226366349529058</v>
      </c>
      <c r="T73" s="118">
        <f t="shared" si="142"/>
        <v>0.18412905675849575</v>
      </c>
      <c r="U73" s="118">
        <f t="shared" si="142"/>
        <v>0.18544612544909192</v>
      </c>
      <c r="V73" s="118">
        <f t="shared" si="142"/>
        <v>0.1220758381893421</v>
      </c>
      <c r="W73" s="118">
        <f t="shared" ref="W73:Y73" si="143">IF(W51=0,0,W51/W62)</f>
        <v>0.10537245221336358</v>
      </c>
      <c r="X73" s="118">
        <f t="shared" si="143"/>
        <v>0.15483909759969214</v>
      </c>
      <c r="Y73" s="118">
        <f t="shared" si="143"/>
        <v>0.17388514349332013</v>
      </c>
      <c r="DA73" s="203"/>
    </row>
    <row r="74" spans="1:105" ht="11.45" customHeight="1" x14ac:dyDescent="0.25">
      <c r="A74" s="109" t="s">
        <v>24</v>
      </c>
      <c r="B74" s="119">
        <f t="shared" si="141"/>
        <v>0.41146039492205688</v>
      </c>
      <c r="C74" s="119">
        <f t="shared" si="141"/>
        <v>0.40413243484961647</v>
      </c>
      <c r="D74" s="119">
        <f t="shared" si="141"/>
        <v>0.39974905423317419</v>
      </c>
      <c r="E74" s="119">
        <f t="shared" si="141"/>
        <v>0.37193568644347874</v>
      </c>
      <c r="F74" s="119">
        <f t="shared" si="141"/>
        <v>0.39031297680555654</v>
      </c>
      <c r="G74" s="119">
        <f t="shared" si="141"/>
        <v>0.40142134495783888</v>
      </c>
      <c r="H74" s="119">
        <f t="shared" si="141"/>
        <v>0.44965030017848945</v>
      </c>
      <c r="I74" s="119">
        <f t="shared" si="141"/>
        <v>0.4411142457118114</v>
      </c>
      <c r="J74" s="119">
        <f t="shared" si="141"/>
        <v>0.418976247929287</v>
      </c>
      <c r="K74" s="119">
        <f t="shared" ref="K74:V74" si="144">IF(K52=0,0,K52/K63)</f>
        <v>0.37037429693117707</v>
      </c>
      <c r="L74" s="119">
        <f t="shared" si="144"/>
        <v>0.45199092033825322</v>
      </c>
      <c r="M74" s="119">
        <f t="shared" si="144"/>
        <v>0.44538538819686696</v>
      </c>
      <c r="N74" s="119">
        <f t="shared" si="144"/>
        <v>0.43879901653281606</v>
      </c>
      <c r="O74" s="119">
        <f t="shared" si="144"/>
        <v>0.45215017095962734</v>
      </c>
      <c r="P74" s="119">
        <f t="shared" si="144"/>
        <v>0.43251941380677977</v>
      </c>
      <c r="Q74" s="119">
        <f t="shared" si="144"/>
        <v>0.30257324664870289</v>
      </c>
      <c r="R74" s="119">
        <f t="shared" si="144"/>
        <v>0.2968583651427722</v>
      </c>
      <c r="S74" s="119">
        <f t="shared" si="144"/>
        <v>0.30883909471817411</v>
      </c>
      <c r="T74" s="119">
        <f t="shared" si="144"/>
        <v>0.3324990173846834</v>
      </c>
      <c r="U74" s="119">
        <f t="shared" si="144"/>
        <v>0.34911429645245595</v>
      </c>
      <c r="V74" s="119">
        <f t="shared" si="144"/>
        <v>0.28573732421302095</v>
      </c>
      <c r="W74" s="119">
        <f t="shared" ref="W74:Y74" si="145">IF(W52=0,0,W52/W63)</f>
        <v>0.18959502843532478</v>
      </c>
      <c r="X74" s="119">
        <f t="shared" si="145"/>
        <v>0.27933593907663673</v>
      </c>
      <c r="Y74" s="119">
        <f t="shared" si="145"/>
        <v>0.29678803032758933</v>
      </c>
      <c r="DA74" s="176"/>
    </row>
    <row r="75" spans="1:105" ht="11.45" customHeight="1" x14ac:dyDescent="0.25">
      <c r="A75" s="111" t="s">
        <v>92</v>
      </c>
      <c r="B75" s="120">
        <f t="shared" si="141"/>
        <v>0.38209022616805993</v>
      </c>
      <c r="C75" s="120">
        <f t="shared" si="141"/>
        <v>0.36898411821479682</v>
      </c>
      <c r="D75" s="120">
        <f t="shared" si="141"/>
        <v>0.3554901980946471</v>
      </c>
      <c r="E75" s="120">
        <f t="shared" si="141"/>
        <v>0.32667617346965178</v>
      </c>
      <c r="F75" s="120">
        <f t="shared" si="141"/>
        <v>0.34256166867803717</v>
      </c>
      <c r="G75" s="120">
        <f t="shared" si="141"/>
        <v>0.35050708209203058</v>
      </c>
      <c r="H75" s="120">
        <f t="shared" si="141"/>
        <v>0.39273560417896869</v>
      </c>
      <c r="I75" s="120">
        <f t="shared" si="141"/>
        <v>0.38658834764275907</v>
      </c>
      <c r="J75" s="120">
        <f t="shared" si="141"/>
        <v>0.36455170443260726</v>
      </c>
      <c r="K75" s="120">
        <f t="shared" ref="K75:V75" si="146">IF(K53=0,0,K53/K64)</f>
        <v>0.3261774503530141</v>
      </c>
      <c r="L75" s="120">
        <f t="shared" si="146"/>
        <v>0.34931270618438809</v>
      </c>
      <c r="M75" s="120">
        <f t="shared" si="146"/>
        <v>0.33986925993484557</v>
      </c>
      <c r="N75" s="120">
        <f t="shared" si="146"/>
        <v>0.33784825350023084</v>
      </c>
      <c r="O75" s="120">
        <f t="shared" si="146"/>
        <v>0.34403301881015963</v>
      </c>
      <c r="P75" s="120">
        <f t="shared" si="146"/>
        <v>0.33063336262004361</v>
      </c>
      <c r="Q75" s="120">
        <f t="shared" si="146"/>
        <v>0.33997947142887264</v>
      </c>
      <c r="R75" s="120">
        <f t="shared" si="146"/>
        <v>0.32547673764069629</v>
      </c>
      <c r="S75" s="120">
        <f t="shared" si="146"/>
        <v>0.32798889544645765</v>
      </c>
      <c r="T75" s="120">
        <f t="shared" si="146"/>
        <v>0.36327256820370379</v>
      </c>
      <c r="U75" s="120">
        <f t="shared" si="146"/>
        <v>0.37617304900067777</v>
      </c>
      <c r="V75" s="120">
        <f t="shared" si="146"/>
        <v>0.28321621826765186</v>
      </c>
      <c r="W75" s="120">
        <f t="shared" ref="W75:Y75" si="147">IF(W53=0,0,W53/W64)</f>
        <v>0.18672830406712349</v>
      </c>
      <c r="X75" s="120">
        <f t="shared" si="147"/>
        <v>0.27625976535689278</v>
      </c>
      <c r="Y75" s="120">
        <f t="shared" si="147"/>
        <v>0.24693690257580608</v>
      </c>
      <c r="DA75" s="171"/>
    </row>
    <row r="76" spans="1:105" ht="11.45" customHeight="1" x14ac:dyDescent="0.25">
      <c r="A76" s="111" t="s">
        <v>93</v>
      </c>
      <c r="B76" s="120">
        <f t="shared" si="141"/>
        <v>0.5260915843591174</v>
      </c>
      <c r="C76" s="120">
        <f t="shared" si="141"/>
        <v>0.54115056795234839</v>
      </c>
      <c r="D76" s="120">
        <f t="shared" si="141"/>
        <v>0.60152768603307505</v>
      </c>
      <c r="E76" s="120">
        <f t="shared" si="141"/>
        <v>0.55624764383132452</v>
      </c>
      <c r="F76" s="120">
        <f t="shared" si="141"/>
        <v>0.58444407136174203</v>
      </c>
      <c r="G76" s="120">
        <f t="shared" si="141"/>
        <v>0.60090776499950482</v>
      </c>
      <c r="H76" s="120">
        <f t="shared" si="141"/>
        <v>0.67240650035476002</v>
      </c>
      <c r="I76" s="120">
        <f t="shared" si="141"/>
        <v>0.65270315277906166</v>
      </c>
      <c r="J76" s="120">
        <f t="shared" si="141"/>
        <v>0.58598877084832979</v>
      </c>
      <c r="K76" s="120">
        <f t="shared" ref="K76:V76" si="148">IF(K54=0,0,K54/K65)</f>
        <v>0.47944712742469769</v>
      </c>
      <c r="L76" s="120">
        <f t="shared" si="148"/>
        <v>0.75347444587326284</v>
      </c>
      <c r="M76" s="120">
        <f t="shared" si="148"/>
        <v>0.76136609332595617</v>
      </c>
      <c r="N76" s="120">
        <f t="shared" si="148"/>
        <v>0.71157497660922453</v>
      </c>
      <c r="O76" s="120">
        <f t="shared" si="148"/>
        <v>0.76688496497518466</v>
      </c>
      <c r="P76" s="120">
        <f t="shared" si="148"/>
        <v>0.69189273916866589</v>
      </c>
      <c r="Q76" s="120">
        <f t="shared" si="148"/>
        <v>0.26595056903476244</v>
      </c>
      <c r="R76" s="120">
        <f t="shared" si="148"/>
        <v>0.27063100131081164</v>
      </c>
      <c r="S76" s="120">
        <f t="shared" si="148"/>
        <v>0.29262572599118164</v>
      </c>
      <c r="T76" s="120">
        <f t="shared" si="148"/>
        <v>0.31119523887466954</v>
      </c>
      <c r="U76" s="120">
        <f t="shared" si="148"/>
        <v>0.33235160630889454</v>
      </c>
      <c r="V76" s="120">
        <f t="shared" si="148"/>
        <v>0.28660605049028171</v>
      </c>
      <c r="W76" s="120">
        <f t="shared" ref="W76:Y76" si="149">IF(W54=0,0,W54/W65)</f>
        <v>0.19071996736554725</v>
      </c>
      <c r="X76" s="120">
        <f t="shared" si="149"/>
        <v>0.28060979401225145</v>
      </c>
      <c r="Y76" s="120">
        <f t="shared" si="149"/>
        <v>0.32396954015355328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0.58751962843405992</v>
      </c>
      <c r="C78" s="30">
        <f t="shared" si="141"/>
        <v>0.59074656312700657</v>
      </c>
      <c r="D78" s="30">
        <f t="shared" si="141"/>
        <v>0.59644310789147426</v>
      </c>
      <c r="E78" s="30">
        <f t="shared" si="141"/>
        <v>0.60386266389767052</v>
      </c>
      <c r="F78" s="30">
        <f t="shared" si="141"/>
        <v>0.61002102196093066</v>
      </c>
      <c r="G78" s="30">
        <f t="shared" si="141"/>
        <v>0.63988190185385396</v>
      </c>
      <c r="H78" s="30">
        <f t="shared" si="141"/>
        <v>0.62451529086405588</v>
      </c>
      <c r="I78" s="30">
        <f t="shared" si="141"/>
        <v>0.62152059477621679</v>
      </c>
      <c r="J78" s="30">
        <f t="shared" si="141"/>
        <v>0.6212979105744787</v>
      </c>
      <c r="K78" s="30">
        <f t="shared" ref="K78:V78" si="152">IF(K56=0,0,K56/K67)</f>
        <v>0.61839608981019689</v>
      </c>
      <c r="L78" s="30">
        <f t="shared" si="152"/>
        <v>0.61613845178134186</v>
      </c>
      <c r="M78" s="30">
        <f t="shared" si="152"/>
        <v>0.6256934472353588</v>
      </c>
      <c r="N78" s="30">
        <f t="shared" si="152"/>
        <v>0.59611723318378573</v>
      </c>
      <c r="O78" s="30">
        <f t="shared" si="152"/>
        <v>0.59678056333711271</v>
      </c>
      <c r="P78" s="30">
        <f t="shared" si="152"/>
        <v>0.59057557301034502</v>
      </c>
      <c r="Q78" s="30">
        <f t="shared" si="152"/>
        <v>0.59249448421133422</v>
      </c>
      <c r="R78" s="30">
        <f t="shared" si="152"/>
        <v>0.58271257742689953</v>
      </c>
      <c r="S78" s="30">
        <f t="shared" si="152"/>
        <v>0.58533410804372343</v>
      </c>
      <c r="T78" s="30">
        <f t="shared" si="152"/>
        <v>0.64607830806796607</v>
      </c>
      <c r="U78" s="30">
        <f t="shared" si="152"/>
        <v>0.66170496777263255</v>
      </c>
      <c r="V78" s="30">
        <f t="shared" si="152"/>
        <v>0.5790928350601604</v>
      </c>
      <c r="W78" s="30">
        <f t="shared" ref="W78:Y78" si="153">IF(W56=0,0,W56/W67)</f>
        <v>0.5870292731457103</v>
      </c>
      <c r="X78" s="30">
        <f t="shared" si="153"/>
        <v>0.63043429040104948</v>
      </c>
      <c r="Y78" s="30">
        <f t="shared" si="153"/>
        <v>0.49641936061590147</v>
      </c>
      <c r="DA78" s="173"/>
    </row>
    <row r="79" spans="1:105" ht="11.45" customHeight="1" x14ac:dyDescent="0.25">
      <c r="A79" s="83" t="s">
        <v>92</v>
      </c>
      <c r="B79" s="120">
        <f t="shared" si="141"/>
        <v>0.58751962843405992</v>
      </c>
      <c r="C79" s="120">
        <f t="shared" si="141"/>
        <v>0.59074656312700657</v>
      </c>
      <c r="D79" s="120">
        <f t="shared" si="141"/>
        <v>0.59644310789147426</v>
      </c>
      <c r="E79" s="120">
        <f t="shared" si="141"/>
        <v>0.60386266389767052</v>
      </c>
      <c r="F79" s="120">
        <f t="shared" si="141"/>
        <v>0.61002102196093066</v>
      </c>
      <c r="G79" s="120">
        <f t="shared" si="141"/>
        <v>0.63988190185385396</v>
      </c>
      <c r="H79" s="120">
        <f t="shared" si="141"/>
        <v>0.62451529086405588</v>
      </c>
      <c r="I79" s="120">
        <f t="shared" si="141"/>
        <v>0.62152059477621679</v>
      </c>
      <c r="J79" s="120">
        <f t="shared" si="141"/>
        <v>0.6212979105744787</v>
      </c>
      <c r="K79" s="120">
        <f t="shared" ref="K79:V79" si="154">IF(K57=0,0,K57/K68)</f>
        <v>0.61839608981019689</v>
      </c>
      <c r="L79" s="120">
        <f t="shared" si="154"/>
        <v>0.61613845178134186</v>
      </c>
      <c r="M79" s="120">
        <f t="shared" si="154"/>
        <v>0.6256934472353588</v>
      </c>
      <c r="N79" s="120">
        <f t="shared" si="154"/>
        <v>0.59611723318378573</v>
      </c>
      <c r="O79" s="120">
        <f t="shared" si="154"/>
        <v>0.59678056333711271</v>
      </c>
      <c r="P79" s="120">
        <f t="shared" si="154"/>
        <v>0.59057557301034502</v>
      </c>
      <c r="Q79" s="120">
        <f t="shared" si="154"/>
        <v>0.59249448421133422</v>
      </c>
      <c r="R79" s="120">
        <f t="shared" si="154"/>
        <v>0.58271257742689953</v>
      </c>
      <c r="S79" s="120">
        <f t="shared" si="154"/>
        <v>0.58533410804372343</v>
      </c>
      <c r="T79" s="120">
        <f t="shared" si="154"/>
        <v>0.64607830806796607</v>
      </c>
      <c r="U79" s="120">
        <f t="shared" si="154"/>
        <v>0.66170496777263255</v>
      </c>
      <c r="V79" s="120">
        <f t="shared" si="154"/>
        <v>0.5790928350601604</v>
      </c>
      <c r="W79" s="120">
        <f t="shared" ref="W79:Y79" si="155">IF(W57=0,0,W57/W68)</f>
        <v>0.5870292731457103</v>
      </c>
      <c r="X79" s="120">
        <f t="shared" si="155"/>
        <v>0.63043429040104948</v>
      </c>
      <c r="Y79" s="120">
        <f t="shared" si="155"/>
        <v>0.49641936061590147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:Y80" si="157">IF(W58=0,0,W58/W69)</f>
        <v>0</v>
      </c>
      <c r="X80" s="122">
        <f t="shared" si="157"/>
        <v>0</v>
      </c>
      <c r="Y80" s="122">
        <f t="shared" si="157"/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160195.0821167808</v>
      </c>
      <c r="C82" s="54">
        <f t="shared" si="158"/>
        <v>161805.69273940049</v>
      </c>
      <c r="D82" s="54">
        <f t="shared" si="158"/>
        <v>162737.75577070823</v>
      </c>
      <c r="E82" s="54">
        <f t="shared" si="158"/>
        <v>165729.18955260742</v>
      </c>
      <c r="F82" s="54">
        <f t="shared" si="158"/>
        <v>165852.51085070064</v>
      </c>
      <c r="G82" s="54">
        <f t="shared" si="158"/>
        <v>165590.65580062065</v>
      </c>
      <c r="H82" s="54">
        <f t="shared" si="158"/>
        <v>158957.37651418455</v>
      </c>
      <c r="I82" s="54">
        <f t="shared" si="158"/>
        <v>164847.93107708712</v>
      </c>
      <c r="J82" s="54">
        <f t="shared" si="158"/>
        <v>166639.03994923751</v>
      </c>
      <c r="K82" s="54">
        <f t="shared" ref="K82:V82" si="159">IF(K14=0,0,K14/K25*1000000)</f>
        <v>160421.48302707338</v>
      </c>
      <c r="L82" s="54">
        <f t="shared" si="159"/>
        <v>153445.96022366523</v>
      </c>
      <c r="M82" s="54">
        <f t="shared" si="159"/>
        <v>161107.71851538587</v>
      </c>
      <c r="N82" s="54">
        <f t="shared" si="159"/>
        <v>165609.50973576744</v>
      </c>
      <c r="O82" s="54">
        <f t="shared" si="159"/>
        <v>158630.46885625145</v>
      </c>
      <c r="P82" s="54">
        <f t="shared" si="159"/>
        <v>162962.47498248905</v>
      </c>
      <c r="Q82" s="54">
        <f t="shared" si="159"/>
        <v>162516.5944888365</v>
      </c>
      <c r="R82" s="54">
        <f t="shared" si="159"/>
        <v>154507.29451579929</v>
      </c>
      <c r="S82" s="54">
        <f t="shared" si="159"/>
        <v>154949.3989017799</v>
      </c>
      <c r="T82" s="54">
        <f t="shared" si="159"/>
        <v>160291.11991669337</v>
      </c>
      <c r="U82" s="54">
        <f t="shared" si="159"/>
        <v>150692.31985446002</v>
      </c>
      <c r="V82" s="54">
        <f t="shared" si="159"/>
        <v>119330.65985679041</v>
      </c>
      <c r="W82" s="54">
        <f t="shared" ref="W82:Y82" si="160">IF(W14=0,0,W14/W25*1000000)</f>
        <v>107876.16786374972</v>
      </c>
      <c r="X82" s="54">
        <f t="shared" si="160"/>
        <v>111535.17456513421</v>
      </c>
      <c r="Y82" s="54">
        <f t="shared" si="160"/>
        <v>115939.84857431144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130218.13263840435</v>
      </c>
      <c r="C83" s="28">
        <f t="shared" si="161"/>
        <v>130727.04690919073</v>
      </c>
      <c r="D83" s="28">
        <f t="shared" si="161"/>
        <v>131609.3136215414</v>
      </c>
      <c r="E83" s="28">
        <f t="shared" si="161"/>
        <v>133018.38211104408</v>
      </c>
      <c r="F83" s="28">
        <f t="shared" si="161"/>
        <v>132871.88432716863</v>
      </c>
      <c r="G83" s="28">
        <f t="shared" si="161"/>
        <v>133434.40167101874</v>
      </c>
      <c r="H83" s="28">
        <f t="shared" si="161"/>
        <v>133421.40561908873</v>
      </c>
      <c r="I83" s="28">
        <f t="shared" si="161"/>
        <v>133450.7693394862</v>
      </c>
      <c r="J83" s="28">
        <f t="shared" si="161"/>
        <v>134230.23955487716</v>
      </c>
      <c r="K83" s="28">
        <f t="shared" ref="K83:V83" si="162">IF(K15=0,0,K15/K26*1000000)</f>
        <v>120486.66422890178</v>
      </c>
      <c r="L83" s="28">
        <f t="shared" si="162"/>
        <v>117373.98266257127</v>
      </c>
      <c r="M83" s="28">
        <f t="shared" si="162"/>
        <v>122628.72071028741</v>
      </c>
      <c r="N83" s="28">
        <f t="shared" si="162"/>
        <v>126637.10545639542</v>
      </c>
      <c r="O83" s="28">
        <f t="shared" si="162"/>
        <v>125875.53250488537</v>
      </c>
      <c r="P83" s="28">
        <f t="shared" si="162"/>
        <v>125859.05046673815</v>
      </c>
      <c r="Q83" s="28">
        <f t="shared" si="162"/>
        <v>129079.40604222023</v>
      </c>
      <c r="R83" s="28">
        <f t="shared" si="162"/>
        <v>129690.51284718736</v>
      </c>
      <c r="S83" s="28">
        <f t="shared" si="162"/>
        <v>129421.24483060499</v>
      </c>
      <c r="T83" s="28">
        <f t="shared" si="162"/>
        <v>128828.00667081143</v>
      </c>
      <c r="U83" s="28">
        <f t="shared" si="162"/>
        <v>129287.29918375975</v>
      </c>
      <c r="V83" s="28">
        <f t="shared" si="162"/>
        <v>119402.69991155657</v>
      </c>
      <c r="W83" s="28">
        <f t="shared" ref="W83:Y83" si="163">IF(W15=0,0,W15/W26*1000000)</f>
        <v>99449.399326798783</v>
      </c>
      <c r="X83" s="28">
        <f t="shared" si="163"/>
        <v>102189.82768586563</v>
      </c>
      <c r="Y83" s="28">
        <f t="shared" si="163"/>
        <v>109142.65287348535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109999.99886177768</v>
      </c>
      <c r="C84" s="108">
        <f t="shared" si="161"/>
        <v>109999.99799996387</v>
      </c>
      <c r="D84" s="108">
        <f t="shared" si="161"/>
        <v>109999.99929083879</v>
      </c>
      <c r="E84" s="108">
        <f t="shared" si="161"/>
        <v>109999.99771804838</v>
      </c>
      <c r="F84" s="108">
        <f t="shared" si="161"/>
        <v>109999.99703372049</v>
      </c>
      <c r="G84" s="108">
        <f t="shared" si="161"/>
        <v>109999.99997619462</v>
      </c>
      <c r="H84" s="108">
        <f t="shared" si="161"/>
        <v>109999.99912816146</v>
      </c>
      <c r="I84" s="108">
        <f t="shared" si="161"/>
        <v>109999.99784302205</v>
      </c>
      <c r="J84" s="108">
        <f t="shared" si="161"/>
        <v>109999.99746456831</v>
      </c>
      <c r="K84" s="108">
        <f t="shared" ref="K84:V84" si="164">IF(K16=0,0,K16/K27*1000000)</f>
        <v>85386.900371062802</v>
      </c>
      <c r="L84" s="108">
        <f t="shared" si="164"/>
        <v>109999.99959134866</v>
      </c>
      <c r="M84" s="108">
        <f t="shared" si="164"/>
        <v>109999.99840605113</v>
      </c>
      <c r="N84" s="108">
        <f t="shared" si="164"/>
        <v>109999.99994886071</v>
      </c>
      <c r="O84" s="108">
        <f t="shared" si="164"/>
        <v>109999.99896971328</v>
      </c>
      <c r="P84" s="108">
        <f t="shared" si="164"/>
        <v>109999.99828464736</v>
      </c>
      <c r="Q84" s="108">
        <f t="shared" si="164"/>
        <v>109999.99858222633</v>
      </c>
      <c r="R84" s="108">
        <f t="shared" si="164"/>
        <v>109999.99751284286</v>
      </c>
      <c r="S84" s="108">
        <f t="shared" si="164"/>
        <v>109999.99851344145</v>
      </c>
      <c r="T84" s="108">
        <f t="shared" si="164"/>
        <v>109999.99966101986</v>
      </c>
      <c r="U84" s="108">
        <f t="shared" si="164"/>
        <v>109999.99806649161</v>
      </c>
      <c r="V84" s="108">
        <f t="shared" si="164"/>
        <v>109645.54668223443</v>
      </c>
      <c r="W84" s="108">
        <f t="shared" ref="W84:Y84" si="165">IF(W16=0,0,W16/W27*1000000)</f>
        <v>40683.478492284354</v>
      </c>
      <c r="X84" s="108">
        <f t="shared" si="165"/>
        <v>39107.493347905242</v>
      </c>
      <c r="Y84" s="108">
        <f t="shared" si="165"/>
        <v>44225.950183132751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149999.99691624928</v>
      </c>
      <c r="C85" s="110">
        <f t="shared" si="161"/>
        <v>149999.99637655271</v>
      </c>
      <c r="D85" s="110">
        <f t="shared" si="161"/>
        <v>149999.99470860185</v>
      </c>
      <c r="E85" s="110">
        <f t="shared" si="161"/>
        <v>149999.99760338504</v>
      </c>
      <c r="F85" s="110">
        <f t="shared" si="161"/>
        <v>149999.99644019469</v>
      </c>
      <c r="G85" s="110">
        <f t="shared" si="161"/>
        <v>149999.996129507</v>
      </c>
      <c r="H85" s="110">
        <f t="shared" si="161"/>
        <v>149999.99475164793</v>
      </c>
      <c r="I85" s="110">
        <f t="shared" si="161"/>
        <v>149999.99817566553</v>
      </c>
      <c r="J85" s="110">
        <f t="shared" si="161"/>
        <v>149999.99909144305</v>
      </c>
      <c r="K85" s="110">
        <f t="shared" ref="K85:V85" si="166">IF(K17=0,0,K17/K28*1000000)</f>
        <v>141692.99130463909</v>
      </c>
      <c r="L85" s="110">
        <f t="shared" si="166"/>
        <v>125196.47476447579</v>
      </c>
      <c r="M85" s="110">
        <f t="shared" si="166"/>
        <v>137879.62162483233</v>
      </c>
      <c r="N85" s="110">
        <f t="shared" si="166"/>
        <v>146884.01242699838</v>
      </c>
      <c r="O85" s="110">
        <f t="shared" si="166"/>
        <v>146969.46663286988</v>
      </c>
      <c r="P85" s="110">
        <f t="shared" si="166"/>
        <v>149999.99616191801</v>
      </c>
      <c r="Q85" s="110">
        <f t="shared" si="166"/>
        <v>149999.99360985993</v>
      </c>
      <c r="R85" s="110">
        <f t="shared" si="166"/>
        <v>149999.99870925624</v>
      </c>
      <c r="S85" s="110">
        <f t="shared" si="166"/>
        <v>149999.99563591226</v>
      </c>
      <c r="T85" s="110">
        <f t="shared" si="166"/>
        <v>149999.99963257016</v>
      </c>
      <c r="U85" s="110">
        <f t="shared" si="166"/>
        <v>149999.9970363382</v>
      </c>
      <c r="V85" s="110">
        <f t="shared" si="166"/>
        <v>129977.99401443158</v>
      </c>
      <c r="W85" s="110">
        <f t="shared" ref="W85:Y85" si="167">IF(W17=0,0,W17/W28*1000000)</f>
        <v>149999.99856357402</v>
      </c>
      <c r="X85" s="110">
        <f t="shared" si="167"/>
        <v>149999.99611905389</v>
      </c>
      <c r="Y85" s="110">
        <f t="shared" si="167"/>
        <v>149999.99846324892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149999.99714662641</v>
      </c>
      <c r="C86" s="84">
        <f t="shared" si="161"/>
        <v>149999.99606845205</v>
      </c>
      <c r="D86" s="84">
        <f t="shared" si="161"/>
        <v>149999.99818278599</v>
      </c>
      <c r="E86" s="84">
        <f t="shared" si="161"/>
        <v>149999.99858584296</v>
      </c>
      <c r="F86" s="84">
        <f t="shared" si="161"/>
        <v>149999.99782943787</v>
      </c>
      <c r="G86" s="84">
        <f t="shared" si="161"/>
        <v>149999.99772974214</v>
      </c>
      <c r="H86" s="84">
        <f t="shared" si="161"/>
        <v>149999.9966259989</v>
      </c>
      <c r="I86" s="84">
        <f t="shared" si="161"/>
        <v>149999.99841319965</v>
      </c>
      <c r="J86" s="84">
        <f t="shared" si="161"/>
        <v>149999.99978219083</v>
      </c>
      <c r="K86" s="84">
        <f t="shared" ref="K86:V86" si="168">IF(K18=0,0,K18/K29*1000000)</f>
        <v>138583.15187003271</v>
      </c>
      <c r="L86" s="84">
        <f t="shared" si="168"/>
        <v>129428.80758890344</v>
      </c>
      <c r="M86" s="84">
        <f t="shared" si="168"/>
        <v>144700.4911031143</v>
      </c>
      <c r="N86" s="84">
        <f t="shared" si="168"/>
        <v>149999.99607255135</v>
      </c>
      <c r="O86" s="84">
        <f t="shared" si="168"/>
        <v>149999.99761721108</v>
      </c>
      <c r="P86" s="84">
        <f t="shared" si="168"/>
        <v>149999.99627232572</v>
      </c>
      <c r="Q86" s="84">
        <f t="shared" si="168"/>
        <v>149999.99403012052</v>
      </c>
      <c r="R86" s="84">
        <f t="shared" si="168"/>
        <v>149999.99918353313</v>
      </c>
      <c r="S86" s="84">
        <f t="shared" si="168"/>
        <v>149999.99449013313</v>
      </c>
      <c r="T86" s="84">
        <f t="shared" si="168"/>
        <v>149999.99989613143</v>
      </c>
      <c r="U86" s="84">
        <f t="shared" si="168"/>
        <v>149999.99544718629</v>
      </c>
      <c r="V86" s="84">
        <f t="shared" si="168"/>
        <v>98131.298484520768</v>
      </c>
      <c r="W86" s="84">
        <f t="shared" ref="W86:Y86" si="169">IF(W18=0,0,W18/W29*1000000)</f>
        <v>149999.99936166982</v>
      </c>
      <c r="X86" s="84">
        <f t="shared" si="169"/>
        <v>149999.98807511805</v>
      </c>
      <c r="Y86" s="84">
        <f t="shared" si="169"/>
        <v>149999.99804878596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149999.99601709191</v>
      </c>
      <c r="C87" s="84">
        <f t="shared" si="161"/>
        <v>149999.9975776166</v>
      </c>
      <c r="D87" s="84">
        <f t="shared" si="161"/>
        <v>149999.97886960168</v>
      </c>
      <c r="E87" s="84">
        <f t="shared" si="161"/>
        <v>149999.99360248604</v>
      </c>
      <c r="F87" s="84">
        <f t="shared" si="161"/>
        <v>149999.9907922805</v>
      </c>
      <c r="G87" s="84">
        <f t="shared" si="161"/>
        <v>149999.9898596495</v>
      </c>
      <c r="H87" s="84">
        <f t="shared" si="161"/>
        <v>149999.98741569958</v>
      </c>
      <c r="I87" s="84">
        <f t="shared" si="161"/>
        <v>149999.99725390947</v>
      </c>
      <c r="J87" s="84">
        <f t="shared" si="161"/>
        <v>149999.99697174632</v>
      </c>
      <c r="K87" s="84">
        <f t="shared" ref="K87:V87" si="170">IF(K19=0,0,K19/K30*1000000)</f>
        <v>149999.98836754941</v>
      </c>
      <c r="L87" s="84">
        <f t="shared" si="170"/>
        <v>114228.91077624366</v>
      </c>
      <c r="M87" s="84">
        <f t="shared" si="170"/>
        <v>120824.0995435386</v>
      </c>
      <c r="N87" s="84">
        <f t="shared" si="170"/>
        <v>139077.49610219919</v>
      </c>
      <c r="O87" s="84">
        <f t="shared" si="170"/>
        <v>138805.80022321807</v>
      </c>
      <c r="P87" s="84">
        <f t="shared" si="170"/>
        <v>149999.99588085088</v>
      </c>
      <c r="Q87" s="84">
        <f t="shared" si="170"/>
        <v>149999.99319840255</v>
      </c>
      <c r="R87" s="84">
        <f t="shared" si="170"/>
        <v>149999.99827460424</v>
      </c>
      <c r="S87" s="84">
        <f t="shared" si="170"/>
        <v>149999.99660599756</v>
      </c>
      <c r="T87" s="84">
        <f t="shared" si="170"/>
        <v>149999.99945011313</v>
      </c>
      <c r="U87" s="84">
        <f t="shared" si="170"/>
        <v>149999.99802080568</v>
      </c>
      <c r="V87" s="84">
        <f t="shared" si="170"/>
        <v>146343.18995388914</v>
      </c>
      <c r="W87" s="84">
        <f t="shared" ref="W87:Y87" si="171">IF(W19=0,0,W19/W30*1000000)</f>
        <v>149999.99825039113</v>
      </c>
      <c r="X87" s="84">
        <f t="shared" si="171"/>
        <v>149999.99945007774</v>
      </c>
      <c r="Y87" s="84">
        <f t="shared" si="171"/>
        <v>149999.99868923638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199999.99980342796</v>
      </c>
      <c r="C89" s="28">
        <f t="shared" si="161"/>
        <v>199999.99795773294</v>
      </c>
      <c r="D89" s="28">
        <f t="shared" si="161"/>
        <v>199999.99832595032</v>
      </c>
      <c r="E89" s="28">
        <f t="shared" si="161"/>
        <v>199999.99922058947</v>
      </c>
      <c r="F89" s="28">
        <f t="shared" si="161"/>
        <v>199999.99986349762</v>
      </c>
      <c r="G89" s="28">
        <f t="shared" si="161"/>
        <v>199999.9996351786</v>
      </c>
      <c r="H89" s="28">
        <f t="shared" si="161"/>
        <v>188169.39697459847</v>
      </c>
      <c r="I89" s="28">
        <f t="shared" si="161"/>
        <v>199999.99786467777</v>
      </c>
      <c r="J89" s="28">
        <f t="shared" si="161"/>
        <v>199999.99752149783</v>
      </c>
      <c r="K89" s="28">
        <f t="shared" ref="K89:V89" si="174">IF(K21=0,0,K21/K32*1000000)</f>
        <v>199999.99925215734</v>
      </c>
      <c r="L89" s="28">
        <f t="shared" si="174"/>
        <v>199052.1377568295</v>
      </c>
      <c r="M89" s="28">
        <f t="shared" si="174"/>
        <v>199999.99963562214</v>
      </c>
      <c r="N89" s="28">
        <f t="shared" si="174"/>
        <v>199999.99886548289</v>
      </c>
      <c r="O89" s="28">
        <f t="shared" si="174"/>
        <v>190191.00032516796</v>
      </c>
      <c r="P89" s="28">
        <f t="shared" si="174"/>
        <v>199999.99823875207</v>
      </c>
      <c r="Q89" s="28">
        <f t="shared" si="174"/>
        <v>199999.99807545429</v>
      </c>
      <c r="R89" s="28">
        <f t="shared" si="174"/>
        <v>183781.66431098204</v>
      </c>
      <c r="S89" s="28">
        <f t="shared" si="174"/>
        <v>187377.29025091638</v>
      </c>
      <c r="T89" s="28">
        <f t="shared" si="174"/>
        <v>199999.99938859991</v>
      </c>
      <c r="U89" s="28">
        <f t="shared" si="174"/>
        <v>178883.96084727457</v>
      </c>
      <c r="V89" s="28">
        <f t="shared" si="174"/>
        <v>119235.85518765412</v>
      </c>
      <c r="W89" s="28">
        <f t="shared" ref="W89:Y89" si="175">IF(W21=0,0,W21/W32*1000000)</f>
        <v>120404.4415516692</v>
      </c>
      <c r="X89" s="28">
        <f t="shared" si="175"/>
        <v>126518.72757746046</v>
      </c>
      <c r="Y89" s="28">
        <f t="shared" si="175"/>
        <v>128188.3135970571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199999.99980342796</v>
      </c>
      <c r="C90" s="84">
        <f t="shared" si="161"/>
        <v>199999.99795773294</v>
      </c>
      <c r="D90" s="84">
        <f t="shared" si="161"/>
        <v>199999.99832595032</v>
      </c>
      <c r="E90" s="84">
        <f t="shared" si="161"/>
        <v>199999.99922058947</v>
      </c>
      <c r="F90" s="84">
        <f t="shared" si="161"/>
        <v>199999.99986349762</v>
      </c>
      <c r="G90" s="84">
        <f t="shared" si="161"/>
        <v>199999.9996351786</v>
      </c>
      <c r="H90" s="84">
        <f t="shared" si="161"/>
        <v>188169.39697459847</v>
      </c>
      <c r="I90" s="84">
        <f t="shared" si="161"/>
        <v>199999.99786467777</v>
      </c>
      <c r="J90" s="84">
        <f t="shared" si="161"/>
        <v>199999.99752149783</v>
      </c>
      <c r="K90" s="84">
        <f t="shared" ref="K90:V90" si="176">IF(K22=0,0,K22/K33*1000000)</f>
        <v>199999.99925215734</v>
      </c>
      <c r="L90" s="84">
        <f t="shared" si="176"/>
        <v>199052.1377568295</v>
      </c>
      <c r="M90" s="84">
        <f t="shared" si="176"/>
        <v>199999.99963562214</v>
      </c>
      <c r="N90" s="84">
        <f t="shared" si="176"/>
        <v>199999.99886548289</v>
      </c>
      <c r="O90" s="84">
        <f t="shared" si="176"/>
        <v>190191.00032516796</v>
      </c>
      <c r="P90" s="84">
        <f t="shared" si="176"/>
        <v>199999.99823875207</v>
      </c>
      <c r="Q90" s="84">
        <f t="shared" si="176"/>
        <v>199999.99807545429</v>
      </c>
      <c r="R90" s="84">
        <f t="shared" si="176"/>
        <v>183781.66431098204</v>
      </c>
      <c r="S90" s="84">
        <f t="shared" si="176"/>
        <v>187377.29025091638</v>
      </c>
      <c r="T90" s="84">
        <f t="shared" si="176"/>
        <v>199999.99938859991</v>
      </c>
      <c r="U90" s="84">
        <f t="shared" si="176"/>
        <v>178883.96084727457</v>
      </c>
      <c r="V90" s="84">
        <f t="shared" si="176"/>
        <v>119235.85518765412</v>
      </c>
      <c r="W90" s="84">
        <f t="shared" ref="W90:Y90" si="177">IF(W22=0,0,W22/W33*1000000)</f>
        <v>120404.4415516692</v>
      </c>
      <c r="X90" s="84">
        <f t="shared" si="177"/>
        <v>126518.72757746046</v>
      </c>
      <c r="Y90" s="84">
        <f t="shared" si="177"/>
        <v>128188.3135970571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:Y91" si="179">IF(W23=0,0,W23/W34*1000000)</f>
        <v>0</v>
      </c>
      <c r="X91" s="86">
        <f t="shared" si="179"/>
        <v>0</v>
      </c>
      <c r="Y91" s="86">
        <f t="shared" si="179"/>
        <v>0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13706390.845923621</v>
      </c>
      <c r="C94" s="28">
        <f t="shared" si="180"/>
        <v>13763517.84752534</v>
      </c>
      <c r="D94" s="28">
        <f t="shared" si="180"/>
        <v>14052569.45575803</v>
      </c>
      <c r="E94" s="28">
        <f t="shared" si="180"/>
        <v>13695477.089588966</v>
      </c>
      <c r="F94" s="28">
        <f t="shared" si="180"/>
        <v>14217498.432413474</v>
      </c>
      <c r="G94" s="28">
        <f t="shared" si="180"/>
        <v>14751216.486488797</v>
      </c>
      <c r="H94" s="28">
        <f t="shared" si="180"/>
        <v>16217568.116125222</v>
      </c>
      <c r="I94" s="28">
        <f t="shared" si="180"/>
        <v>15973133.561114512</v>
      </c>
      <c r="J94" s="28">
        <f t="shared" si="180"/>
        <v>15526250.633144913</v>
      </c>
      <c r="K94" s="28">
        <f t="shared" ref="K94:V94" si="181">IF(K4=0,0,K4/K26*1000000)</f>
        <v>12861804.916537592</v>
      </c>
      <c r="L94" s="28">
        <f t="shared" si="181"/>
        <v>13109085.178424345</v>
      </c>
      <c r="M94" s="28">
        <f t="shared" si="181"/>
        <v>13463076.87067176</v>
      </c>
      <c r="N94" s="28">
        <f t="shared" si="181"/>
        <v>13875205.20764333</v>
      </c>
      <c r="O94" s="28">
        <f t="shared" si="181"/>
        <v>13906414.43890718</v>
      </c>
      <c r="P94" s="28">
        <f t="shared" si="181"/>
        <v>13148347.87636563</v>
      </c>
      <c r="Q94" s="28">
        <f t="shared" si="181"/>
        <v>11103847.148579514</v>
      </c>
      <c r="R94" s="28">
        <f t="shared" si="181"/>
        <v>11069693.600099741</v>
      </c>
      <c r="S94" s="28">
        <f t="shared" si="181"/>
        <v>11323483.069621235</v>
      </c>
      <c r="T94" s="28">
        <f t="shared" si="181"/>
        <v>11800569.575978501</v>
      </c>
      <c r="U94" s="28">
        <f t="shared" si="181"/>
        <v>12305365.675817009</v>
      </c>
      <c r="V94" s="28">
        <f t="shared" si="181"/>
        <v>8487954.2780038305</v>
      </c>
      <c r="W94" s="28">
        <f t="shared" ref="W94:Y94" si="182">IF(W4=0,0,W4/W26*1000000)</f>
        <v>5685191.6850859793</v>
      </c>
      <c r="X94" s="28">
        <f t="shared" si="182"/>
        <v>8671633.0435927659</v>
      </c>
      <c r="Y94" s="28">
        <f t="shared" si="182"/>
        <v>9931292.8856949434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7529395.1312508816</v>
      </c>
      <c r="C95" s="108">
        <f t="shared" si="180"/>
        <v>7703543.7601472866</v>
      </c>
      <c r="D95" s="108">
        <f t="shared" si="180"/>
        <v>8018418.9689973881</v>
      </c>
      <c r="E95" s="108">
        <f t="shared" si="180"/>
        <v>8060121.0078860549</v>
      </c>
      <c r="F95" s="108">
        <f t="shared" si="180"/>
        <v>8185058.9369250443</v>
      </c>
      <c r="G95" s="108">
        <f t="shared" si="180"/>
        <v>8361263.4896277403</v>
      </c>
      <c r="H95" s="108">
        <f t="shared" si="180"/>
        <v>8637250.8641734943</v>
      </c>
      <c r="I95" s="108">
        <f t="shared" si="180"/>
        <v>8604076.0548624936</v>
      </c>
      <c r="J95" s="108">
        <f t="shared" si="180"/>
        <v>8481996.7730320431</v>
      </c>
      <c r="K95" s="108">
        <f t="shared" ref="K95:V95" si="183">IF(K5=0,0,K5/K27*1000000)</f>
        <v>6354369.1192822112</v>
      </c>
      <c r="L95" s="108">
        <f t="shared" si="183"/>
        <v>8396736.0211756006</v>
      </c>
      <c r="M95" s="108">
        <f t="shared" si="183"/>
        <v>8339029.0214140425</v>
      </c>
      <c r="N95" s="108">
        <f t="shared" si="183"/>
        <v>8328973.3145577768</v>
      </c>
      <c r="O95" s="108">
        <f t="shared" si="183"/>
        <v>8368465.7154342541</v>
      </c>
      <c r="P95" s="108">
        <f t="shared" si="183"/>
        <v>8147369.0505950544</v>
      </c>
      <c r="Q95" s="108">
        <f t="shared" si="183"/>
        <v>7985137.3939096862</v>
      </c>
      <c r="R95" s="108">
        <f t="shared" si="183"/>
        <v>7987087.3934106631</v>
      </c>
      <c r="S95" s="108">
        <f t="shared" si="183"/>
        <v>8019601.0854145428</v>
      </c>
      <c r="T95" s="108">
        <f t="shared" si="183"/>
        <v>8101678.4724073755</v>
      </c>
      <c r="U95" s="108">
        <f t="shared" si="183"/>
        <v>8159629.376335388</v>
      </c>
      <c r="V95" s="108">
        <f t="shared" si="183"/>
        <v>5354028.8059849627</v>
      </c>
      <c r="W95" s="108">
        <f t="shared" ref="W95:Y95" si="184">IF(W5=0,0,W5/W27*1000000)</f>
        <v>1714767.1573206554</v>
      </c>
      <c r="X95" s="108">
        <f t="shared" si="184"/>
        <v>2422147.5917502441</v>
      </c>
      <c r="Y95" s="108">
        <f t="shared" si="184"/>
        <v>3076094.2774889865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19750098.550229512</v>
      </c>
      <c r="C96" s="110">
        <f t="shared" si="180"/>
        <v>19398356.404188771</v>
      </c>
      <c r="D96" s="110">
        <f t="shared" si="180"/>
        <v>19187953.926318306</v>
      </c>
      <c r="E96" s="110">
        <f t="shared" si="180"/>
        <v>17852912.664043255</v>
      </c>
      <c r="F96" s="110">
        <f t="shared" si="180"/>
        <v>18735022.44204649</v>
      </c>
      <c r="G96" s="110">
        <f t="shared" si="180"/>
        <v>19268224.060792744</v>
      </c>
      <c r="H96" s="110">
        <f t="shared" si="180"/>
        <v>21583213.653392106</v>
      </c>
      <c r="I96" s="110">
        <f t="shared" si="180"/>
        <v>21173483.53665017</v>
      </c>
      <c r="J96" s="110">
        <f t="shared" si="180"/>
        <v>20110859.778793365</v>
      </c>
      <c r="K96" s="110">
        <f t="shared" ref="K96:V96" si="185">IF(K6=0,0,K6/K28*1000000)</f>
        <v>16793421.451049946</v>
      </c>
      <c r="L96" s="110">
        <f t="shared" si="185"/>
        <v>18108054.3526081</v>
      </c>
      <c r="M96" s="110">
        <f t="shared" si="185"/>
        <v>19651062.016580191</v>
      </c>
      <c r="N96" s="110">
        <f t="shared" si="185"/>
        <v>20624819.263155464</v>
      </c>
      <c r="O96" s="110">
        <f t="shared" si="185"/>
        <v>21264726.228447158</v>
      </c>
      <c r="P96" s="110">
        <f t="shared" si="185"/>
        <v>20760931.331511039</v>
      </c>
      <c r="Q96" s="110">
        <f t="shared" si="185"/>
        <v>14523515.220422408</v>
      </c>
      <c r="R96" s="110">
        <f t="shared" si="185"/>
        <v>14249201.40423928</v>
      </c>
      <c r="S96" s="110">
        <f t="shared" si="185"/>
        <v>14824276.115176069</v>
      </c>
      <c r="T96" s="110">
        <f t="shared" si="185"/>
        <v>15959952.795370387</v>
      </c>
      <c r="U96" s="110">
        <f t="shared" si="185"/>
        <v>16757485.898627738</v>
      </c>
      <c r="V96" s="110">
        <f t="shared" si="185"/>
        <v>11884660.549203115</v>
      </c>
      <c r="W96" s="110">
        <f t="shared" ref="W96:Y96" si="186">IF(W6=0,0,W6/W28*1000000)</f>
        <v>9100561.2777470369</v>
      </c>
      <c r="X96" s="110">
        <f t="shared" si="186"/>
        <v>13408124.728770491</v>
      </c>
      <c r="Y96" s="110">
        <f t="shared" si="186"/>
        <v>14245825.309775706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18340330.507188104</v>
      </c>
      <c r="C97" s="84">
        <f t="shared" si="180"/>
        <v>17711237.210093047</v>
      </c>
      <c r="D97" s="84">
        <f t="shared" si="180"/>
        <v>17063529.301822495</v>
      </c>
      <c r="E97" s="84">
        <f t="shared" si="180"/>
        <v>15680456.178712435</v>
      </c>
      <c r="F97" s="84">
        <f t="shared" si="180"/>
        <v>16442959.858609341</v>
      </c>
      <c r="G97" s="84">
        <f t="shared" si="180"/>
        <v>16824339.685780201</v>
      </c>
      <c r="H97" s="84">
        <f t="shared" si="180"/>
        <v>18851308.576561581</v>
      </c>
      <c r="I97" s="84">
        <f t="shared" si="180"/>
        <v>18556240.490552101</v>
      </c>
      <c r="J97" s="84">
        <f t="shared" si="180"/>
        <v>17498481.787356284</v>
      </c>
      <c r="K97" s="84">
        <f t="shared" ref="K97:V97" si="187">IF(K7=0,0,K7/K29*1000000)</f>
        <v>14464863.724432578</v>
      </c>
      <c r="L97" s="84">
        <f t="shared" si="187"/>
        <v>14467560.651871463</v>
      </c>
      <c r="M97" s="84">
        <f t="shared" si="187"/>
        <v>15737359.623495733</v>
      </c>
      <c r="N97" s="84">
        <f t="shared" si="187"/>
        <v>16216715.743408952</v>
      </c>
      <c r="O97" s="84">
        <f t="shared" si="187"/>
        <v>16513584.640565082</v>
      </c>
      <c r="P97" s="84">
        <f t="shared" si="187"/>
        <v>15870401.011364179</v>
      </c>
      <c r="Q97" s="84">
        <f t="shared" si="187"/>
        <v>16319013.979102217</v>
      </c>
      <c r="R97" s="84">
        <f t="shared" si="187"/>
        <v>15622883.321716309</v>
      </c>
      <c r="S97" s="84">
        <f t="shared" si="187"/>
        <v>15743466.403133918</v>
      </c>
      <c r="T97" s="84">
        <f t="shared" si="187"/>
        <v>17437083.261703346</v>
      </c>
      <c r="U97" s="84">
        <f t="shared" si="187"/>
        <v>18056305.803985871</v>
      </c>
      <c r="V97" s="84">
        <f t="shared" si="187"/>
        <v>8893560.0801536404</v>
      </c>
      <c r="W97" s="84">
        <f t="shared" ref="W97:Y97" si="188">IF(W7=0,0,W7/W29*1000000)</f>
        <v>8962958.5570797473</v>
      </c>
      <c r="X97" s="84">
        <f t="shared" si="188"/>
        <v>13260467.682934023</v>
      </c>
      <c r="Y97" s="84">
        <f t="shared" si="188"/>
        <v>11852971.169454131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25252395.378717817</v>
      </c>
      <c r="C98" s="84">
        <f t="shared" si="180"/>
        <v>25975226.842232991</v>
      </c>
      <c r="D98" s="84">
        <f t="shared" si="180"/>
        <v>28873324.862221334</v>
      </c>
      <c r="E98" s="84">
        <f t="shared" si="180"/>
        <v>26699885.765150916</v>
      </c>
      <c r="F98" s="84">
        <f t="shared" si="180"/>
        <v>28053313.703316547</v>
      </c>
      <c r="G98" s="84">
        <f t="shared" si="180"/>
        <v>28843570.770083323</v>
      </c>
      <c r="H98" s="84">
        <f t="shared" si="180"/>
        <v>32275509.309263546</v>
      </c>
      <c r="I98" s="84">
        <f t="shared" si="180"/>
        <v>31329750.759832736</v>
      </c>
      <c r="J98" s="84">
        <f t="shared" si="180"/>
        <v>28127460.432872586</v>
      </c>
      <c r="K98" s="84">
        <f t="shared" ref="K98:V98" si="189">IF(K8=0,0,K8/K30*1000000)</f>
        <v>23013460.331699081</v>
      </c>
      <c r="L98" s="84">
        <f t="shared" si="189"/>
        <v>27541940.879947703</v>
      </c>
      <c r="M98" s="84">
        <f t="shared" si="189"/>
        <v>29437239.247708939</v>
      </c>
      <c r="N98" s="84">
        <f t="shared" si="189"/>
        <v>31668501.13145341</v>
      </c>
      <c r="O98" s="84">
        <f t="shared" si="189"/>
        <v>34063385.997611217</v>
      </c>
      <c r="P98" s="84">
        <f t="shared" si="189"/>
        <v>33210850.568092965</v>
      </c>
      <c r="Q98" s="84">
        <f t="shared" si="189"/>
        <v>12765626.734824209</v>
      </c>
      <c r="R98" s="84">
        <f t="shared" si="189"/>
        <v>12990287.913496371</v>
      </c>
      <c r="S98" s="84">
        <f t="shared" si="189"/>
        <v>14046034.52976154</v>
      </c>
      <c r="T98" s="84">
        <f t="shared" si="189"/>
        <v>14937371.41122504</v>
      </c>
      <c r="U98" s="84">
        <f t="shared" si="189"/>
        <v>15952876.892334646</v>
      </c>
      <c r="V98" s="84">
        <f t="shared" si="189"/>
        <v>13421709.980426634</v>
      </c>
      <c r="W98" s="84">
        <f t="shared" ref="W98:Y98" si="190">IF(W8=0,0,W8/W30*1000000)</f>
        <v>9154558.3267669566</v>
      </c>
      <c r="X98" s="84">
        <f t="shared" si="190"/>
        <v>13469270.063207725</v>
      </c>
      <c r="Y98" s="84">
        <f t="shared" si="190"/>
        <v>15550537.791483361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246758243.69977626</v>
      </c>
      <c r="C100" s="28">
        <f t="shared" si="180"/>
        <v>248113553.979772</v>
      </c>
      <c r="D100" s="28">
        <f t="shared" si="180"/>
        <v>250506103.21762088</v>
      </c>
      <c r="E100" s="28">
        <f t="shared" si="180"/>
        <v>253622317.84864211</v>
      </c>
      <c r="F100" s="28">
        <f t="shared" si="180"/>
        <v>256208829.04872531</v>
      </c>
      <c r="G100" s="28">
        <f t="shared" si="180"/>
        <v>268750398.28838921</v>
      </c>
      <c r="H100" s="28">
        <f t="shared" si="180"/>
        <v>246780797.93494129</v>
      </c>
      <c r="I100" s="28">
        <f t="shared" si="180"/>
        <v>261038647.01900294</v>
      </c>
      <c r="J100" s="28">
        <f t="shared" si="180"/>
        <v>260945119.20751581</v>
      </c>
      <c r="K100" s="28">
        <f t="shared" ref="K100:V100" si="193">IF(K10=0,0,K10/K32*1000000)</f>
        <v>259726356.74911043</v>
      </c>
      <c r="L100" s="28">
        <f t="shared" si="193"/>
        <v>257551719.5606446</v>
      </c>
      <c r="M100" s="28">
        <f t="shared" si="193"/>
        <v>262791247.36007413</v>
      </c>
      <c r="N100" s="28">
        <f t="shared" si="193"/>
        <v>250369236.51694909</v>
      </c>
      <c r="O100" s="28">
        <f t="shared" si="193"/>
        <v>238354813.86297569</v>
      </c>
      <c r="P100" s="28">
        <f t="shared" si="193"/>
        <v>248041738.48002988</v>
      </c>
      <c r="Q100" s="28">
        <f t="shared" si="193"/>
        <v>248847680.97416666</v>
      </c>
      <c r="R100" s="28">
        <f t="shared" si="193"/>
        <v>224892963.31836092</v>
      </c>
      <c r="S100" s="28">
        <f t="shared" si="193"/>
        <v>230324470.01900703</v>
      </c>
      <c r="T100" s="28">
        <f t="shared" si="193"/>
        <v>271352888.55901986</v>
      </c>
      <c r="U100" s="28">
        <f t="shared" si="193"/>
        <v>248573651.64972204</v>
      </c>
      <c r="V100" s="28">
        <f t="shared" si="193"/>
        <v>145002121.78502682</v>
      </c>
      <c r="W100" s="28">
        <f t="shared" ref="W100:Y100" si="194">IF(W10=0,0,W10/W32*1000000)</f>
        <v>148429956.79594222</v>
      </c>
      <c r="X100" s="28">
        <f t="shared" si="194"/>
        <v>167499662.90975395</v>
      </c>
      <c r="Y100" s="28">
        <f t="shared" si="194"/>
        <v>133633837.41599165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246758243.69977626</v>
      </c>
      <c r="C101" s="84">
        <f t="shared" si="180"/>
        <v>248113553.979772</v>
      </c>
      <c r="D101" s="84">
        <f t="shared" si="180"/>
        <v>250506103.21762088</v>
      </c>
      <c r="E101" s="84">
        <f t="shared" si="180"/>
        <v>253622317.84864211</v>
      </c>
      <c r="F101" s="84">
        <f t="shared" si="180"/>
        <v>256208829.04872531</v>
      </c>
      <c r="G101" s="84">
        <f t="shared" si="180"/>
        <v>268750398.28838921</v>
      </c>
      <c r="H101" s="84">
        <f t="shared" si="180"/>
        <v>246780797.93494129</v>
      </c>
      <c r="I101" s="84">
        <f t="shared" si="180"/>
        <v>261038647.01900294</v>
      </c>
      <c r="J101" s="84">
        <f t="shared" si="180"/>
        <v>260945119.20751581</v>
      </c>
      <c r="K101" s="84">
        <f t="shared" ref="K101:V101" si="195">IF(K11=0,0,K11/K33*1000000)</f>
        <v>259726356.74911043</v>
      </c>
      <c r="L101" s="84">
        <f t="shared" si="195"/>
        <v>257551719.5606446</v>
      </c>
      <c r="M101" s="84">
        <f t="shared" si="195"/>
        <v>262791247.36007413</v>
      </c>
      <c r="N101" s="84">
        <f t="shared" si="195"/>
        <v>250369236.51694909</v>
      </c>
      <c r="O101" s="84">
        <f t="shared" si="195"/>
        <v>238354813.86297569</v>
      </c>
      <c r="P101" s="84">
        <f t="shared" si="195"/>
        <v>248041738.48002988</v>
      </c>
      <c r="Q101" s="84">
        <f t="shared" si="195"/>
        <v>248847680.97416666</v>
      </c>
      <c r="R101" s="84">
        <f t="shared" si="195"/>
        <v>224892963.31836092</v>
      </c>
      <c r="S101" s="84">
        <f t="shared" si="195"/>
        <v>230324470.01900703</v>
      </c>
      <c r="T101" s="84">
        <f t="shared" si="195"/>
        <v>271352888.55901986</v>
      </c>
      <c r="U101" s="84">
        <f t="shared" si="195"/>
        <v>248573651.64972204</v>
      </c>
      <c r="V101" s="84">
        <f t="shared" si="195"/>
        <v>145002121.78502682</v>
      </c>
      <c r="W101" s="84">
        <f t="shared" ref="W101:Y101" si="196">IF(W11=0,0,W11/W33*1000000)</f>
        <v>148429956.79594222</v>
      </c>
      <c r="X101" s="84">
        <f t="shared" si="196"/>
        <v>167499662.90975395</v>
      </c>
      <c r="Y101" s="84">
        <f t="shared" si="196"/>
        <v>133633837.41599165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:Y102" si="198">IF(W12=0,0,W12/W34*1000000)</f>
        <v>0</v>
      </c>
      <c r="X102" s="86">
        <f t="shared" si="198"/>
        <v>0</v>
      </c>
      <c r="Y102" s="86">
        <f t="shared" si="198"/>
        <v>0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0.2716715900988082</v>
      </c>
      <c r="C106" s="123">
        <f t="shared" si="199"/>
        <v>0.26968035584979833</v>
      </c>
      <c r="D106" s="123">
        <f t="shared" si="199"/>
        <v>0.26234384295062463</v>
      </c>
      <c r="E106" s="123">
        <f t="shared" si="199"/>
        <v>0.24985233313644417</v>
      </c>
      <c r="F106" s="123">
        <f t="shared" si="199"/>
        <v>0.24651771524726562</v>
      </c>
      <c r="G106" s="123">
        <f t="shared" si="199"/>
        <v>0.23474218817250578</v>
      </c>
      <c r="H106" s="123">
        <f t="shared" si="199"/>
        <v>0.22073816486208805</v>
      </c>
      <c r="I106" s="123">
        <f t="shared" si="199"/>
        <v>0.22285987565758014</v>
      </c>
      <c r="J106" s="123">
        <f t="shared" si="199"/>
        <v>0.21537563578754271</v>
      </c>
      <c r="K106" s="123">
        <f t="shared" ref="K106:V106" si="202">IF(K5=0,0,K5/K$4)</f>
        <v>0.18607181719260066</v>
      </c>
      <c r="L106" s="123">
        <f t="shared" si="202"/>
        <v>0.32971627369285628</v>
      </c>
      <c r="M106" s="123">
        <f t="shared" si="202"/>
        <v>0.33882836417297629</v>
      </c>
      <c r="N106" s="123">
        <f t="shared" si="202"/>
        <v>0.32951302259643978</v>
      </c>
      <c r="O106" s="123">
        <f t="shared" si="202"/>
        <v>0.34335633255859704</v>
      </c>
      <c r="P106" s="123">
        <f t="shared" si="202"/>
        <v>0.37397322860670157</v>
      </c>
      <c r="Q106" s="123">
        <f t="shared" si="202"/>
        <v>0.37611690934661463</v>
      </c>
      <c r="R106" s="123">
        <f t="shared" si="202"/>
        <v>0.36634625921863118</v>
      </c>
      <c r="S106" s="123">
        <f t="shared" si="202"/>
        <v>0.36436091075563198</v>
      </c>
      <c r="T106" s="123">
        <f t="shared" si="202"/>
        <v>0.36339067918256912</v>
      </c>
      <c r="U106" s="123">
        <f t="shared" si="202"/>
        <v>0.34336229143072472</v>
      </c>
      <c r="V106" s="123">
        <f t="shared" si="202"/>
        <v>0.32808053922756919</v>
      </c>
      <c r="W106" s="123">
        <f t="shared" ref="W106:Y106" si="203">IF(W5=0,0,W5/W$4)</f>
        <v>0.13947634394248556</v>
      </c>
      <c r="X106" s="123">
        <f t="shared" si="203"/>
        <v>0.12042531744354301</v>
      </c>
      <c r="Y106" s="123">
        <f t="shared" si="203"/>
        <v>0.11964233312043637</v>
      </c>
      <c r="DA106" s="203"/>
    </row>
    <row r="107" spans="1:105" ht="11.45" customHeight="1" x14ac:dyDescent="0.25">
      <c r="A107" s="109" t="s">
        <v>24</v>
      </c>
      <c r="B107" s="124">
        <f t="shared" si="199"/>
        <v>0.72832840990119174</v>
      </c>
      <c r="C107" s="124">
        <f t="shared" si="199"/>
        <v>0.73031964415020167</v>
      </c>
      <c r="D107" s="124">
        <f t="shared" si="199"/>
        <v>0.73765615704937537</v>
      </c>
      <c r="E107" s="124">
        <f t="shared" si="199"/>
        <v>0.75014766686355583</v>
      </c>
      <c r="F107" s="124">
        <f t="shared" si="199"/>
        <v>0.75348228475273438</v>
      </c>
      <c r="G107" s="124">
        <f t="shared" si="199"/>
        <v>0.76525781182749419</v>
      </c>
      <c r="H107" s="124">
        <f t="shared" si="199"/>
        <v>0.77926183513791203</v>
      </c>
      <c r="I107" s="124">
        <f t="shared" si="199"/>
        <v>0.77714012434241997</v>
      </c>
      <c r="J107" s="124">
        <f t="shared" si="199"/>
        <v>0.78462436421245729</v>
      </c>
      <c r="K107" s="124">
        <f t="shared" ref="K107:V107" si="204">IF(K6=0,0,K6/K$4)</f>
        <v>0.81392818280739931</v>
      </c>
      <c r="L107" s="124">
        <f t="shared" si="204"/>
        <v>0.67028372630714372</v>
      </c>
      <c r="M107" s="124">
        <f t="shared" si="204"/>
        <v>0.66117163582702387</v>
      </c>
      <c r="N107" s="124">
        <f t="shared" si="204"/>
        <v>0.67048697740356022</v>
      </c>
      <c r="O107" s="124">
        <f t="shared" si="204"/>
        <v>0.6566436674414029</v>
      </c>
      <c r="P107" s="124">
        <f t="shared" si="204"/>
        <v>0.62602677139329843</v>
      </c>
      <c r="Q107" s="124">
        <f t="shared" si="204"/>
        <v>0.62388309065338532</v>
      </c>
      <c r="R107" s="124">
        <f t="shared" si="204"/>
        <v>0.63365374078136882</v>
      </c>
      <c r="S107" s="124">
        <f t="shared" si="204"/>
        <v>0.63563908924436807</v>
      </c>
      <c r="T107" s="124">
        <f t="shared" si="204"/>
        <v>0.63660932081743082</v>
      </c>
      <c r="U107" s="124">
        <f t="shared" si="204"/>
        <v>0.65663770856927528</v>
      </c>
      <c r="V107" s="124">
        <f t="shared" si="204"/>
        <v>0.67191946077243081</v>
      </c>
      <c r="W107" s="124">
        <f t="shared" ref="W107:Y107" si="205">IF(W6=0,0,W6/W$4)</f>
        <v>0.86052365605751446</v>
      </c>
      <c r="X107" s="124">
        <f t="shared" si="205"/>
        <v>0.8795746825564571</v>
      </c>
      <c r="Y107" s="124">
        <f t="shared" si="205"/>
        <v>0.88035766687956363</v>
      </c>
      <c r="DA107" s="176"/>
    </row>
    <row r="108" spans="1:105" ht="11.45" customHeight="1" x14ac:dyDescent="0.25">
      <c r="A108" s="111" t="s">
        <v>92</v>
      </c>
      <c r="B108" s="125">
        <f t="shared" si="199"/>
        <v>0.53839541319829332</v>
      </c>
      <c r="C108" s="125">
        <f t="shared" si="199"/>
        <v>0.53067236320493905</v>
      </c>
      <c r="D108" s="125">
        <f t="shared" si="199"/>
        <v>0.53798237265437632</v>
      </c>
      <c r="E108" s="125">
        <f t="shared" si="199"/>
        <v>0.52897112792899303</v>
      </c>
      <c r="F108" s="125">
        <f t="shared" si="199"/>
        <v>0.53074956901125614</v>
      </c>
      <c r="G108" s="125">
        <f t="shared" si="199"/>
        <v>0.53233121716110909</v>
      </c>
      <c r="H108" s="125">
        <f t="shared" si="199"/>
        <v>0.5421148712595788</v>
      </c>
      <c r="I108" s="125">
        <f t="shared" si="199"/>
        <v>0.54152793764838114</v>
      </c>
      <c r="J108" s="125">
        <f t="shared" si="199"/>
        <v>0.51490870843855652</v>
      </c>
      <c r="K108" s="125">
        <f t="shared" ref="K108:V108" si="206">IF(K7=0,0,K7/K$4)</f>
        <v>0.51010493026161163</v>
      </c>
      <c r="L108" s="125">
        <f t="shared" si="206"/>
        <v>0.386413005400641</v>
      </c>
      <c r="M108" s="125">
        <f t="shared" si="206"/>
        <v>0.37823035701738289</v>
      </c>
      <c r="N108" s="125">
        <f t="shared" si="206"/>
        <v>0.37678909057448023</v>
      </c>
      <c r="O108" s="125">
        <f t="shared" si="206"/>
        <v>0.37188067488402898</v>
      </c>
      <c r="P108" s="125">
        <f t="shared" si="206"/>
        <v>0.34358971564112023</v>
      </c>
      <c r="Q108" s="125">
        <f t="shared" si="206"/>
        <v>0.34679607029534554</v>
      </c>
      <c r="R108" s="125">
        <f t="shared" si="206"/>
        <v>0.3322266258322234</v>
      </c>
      <c r="S108" s="125">
        <f t="shared" si="206"/>
        <v>0.30949920922193658</v>
      </c>
      <c r="T108" s="125">
        <f t="shared" si="206"/>
        <v>0.28452679045496471</v>
      </c>
      <c r="U108" s="125">
        <f t="shared" si="206"/>
        <v>0.27064680743878589</v>
      </c>
      <c r="V108" s="125">
        <f t="shared" si="206"/>
        <v>0.17067626104432657</v>
      </c>
      <c r="W108" s="125">
        <f t="shared" ref="W108:Y108" si="207">IF(W7=0,0,W7/W$4)</f>
        <v>0.23884770189110641</v>
      </c>
      <c r="X108" s="125">
        <f t="shared" si="207"/>
        <v>0.25473663051573292</v>
      </c>
      <c r="Y108" s="125">
        <f t="shared" si="207"/>
        <v>0.25846251961347871</v>
      </c>
      <c r="DA108" s="171"/>
    </row>
    <row r="109" spans="1:105" ht="11.45" customHeight="1" x14ac:dyDescent="0.25">
      <c r="A109" s="111" t="s">
        <v>93</v>
      </c>
      <c r="B109" s="125">
        <f t="shared" si="199"/>
        <v>0.18993299670289845</v>
      </c>
      <c r="C109" s="125">
        <f t="shared" si="199"/>
        <v>0.1996472809452626</v>
      </c>
      <c r="D109" s="125">
        <f t="shared" si="199"/>
        <v>0.199673784394999</v>
      </c>
      <c r="E109" s="125">
        <f t="shared" si="199"/>
        <v>0.22117653893456282</v>
      </c>
      <c r="F109" s="125">
        <f t="shared" si="199"/>
        <v>0.22273271574147821</v>
      </c>
      <c r="G109" s="125">
        <f t="shared" si="199"/>
        <v>0.23292659466638513</v>
      </c>
      <c r="H109" s="125">
        <f t="shared" si="199"/>
        <v>0.23714696387833323</v>
      </c>
      <c r="I109" s="125">
        <f t="shared" si="199"/>
        <v>0.23561218669403877</v>
      </c>
      <c r="J109" s="125">
        <f t="shared" si="199"/>
        <v>0.26971565577390078</v>
      </c>
      <c r="K109" s="125">
        <f t="shared" ref="K109:V109" si="208">IF(K8=0,0,K8/K$4)</f>
        <v>0.30382325254578768</v>
      </c>
      <c r="L109" s="125">
        <f t="shared" si="208"/>
        <v>0.28387072090650273</v>
      </c>
      <c r="M109" s="125">
        <f t="shared" si="208"/>
        <v>0.28294127880964093</v>
      </c>
      <c r="N109" s="125">
        <f t="shared" si="208"/>
        <v>0.29369788682907993</v>
      </c>
      <c r="O109" s="125">
        <f t="shared" si="208"/>
        <v>0.28476299255737397</v>
      </c>
      <c r="P109" s="125">
        <f t="shared" si="208"/>
        <v>0.28243705575217815</v>
      </c>
      <c r="Q109" s="125">
        <f t="shared" si="208"/>
        <v>0.27708702035803978</v>
      </c>
      <c r="R109" s="125">
        <f t="shared" si="208"/>
        <v>0.30142711494914542</v>
      </c>
      <c r="S109" s="125">
        <f t="shared" si="208"/>
        <v>0.32613988002243149</v>
      </c>
      <c r="T109" s="125">
        <f t="shared" si="208"/>
        <v>0.35208253036246617</v>
      </c>
      <c r="U109" s="125">
        <f t="shared" si="208"/>
        <v>0.38599090113048939</v>
      </c>
      <c r="V109" s="125">
        <f t="shared" si="208"/>
        <v>0.50124319972810416</v>
      </c>
      <c r="W109" s="125">
        <f t="shared" ref="W109:Y109" si="209">IF(W8=0,0,W8/W$4)</f>
        <v>0.62167595416640797</v>
      </c>
      <c r="X109" s="125">
        <f t="shared" si="209"/>
        <v>0.62483805204072418</v>
      </c>
      <c r="Y109" s="125">
        <f t="shared" si="209"/>
        <v>0.62189514726608486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1</v>
      </c>
      <c r="E112" s="125">
        <f t="shared" si="212"/>
        <v>1</v>
      </c>
      <c r="F112" s="125">
        <f t="shared" si="212"/>
        <v>1</v>
      </c>
      <c r="G112" s="125">
        <f t="shared" si="212"/>
        <v>1</v>
      </c>
      <c r="H112" s="125">
        <f t="shared" si="212"/>
        <v>1</v>
      </c>
      <c r="I112" s="125">
        <f t="shared" si="212"/>
        <v>1</v>
      </c>
      <c r="J112" s="125">
        <f t="shared" si="212"/>
        <v>1</v>
      </c>
      <c r="K112" s="125">
        <f t="shared" ref="K112:V112" si="215">IF(K11=0,0,K11/K$10)</f>
        <v>1</v>
      </c>
      <c r="L112" s="125">
        <f t="shared" si="215"/>
        <v>1</v>
      </c>
      <c r="M112" s="125">
        <f t="shared" si="215"/>
        <v>1</v>
      </c>
      <c r="N112" s="125">
        <f t="shared" si="215"/>
        <v>1</v>
      </c>
      <c r="O112" s="125">
        <f t="shared" si="215"/>
        <v>1</v>
      </c>
      <c r="P112" s="125">
        <f t="shared" si="215"/>
        <v>1</v>
      </c>
      <c r="Q112" s="125">
        <f t="shared" si="215"/>
        <v>1</v>
      </c>
      <c r="R112" s="125">
        <f t="shared" si="215"/>
        <v>1</v>
      </c>
      <c r="S112" s="125">
        <f t="shared" si="215"/>
        <v>1</v>
      </c>
      <c r="T112" s="125">
        <f t="shared" si="215"/>
        <v>1</v>
      </c>
      <c r="U112" s="125">
        <f t="shared" si="215"/>
        <v>1</v>
      </c>
      <c r="V112" s="125">
        <f t="shared" si="215"/>
        <v>1</v>
      </c>
      <c r="W112" s="125">
        <f t="shared" ref="W112:Y112" si="216">IF(W11=0,0,W11/W$10)</f>
        <v>1</v>
      </c>
      <c r="X112" s="125">
        <f t="shared" si="216"/>
        <v>1</v>
      </c>
      <c r="Y112" s="125">
        <f t="shared" si="216"/>
        <v>1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:Y113" si="218">IF(W12=0,0,W12/W$10)</f>
        <v>0</v>
      </c>
      <c r="X113" s="127">
        <f t="shared" si="218"/>
        <v>0</v>
      </c>
      <c r="Y113" s="127">
        <f t="shared" si="218"/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0.41776154937004961</v>
      </c>
      <c r="C117" s="123">
        <f t="shared" si="219"/>
        <v>0.40542958382163991</v>
      </c>
      <c r="D117" s="123">
        <f t="shared" si="219"/>
        <v>0.38427659156702837</v>
      </c>
      <c r="E117" s="123">
        <f t="shared" si="219"/>
        <v>0.3510750997560621</v>
      </c>
      <c r="F117" s="123">
        <f t="shared" si="219"/>
        <v>0.35449416539908457</v>
      </c>
      <c r="G117" s="123">
        <f t="shared" si="219"/>
        <v>0.34140662798664234</v>
      </c>
      <c r="H117" s="123">
        <f t="shared" si="219"/>
        <v>0.34170772320901843</v>
      </c>
      <c r="I117" s="123">
        <f t="shared" si="219"/>
        <v>0.34102746843551524</v>
      </c>
      <c r="J117" s="123">
        <f t="shared" si="219"/>
        <v>0.32307798977321833</v>
      </c>
      <c r="K117" s="123">
        <f t="shared" ref="K117:V117" si="222">IF(K16=0,0,K16/K$15)</f>
        <v>0.26690846390242834</v>
      </c>
      <c r="L117" s="123">
        <f t="shared" si="222"/>
        <v>0.48241756354301896</v>
      </c>
      <c r="M117" s="123">
        <f t="shared" si="222"/>
        <v>0.49069211639922899</v>
      </c>
      <c r="N117" s="123">
        <f t="shared" si="222"/>
        <v>0.47681755534978049</v>
      </c>
      <c r="O117" s="123">
        <f t="shared" si="222"/>
        <v>0.49861546992346534</v>
      </c>
      <c r="P117" s="123">
        <f t="shared" si="222"/>
        <v>0.52747579854900051</v>
      </c>
      <c r="Q117" s="123">
        <f t="shared" si="222"/>
        <v>0.44570721221309706</v>
      </c>
      <c r="R117" s="123">
        <f t="shared" si="222"/>
        <v>0.43064895003654891</v>
      </c>
      <c r="S117" s="123">
        <f t="shared" si="222"/>
        <v>0.43726644798522024</v>
      </c>
      <c r="T117" s="123">
        <f t="shared" si="222"/>
        <v>0.45194350212682904</v>
      </c>
      <c r="U117" s="123">
        <f t="shared" si="222"/>
        <v>0.44056856257290944</v>
      </c>
      <c r="V117" s="123">
        <f t="shared" si="222"/>
        <v>0.47761685907370682</v>
      </c>
      <c r="W117" s="123">
        <f t="shared" ref="W117:Y117" si="223">IF(W16=0,0,W16/W$15)</f>
        <v>0.18917181222667911</v>
      </c>
      <c r="X117" s="123">
        <f t="shared" si="223"/>
        <v>0.16499485489596288</v>
      </c>
      <c r="Y117" s="123">
        <f t="shared" si="223"/>
        <v>0.15652138722555392</v>
      </c>
      <c r="DA117" s="203"/>
    </row>
    <row r="118" spans="1:105" ht="11.45" customHeight="1" x14ac:dyDescent="0.25">
      <c r="A118" s="109" t="s">
        <v>24</v>
      </c>
      <c r="B118" s="124">
        <f t="shared" si="219"/>
        <v>0.58223845062995039</v>
      </c>
      <c r="C118" s="124">
        <f t="shared" si="219"/>
        <v>0.59457041617836004</v>
      </c>
      <c r="D118" s="124">
        <f t="shared" si="219"/>
        <v>0.61572340843297146</v>
      </c>
      <c r="E118" s="124">
        <f t="shared" si="219"/>
        <v>0.6489249002439379</v>
      </c>
      <c r="F118" s="124">
        <f t="shared" si="219"/>
        <v>0.64550583460091537</v>
      </c>
      <c r="G118" s="124">
        <f t="shared" si="219"/>
        <v>0.65859337201335766</v>
      </c>
      <c r="H118" s="124">
        <f t="shared" si="219"/>
        <v>0.65829227679098157</v>
      </c>
      <c r="I118" s="124">
        <f t="shared" si="219"/>
        <v>0.65897253156448476</v>
      </c>
      <c r="J118" s="124">
        <f t="shared" si="219"/>
        <v>0.67692201022678156</v>
      </c>
      <c r="K118" s="124">
        <f t="shared" ref="K118:V118" si="224">IF(K17=0,0,K17/K$15)</f>
        <v>0.73309153609757172</v>
      </c>
      <c r="L118" s="124">
        <f t="shared" si="224"/>
        <v>0.51758243645698099</v>
      </c>
      <c r="M118" s="124">
        <f t="shared" si="224"/>
        <v>0.50930788360077106</v>
      </c>
      <c r="N118" s="124">
        <f t="shared" si="224"/>
        <v>0.52318244465021946</v>
      </c>
      <c r="O118" s="124">
        <f t="shared" si="224"/>
        <v>0.50138453007653472</v>
      </c>
      <c r="P118" s="124">
        <f t="shared" si="224"/>
        <v>0.47252420145099944</v>
      </c>
      <c r="Q118" s="124">
        <f t="shared" si="224"/>
        <v>0.55429278778690294</v>
      </c>
      <c r="R118" s="124">
        <f t="shared" si="224"/>
        <v>0.56935104996345098</v>
      </c>
      <c r="S118" s="124">
        <f t="shared" si="224"/>
        <v>0.5627335520147797</v>
      </c>
      <c r="T118" s="124">
        <f t="shared" si="224"/>
        <v>0.54805649787317101</v>
      </c>
      <c r="U118" s="124">
        <f t="shared" si="224"/>
        <v>0.55943143742709056</v>
      </c>
      <c r="V118" s="124">
        <f t="shared" si="224"/>
        <v>0.52238314092629323</v>
      </c>
      <c r="W118" s="124">
        <f t="shared" ref="W118:Y118" si="225">IF(W17=0,0,W17/W$15)</f>
        <v>0.81082818777332089</v>
      </c>
      <c r="X118" s="124">
        <f t="shared" si="225"/>
        <v>0.83500514510403712</v>
      </c>
      <c r="Y118" s="124">
        <f t="shared" si="225"/>
        <v>0.84347861277444613</v>
      </c>
      <c r="DA118" s="176"/>
    </row>
    <row r="119" spans="1:105" ht="11.45" customHeight="1" x14ac:dyDescent="0.25">
      <c r="A119" s="111" t="s">
        <v>92</v>
      </c>
      <c r="B119" s="125">
        <f t="shared" si="219"/>
        <v>0.46348650436442351</v>
      </c>
      <c r="C119" s="125">
        <f t="shared" si="219"/>
        <v>0.47318701493270238</v>
      </c>
      <c r="D119" s="125">
        <f t="shared" si="219"/>
        <v>0.50496299552476398</v>
      </c>
      <c r="E119" s="125">
        <f t="shared" si="219"/>
        <v>0.52099077630702362</v>
      </c>
      <c r="F119" s="125">
        <f t="shared" si="219"/>
        <v>0.51807305047049534</v>
      </c>
      <c r="G119" s="125">
        <f t="shared" si="219"/>
        <v>0.52468081364882013</v>
      </c>
      <c r="H119" s="125">
        <f t="shared" si="219"/>
        <v>0.52432587083059534</v>
      </c>
      <c r="I119" s="125">
        <f t="shared" si="219"/>
        <v>0.52395159927179724</v>
      </c>
      <c r="J119" s="125">
        <f t="shared" si="219"/>
        <v>0.51054890934636121</v>
      </c>
      <c r="K119" s="125">
        <f t="shared" ref="K119:V119" si="226">IF(K18=0,0,K18/K$15)</f>
        <v>0.52169724880158752</v>
      </c>
      <c r="L119" s="125">
        <f t="shared" si="226"/>
        <v>0.38608943493308617</v>
      </c>
      <c r="M119" s="125">
        <f t="shared" si="226"/>
        <v>0.38180942640355731</v>
      </c>
      <c r="N119" s="125">
        <f t="shared" si="226"/>
        <v>0.38186082185235032</v>
      </c>
      <c r="O119" s="125">
        <f t="shared" si="226"/>
        <v>0.37318772735325151</v>
      </c>
      <c r="P119" s="125">
        <f t="shared" si="226"/>
        <v>0.33925811037826442</v>
      </c>
      <c r="Q119" s="125">
        <f t="shared" si="226"/>
        <v>0.27421298188080606</v>
      </c>
      <c r="R119" s="125">
        <f t="shared" si="226"/>
        <v>0.27226504984241867</v>
      </c>
      <c r="S119" s="125">
        <f t="shared" si="226"/>
        <v>0.25800307818575963</v>
      </c>
      <c r="T119" s="125">
        <f t="shared" si="226"/>
        <v>0.22419879037757248</v>
      </c>
      <c r="U119" s="125">
        <f t="shared" si="226"/>
        <v>0.21399514178742043</v>
      </c>
      <c r="V119" s="125">
        <f t="shared" si="226"/>
        <v>0.13387328089311923</v>
      </c>
      <c r="W119" s="125">
        <f t="shared" ref="W119:Y119" si="227">IF(W18=0,0,W18/W$15)</f>
        <v>0.22850930200153313</v>
      </c>
      <c r="X119" s="125">
        <f t="shared" si="227"/>
        <v>0.24452147551812073</v>
      </c>
      <c r="Y119" s="125">
        <f t="shared" si="227"/>
        <v>0.29762738135481015</v>
      </c>
      <c r="DA119" s="171"/>
    </row>
    <row r="120" spans="1:105" ht="11.45" customHeight="1" x14ac:dyDescent="0.25">
      <c r="A120" s="111" t="s">
        <v>93</v>
      </c>
      <c r="B120" s="125">
        <f t="shared" si="219"/>
        <v>0.11875194626552692</v>
      </c>
      <c r="C120" s="125">
        <f t="shared" si="219"/>
        <v>0.12138340124565766</v>
      </c>
      <c r="D120" s="125">
        <f t="shared" si="219"/>
        <v>0.1107604129082075</v>
      </c>
      <c r="E120" s="125">
        <f t="shared" si="219"/>
        <v>0.12793412393691433</v>
      </c>
      <c r="F120" s="125">
        <f t="shared" si="219"/>
        <v>0.12743278413042008</v>
      </c>
      <c r="G120" s="125">
        <f t="shared" si="219"/>
        <v>0.1339125583645375</v>
      </c>
      <c r="H120" s="125">
        <f t="shared" si="219"/>
        <v>0.13396640596038625</v>
      </c>
      <c r="I120" s="125">
        <f t="shared" si="219"/>
        <v>0.13502093229268752</v>
      </c>
      <c r="J120" s="125">
        <f t="shared" si="219"/>
        <v>0.1663731008804204</v>
      </c>
      <c r="K120" s="125">
        <f t="shared" ref="K120:V120" si="228">IF(K19=0,0,K19/K$15)</f>
        <v>0.21139428729598425</v>
      </c>
      <c r="L120" s="125">
        <f t="shared" si="228"/>
        <v>0.13149300152389484</v>
      </c>
      <c r="M120" s="125">
        <f t="shared" si="228"/>
        <v>0.12749845719721375</v>
      </c>
      <c r="N120" s="125">
        <f t="shared" si="228"/>
        <v>0.14132162279786911</v>
      </c>
      <c r="O120" s="125">
        <f t="shared" si="228"/>
        <v>0.12819680272328324</v>
      </c>
      <c r="P120" s="125">
        <f t="shared" si="228"/>
        <v>0.13326609107273502</v>
      </c>
      <c r="Q120" s="125">
        <f t="shared" si="228"/>
        <v>0.28007980590609688</v>
      </c>
      <c r="R120" s="125">
        <f t="shared" si="228"/>
        <v>0.29708600012103237</v>
      </c>
      <c r="S120" s="125">
        <f t="shared" si="228"/>
        <v>0.30473047382902013</v>
      </c>
      <c r="T120" s="125">
        <f t="shared" si="228"/>
        <v>0.32385770749559845</v>
      </c>
      <c r="U120" s="125">
        <f t="shared" si="228"/>
        <v>0.34543629563967015</v>
      </c>
      <c r="V120" s="125">
        <f t="shared" si="228"/>
        <v>0.38850986003317395</v>
      </c>
      <c r="W120" s="125">
        <f t="shared" ref="W120:Y120" si="229">IF(W19=0,0,W19/W$15)</f>
        <v>0.58231888577178781</v>
      </c>
      <c r="X120" s="125">
        <f t="shared" si="229"/>
        <v>0.59048366958591636</v>
      </c>
      <c r="Y120" s="125">
        <f t="shared" si="229"/>
        <v>0.54585123141963598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1</v>
      </c>
      <c r="E123" s="125">
        <f t="shared" si="232"/>
        <v>1</v>
      </c>
      <c r="F123" s="125">
        <f t="shared" si="232"/>
        <v>1</v>
      </c>
      <c r="G123" s="125">
        <f t="shared" si="232"/>
        <v>1</v>
      </c>
      <c r="H123" s="125">
        <f t="shared" si="232"/>
        <v>1</v>
      </c>
      <c r="I123" s="125">
        <f t="shared" si="232"/>
        <v>1</v>
      </c>
      <c r="J123" s="125">
        <f t="shared" si="232"/>
        <v>1</v>
      </c>
      <c r="K123" s="125">
        <f t="shared" ref="K123:V123" si="235">IF(K22=0,0,K22/K$21)</f>
        <v>1</v>
      </c>
      <c r="L123" s="125">
        <f t="shared" si="235"/>
        <v>1</v>
      </c>
      <c r="M123" s="125">
        <f t="shared" si="235"/>
        <v>1</v>
      </c>
      <c r="N123" s="125">
        <f t="shared" si="235"/>
        <v>1</v>
      </c>
      <c r="O123" s="125">
        <f t="shared" si="235"/>
        <v>1</v>
      </c>
      <c r="P123" s="125">
        <f t="shared" si="235"/>
        <v>1</v>
      </c>
      <c r="Q123" s="125">
        <f t="shared" si="235"/>
        <v>1</v>
      </c>
      <c r="R123" s="125">
        <f t="shared" si="235"/>
        <v>1</v>
      </c>
      <c r="S123" s="125">
        <f t="shared" si="235"/>
        <v>1</v>
      </c>
      <c r="T123" s="125">
        <f t="shared" si="235"/>
        <v>1</v>
      </c>
      <c r="U123" s="125">
        <f t="shared" si="235"/>
        <v>1</v>
      </c>
      <c r="V123" s="125">
        <f t="shared" si="235"/>
        <v>1</v>
      </c>
      <c r="W123" s="125">
        <f t="shared" ref="W123:Y123" si="236">IF(W22=0,0,W22/W$21)</f>
        <v>1</v>
      </c>
      <c r="X123" s="125">
        <f t="shared" si="236"/>
        <v>1</v>
      </c>
      <c r="Y123" s="125">
        <f t="shared" si="236"/>
        <v>1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:Y124" si="238">IF(W23=0,0,W23/W$21)</f>
        <v>0</v>
      </c>
      <c r="X124" s="127">
        <f t="shared" si="238"/>
        <v>0</v>
      </c>
      <c r="Y124" s="127">
        <f t="shared" si="238"/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69.233104041272568</v>
      </c>
      <c r="C4" s="146">
        <f t="shared" ref="C4:V4" si="0">SUM(C5,C8)</f>
        <v>71.176784178847797</v>
      </c>
      <c r="D4" s="146">
        <f t="shared" si="0"/>
        <v>74.049355116079099</v>
      </c>
      <c r="E4" s="146">
        <f t="shared" si="0"/>
        <v>84.455889939810831</v>
      </c>
      <c r="F4" s="146">
        <f t="shared" si="0"/>
        <v>86.48564058469475</v>
      </c>
      <c r="G4" s="146">
        <f t="shared" si="0"/>
        <v>86.657609630266549</v>
      </c>
      <c r="H4" s="146">
        <f t="shared" si="0"/>
        <v>76.423043852106616</v>
      </c>
      <c r="I4" s="146">
        <f t="shared" si="0"/>
        <v>82.512209802235589</v>
      </c>
      <c r="J4" s="146">
        <f t="shared" si="0"/>
        <v>82.856147893379188</v>
      </c>
      <c r="K4" s="146">
        <f t="shared" si="0"/>
        <v>77.523903697334475</v>
      </c>
      <c r="L4" s="146">
        <f t="shared" si="0"/>
        <v>70.419862424763537</v>
      </c>
      <c r="M4" s="146">
        <f t="shared" si="0"/>
        <v>80.315821152192612</v>
      </c>
      <c r="N4" s="146">
        <f t="shared" si="0"/>
        <v>85.390025795356834</v>
      </c>
      <c r="O4" s="146">
        <f t="shared" si="0"/>
        <v>76.296646603611336</v>
      </c>
      <c r="P4" s="146">
        <f t="shared" si="0"/>
        <v>74.22665520206364</v>
      </c>
      <c r="Q4" s="146">
        <f t="shared" si="0"/>
        <v>73.417712811693889</v>
      </c>
      <c r="R4" s="146">
        <f t="shared" si="0"/>
        <v>63.269131556319856</v>
      </c>
      <c r="S4" s="146">
        <f t="shared" si="0"/>
        <v>58.723387790197769</v>
      </c>
      <c r="T4" s="146">
        <f t="shared" si="0"/>
        <v>61.126827171109191</v>
      </c>
      <c r="U4" s="146">
        <f t="shared" si="0"/>
        <v>51.001375752364567</v>
      </c>
      <c r="V4" s="146">
        <f t="shared" si="0"/>
        <v>32.28486672398968</v>
      </c>
      <c r="W4" s="146">
        <f t="shared" ref="W4:Y4" si="1">SUM(W5,W8)</f>
        <v>30.941186586414439</v>
      </c>
      <c r="X4" s="146">
        <f t="shared" si="1"/>
        <v>29.444969905417022</v>
      </c>
      <c r="Y4" s="146">
        <f t="shared" si="1"/>
        <v>27.661220980223554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65.965692175408421</v>
      </c>
      <c r="C5" s="101">
        <f t="shared" ref="C5:V5" si="2">SUM(C6:C7)</f>
        <v>67.995356835769556</v>
      </c>
      <c r="D5" s="101">
        <f t="shared" si="2"/>
        <v>71.039896818572643</v>
      </c>
      <c r="E5" s="101">
        <f t="shared" si="2"/>
        <v>81.188478073946683</v>
      </c>
      <c r="F5" s="101">
        <f t="shared" si="2"/>
        <v>83.218228718830602</v>
      </c>
      <c r="G5" s="101">
        <f t="shared" si="2"/>
        <v>83.218228718830602</v>
      </c>
      <c r="H5" s="101">
        <f t="shared" si="2"/>
        <v>73.069647463456576</v>
      </c>
      <c r="I5" s="101">
        <f t="shared" si="2"/>
        <v>79.158813413585548</v>
      </c>
      <c r="J5" s="101">
        <f t="shared" si="2"/>
        <v>79.158813413585548</v>
      </c>
      <c r="K5" s="101">
        <f t="shared" si="2"/>
        <v>74.084522785898528</v>
      </c>
      <c r="L5" s="101">
        <f t="shared" si="2"/>
        <v>66.980481513327589</v>
      </c>
      <c r="M5" s="101">
        <f t="shared" si="2"/>
        <v>76.876440240756665</v>
      </c>
      <c r="N5" s="101">
        <f t="shared" si="2"/>
        <v>81.950644883920887</v>
      </c>
      <c r="O5" s="101">
        <f t="shared" si="2"/>
        <v>72.943250214961296</v>
      </c>
      <c r="P5" s="101">
        <f t="shared" si="2"/>
        <v>70.787274290627693</v>
      </c>
      <c r="Q5" s="101">
        <f t="shared" si="2"/>
        <v>67.742734307824591</v>
      </c>
      <c r="R5" s="101">
        <f t="shared" si="2"/>
        <v>57.594153052450551</v>
      </c>
      <c r="S5" s="101">
        <f t="shared" si="2"/>
        <v>53.07368873602752</v>
      </c>
      <c r="T5" s="101">
        <f t="shared" si="2"/>
        <v>55.261650902837481</v>
      </c>
      <c r="U5" s="101">
        <f t="shared" si="2"/>
        <v>45.185124677558029</v>
      </c>
      <c r="V5" s="101">
        <f t="shared" si="2"/>
        <v>26.881255374032676</v>
      </c>
      <c r="W5" s="101">
        <f t="shared" ref="W5:Y5" si="3">SUM(W6:W7)</f>
        <v>25.302837489251928</v>
      </c>
      <c r="X5" s="101">
        <f t="shared" si="3"/>
        <v>23.888650042992257</v>
      </c>
      <c r="Y5" s="101">
        <f t="shared" si="3"/>
        <v>22.260447119518481</v>
      </c>
      <c r="DA5" s="175"/>
    </row>
    <row r="6" spans="1:105" ht="11.45" customHeight="1" x14ac:dyDescent="0.25">
      <c r="A6" s="164" t="s">
        <v>175</v>
      </c>
      <c r="B6" s="165">
        <v>65.965692175408421</v>
      </c>
      <c r="C6" s="165">
        <v>67.995356835769556</v>
      </c>
      <c r="D6" s="165">
        <v>71.039896818572643</v>
      </c>
      <c r="E6" s="165">
        <v>81.188478073946683</v>
      </c>
      <c r="F6" s="165">
        <v>83.218228718830602</v>
      </c>
      <c r="G6" s="165">
        <v>83.218228718830602</v>
      </c>
      <c r="H6" s="165">
        <v>73.069647463456576</v>
      </c>
      <c r="I6" s="165">
        <v>79.158813413585548</v>
      </c>
      <c r="J6" s="165">
        <v>79.158813413585548</v>
      </c>
      <c r="K6" s="165">
        <v>74.084522785898528</v>
      </c>
      <c r="L6" s="165">
        <v>66.980481513327589</v>
      </c>
      <c r="M6" s="165">
        <v>75.099398108340495</v>
      </c>
      <c r="N6" s="165">
        <v>80.173602751504717</v>
      </c>
      <c r="O6" s="165">
        <v>72.05477214101461</v>
      </c>
      <c r="P6" s="165">
        <v>69.010232158211522</v>
      </c>
      <c r="Q6" s="165">
        <v>65.965692175408421</v>
      </c>
      <c r="R6" s="165">
        <v>55.817110920034388</v>
      </c>
      <c r="S6" s="165">
        <v>52.372656921754093</v>
      </c>
      <c r="T6" s="165">
        <v>53.38856405846947</v>
      </c>
      <c r="U6" s="165">
        <v>43.862080825451407</v>
      </c>
      <c r="V6" s="165">
        <v>25.866638005159071</v>
      </c>
      <c r="W6" s="165">
        <v>24.388993981083399</v>
      </c>
      <c r="X6" s="165">
        <v>22.999656061908851</v>
      </c>
      <c r="Y6" s="165">
        <v>21.474376612209799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1.7770421324161649</v>
      </c>
      <c r="N7" s="167">
        <v>1.7770421324161649</v>
      </c>
      <c r="O7" s="167">
        <v>0.88847807394668954</v>
      </c>
      <c r="P7" s="167">
        <v>1.7770421324161649</v>
      </c>
      <c r="Q7" s="167">
        <v>1.7770421324161649</v>
      </c>
      <c r="R7" s="167">
        <v>1.7770421324161649</v>
      </c>
      <c r="S7" s="167">
        <v>0.70103181427343075</v>
      </c>
      <c r="T7" s="167">
        <v>1.873086844368014</v>
      </c>
      <c r="U7" s="167">
        <v>1.323043852106621</v>
      </c>
      <c r="V7" s="167">
        <v>1.0146173688736031</v>
      </c>
      <c r="W7" s="167">
        <v>0.91384350816852966</v>
      </c>
      <c r="X7" s="167">
        <v>0.88899398108340499</v>
      </c>
      <c r="Y7" s="167">
        <v>0.78607050730868433</v>
      </c>
      <c r="DA7" s="177" t="s">
        <v>1105</v>
      </c>
    </row>
    <row r="8" spans="1:105" ht="11.45" customHeight="1" x14ac:dyDescent="0.25">
      <c r="A8" s="85" t="s">
        <v>91</v>
      </c>
      <c r="B8" s="88">
        <v>3.267411865864144</v>
      </c>
      <c r="C8" s="88">
        <v>3.181427343078246</v>
      </c>
      <c r="D8" s="88">
        <v>3.0094582975064492</v>
      </c>
      <c r="E8" s="88">
        <v>3.267411865864144</v>
      </c>
      <c r="F8" s="88">
        <v>3.267411865864144</v>
      </c>
      <c r="G8" s="88">
        <v>3.4393809114359408</v>
      </c>
      <c r="H8" s="88">
        <v>3.3533963886500429</v>
      </c>
      <c r="I8" s="88">
        <v>3.3533963886500429</v>
      </c>
      <c r="J8" s="88">
        <v>3.6973344797936369</v>
      </c>
      <c r="K8" s="88">
        <v>3.4393809114359408</v>
      </c>
      <c r="L8" s="88">
        <v>3.4393809114359408</v>
      </c>
      <c r="M8" s="88">
        <v>3.4393809114359408</v>
      </c>
      <c r="N8" s="88">
        <v>3.4393809114359408</v>
      </c>
      <c r="O8" s="88">
        <v>3.3533963886500429</v>
      </c>
      <c r="P8" s="88">
        <v>3.4393809114359408</v>
      </c>
      <c r="Q8" s="88">
        <v>5.674978503869303</v>
      </c>
      <c r="R8" s="88">
        <v>5.674978503869303</v>
      </c>
      <c r="S8" s="88">
        <v>5.6496990541702496</v>
      </c>
      <c r="T8" s="88">
        <v>5.8651762682717106</v>
      </c>
      <c r="U8" s="88">
        <v>5.8162510748065346</v>
      </c>
      <c r="V8" s="88">
        <v>5.4036113499570071</v>
      </c>
      <c r="W8" s="88">
        <v>5.6383490971625099</v>
      </c>
      <c r="X8" s="88">
        <v>5.5563198624247638</v>
      </c>
      <c r="Y8" s="88">
        <v>5.4007738607050726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69.233104041272568</v>
      </c>
      <c r="C10" s="62">
        <f t="shared" ref="C10:V10" si="5">SUM(C11,C17)</f>
        <v>71.176784178847797</v>
      </c>
      <c r="D10" s="62">
        <f t="shared" si="5"/>
        <v>74.049355116079084</v>
      </c>
      <c r="E10" s="62">
        <f t="shared" si="5"/>
        <v>84.455889939810817</v>
      </c>
      <c r="F10" s="62">
        <f t="shared" si="5"/>
        <v>86.48564058469475</v>
      </c>
      <c r="G10" s="62">
        <f t="shared" si="5"/>
        <v>86.657609630266549</v>
      </c>
      <c r="H10" s="62">
        <f t="shared" si="5"/>
        <v>76.423043852106616</v>
      </c>
      <c r="I10" s="62">
        <f t="shared" si="5"/>
        <v>82.512209802235589</v>
      </c>
      <c r="J10" s="62">
        <f t="shared" si="5"/>
        <v>82.856147893379188</v>
      </c>
      <c r="K10" s="62">
        <f t="shared" si="5"/>
        <v>77.523903697334489</v>
      </c>
      <c r="L10" s="62">
        <f t="shared" si="5"/>
        <v>70.419862424763537</v>
      </c>
      <c r="M10" s="62">
        <f t="shared" si="5"/>
        <v>80.315821152192598</v>
      </c>
      <c r="N10" s="62">
        <f t="shared" si="5"/>
        <v>85.39002579535682</v>
      </c>
      <c r="O10" s="62">
        <f t="shared" si="5"/>
        <v>76.296646603611336</v>
      </c>
      <c r="P10" s="62">
        <f t="shared" si="5"/>
        <v>74.22665520206364</v>
      </c>
      <c r="Q10" s="62">
        <f t="shared" si="5"/>
        <v>73.417712811693889</v>
      </c>
      <c r="R10" s="62">
        <f t="shared" si="5"/>
        <v>63.269131556319856</v>
      </c>
      <c r="S10" s="62">
        <f t="shared" si="5"/>
        <v>58.723387790197769</v>
      </c>
      <c r="T10" s="62">
        <f t="shared" si="5"/>
        <v>61.126827171109198</v>
      </c>
      <c r="U10" s="62">
        <f t="shared" si="5"/>
        <v>51.001375752364559</v>
      </c>
      <c r="V10" s="62">
        <f t="shared" si="5"/>
        <v>32.28486672398968</v>
      </c>
      <c r="W10" s="62">
        <f t="shared" ref="W10:Y10" si="6">SUM(W11,W17)</f>
        <v>30.941186586414439</v>
      </c>
      <c r="X10" s="62">
        <f t="shared" si="6"/>
        <v>29.444969905417022</v>
      </c>
      <c r="Y10" s="62">
        <f t="shared" si="6"/>
        <v>27.661220980223554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15.620378866693168</v>
      </c>
      <c r="C11" s="29">
        <f t="shared" ref="C11:V11" si="8">SUM(C12,C13,C16)</f>
        <v>14.691730717499341</v>
      </c>
      <c r="D11" s="29">
        <f t="shared" si="8"/>
        <v>15.20173637443958</v>
      </c>
      <c r="E11" s="29">
        <f t="shared" si="8"/>
        <v>15.446870077149404</v>
      </c>
      <c r="F11" s="29">
        <f t="shared" si="8"/>
        <v>15.36304385871175</v>
      </c>
      <c r="G11" s="29">
        <f t="shared" si="8"/>
        <v>15.486995613477916</v>
      </c>
      <c r="H11" s="29">
        <f t="shared" si="8"/>
        <v>14.898984850922041</v>
      </c>
      <c r="I11" s="29">
        <f t="shared" si="8"/>
        <v>14.910338400278</v>
      </c>
      <c r="J11" s="29">
        <f t="shared" si="8"/>
        <v>14.551115375903873</v>
      </c>
      <c r="K11" s="29">
        <f t="shared" si="8"/>
        <v>12.521797354525157</v>
      </c>
      <c r="L11" s="29">
        <f t="shared" si="8"/>
        <v>10.980887857589098</v>
      </c>
      <c r="M11" s="29">
        <f t="shared" si="8"/>
        <v>10.937784676325244</v>
      </c>
      <c r="N11" s="29">
        <f t="shared" si="8"/>
        <v>10.527712404804321</v>
      </c>
      <c r="O11" s="29">
        <f t="shared" si="8"/>
        <v>10.240249234516313</v>
      </c>
      <c r="P11" s="29">
        <f t="shared" si="8"/>
        <v>9.4138665169191995</v>
      </c>
      <c r="Q11" s="29">
        <f t="shared" si="8"/>
        <v>11.028742623931077</v>
      </c>
      <c r="R11" s="29">
        <f t="shared" si="8"/>
        <v>10.816961641406783</v>
      </c>
      <c r="S11" s="29">
        <f t="shared" si="8"/>
        <v>10.382860889532866</v>
      </c>
      <c r="T11" s="29">
        <f t="shared" si="8"/>
        <v>9.8659833755554658</v>
      </c>
      <c r="U11" s="29">
        <f t="shared" si="8"/>
        <v>9.416383423828103</v>
      </c>
      <c r="V11" s="29">
        <f t="shared" si="8"/>
        <v>7.2687468319196782</v>
      </c>
      <c r="W11" s="29">
        <f t="shared" ref="W11:Y11" si="9">SUM(W12,W13,W16)</f>
        <v>8.3106244485018976</v>
      </c>
      <c r="X11" s="29">
        <f t="shared" si="9"/>
        <v>8.3574076739285132</v>
      </c>
      <c r="Y11" s="29">
        <f t="shared" si="9"/>
        <v>8.9721381515510146</v>
      </c>
      <c r="DA11" s="173" t="s">
        <v>395</v>
      </c>
    </row>
    <row r="12" spans="1:105" ht="11.45" customHeight="1" x14ac:dyDescent="0.25">
      <c r="A12" s="107" t="s">
        <v>23</v>
      </c>
      <c r="B12" s="115">
        <v>1.3775999255827618</v>
      </c>
      <c r="C12" s="115">
        <v>1.3051791587788704</v>
      </c>
      <c r="D12" s="115">
        <v>1.2632757724056511</v>
      </c>
      <c r="E12" s="115">
        <v>1.1976202107606553</v>
      </c>
      <c r="F12" s="115">
        <v>1.2166732916131899</v>
      </c>
      <c r="G12" s="115">
        <v>1.2227640807953128</v>
      </c>
      <c r="H12" s="115">
        <v>1.2010651664284575</v>
      </c>
      <c r="I12" s="115">
        <v>1.2003741068608713</v>
      </c>
      <c r="J12" s="115">
        <v>1.1183524524615787</v>
      </c>
      <c r="K12" s="115">
        <v>0.76279432504931344</v>
      </c>
      <c r="L12" s="115">
        <v>1.5697642180426288</v>
      </c>
      <c r="M12" s="115">
        <v>1.6226992575053456</v>
      </c>
      <c r="N12" s="115">
        <v>1.5133648880476496</v>
      </c>
      <c r="O12" s="115">
        <v>1.600507197807173</v>
      </c>
      <c r="P12" s="115">
        <v>1.6589641380244542</v>
      </c>
      <c r="Q12" s="115">
        <v>1.5491987277847923</v>
      </c>
      <c r="R12" s="115">
        <v>1.4590821580771449</v>
      </c>
      <c r="S12" s="115">
        <v>1.462020772141438</v>
      </c>
      <c r="T12" s="115">
        <v>1.502421240613298</v>
      </c>
      <c r="U12" s="115">
        <v>1.4036392350172648</v>
      </c>
      <c r="V12" s="115">
        <v>1.2757753766548026</v>
      </c>
      <c r="W12" s="115">
        <v>0.4280799130212522</v>
      </c>
      <c r="X12" s="115">
        <v>0.36828240574698667</v>
      </c>
      <c r="Y12" s="115">
        <v>0.36786895668791786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14.242778941110405</v>
      </c>
      <c r="C13" s="116">
        <f t="shared" ref="C13:V13" si="11">SUM(C14:C15)</f>
        <v>13.386551558720472</v>
      </c>
      <c r="D13" s="116">
        <f t="shared" si="11"/>
        <v>13.938460602033929</v>
      </c>
      <c r="E13" s="116">
        <f t="shared" si="11"/>
        <v>14.249249866388748</v>
      </c>
      <c r="F13" s="116">
        <f t="shared" si="11"/>
        <v>14.146370567098559</v>
      </c>
      <c r="G13" s="116">
        <f t="shared" si="11"/>
        <v>14.264231532682603</v>
      </c>
      <c r="H13" s="116">
        <f t="shared" si="11"/>
        <v>13.697919684493582</v>
      </c>
      <c r="I13" s="116">
        <f t="shared" si="11"/>
        <v>13.70996429341713</v>
      </c>
      <c r="J13" s="116">
        <f t="shared" si="11"/>
        <v>13.432762923442294</v>
      </c>
      <c r="K13" s="116">
        <f t="shared" si="11"/>
        <v>11.759003029475844</v>
      </c>
      <c r="L13" s="116">
        <f t="shared" si="11"/>
        <v>9.411123639546469</v>
      </c>
      <c r="M13" s="116">
        <f t="shared" si="11"/>
        <v>9.3150854188198977</v>
      </c>
      <c r="N13" s="116">
        <f t="shared" si="11"/>
        <v>9.014347516756672</v>
      </c>
      <c r="O13" s="116">
        <f t="shared" si="11"/>
        <v>8.6397420367091389</v>
      </c>
      <c r="P13" s="116">
        <f t="shared" si="11"/>
        <v>7.7549023788947462</v>
      </c>
      <c r="Q13" s="116">
        <f t="shared" si="11"/>
        <v>9.4795438961462839</v>
      </c>
      <c r="R13" s="116">
        <f t="shared" si="11"/>
        <v>9.3578794833296381</v>
      </c>
      <c r="S13" s="116">
        <f t="shared" si="11"/>
        <v>8.9208401173914282</v>
      </c>
      <c r="T13" s="116">
        <f t="shared" si="11"/>
        <v>8.3635621349421676</v>
      </c>
      <c r="U13" s="116">
        <f t="shared" si="11"/>
        <v>8.0127441888108386</v>
      </c>
      <c r="V13" s="116">
        <f t="shared" si="11"/>
        <v>5.9929714552648754</v>
      </c>
      <c r="W13" s="116">
        <f t="shared" ref="W13:Y13" si="12">SUM(W14:W15)</f>
        <v>7.8825445354806458</v>
      </c>
      <c r="X13" s="116">
        <f t="shared" si="12"/>
        <v>7.9891252681815272</v>
      </c>
      <c r="Y13" s="116">
        <f t="shared" si="12"/>
        <v>8.6042691948630967</v>
      </c>
      <c r="DA13" s="176" t="s">
        <v>397</v>
      </c>
    </row>
    <row r="14" spans="1:105" ht="11.45" customHeight="1" x14ac:dyDescent="0.25">
      <c r="A14" s="111" t="s">
        <v>95</v>
      </c>
      <c r="B14" s="87">
        <v>12.352967000829024</v>
      </c>
      <c r="C14" s="87">
        <v>11.510303374421095</v>
      </c>
      <c r="D14" s="87">
        <v>12.192278076933132</v>
      </c>
      <c r="E14" s="87">
        <v>12.17945821128526</v>
      </c>
      <c r="F14" s="87">
        <v>12.095631992847606</v>
      </c>
      <c r="G14" s="87">
        <v>12.047614702041974</v>
      </c>
      <c r="H14" s="87">
        <v>11.545588462271997</v>
      </c>
      <c r="I14" s="87">
        <v>11.556942011627958</v>
      </c>
      <c r="J14" s="87">
        <v>10.853780896110235</v>
      </c>
      <c r="K14" s="87">
        <v>9.0824164430892171</v>
      </c>
      <c r="L14" s="87">
        <v>7.5415069461531559</v>
      </c>
      <c r="M14" s="87">
        <v>7.4984037648893027</v>
      </c>
      <c r="N14" s="87">
        <v>7.0883314933683801</v>
      </c>
      <c r="O14" s="87">
        <v>6.8868528458662697</v>
      </c>
      <c r="P14" s="87">
        <v>5.9744856054832596</v>
      </c>
      <c r="Q14" s="87">
        <v>5.3537641200617729</v>
      </c>
      <c r="R14" s="87">
        <v>5.1419831375374798</v>
      </c>
      <c r="S14" s="87">
        <v>4.7331618353626164</v>
      </c>
      <c r="T14" s="87">
        <v>4.0008071072837534</v>
      </c>
      <c r="U14" s="87">
        <v>3.6001323490215684</v>
      </c>
      <c r="V14" s="87">
        <v>1.86513548196267</v>
      </c>
      <c r="W14" s="87">
        <v>2.6722753513393886</v>
      </c>
      <c r="X14" s="87">
        <v>2.8010878115037503</v>
      </c>
      <c r="Y14" s="87">
        <v>3.5713642908459429</v>
      </c>
      <c r="DA14" s="171" t="s">
        <v>1108</v>
      </c>
    </row>
    <row r="15" spans="1:105" ht="11.45" customHeight="1" x14ac:dyDescent="0.25">
      <c r="A15" s="111" t="s">
        <v>93</v>
      </c>
      <c r="B15" s="87">
        <v>1.8898119402813822</v>
      </c>
      <c r="C15" s="87">
        <v>1.8762481842993759</v>
      </c>
      <c r="D15" s="87">
        <v>1.7461825251007981</v>
      </c>
      <c r="E15" s="87">
        <v>2.0697916551034887</v>
      </c>
      <c r="F15" s="87">
        <v>2.0507385742509538</v>
      </c>
      <c r="G15" s="87">
        <v>2.216616830640628</v>
      </c>
      <c r="H15" s="87">
        <v>2.1523312222215853</v>
      </c>
      <c r="I15" s="87">
        <v>2.1530222817891715</v>
      </c>
      <c r="J15" s="87">
        <v>2.5789820273320587</v>
      </c>
      <c r="K15" s="87">
        <v>2.6765865863866272</v>
      </c>
      <c r="L15" s="87">
        <v>1.8696166933933125</v>
      </c>
      <c r="M15" s="87">
        <v>1.816681653930595</v>
      </c>
      <c r="N15" s="87">
        <v>1.9260160233882913</v>
      </c>
      <c r="O15" s="87">
        <v>1.7528891908428699</v>
      </c>
      <c r="P15" s="87">
        <v>1.7804167734114864</v>
      </c>
      <c r="Q15" s="87">
        <v>4.125779776084511</v>
      </c>
      <c r="R15" s="87">
        <v>4.2158963457921583</v>
      </c>
      <c r="S15" s="87">
        <v>4.187678282028811</v>
      </c>
      <c r="T15" s="87">
        <v>4.3627550276584133</v>
      </c>
      <c r="U15" s="87">
        <v>4.4126118397892702</v>
      </c>
      <c r="V15" s="87">
        <v>4.1278359733022052</v>
      </c>
      <c r="W15" s="87">
        <v>5.2102691841412572</v>
      </c>
      <c r="X15" s="87">
        <v>5.1880374566777769</v>
      </c>
      <c r="Y15" s="87">
        <v>5.0329049040171547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53.612725174579396</v>
      </c>
      <c r="C17" s="29">
        <f t="shared" si="13"/>
        <v>56.485053461348457</v>
      </c>
      <c r="D17" s="29">
        <f t="shared" si="13"/>
        <v>58.847618741639508</v>
      </c>
      <c r="E17" s="29">
        <f t="shared" si="13"/>
        <v>69.009019862661418</v>
      </c>
      <c r="F17" s="29">
        <f t="shared" si="13"/>
        <v>71.122596725983001</v>
      </c>
      <c r="G17" s="29">
        <f t="shared" si="13"/>
        <v>71.170614016788633</v>
      </c>
      <c r="H17" s="29">
        <f t="shared" si="13"/>
        <v>61.524059001184575</v>
      </c>
      <c r="I17" s="29">
        <f t="shared" si="13"/>
        <v>67.601871401957595</v>
      </c>
      <c r="J17" s="29">
        <f t="shared" si="13"/>
        <v>68.305032517475311</v>
      </c>
      <c r="K17" s="29">
        <f t="shared" si="13"/>
        <v>65.002106342809327</v>
      </c>
      <c r="L17" s="29">
        <f t="shared" si="13"/>
        <v>59.438974567174441</v>
      </c>
      <c r="M17" s="29">
        <f t="shared" si="13"/>
        <v>69.378036475867361</v>
      </c>
      <c r="N17" s="29">
        <f t="shared" si="13"/>
        <v>74.862313390552501</v>
      </c>
      <c r="O17" s="29">
        <f t="shared" si="13"/>
        <v>66.056397369095023</v>
      </c>
      <c r="P17" s="29">
        <f t="shared" si="13"/>
        <v>64.81278868514444</v>
      </c>
      <c r="Q17" s="29">
        <f t="shared" si="13"/>
        <v>62.388970187762816</v>
      </c>
      <c r="R17" s="29">
        <f t="shared" si="13"/>
        <v>52.452169914913071</v>
      </c>
      <c r="S17" s="29">
        <f t="shared" si="13"/>
        <v>48.340526900664905</v>
      </c>
      <c r="T17" s="29">
        <f t="shared" si="13"/>
        <v>51.260843795553733</v>
      </c>
      <c r="U17" s="29">
        <f t="shared" si="13"/>
        <v>41.584992328536458</v>
      </c>
      <c r="V17" s="29">
        <f t="shared" si="13"/>
        <v>25.016119892070005</v>
      </c>
      <c r="W17" s="29">
        <f t="shared" si="13"/>
        <v>22.630562137912541</v>
      </c>
      <c r="X17" s="29">
        <f t="shared" ref="X17:Y17" si="14">SUM(X18:X19)</f>
        <v>21.087562231488509</v>
      </c>
      <c r="Y17" s="29">
        <f t="shared" si="14"/>
        <v>18.689082828672539</v>
      </c>
      <c r="DA17" s="173" t="s">
        <v>402</v>
      </c>
    </row>
    <row r="18" spans="1:105" ht="11.45" customHeight="1" x14ac:dyDescent="0.25">
      <c r="A18" s="83" t="s">
        <v>95</v>
      </c>
      <c r="B18" s="87">
        <v>53.612725174579396</v>
      </c>
      <c r="C18" s="87">
        <v>56.485053461348457</v>
      </c>
      <c r="D18" s="87">
        <v>58.847618741639508</v>
      </c>
      <c r="E18" s="87">
        <v>69.009019862661418</v>
      </c>
      <c r="F18" s="87">
        <v>71.122596725983001</v>
      </c>
      <c r="G18" s="87">
        <v>71.170614016788633</v>
      </c>
      <c r="H18" s="87">
        <v>61.524059001184575</v>
      </c>
      <c r="I18" s="87">
        <v>67.601871401957595</v>
      </c>
      <c r="J18" s="87">
        <v>68.305032517475311</v>
      </c>
      <c r="K18" s="87">
        <v>65.002106342809327</v>
      </c>
      <c r="L18" s="87">
        <v>59.438974567174441</v>
      </c>
      <c r="M18" s="87">
        <v>69.378036475867361</v>
      </c>
      <c r="N18" s="87">
        <v>74.862313390552501</v>
      </c>
      <c r="O18" s="87">
        <v>66.056397369095023</v>
      </c>
      <c r="P18" s="87">
        <v>64.81278868514444</v>
      </c>
      <c r="Q18" s="87">
        <v>62.388970187762816</v>
      </c>
      <c r="R18" s="87">
        <v>52.452169914913071</v>
      </c>
      <c r="S18" s="87">
        <v>48.340526900664905</v>
      </c>
      <c r="T18" s="87">
        <v>51.260843795553733</v>
      </c>
      <c r="U18" s="87">
        <v>41.584992328536458</v>
      </c>
      <c r="V18" s="87">
        <v>25.016119892070005</v>
      </c>
      <c r="W18" s="87">
        <v>22.630562137912541</v>
      </c>
      <c r="X18" s="87">
        <v>21.087562231488509</v>
      </c>
      <c r="Y18" s="87">
        <v>18.689082828672539</v>
      </c>
      <c r="DA18" s="171" t="s">
        <v>1110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344.19383666243323</v>
      </c>
      <c r="C23" s="62">
        <f>IF(C10=0,0,C10/TrRail_act!C14*100)</f>
        <v>345.31641394757042</v>
      </c>
      <c r="D23" s="62">
        <f>IF(D10=0,0,D10/TrRail_act!D14*100)</f>
        <v>345.4154598661417</v>
      </c>
      <c r="E23" s="62">
        <f>IF(E10=0,0,E10/TrRail_act!E14*100)</f>
        <v>351.53504745843145</v>
      </c>
      <c r="F23" s="62">
        <f>IF(F10=0,0,F10/TrRail_act!F14*100)</f>
        <v>352.56359623382684</v>
      </c>
      <c r="G23" s="62">
        <f>IF(G10=0,0,G10/TrRail_act!G14*100)</f>
        <v>343.50358959667125</v>
      </c>
      <c r="H23" s="62">
        <f>IF(H10=0,0,H10/TrRail_act!H14*100)</f>
        <v>328.79808057550696</v>
      </c>
      <c r="I23" s="62">
        <f>IF(I10=0,0,I10/TrRail_act!I14*100)</f>
        <v>336.6102967968551</v>
      </c>
      <c r="J23" s="62">
        <f>IF(J10=0,0,J10/TrRail_act!J14*100)</f>
        <v>326.51189433884838</v>
      </c>
      <c r="K23" s="62">
        <f>IF(K10=0,0,K10/TrRail_act!K14*100)</f>
        <v>336.65033617585851</v>
      </c>
      <c r="L23" s="62">
        <f>IF(L10=0,0,L10/TrRail_act!L14*100)</f>
        <v>303.85775146965426</v>
      </c>
      <c r="M23" s="62">
        <f>IF(M10=0,0,M10/TrRail_act!M14*100)</f>
        <v>304.31472130256913</v>
      </c>
      <c r="N23" s="62">
        <f>IF(N10=0,0,N10/TrRail_act!N14*100)</f>
        <v>313.61323395302907</v>
      </c>
      <c r="O23" s="62">
        <f>IF(O10=0,0,O10/TrRail_act!O14*100)</f>
        <v>298.92165706804053</v>
      </c>
      <c r="P23" s="62">
        <f>IF(P10=0,0,P10/TrRail_act!P14*100)</f>
        <v>290.82672124396942</v>
      </c>
      <c r="Q23" s="62">
        <f>IF(Q10=0,0,Q10/TrRail_act!Q14*100)</f>
        <v>280.34607645677181</v>
      </c>
      <c r="R23" s="62">
        <f>IF(R10=0,0,R10/TrRail_act!R14*100)</f>
        <v>266.18217503294619</v>
      </c>
      <c r="S23" s="62">
        <f>IF(S10=0,0,S10/TrRail_act!S14*100)</f>
        <v>256.08582730120139</v>
      </c>
      <c r="T23" s="62">
        <f>IF(T10=0,0,T10/TrRail_act!T14*100)</f>
        <v>256.1487673883999</v>
      </c>
      <c r="U23" s="62">
        <f>IF(U10=0,0,U10/TrRail_act!U14*100)</f>
        <v>241.75087457213067</v>
      </c>
      <c r="V23" s="62">
        <f>IF(V10=0,0,V10/TrRail_act!V14*100)</f>
        <v>212.29237937562075</v>
      </c>
      <c r="W23" s="62">
        <f>IF(W10=0,0,W10/TrRail_act!W14*100)</f>
        <v>232.38862714201809</v>
      </c>
      <c r="X23" s="62">
        <f>IF(X10=0,0,X10/TrRail_act!X14*100)</f>
        <v>229.22814901639921</v>
      </c>
      <c r="Y23" s="62">
        <f>IF(Y10=0,0,Y10/TrRail_act!Y14*100)</f>
        <v>219.19859123840766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167.48056641533077</v>
      </c>
      <c r="C24" s="29">
        <f>IF(C11=0,0,C11/TrRail_act!C15*100)</f>
        <v>160.00930568091005</v>
      </c>
      <c r="D24" s="29">
        <f>IF(D11=0,0,D11/TrRail_act!D15*100)</f>
        <v>160.93234860882683</v>
      </c>
      <c r="E24" s="29">
        <f>IF(E11=0,0,E11/TrRail_act!E15*100)</f>
        <v>156.56612023478689</v>
      </c>
      <c r="F24" s="29">
        <f>IF(F11=0,0,F11/TrRail_act!F15*100)</f>
        <v>153.67576000775998</v>
      </c>
      <c r="G24" s="29">
        <f>IF(G11=0,0,G11/TrRail_act!G15*100)</f>
        <v>147.37818715257896</v>
      </c>
      <c r="H24" s="29">
        <f>IF(H11=0,0,H11/TrRail_act!H15*100)</f>
        <v>143.12760017883431</v>
      </c>
      <c r="I24" s="29">
        <f>IF(I11=0,0,I11/TrRail_act!I15*100)</f>
        <v>142.24966694095016</v>
      </c>
      <c r="J24" s="29">
        <f>IF(J11=0,0,J11/TrRail_act!J15*100)</f>
        <v>140.34103588467562</v>
      </c>
      <c r="K24" s="29">
        <f>IF(K11=0,0,K11/TrRail_act!K15*100)</f>
        <v>145.45012441398509</v>
      </c>
      <c r="L24" s="29">
        <f>IF(L11=0,0,L11/TrRail_act!L15*100)</f>
        <v>110.93752383477373</v>
      </c>
      <c r="M24" s="29">
        <f>IF(M11=0,0,M11/TrRail_act!M15*100)</f>
        <v>108.31578134098261</v>
      </c>
      <c r="N24" s="29">
        <f>IF(N11=0,0,N11/TrRail_act!N15*100)</f>
        <v>107.86576885827759</v>
      </c>
      <c r="O24" s="29">
        <f>IF(O11=0,0,O11/TrRail_act!O15*100)</f>
        <v>103.03359892962784</v>
      </c>
      <c r="P24" s="29">
        <f>IF(P11=0,0,P11/TrRail_act!P15*100)</f>
        <v>95.600862289865447</v>
      </c>
      <c r="Q24" s="29">
        <f>IF(Q11=0,0,Q11/TrRail_act!Q15*100)</f>
        <v>100.32143173484268</v>
      </c>
      <c r="R24" s="29">
        <f>IF(R11=0,0,R11/TrRail_act!R15*100)</f>
        <v>100.17788031147812</v>
      </c>
      <c r="S24" s="29">
        <f>IF(S11=0,0,S11/TrRail_act!S15*100)</f>
        <v>96.884841846557862</v>
      </c>
      <c r="T24" s="29">
        <f>IF(T11=0,0,T11/TrRail_act!T15*100)</f>
        <v>92.197992594765381</v>
      </c>
      <c r="U24" s="29">
        <f>IF(U11=0,0,U11/TrRail_act!U15*100)</f>
        <v>91.524558247384334</v>
      </c>
      <c r="V24" s="29">
        <f>IF(V11=0,0,V11/TrRail_act!V15*100)</f>
        <v>84.065073156564324</v>
      </c>
      <c r="W24" s="29">
        <f>IF(W11=0,0,W11/TrRail_act!W15*100)</f>
        <v>113.24843703527749</v>
      </c>
      <c r="X24" s="29">
        <f>IF(X11=0,0,X11/TrRail_act!X15*100)</f>
        <v>115.30290982769722</v>
      </c>
      <c r="Y24" s="29">
        <f>IF(Y11=0,0,Y11/TrRail_act!Y15*100)</f>
        <v>117.43970860588237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35.35635640939276</v>
      </c>
      <c r="C25" s="115">
        <f>IF(C12=0,0,C12/TrRail_act!C16*100)</f>
        <v>35.061216121971377</v>
      </c>
      <c r="D25" s="115">
        <f>IF(D12=0,0,D12/TrRail_act!D16*100)</f>
        <v>34.802014986037968</v>
      </c>
      <c r="E25" s="115">
        <f>IF(E12=0,0,E12/TrRail_act!E16*100)</f>
        <v>34.576130168607222</v>
      </c>
      <c r="F25" s="115">
        <f>IF(F12=0,0,F12/TrRail_act!F16*100)</f>
        <v>34.331516073293969</v>
      </c>
      <c r="G25" s="115">
        <f>IF(G12=0,0,G12/TrRail_act!G16*100)</f>
        <v>34.082917183033786</v>
      </c>
      <c r="H25" s="115">
        <f>IF(H12=0,0,H12/TrRail_act!H16*100)</f>
        <v>33.765912277070576</v>
      </c>
      <c r="I25" s="115">
        <f>IF(I12=0,0,I12/TrRail_act!I16*100)</f>
        <v>33.580798258035372</v>
      </c>
      <c r="J25" s="115">
        <f>IF(J12=0,0,J12/TrRail_act!J16*100)</f>
        <v>33.385640768432808</v>
      </c>
      <c r="K25" s="115">
        <f>IF(K12=0,0,K12/TrRail_act!K16*100)</f>
        <v>33.19651805466021</v>
      </c>
      <c r="L25" s="115">
        <f>IF(L12=0,0,L12/TrRail_act!L16*100)</f>
        <v>32.873982991883516</v>
      </c>
      <c r="M25" s="115">
        <f>IF(M12=0,0,M12/TrRail_act!M16*100)</f>
        <v>32.748493345007127</v>
      </c>
      <c r="N25" s="115">
        <f>IF(N12=0,0,N12/TrRail_act!N16*100)</f>
        <v>32.519289463711338</v>
      </c>
      <c r="O25" s="115">
        <f>IF(O12=0,0,O12/TrRail_act!O16*100)</f>
        <v>32.296854413517543</v>
      </c>
      <c r="P25" s="115">
        <f>IF(P12=0,0,P12/TrRail_act!P16*100)</f>
        <v>31.939508827099072</v>
      </c>
      <c r="Q25" s="115">
        <f>IF(Q12=0,0,Q12/TrRail_act!Q16*100)</f>
        <v>31.61732982825707</v>
      </c>
      <c r="R25" s="115">
        <f>IF(R12=0,0,R12/TrRail_act!R16*100)</f>
        <v>31.37782977523127</v>
      </c>
      <c r="S25" s="115">
        <f>IF(S12=0,0,S12/TrRail_act!S16*100)</f>
        <v>31.199396091981534</v>
      </c>
      <c r="T25" s="115">
        <f>IF(T12=0,0,T12/TrRail_act!T16*100)</f>
        <v>31.06623722398313</v>
      </c>
      <c r="U25" s="115">
        <f>IF(U12=0,0,U12/TrRail_act!U16*100)</f>
        <v>30.966741039616107</v>
      </c>
      <c r="V25" s="115">
        <f>IF(V12=0,0,V12/TrRail_act!V16*100)</f>
        <v>30.892326762067995</v>
      </c>
      <c r="W25" s="115">
        <f>IF(W12=0,0,W12/TrRail_act!W16*100)</f>
        <v>30.836635342037695</v>
      </c>
      <c r="X25" s="115">
        <f>IF(X12=0,0,X12/TrRail_act!X16*100)</f>
        <v>30.794932019822923</v>
      </c>
      <c r="Y25" s="115">
        <f>IF(Y12=0,0,Y12/TrRail_act!Y16*100)</f>
        <v>30.763692742950305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262.28092633943908</v>
      </c>
      <c r="C26" s="116">
        <f>IF(C13=0,0,C13/TrRail_act!C17*100)</f>
        <v>245.20973034178516</v>
      </c>
      <c r="D26" s="116">
        <f>IF(D13=0,0,D13/TrRail_act!D17*100)</f>
        <v>239.65102981201815</v>
      </c>
      <c r="E26" s="116">
        <f>IF(E13=0,0,E13/TrRail_act!E17*100)</f>
        <v>222.56396977889543</v>
      </c>
      <c r="F26" s="116">
        <f>IF(F13=0,0,F13/TrRail_act!F17*100)</f>
        <v>219.21635759955331</v>
      </c>
      <c r="G26" s="116">
        <f>IF(G13=0,0,G13/TrRail_act!G17*100)</f>
        <v>206.1090486079448</v>
      </c>
      <c r="H26" s="116">
        <f>IF(H13=0,0,H13/TrRail_act!H17*100)</f>
        <v>199.89529242850722</v>
      </c>
      <c r="I26" s="116">
        <f>IF(I13=0,0,I13/TrRail_act!I17*100)</f>
        <v>198.48732087882058</v>
      </c>
      <c r="J26" s="116">
        <f>IF(J13=0,0,J13/TrRail_act!J17*100)</f>
        <v>191.38817798894766</v>
      </c>
      <c r="K26" s="116">
        <f>IF(K13=0,0,K13/TrRail_act!K17*100)</f>
        <v>186.32010608144159</v>
      </c>
      <c r="L26" s="116">
        <f>IF(L13=0,0,L13/TrRail_act!L17*100)</f>
        <v>183.6973791203541</v>
      </c>
      <c r="M26" s="116">
        <f>IF(M13=0,0,M13/TrRail_act!M17*100)</f>
        <v>181.12100127031164</v>
      </c>
      <c r="N26" s="116">
        <f>IF(N13=0,0,N13/TrRail_act!N17*100)</f>
        <v>176.5349768496674</v>
      </c>
      <c r="O26" s="116">
        <f>IF(O13=0,0,O13/TrRail_act!O17*100)</f>
        <v>173.37967662447119</v>
      </c>
      <c r="P26" s="116">
        <f>IF(P13=0,0,P13/TrRail_act!P17*100)</f>
        <v>166.66563135644012</v>
      </c>
      <c r="Q26" s="116">
        <f>IF(Q13=0,0,Q13/TrRail_act!Q17*100)</f>
        <v>155.56644737116616</v>
      </c>
      <c r="R26" s="116">
        <f>IF(R13=0,0,R13/TrRail_act!R17*100)</f>
        <v>152.21724956845623</v>
      </c>
      <c r="S26" s="116">
        <f>IF(S13=0,0,S13/TrRail_act!S17*100)</f>
        <v>147.9250569654088</v>
      </c>
      <c r="T26" s="116">
        <f>IF(T13=0,0,T13/TrRail_act!T17*100)</f>
        <v>142.60903547200081</v>
      </c>
      <c r="U26" s="116">
        <f>IF(U13=0,0,U13/TrRail_act!U17*100)</f>
        <v>139.21560436106753</v>
      </c>
      <c r="V26" s="116">
        <f>IF(V13=0,0,V13/TrRail_act!V17*100)</f>
        <v>132.68111401161451</v>
      </c>
      <c r="W26" s="116">
        <f>IF(W13=0,0,W13/TrRail_act!W17*100)</f>
        <v>132.47567914434723</v>
      </c>
      <c r="X26" s="116">
        <f>IF(X13=0,0,X13/TrRail_act!X17*100)</f>
        <v>132.00146745661363</v>
      </c>
      <c r="Y26" s="116">
        <f>IF(Y13=0,0,Y13/TrRail_act!Y17*100)</f>
        <v>133.52387486283772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285.7636904706099</v>
      </c>
      <c r="C27" s="87">
        <f>IF(C14=0,0,C14/TrRail_act!C18*100)</f>
        <v>264.92700702282787</v>
      </c>
      <c r="D27" s="87">
        <f>IF(D14=0,0,D14/TrRail_act!D18*100)</f>
        <v>255.60859804849133</v>
      </c>
      <c r="E27" s="87">
        <f>IF(E14=0,0,E14/TrRail_act!E18*100)</f>
        <v>236.94919145876719</v>
      </c>
      <c r="F27" s="87">
        <f>IF(F14=0,0,F14/TrRail_act!F18*100)</f>
        <v>233.54235909470034</v>
      </c>
      <c r="G27" s="87">
        <f>IF(G14=0,0,G14/TrRail_act!G18*100)</f>
        <v>218.51030398675445</v>
      </c>
      <c r="H27" s="87">
        <f>IF(H14=0,0,H14/TrRail_act!H18*100)</f>
        <v>211.5346407774085</v>
      </c>
      <c r="I27" s="87">
        <f>IF(I14=0,0,I14/TrRail_act!I18*100)</f>
        <v>210.43381171868057</v>
      </c>
      <c r="J27" s="87">
        <f>IF(J14=0,0,J14/TrRail_act!J18*100)</f>
        <v>205.03693023843334</v>
      </c>
      <c r="K27" s="87">
        <f>IF(K14=0,0,K14/TrRail_act!K18*100)</f>
        <v>202.22287971588307</v>
      </c>
      <c r="L27" s="87">
        <f>IF(L14=0,0,L14/TrRail_act!L18*100)</f>
        <v>197.33823043058263</v>
      </c>
      <c r="M27" s="87">
        <f>IF(M14=0,0,M14/TrRail_act!M18*100)</f>
        <v>194.48429774506343</v>
      </c>
      <c r="N27" s="87">
        <f>IF(N14=0,0,N14/TrRail_act!N18*100)</f>
        <v>190.19038067708135</v>
      </c>
      <c r="O27" s="87">
        <f>IF(O14=0,0,O14/TrRail_act!O18*100)</f>
        <v>185.67857444625452</v>
      </c>
      <c r="P27" s="87">
        <f>IF(P14=0,0,P14/TrRail_act!P18*100)</f>
        <v>178.83974989124775</v>
      </c>
      <c r="Q27" s="87">
        <f>IF(Q14=0,0,Q14/TrRail_act!Q18*100)</f>
        <v>177.59835594991685</v>
      </c>
      <c r="R27" s="87">
        <f>IF(R14=0,0,R14/TrRail_act!R18*100)</f>
        <v>174.90623897991409</v>
      </c>
      <c r="S27" s="87">
        <f>IF(S14=0,0,S14/TrRail_act!S18*100)</f>
        <v>171.18482605780167</v>
      </c>
      <c r="T27" s="87">
        <f>IF(T14=0,0,T14/TrRail_act!T18*100)</f>
        <v>166.76136217856865</v>
      </c>
      <c r="U27" s="87">
        <f>IF(U14=0,0,U14/TrRail_act!U18*100)</f>
        <v>163.51893881807993</v>
      </c>
      <c r="V27" s="87">
        <f>IF(V14=0,0,V14/TrRail_act!V18*100)</f>
        <v>161.12856139270511</v>
      </c>
      <c r="W27" s="87">
        <f>IF(W14=0,0,W14/TrRail_act!W18*100)</f>
        <v>159.3587379797093</v>
      </c>
      <c r="X27" s="87">
        <f>IF(X14=0,0,X14/TrRail_act!X18*100)</f>
        <v>158.04413937531842</v>
      </c>
      <c r="Y27" s="87">
        <f>IF(Y14=0,0,Y14/TrRail_act!Y18*100)</f>
        <v>157.06531204519825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170.62816103962362</v>
      </c>
      <c r="C28" s="87">
        <f>IF(C15=0,0,C15/TrRail_act!C19*100)</f>
        <v>168.3461789866646</v>
      </c>
      <c r="D28" s="87">
        <f>IF(D15=0,0,D15/TrRail_act!D19*100)</f>
        <v>166.89957244197083</v>
      </c>
      <c r="E28" s="87">
        <f>IF(E15=0,0,E15/TrRail_act!E19*100)</f>
        <v>163.98250941699339</v>
      </c>
      <c r="F28" s="87">
        <f>IF(F15=0,0,F15/TrRail_act!F19*100)</f>
        <v>160.97455313548542</v>
      </c>
      <c r="G28" s="87">
        <f>IF(G15=0,0,G15/TrRail_act!G19*100)</f>
        <v>157.51987338878359</v>
      </c>
      <c r="H28" s="87">
        <f>IF(H15=0,0,H15/TrRail_act!H19*100)</f>
        <v>154.34050266469956</v>
      </c>
      <c r="I28" s="87">
        <f>IF(I15=0,0,I15/TrRail_act!I19*100)</f>
        <v>152.12870910696626</v>
      </c>
      <c r="J28" s="87">
        <f>IF(J15=0,0,J15/TrRail_act!J19*100)</f>
        <v>149.50427044597262</v>
      </c>
      <c r="K28" s="87">
        <f>IF(K15=0,0,K15/TrRail_act!K19*100)</f>
        <v>147.0738551087922</v>
      </c>
      <c r="L28" s="87">
        <f>IF(L15=0,0,L15/TrRail_act!L19*100)</f>
        <v>143.64514429920789</v>
      </c>
      <c r="M28" s="87">
        <f>IF(M15=0,0,M15/TrRail_act!M19*100)</f>
        <v>141.1030067467108</v>
      </c>
      <c r="N28" s="87">
        <f>IF(N15=0,0,N15/TrRail_act!N19*100)</f>
        <v>139.637129053791</v>
      </c>
      <c r="O28" s="87">
        <f>IF(O15=0,0,O15/TrRail_act!O19*100)</f>
        <v>137.57692936744016</v>
      </c>
      <c r="P28" s="87">
        <f>IF(P15=0,0,P15/TrRail_act!P19*100)</f>
        <v>135.67373824699453</v>
      </c>
      <c r="Q28" s="87">
        <f>IF(Q15=0,0,Q15/TrRail_act!Q19*100)</f>
        <v>133.99604057814636</v>
      </c>
      <c r="R28" s="87">
        <f>IF(R15=0,0,R15/TrRail_act!R19*100)</f>
        <v>131.42388054242332</v>
      </c>
      <c r="S28" s="87">
        <f>IF(S15=0,0,S15/TrRail_act!S19*100)</f>
        <v>128.23194275755804</v>
      </c>
      <c r="T28" s="87">
        <f>IF(T15=0,0,T15/TrRail_act!T19*100)</f>
        <v>125.88896889001265</v>
      </c>
      <c r="U28" s="87">
        <f>IF(U15=0,0,U15/TrRail_act!U19*100)</f>
        <v>124.15987463989052</v>
      </c>
      <c r="V28" s="87">
        <f>IF(V15=0,0,V15/TrRail_act!V19*100)</f>
        <v>122.87865207766053</v>
      </c>
      <c r="W28" s="87">
        <f>IF(W15=0,0,W15/TrRail_act!W19*100)</f>
        <v>121.92642656087149</v>
      </c>
      <c r="X28" s="87">
        <f>IF(X15=0,0,X15/TrRail_act!X19*100)</f>
        <v>121.21710051813142</v>
      </c>
      <c r="Y28" s="87">
        <f>IF(Y15=0,0,Y15/TrRail_act!Y19*100)</f>
        <v>120.68782009441266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496.97152205261574</v>
      </c>
      <c r="C30" s="29">
        <f>IF(C17=0,0,C17/TrRail_act!C21*100)</f>
        <v>494.17163272713213</v>
      </c>
      <c r="D30" s="29">
        <f>IF(D17=0,0,D17/TrRail_act!D21*100)</f>
        <v>490.73527889467152</v>
      </c>
      <c r="E30" s="29">
        <f>IF(E17=0,0,E17/TrRail_act!E21*100)</f>
        <v>487.39146862261958</v>
      </c>
      <c r="F30" s="29">
        <f>IF(F17=0,0,F17/TrRail_act!F21*100)</f>
        <v>489.37150173234778</v>
      </c>
      <c r="G30" s="29">
        <f>IF(G17=0,0,G17/TrRail_act!G21*100)</f>
        <v>483.52118151400714</v>
      </c>
      <c r="H30" s="29">
        <f>IF(H17=0,0,H17/TrRail_act!H21*100)</f>
        <v>479.39933910492829</v>
      </c>
      <c r="I30" s="29">
        <f>IF(I17=0,0,I17/TrRail_act!I21*100)</f>
        <v>481.8080389648502</v>
      </c>
      <c r="J30" s="29">
        <f>IF(J17=0,0,J17/TrRail_act!J21*100)</f>
        <v>455.13163458526833</v>
      </c>
      <c r="K30" s="29">
        <f>IF(K17=0,0,K17/TrRail_act!K21*100)</f>
        <v>450.8080193475127</v>
      </c>
      <c r="L30" s="29">
        <f>IF(L17=0,0,L17/TrRail_act!L21*100)</f>
        <v>447.68344669135433</v>
      </c>
      <c r="M30" s="29">
        <f>IF(M17=0,0,M17/TrRail_act!M21*100)</f>
        <v>425.78096165582633</v>
      </c>
      <c r="N30" s="29">
        <f>IF(N17=0,0,N17/TrRail_act!N21*100)</f>
        <v>428.57320057181425</v>
      </c>
      <c r="O30" s="29">
        <f>IF(O17=0,0,O17/TrRail_act!O21*100)</f>
        <v>423.84018774980677</v>
      </c>
      <c r="P30" s="29">
        <f>IF(P17=0,0,P17/TrRail_act!P21*100)</f>
        <v>413.46322007030471</v>
      </c>
      <c r="Q30" s="29">
        <f>IF(Q17=0,0,Q17/TrRail_act!Q21*100)</f>
        <v>410.59321641244662</v>
      </c>
      <c r="R30" s="29">
        <f>IF(R17=0,0,R17/TrRail_act!R21*100)</f>
        <v>404.36925696327484</v>
      </c>
      <c r="S30" s="29">
        <f>IF(S17=0,0,S17/TrRail_act!S21*100)</f>
        <v>395.76564746972866</v>
      </c>
      <c r="T30" s="29">
        <f>IF(T17=0,0,T17/TrRail_act!T21*100)</f>
        <v>389.43328507806746</v>
      </c>
      <c r="U30" s="29">
        <f>IF(U17=0,0,U17/TrRail_act!U21*100)</f>
        <v>384.75059336851137</v>
      </c>
      <c r="V30" s="29">
        <f>IF(V17=0,0,V17/TrRail_act!V21*100)</f>
        <v>381.27556285321157</v>
      </c>
      <c r="W30" s="29">
        <f>IF(W17=0,0,W17/TrRail_act!W21*100)</f>
        <v>378.68990266954023</v>
      </c>
      <c r="X30" s="29">
        <f>IF(X17=0,0,X17/TrRail_act!X21*100)</f>
        <v>376.76217134362355</v>
      </c>
      <c r="Y30" s="29">
        <f>IF(Y17=0,0,Y17/TrRail_act!Y21*100)</f>
        <v>375.32281547765774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496.97152205261574</v>
      </c>
      <c r="C31" s="87">
        <f>IF(C18=0,0,C18/TrRail_act!C22*100)</f>
        <v>494.17163272713213</v>
      </c>
      <c r="D31" s="87">
        <f>IF(D18=0,0,D18/TrRail_act!D22*100)</f>
        <v>490.73527889467152</v>
      </c>
      <c r="E31" s="87">
        <f>IF(E18=0,0,E18/TrRail_act!E22*100)</f>
        <v>487.39146862261958</v>
      </c>
      <c r="F31" s="87">
        <f>IF(F18=0,0,F18/TrRail_act!F22*100)</f>
        <v>489.37150173234778</v>
      </c>
      <c r="G31" s="87">
        <f>IF(G18=0,0,G18/TrRail_act!G22*100)</f>
        <v>483.52118151400714</v>
      </c>
      <c r="H31" s="87">
        <f>IF(H18=0,0,H18/TrRail_act!H22*100)</f>
        <v>479.39933910492829</v>
      </c>
      <c r="I31" s="87">
        <f>IF(I18=0,0,I18/TrRail_act!I22*100)</f>
        <v>481.8080389648502</v>
      </c>
      <c r="J31" s="87">
        <f>IF(J18=0,0,J18/TrRail_act!J22*100)</f>
        <v>455.13163458526833</v>
      </c>
      <c r="K31" s="87">
        <f>IF(K18=0,0,K18/TrRail_act!K22*100)</f>
        <v>450.8080193475127</v>
      </c>
      <c r="L31" s="87">
        <f>IF(L18=0,0,L18/TrRail_act!L22*100)</f>
        <v>447.68344669135433</v>
      </c>
      <c r="M31" s="87">
        <f>IF(M18=0,0,M18/TrRail_act!M22*100)</f>
        <v>425.78096165582633</v>
      </c>
      <c r="N31" s="87">
        <f>IF(N18=0,0,N18/TrRail_act!N22*100)</f>
        <v>428.57320057181425</v>
      </c>
      <c r="O31" s="87">
        <f>IF(O18=0,0,O18/TrRail_act!O22*100)</f>
        <v>423.84018774980677</v>
      </c>
      <c r="P31" s="87">
        <f>IF(P18=0,0,P18/TrRail_act!P22*100)</f>
        <v>413.46322007030471</v>
      </c>
      <c r="Q31" s="87">
        <f>IF(Q18=0,0,Q18/TrRail_act!Q22*100)</f>
        <v>410.59321641244662</v>
      </c>
      <c r="R31" s="87">
        <f>IF(R18=0,0,R18/TrRail_act!R22*100)</f>
        <v>404.36925696327484</v>
      </c>
      <c r="S31" s="87">
        <f>IF(S18=0,0,S18/TrRail_act!S22*100)</f>
        <v>395.76564746972866</v>
      </c>
      <c r="T31" s="87">
        <f>IF(T18=0,0,T18/TrRail_act!T22*100)</f>
        <v>389.43328507806746</v>
      </c>
      <c r="U31" s="87">
        <f>IF(U18=0,0,U18/TrRail_act!U22*100)</f>
        <v>384.75059336851137</v>
      </c>
      <c r="V31" s="87">
        <f>IF(V18=0,0,V18/TrRail_act!V22*100)</f>
        <v>381.27556285321157</v>
      </c>
      <c r="W31" s="87">
        <f>IF(W18=0,0,W18/TrRail_act!W22*100)</f>
        <v>378.68990266954023</v>
      </c>
      <c r="X31" s="87">
        <f>IF(X18=0,0,X18/TrRail_act!X22*100)</f>
        <v>376.76217134362355</v>
      </c>
      <c r="Y31" s="87">
        <f>IF(Y18=0,0,Y18/TrRail_act!Y22*100)</f>
        <v>375.32281547765774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X32" s="88">
        <f>IF(X19=0,0,X19/TrRail_act!X23*100)</f>
        <v>0</v>
      </c>
      <c r="Y32" s="88">
        <f>IF(Y19=0,0,Y19/TrRail_act!Y23*100)</f>
        <v>0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15.911560422423518</v>
      </c>
      <c r="C35" s="29">
        <f>IF(C11=0,0,C11/TrRail_act!C4*1000)</f>
        <v>15.197818058859356</v>
      </c>
      <c r="D35" s="29">
        <f>IF(D11=0,0,D11/TrRail_act!D4*1000)</f>
        <v>15.072116175331727</v>
      </c>
      <c r="E35" s="29">
        <f>IF(E11=0,0,E11/TrRail_act!E4*1000)</f>
        <v>15.206605706979134</v>
      </c>
      <c r="F35" s="29">
        <f>IF(F11=0,0,F11/TrRail_act!F4*1000)</f>
        <v>14.362011646921331</v>
      </c>
      <c r="G35" s="29">
        <f>IF(G11=0,0,G11/TrRail_act!G4*1000)</f>
        <v>13.331321006695287</v>
      </c>
      <c r="H35" s="29">
        <f>IF(H11=0,0,H11/TrRail_act!H4*1000)</f>
        <v>11.775061132476125</v>
      </c>
      <c r="I35" s="29">
        <f>IF(I11=0,0,I11/TrRail_act!I4*1000)</f>
        <v>11.884535629107287</v>
      </c>
      <c r="J35" s="29">
        <f>IF(J11=0,0,J11/TrRail_act!J4*1000)</f>
        <v>12.133007067375862</v>
      </c>
      <c r="K35" s="29">
        <f>IF(K11=0,0,K11/TrRail_act!K4*1000)</f>
        <v>13.625459580549681</v>
      </c>
      <c r="L35" s="29">
        <f>IF(L11=0,0,L11/TrRail_act!L4*1000)</f>
        <v>9.9329425524233308</v>
      </c>
      <c r="M35" s="29">
        <f>IF(M11=0,0,M11/TrRail_act!M4*1000)</f>
        <v>9.8659658755384925</v>
      </c>
      <c r="N35" s="29">
        <f>IF(N11=0,0,N11/TrRail_act!N4*1000)</f>
        <v>9.8447616028887239</v>
      </c>
      <c r="O35" s="29">
        <f>IF(O11=0,0,O11/TrRail_act!O4*1000)</f>
        <v>9.3262063978735235</v>
      </c>
      <c r="P35" s="29">
        <f>IF(P11=0,0,P11/TrRail_act!P4*1000)</f>
        <v>9.1511373632211193</v>
      </c>
      <c r="Q35" s="29">
        <f>IF(Q11=0,0,Q11/TrRail_act!Q4*1000)</f>
        <v>11.662111922438724</v>
      </c>
      <c r="R35" s="29">
        <f>IF(R11=0,0,R11/TrRail_act!R4*1000)</f>
        <v>11.736657890352712</v>
      </c>
      <c r="S35" s="29">
        <f>IF(S11=0,0,S11/TrRail_act!S4*1000)</f>
        <v>11.073409797942348</v>
      </c>
      <c r="T35" s="29">
        <f>IF(T11=0,0,T11/TrRail_act!T4*1000)</f>
        <v>10.06534771780197</v>
      </c>
      <c r="U35" s="29">
        <f>IF(U11=0,0,U11/TrRail_act!U4*1000)</f>
        <v>9.6161002090702841</v>
      </c>
      <c r="V35" s="29">
        <f>IF(V11=0,0,V11/TrRail_act!V4*1000)</f>
        <v>11.825696009188341</v>
      </c>
      <c r="W35" s="29">
        <f>IF(W11=0,0,W11/TrRail_act!W4*1000)</f>
        <v>19.810218655251571</v>
      </c>
      <c r="X35" s="29">
        <f>IF(X11=0,0,X11/TrRail_act!X4*1000)</f>
        <v>13.587734199243199</v>
      </c>
      <c r="Y35" s="29">
        <f>IF(Y11=0,0,Y11/TrRail_act!Y4*1000)</f>
        <v>12.906357205915967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5.1653540516788956</v>
      </c>
      <c r="C36" s="115">
        <f>IF(C12=0,0,C12/TrRail_act!C5*1000)</f>
        <v>5.006440961944266</v>
      </c>
      <c r="D36" s="115">
        <f>IF(D12=0,0,D12/TrRail_act!D5*1000)</f>
        <v>4.7742848541407827</v>
      </c>
      <c r="E36" s="115">
        <f>IF(E12=0,0,E12/TrRail_act!E5*1000)</f>
        <v>4.7187557555581376</v>
      </c>
      <c r="F36" s="115">
        <f>IF(F12=0,0,F12/TrRail_act!F5*1000)</f>
        <v>4.613853968954075</v>
      </c>
      <c r="G36" s="115">
        <f>IF(G12=0,0,G12/TrRail_act!G5*1000)</f>
        <v>4.4839166879182732</v>
      </c>
      <c r="H36" s="115">
        <f>IF(H12=0,0,H12/TrRail_act!H5*1000)</f>
        <v>4.3002691243410585</v>
      </c>
      <c r="I36" s="115">
        <f>IF(I12=0,0,I12/TrRail_act!I5*1000)</f>
        <v>4.293183500933015</v>
      </c>
      <c r="J36" s="115">
        <f>IF(J12=0,0,J12/TrRail_act!J5*1000)</f>
        <v>4.3296649340363098</v>
      </c>
      <c r="K36" s="115">
        <f>IF(K12=0,0,K12/TrRail_act!K5*1000)</f>
        <v>4.4607855266041714</v>
      </c>
      <c r="L36" s="115">
        <f>IF(L12=0,0,L12/TrRail_act!L5*1000)</f>
        <v>4.3065997389386856</v>
      </c>
      <c r="M36" s="115">
        <f>IF(M12=0,0,M12/TrRail_act!M5*1000)</f>
        <v>4.3198485177360801</v>
      </c>
      <c r="N36" s="115">
        <f>IF(N12=0,0,N12/TrRail_act!N5*1000)</f>
        <v>4.2947932527205612</v>
      </c>
      <c r="O36" s="115">
        <f>IF(O12=0,0,O12/TrRail_act!O5*1000)</f>
        <v>4.2452870968445566</v>
      </c>
      <c r="P36" s="115">
        <f>IF(P12=0,0,P12/TrRail_act!P5*1000)</f>
        <v>4.3122459463607763</v>
      </c>
      <c r="Q36" s="115">
        <f>IF(Q12=0,0,Q12/TrRail_act!Q5*1000)</f>
        <v>4.3554745080963544</v>
      </c>
      <c r="R36" s="115">
        <f>IF(R12=0,0,R12/TrRail_act!R5*1000)</f>
        <v>4.3214266067520191</v>
      </c>
      <c r="S36" s="115">
        <f>IF(S12=0,0,S12/TrRail_act!S5*1000)</f>
        <v>4.2794317163480686</v>
      </c>
      <c r="T36" s="115">
        <f>IF(T12=0,0,T12/TrRail_act!T5*1000)</f>
        <v>4.2179976602945537</v>
      </c>
      <c r="U36" s="115">
        <f>IF(U12=0,0,U12/TrRail_act!U5*1000)</f>
        <v>4.1746276667447821</v>
      </c>
      <c r="V36" s="115">
        <f>IF(V12=0,0,V12/TrRail_act!V5*1000)</f>
        <v>6.3264621444075955</v>
      </c>
      <c r="W36" s="115">
        <f>IF(W12=0,0,W12/TrRail_act!W5*1000)</f>
        <v>7.3161046113831727</v>
      </c>
      <c r="X36" s="115">
        <f>IF(X12=0,0,X12/TrRail_act!X5*1000)</f>
        <v>4.9720859423111481</v>
      </c>
      <c r="Y36" s="115">
        <f>IF(Y12=0,0,Y12/TrRail_act!Y5*1000)</f>
        <v>4.4229903896493763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19.919970547007559</v>
      </c>
      <c r="C37" s="116">
        <f>IF(C13=0,0,C13/TrRail_act!C6*1000)</f>
        <v>18.961121187989338</v>
      </c>
      <c r="D37" s="116">
        <f>IF(D13=0,0,D13/TrRail_act!D6*1000)</f>
        <v>18.734490056497215</v>
      </c>
      <c r="E37" s="116">
        <f>IF(E13=0,0,E13/TrRail_act!E6*1000)</f>
        <v>18.699802974263449</v>
      </c>
      <c r="F37" s="116">
        <f>IF(F13=0,0,F13/TrRail_act!F6*1000)</f>
        <v>17.551328247020546</v>
      </c>
      <c r="G37" s="116">
        <f>IF(G13=0,0,G13/TrRail_act!G6*1000)</f>
        <v>16.045254817415753</v>
      </c>
      <c r="H37" s="116">
        <f>IF(H13=0,0,H13/TrRail_act!H6*1000)</f>
        <v>13.892413473117223</v>
      </c>
      <c r="I37" s="116">
        <f>IF(I13=0,0,I13/TrRail_act!I6*1000)</f>
        <v>14.061501839402183</v>
      </c>
      <c r="J37" s="116">
        <f>IF(J13=0,0,J13/TrRail_act!J6*1000)</f>
        <v>14.27498716625111</v>
      </c>
      <c r="K37" s="116">
        <f>IF(K13=0,0,K13/TrRail_act!K6*1000)</f>
        <v>15.720592285395515</v>
      </c>
      <c r="L37" s="116">
        <f>IF(L13=0,0,L13/TrRail_act!L6*1000)</f>
        <v>12.700571713288083</v>
      </c>
      <c r="M37" s="116">
        <f>IF(M13=0,0,M13/TrRail_act!M6*1000)</f>
        <v>12.708165646411866</v>
      </c>
      <c r="N37" s="116">
        <f>IF(N13=0,0,N13/TrRail_act!N6*1000)</f>
        <v>12.572311738851704</v>
      </c>
      <c r="O37" s="116">
        <f>IF(O13=0,0,O13/TrRail_act!O6*1000)</f>
        <v>11.982998663951649</v>
      </c>
      <c r="P37" s="116">
        <f>IF(P13=0,0,P13/TrRail_act!P6*1000)</f>
        <v>12.041773880271347</v>
      </c>
      <c r="Q37" s="116">
        <f>IF(Q13=0,0,Q13/TrRail_act!Q6*1000)</f>
        <v>16.067023552790314</v>
      </c>
      <c r="R37" s="116">
        <f>IF(R13=0,0,R13/TrRail_act!R6*1000)</f>
        <v>16.023766238578148</v>
      </c>
      <c r="S37" s="116">
        <f>IF(S13=0,0,S13/TrRail_act!S6*1000)</f>
        <v>14.967852545958772</v>
      </c>
      <c r="T37" s="116">
        <f>IF(T13=0,0,T13/TrRail_act!T6*1000)</f>
        <v>13.403144447022704</v>
      </c>
      <c r="U37" s="116">
        <f>IF(U13=0,0,U13/TrRail_act!U6*1000)</f>
        <v>12.461499516035518</v>
      </c>
      <c r="V37" s="116">
        <f>IF(V13=0,0,V13/TrRail_act!V6*1000)</f>
        <v>14.510826768195823</v>
      </c>
      <c r="W37" s="116">
        <f>IF(W13=0,0,W13/TrRail_act!W6*1000)</f>
        <v>21.835303422384062</v>
      </c>
      <c r="X37" s="116">
        <f>IF(X13=0,0,X13/TrRail_act!X6*1000)</f>
        <v>14.767329516047186</v>
      </c>
      <c r="Y37" s="116">
        <f>IF(Y13=0,0,Y13/TrRail_act!Y6*1000)</f>
        <v>14.059263390299177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23.371744984857862</v>
      </c>
      <c r="C38" s="87">
        <f>IF(C14=0,0,C14/TrRail_act!C7*1000)</f>
        <v>22.437195967995386</v>
      </c>
      <c r="D38" s="87">
        <f>IF(D14=0,0,D14/TrRail_act!D7*1000)</f>
        <v>22.469729775470935</v>
      </c>
      <c r="E38" s="87">
        <f>IF(E14=0,0,E14/TrRail_act!E7*1000)</f>
        <v>22.666673710668917</v>
      </c>
      <c r="F38" s="87">
        <f>IF(F14=0,0,F14/TrRail_act!F7*1000)</f>
        <v>21.304773385398033</v>
      </c>
      <c r="G38" s="87">
        <f>IF(G14=0,0,G14/TrRail_act!G7*1000)</f>
        <v>19.481623477705284</v>
      </c>
      <c r="H38" s="87">
        <f>IF(H14=0,0,H14/TrRail_act!H7*1000)</f>
        <v>16.831826434767663</v>
      </c>
      <c r="I38" s="87">
        <f>IF(I14=0,0,I14/TrRail_act!I7*1000)</f>
        <v>17.010488433773517</v>
      </c>
      <c r="J38" s="87">
        <f>IF(J14=0,0,J14/TrRail_act!J7*1000)</f>
        <v>17.576118811249568</v>
      </c>
      <c r="K38" s="87">
        <f>IF(K14=0,0,K14/TrRail_act!K7*1000)</f>
        <v>19.374315987453883</v>
      </c>
      <c r="L38" s="87">
        <f>IF(L14=0,0,L14/TrRail_act!L7*1000)</f>
        <v>17.654152258923244</v>
      </c>
      <c r="M38" s="87">
        <f>IF(M14=0,0,M14/TrRail_act!M7*1000)</f>
        <v>17.88227127601461</v>
      </c>
      <c r="N38" s="87">
        <f>IF(N14=0,0,N14/TrRail_act!N7*1000)</f>
        <v>17.592067842833259</v>
      </c>
      <c r="O38" s="87">
        <f>IF(O14=0,0,O14/TrRail_act!O7*1000)</f>
        <v>16.865984176499346</v>
      </c>
      <c r="P38" s="87">
        <f>IF(P14=0,0,P14/TrRail_act!P7*1000)</f>
        <v>16.903140505285151</v>
      </c>
      <c r="Q38" s="87">
        <f>IF(Q14=0,0,Q14/TrRail_act!Q7*1000)</f>
        <v>16.324363939120985</v>
      </c>
      <c r="R38" s="87">
        <f>IF(R14=0,0,R14/TrRail_act!R7*1000)</f>
        <v>16.793273791985101</v>
      </c>
      <c r="S38" s="87">
        <f>IF(S14=0,0,S14/TrRail_act!S7*1000)</f>
        <v>16.31008210514122</v>
      </c>
      <c r="T38" s="87">
        <f>IF(T14=0,0,T14/TrRail_act!T7*1000)</f>
        <v>14.34540624371631</v>
      </c>
      <c r="U38" s="87">
        <f>IF(U14=0,0,U14/TrRail_act!U7*1000)</f>
        <v>13.584085440570174</v>
      </c>
      <c r="V38" s="87">
        <f>IF(V14=0,0,V14/TrRail_act!V7*1000)</f>
        <v>17.778881358988713</v>
      </c>
      <c r="W38" s="87">
        <f>IF(W14=0,0,W14/TrRail_act!W7*1000)</f>
        <v>26.669553856579565</v>
      </c>
      <c r="X38" s="87">
        <f>IF(X14=0,0,X14/TrRail_act!X7*1000)</f>
        <v>17.87766433920731</v>
      </c>
      <c r="Y38" s="87">
        <f>IF(Y14=0,0,Y14/TrRail_act!Y7*1000)</f>
        <v>19.876701093331604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10.135364622841889</v>
      </c>
      <c r="C39" s="87">
        <f>IF(C15=0,0,C15/TrRail_act!C8*1000)</f>
        <v>9.7215422192747578</v>
      </c>
      <c r="D39" s="87">
        <f>IF(D15=0,0,D15/TrRail_act!D8*1000)</f>
        <v>8.6706094497615638</v>
      </c>
      <c r="E39" s="87">
        <f>IF(E15=0,0,E15/TrRail_act!E8*1000)</f>
        <v>9.2125395516011803</v>
      </c>
      <c r="F39" s="87">
        <f>IF(F15=0,0,F15/TrRail_act!F8*1000)</f>
        <v>8.6072475228691587</v>
      </c>
      <c r="G39" s="87">
        <f>IF(G15=0,0,G15/TrRail_act!G8*1000)</f>
        <v>8.1917664076175534</v>
      </c>
      <c r="H39" s="87">
        <f>IF(H15=0,0,H15/TrRail_act!H8*1000)</f>
        <v>7.1729537202974463</v>
      </c>
      <c r="I39" s="87">
        <f>IF(I15=0,0,I15/TrRail_act!I8*1000)</f>
        <v>7.2835900046616127</v>
      </c>
      <c r="J39" s="87">
        <f>IF(J15=0,0,J15/TrRail_act!J8*1000)</f>
        <v>7.9728634469787281</v>
      </c>
      <c r="K39" s="87">
        <f>IF(K15=0,0,K15/TrRail_act!K8*1000)</f>
        <v>9.5861622882944832</v>
      </c>
      <c r="L39" s="87">
        <f>IF(L15=0,0,L15/TrRail_act!L8*1000)</f>
        <v>5.9576151307264071</v>
      </c>
      <c r="M39" s="87">
        <f>IF(M15=0,0,M15/TrRail_act!M8*1000)</f>
        <v>5.7915226321313602</v>
      </c>
      <c r="N39" s="87">
        <f>IF(N15=0,0,N15/TrRail_act!N8*1000)</f>
        <v>6.132397043702337</v>
      </c>
      <c r="O39" s="87">
        <f>IF(O15=0,0,O15/TrRail_act!O8*1000)</f>
        <v>5.6061589926614648</v>
      </c>
      <c r="P39" s="87">
        <f>IF(P15=0,0,P15/TrRail_act!P8*1000)</f>
        <v>6.1278346775438886</v>
      </c>
      <c r="Q39" s="87">
        <f>IF(Q15=0,0,Q15/TrRail_act!Q8*1000)</f>
        <v>15.744941938889937</v>
      </c>
      <c r="R39" s="87">
        <f>IF(R15=0,0,R15/TrRail_act!R8*1000)</f>
        <v>15.175631199154328</v>
      </c>
      <c r="S39" s="87">
        <f>IF(S15=0,0,S15/TrRail_act!S8*1000)</f>
        <v>13.694107712506622</v>
      </c>
      <c r="T39" s="87">
        <f>IF(T15=0,0,T15/TrRail_act!T8*1000)</f>
        <v>12.64167887670442</v>
      </c>
      <c r="U39" s="87">
        <f>IF(U15=0,0,U15/TrRail_act!U8*1000)</f>
        <v>11.674371385136107</v>
      </c>
      <c r="V39" s="87">
        <f>IF(V15=0,0,V15/TrRail_act!V8*1000)</f>
        <v>13.398034936310941</v>
      </c>
      <c r="W39" s="87">
        <f>IF(W15=0,0,W15/TrRail_act!W8*1000)</f>
        <v>19.977985958462</v>
      </c>
      <c r="X39" s="87">
        <f>IF(X15=0,0,X15/TrRail_act!X8*1000)</f>
        <v>13.499295006881409</v>
      </c>
      <c r="Y39" s="87">
        <f>IF(Y15=0,0,Y15/TrRail_act!Y8*1000)</f>
        <v>11.64150918682912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4.0280033940330133</v>
      </c>
      <c r="C41" s="29">
        <f>IF(C17=0,0,C17/TrRail_act!C10*1000)</f>
        <v>3.9834311326761962</v>
      </c>
      <c r="D41" s="29">
        <f>IF(D17=0,0,D17/TrRail_act!D10*1000)</f>
        <v>3.9179506485778623</v>
      </c>
      <c r="E41" s="29">
        <f>IF(E17=0,0,E17/TrRail_act!E10*1000)</f>
        <v>3.843443044425586</v>
      </c>
      <c r="F41" s="29">
        <f>IF(F17=0,0,F17/TrRail_act!F10*1000)</f>
        <v>3.8200986532378884</v>
      </c>
      <c r="G41" s="29">
        <f>IF(G17=0,0,G17/TrRail_act!G10*1000)</f>
        <v>3.5982918255113319</v>
      </c>
      <c r="H41" s="29">
        <f>IF(H17=0,0,H17/TrRail_act!H10*1000)</f>
        <v>3.6554012834165879</v>
      </c>
      <c r="I41" s="29">
        <f>IF(I17=0,0,I17/TrRail_act!I10*1000)</f>
        <v>3.6914689784283072</v>
      </c>
      <c r="J41" s="29">
        <f>IF(J17=0,0,J17/TrRail_act!J10*1000)</f>
        <v>3.4883321851527151</v>
      </c>
      <c r="K41" s="29">
        <f>IF(K17=0,0,K17/TrRail_act!K10*1000)</f>
        <v>3.4714075483476274</v>
      </c>
      <c r="L41" s="29">
        <f>IF(L17=0,0,L17/TrRail_act!L10*1000)</f>
        <v>3.4599787279337821</v>
      </c>
      <c r="M41" s="29">
        <f>IF(M17=0,0,M17/TrRail_act!M10*1000)</f>
        <v>3.2404500922871255</v>
      </c>
      <c r="N41" s="29">
        <f>IF(N17=0,0,N17/TrRail_act!N10*1000)</f>
        <v>3.4235292171103722</v>
      </c>
      <c r="O41" s="29">
        <f>IF(O17=0,0,O17/TrRail_act!O10*1000)</f>
        <v>3.3819576781228253</v>
      </c>
      <c r="P41" s="29">
        <f>IF(P17=0,0,P17/TrRail_act!P10*1000)</f>
        <v>3.3338196947247805</v>
      </c>
      <c r="Q41" s="29">
        <f>IF(Q17=0,0,Q17/TrRail_act!Q10*1000)</f>
        <v>3.2999561085244271</v>
      </c>
      <c r="R41" s="29">
        <f>IF(R17=0,0,R17/TrRail_act!R10*1000)</f>
        <v>3.3044900091295326</v>
      </c>
      <c r="S41" s="29">
        <f>IF(S17=0,0,S17/TrRail_act!S10*1000)</f>
        <v>3.2196967430841159</v>
      </c>
      <c r="T41" s="29">
        <f>IF(T17=0,0,T17/TrRail_act!T10*1000)</f>
        <v>2.8703087404420029</v>
      </c>
      <c r="U41" s="29">
        <f>IF(U17=0,0,U17/TrRail_act!U10*1000)</f>
        <v>2.7688256427549409</v>
      </c>
      <c r="V41" s="29">
        <f>IF(V17=0,0,V17/TrRail_act!V10*1000)</f>
        <v>3.1352450046459466</v>
      </c>
      <c r="W41" s="29">
        <f>IF(W17=0,0,W17/TrRail_act!W10*1000)</f>
        <v>3.0718830104401444</v>
      </c>
      <c r="X41" s="29">
        <f>IF(X17=0,0,X17/TrRail_act!X10*1000)</f>
        <v>2.8458248625490565</v>
      </c>
      <c r="Y41" s="29">
        <f>IF(Y17=0,0,Y17/TrRail_act!Y10*1000)</f>
        <v>3.6002856537608436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4.0280033940330133</v>
      </c>
      <c r="C42" s="87">
        <f>IF(C18=0,0,C18/TrRail_act!C11*1000)</f>
        <v>3.9834311326761962</v>
      </c>
      <c r="D42" s="87">
        <f>IF(D18=0,0,D18/TrRail_act!D11*1000)</f>
        <v>3.9179506485778623</v>
      </c>
      <c r="E42" s="87">
        <f>IF(E18=0,0,E18/TrRail_act!E11*1000)</f>
        <v>3.843443044425586</v>
      </c>
      <c r="F42" s="87">
        <f>IF(F18=0,0,F18/TrRail_act!F11*1000)</f>
        <v>3.8200986532378884</v>
      </c>
      <c r="G42" s="87">
        <f>IF(G18=0,0,G18/TrRail_act!G11*1000)</f>
        <v>3.5982918255113319</v>
      </c>
      <c r="H42" s="87">
        <f>IF(H18=0,0,H18/TrRail_act!H11*1000)</f>
        <v>3.6554012834165879</v>
      </c>
      <c r="I42" s="87">
        <f>IF(I18=0,0,I18/TrRail_act!I11*1000)</f>
        <v>3.6914689784283072</v>
      </c>
      <c r="J42" s="87">
        <f>IF(J18=0,0,J18/TrRail_act!J11*1000)</f>
        <v>3.4883321851527151</v>
      </c>
      <c r="K42" s="87">
        <f>IF(K18=0,0,K18/TrRail_act!K11*1000)</f>
        <v>3.4714075483476274</v>
      </c>
      <c r="L42" s="87">
        <f>IF(L18=0,0,L18/TrRail_act!L11*1000)</f>
        <v>3.4599787279337821</v>
      </c>
      <c r="M42" s="87">
        <f>IF(M18=0,0,M18/TrRail_act!M11*1000)</f>
        <v>3.2404500922871255</v>
      </c>
      <c r="N42" s="87">
        <f>IF(N18=0,0,N18/TrRail_act!N11*1000)</f>
        <v>3.4235292171103722</v>
      </c>
      <c r="O42" s="87">
        <f>IF(O18=0,0,O18/TrRail_act!O11*1000)</f>
        <v>3.3819576781228253</v>
      </c>
      <c r="P42" s="87">
        <f>IF(P18=0,0,P18/TrRail_act!P11*1000)</f>
        <v>3.3338196947247805</v>
      </c>
      <c r="Q42" s="87">
        <f>IF(Q18=0,0,Q18/TrRail_act!Q11*1000)</f>
        <v>3.2999561085244271</v>
      </c>
      <c r="R42" s="87">
        <f>IF(R18=0,0,R18/TrRail_act!R11*1000)</f>
        <v>3.3044900091295326</v>
      </c>
      <c r="S42" s="87">
        <f>IF(S18=0,0,S18/TrRail_act!S11*1000)</f>
        <v>3.2196967430841159</v>
      </c>
      <c r="T42" s="87">
        <f>IF(T18=0,0,T18/TrRail_act!T11*1000)</f>
        <v>2.8703087404420029</v>
      </c>
      <c r="U42" s="87">
        <f>IF(U18=0,0,U18/TrRail_act!U11*1000)</f>
        <v>2.7688256427549409</v>
      </c>
      <c r="V42" s="87">
        <f>IF(V18=0,0,V18/TrRail_act!V11*1000)</f>
        <v>3.1352450046459466</v>
      </c>
      <c r="W42" s="87">
        <f>IF(W18=0,0,W18/TrRail_act!W11*1000)</f>
        <v>3.0718830104401444</v>
      </c>
      <c r="X42" s="87">
        <f>IF(X18=0,0,X18/TrRail_act!X11*1000)</f>
        <v>2.8458248625490565</v>
      </c>
      <c r="Y42" s="87">
        <f>IF(Y18=0,0,Y18/TrRail_act!Y11*1000)</f>
        <v>3.6002856537608436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X43" s="88">
        <f>IF(X19=0,0,X19/TrRail_act!X12*1000)</f>
        <v>0</v>
      </c>
      <c r="Y43" s="88">
        <f>IF(Y19=0,0,Y19/TrRail_act!Y12*1000)</f>
        <v>0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551381.59928228322</v>
      </c>
      <c r="C45" s="54">
        <f>IF(C10=0,0,1000000*C10/TrRail_act!C25)</f>
        <v>558741.61573072209</v>
      </c>
      <c r="D45" s="54">
        <f>IF(D10=0,0,1000000*D10/TrRail_act!D25)</f>
        <v>562121.36747123033</v>
      </c>
      <c r="E45" s="54">
        <f>IF(E10=0,0,1000000*E10/TrRail_act!E25)</f>
        <v>582596.18514623237</v>
      </c>
      <c r="F45" s="54">
        <f>IF(F10=0,0,1000000*F10/TrRail_act!F25)</f>
        <v>584735.57669932803</v>
      </c>
      <c r="G45" s="54">
        <f>IF(G10=0,0,1000000*G10/TrRail_act!G25)</f>
        <v>568809.84671180043</v>
      </c>
      <c r="H45" s="54">
        <f>IF(H10=0,0,1000000*H10/TrRail_act!H25)</f>
        <v>522648.80291182036</v>
      </c>
      <c r="I45" s="54">
        <f>IF(I10=0,0,1000000*I10/TrRail_act!I25)</f>
        <v>554895.1100620582</v>
      </c>
      <c r="J45" s="54">
        <f>IF(J10=0,0,1000000*J10/TrRail_act!J25)</f>
        <v>544096.28604632569</v>
      </c>
      <c r="K45" s="54">
        <f>IF(K10=0,0,1000000*K10/TrRail_act!K25)</f>
        <v>540059.46190894023</v>
      </c>
      <c r="L45" s="54">
        <f>IF(L10=0,0,1000000*L10/TrRail_act!L25)</f>
        <v>466257.44445664913</v>
      </c>
      <c r="M45" s="54">
        <f>IF(M10=0,0,1000000*M10/TrRail_act!M25)</f>
        <v>490274.50459702412</v>
      </c>
      <c r="N45" s="54">
        <f>IF(N10=0,0,1000000*N10/TrRail_act!N25)</f>
        <v>519373.33921609679</v>
      </c>
      <c r="O45" s="54">
        <f>IF(O10=0,0,1000000*O10/TrRail_act!O25)</f>
        <v>474180.82611990883</v>
      </c>
      <c r="P45" s="54">
        <f>IF(P10=0,0,1000000*P10/TrRail_act!P25)</f>
        <v>473938.42284959677</v>
      </c>
      <c r="Q45" s="54">
        <f>IF(Q10=0,0,1000000*Q10/TrRail_act!Q25)</f>
        <v>455608.89624061546</v>
      </c>
      <c r="R45" s="54">
        <f>IF(R10=0,0,1000000*R10/TrRail_act!R25)</f>
        <v>411270.87712671456</v>
      </c>
      <c r="S45" s="54">
        <f>IF(S10=0,0,1000000*S10/TrRail_act!S25)</f>
        <v>396803.45007586171</v>
      </c>
      <c r="T45" s="54">
        <f>IF(T10=0,0,1000000*T10/TrRail_act!T25)</f>
        <v>410583.72789967206</v>
      </c>
      <c r="U45" s="54">
        <f>IF(U10=0,0,1000000*U10/TrRail_act!U25)</f>
        <v>364300.00116118963</v>
      </c>
      <c r="V45" s="54">
        <f>IF(V10=0,0,1000000*V10/TrRail_act!V25)</f>
        <v>253329.89713460914</v>
      </c>
      <c r="W45" s="54">
        <f>IF(W10=0,0,1000000*W10/TrRail_act!W25)</f>
        <v>250691.94551198691</v>
      </c>
      <c r="X45" s="54">
        <f>IF(X10=0,0,1000000*X10/TrRail_act!X25)</f>
        <v>255670.0161578668</v>
      </c>
      <c r="Y45" s="54">
        <f>IF(Y10=0,0,1000000*Y10/TrRail_act!Y25)</f>
        <v>254138.51475883377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218090.06611826629</v>
      </c>
      <c r="C46" s="28">
        <f>IF(C11=0,0,1000000*C11/TrRail_act!C26)</f>
        <v>209175.44009655368</v>
      </c>
      <c r="D46" s="28">
        <f>IF(D11=0,0,1000000*D11/TrRail_act!D26)</f>
        <v>211801.95939910319</v>
      </c>
      <c r="E46" s="28">
        <f>IF(E11=0,0,1000000*E11/TrRail_act!E26)</f>
        <v>208261.72007034556</v>
      </c>
      <c r="F46" s="28">
        <f>IF(F11=0,0,1000000*F11/TrRail_act!F26)</f>
        <v>204191.87807640809</v>
      </c>
      <c r="G46" s="28">
        <f>IF(G11=0,0,1000000*G11/TrRail_act!G26)</f>
        <v>196653.20222063796</v>
      </c>
      <c r="H46" s="28">
        <f>IF(H11=0,0,1000000*H11/TrRail_act!H26)</f>
        <v>190962.85598747013</v>
      </c>
      <c r="I46" s="28">
        <f>IF(I11=0,0,1000000*I11/TrRail_act!I26)</f>
        <v>189833.27491555476</v>
      </c>
      <c r="J46" s="28">
        <f>IF(J11=0,0,1000000*J11/TrRail_act!J26)</f>
        <v>188380.1086617962</v>
      </c>
      <c r="K46" s="28">
        <f>IF(K11=0,0,1000000*K11/TrRail_act!K26)</f>
        <v>175248.00302319811</v>
      </c>
      <c r="L46" s="28">
        <f>IF(L11=0,0,1000000*L11/TrRail_act!L26)</f>
        <v>130211.78999211319</v>
      </c>
      <c r="M46" s="28">
        <f>IF(M11=0,0,1000000*M11/TrRail_act!M26)</f>
        <v>132826.25698579915</v>
      </c>
      <c r="N46" s="28">
        <f>IF(N11=0,0,1000000*N11/TrRail_act!N26)</f>
        <v>136598.08746040871</v>
      </c>
      <c r="O46" s="28">
        <f>IF(O11=0,0,1000000*O11/TrRail_act!O26)</f>
        <v>129694.09131161691</v>
      </c>
      <c r="P46" s="28">
        <f>IF(P11=0,0,1000000*P11/TrRail_act!P26)</f>
        <v>120322.33751603859</v>
      </c>
      <c r="Q46" s="28">
        <f>IF(Q11=0,0,1000000*Q11/TrRail_act!Q26)</f>
        <v>129494.30821638634</v>
      </c>
      <c r="R46" s="28">
        <f>IF(R11=0,0,1000000*R11/TrRail_act!R26)</f>
        <v>129921.20673539751</v>
      </c>
      <c r="S46" s="28">
        <f>IF(S11=0,0,1000000*S11/TrRail_act!S26)</f>
        <v>125389.56836997809</v>
      </c>
      <c r="T46" s="28">
        <f>IF(T11=0,0,1000000*T11/TrRail_act!T26)</f>
        <v>118776.83605033856</v>
      </c>
      <c r="U46" s="28">
        <f>IF(U11=0,0,1000000*U11/TrRail_act!U26)</f>
        <v>118329.62944791024</v>
      </c>
      <c r="V46" s="28">
        <f>IF(V11=0,0,1000000*V11/TrRail_act!V26)</f>
        <v>100375.96703156301</v>
      </c>
      <c r="W46" s="28">
        <f>IF(W11=0,0,1000000*W11/TrRail_act!W26)</f>
        <v>112624.89037857141</v>
      </c>
      <c r="X46" s="28">
        <f>IF(X11=0,0,1000000*X11/TrRail_act!X26)</f>
        <v>117827.84486971282</v>
      </c>
      <c r="Y46" s="28">
        <f>IF(Y11=0,0,1000000*Y11/TrRail_act!Y26)</f>
        <v>128176.8134993509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38891.991647898096</v>
      </c>
      <c r="C47" s="108">
        <f>IF(C12=0,0,1000000*C12/TrRail_act!C27)</f>
        <v>38567.337032931529</v>
      </c>
      <c r="D47" s="108">
        <f>IF(D12=0,0,1000000*D12/TrRail_act!D27)</f>
        <v>38282.216237839377</v>
      </c>
      <c r="E47" s="108">
        <f>IF(E12=0,0,1000000*E12/TrRail_act!E27)</f>
        <v>38033.74239645739</v>
      </c>
      <c r="F47" s="108">
        <f>IF(F12=0,0,1000000*F12/TrRail_act!F27)</f>
        <v>37764.66666225464</v>
      </c>
      <c r="G47" s="108">
        <f>IF(G12=0,0,1000000*G12/TrRail_act!G27)</f>
        <v>37491.208893223593</v>
      </c>
      <c r="H47" s="108">
        <f>IF(H12=0,0,1000000*H12/TrRail_act!H27)</f>
        <v>37142.503210393399</v>
      </c>
      <c r="I47" s="108">
        <f>IF(I12=0,0,1000000*I12/TrRail_act!I27)</f>
        <v>36938.8773595085</v>
      </c>
      <c r="J47" s="108">
        <f>IF(J12=0,0,1000000*J12/TrRail_act!J27)</f>
        <v>36724.203998805977</v>
      </c>
      <c r="K47" s="108">
        <f>IF(K12=0,0,1000000*K12/TrRail_act!K27)</f>
        <v>28345.477797994587</v>
      </c>
      <c r="L47" s="108">
        <f>IF(L12=0,0,1000000*L12/TrRail_act!L27)</f>
        <v>36161.381156731899</v>
      </c>
      <c r="M47" s="108">
        <f>IF(M12=0,0,1000000*M12/TrRail_act!M27)</f>
        <v>36023.342157513602</v>
      </c>
      <c r="N47" s="108">
        <f>IF(N12=0,0,1000000*N12/TrRail_act!N27)</f>
        <v>35771.218393452342</v>
      </c>
      <c r="O47" s="108">
        <f>IF(O12=0,0,1000000*O12/TrRail_act!O27)</f>
        <v>35526.539522119099</v>
      </c>
      <c r="P47" s="108">
        <f>IF(P12=0,0,1000000*P12/TrRail_act!P27)</f>
        <v>35133.459161933773</v>
      </c>
      <c r="Q47" s="108">
        <f>IF(Q12=0,0,1000000*Q12/TrRail_act!Q27)</f>
        <v>34779.062362820594</v>
      </c>
      <c r="R47" s="108">
        <f>IF(R12=0,0,1000000*R12/TrRail_act!R27)</f>
        <v>34515.611972338469</v>
      </c>
      <c r="S47" s="108">
        <f>IF(S12=0,0,1000000*S12/TrRail_act!S27)</f>
        <v>34319.335237382395</v>
      </c>
      <c r="T47" s="108">
        <f>IF(T12=0,0,1000000*T12/TrRail_act!T27)</f>
        <v>34172.860841073059</v>
      </c>
      <c r="U47" s="108">
        <f>IF(U12=0,0,1000000*U12/TrRail_act!U27)</f>
        <v>34063.414544833176</v>
      </c>
      <c r="V47" s="108">
        <f>IF(V12=0,0,1000000*V12/TrRail_act!V27)</f>
        <v>33872.060561131664</v>
      </c>
      <c r="W47" s="108">
        <f>IF(W12=0,0,1000000*W12/TrRail_act!W27)</f>
        <v>12545.41590712206</v>
      </c>
      <c r="X47" s="108">
        <f>IF(X12=0,0,1000000*X12/TrRail_act!X27)</f>
        <v>12043.12599114419</v>
      </c>
      <c r="Y47" s="108">
        <f>IF(Y12=0,0,1000000*Y12/TrRail_act!Y27)</f>
        <v>13605.535426989227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393421.38142106863</v>
      </c>
      <c r="C48" s="110">
        <f>IF(C13=0,0,1000000*C13/TrRail_act!C28)</f>
        <v>367814.58662763232</v>
      </c>
      <c r="D48" s="110">
        <f>IF(D13=0,0,1000000*D13/TrRail_act!D28)</f>
        <v>359476.53203713708</v>
      </c>
      <c r="E48" s="110">
        <f>IF(E13=0,0,1000000*E13/TrRail_act!E28)</f>
        <v>333845.94933434168</v>
      </c>
      <c r="F48" s="110">
        <f>IF(F13=0,0,1000000*F13/TrRail_act!F28)</f>
        <v>328824.52859565441</v>
      </c>
      <c r="G48" s="110">
        <f>IF(G13=0,0,1000000*G13/TrRail_act!G28)</f>
        <v>309163.56493448088</v>
      </c>
      <c r="H48" s="110">
        <f>IF(H13=0,0,1000000*H13/TrRail_act!H28)</f>
        <v>299842.92815155216</v>
      </c>
      <c r="I48" s="110">
        <f>IF(I13=0,0,1000000*I13/TrRail_act!I28)</f>
        <v>297730.97769715823</v>
      </c>
      <c r="J48" s="110">
        <f>IF(J13=0,0,1000000*J13/TrRail_act!J28)</f>
        <v>287082.26524455094</v>
      </c>
      <c r="K48" s="110">
        <f>IF(K13=0,0,1000000*K13/TrRail_act!K28)</f>
        <v>264002.5317087713</v>
      </c>
      <c r="L48" s="110">
        <f>IF(L13=0,0,1000000*L13/TrRail_act!L28)</f>
        <v>229982.64289341756</v>
      </c>
      <c r="M48" s="110">
        <f>IF(M13=0,0,1000000*M13/TrRail_act!M28)</f>
        <v>249728.95123461343</v>
      </c>
      <c r="N48" s="110">
        <f>IF(N13=0,0,1000000*N13/TrRail_act!N28)</f>
        <v>259301.65733386419</v>
      </c>
      <c r="O48" s="110">
        <f>IF(O13=0,0,1000000*O13/TrRail_act!O28)</f>
        <v>254815.18598477991</v>
      </c>
      <c r="P48" s="110">
        <f>IF(P13=0,0,1000000*P13/TrRail_act!P28)</f>
        <v>249998.44063789662</v>
      </c>
      <c r="Q48" s="110">
        <f>IF(Q13=0,0,1000000*Q13/TrRail_act!Q28)</f>
        <v>233349.66111583539</v>
      </c>
      <c r="R48" s="110">
        <f>IF(R13=0,0,1000000*R13/TrRail_act!R28)</f>
        <v>228325.87238794973</v>
      </c>
      <c r="S48" s="110">
        <f>IF(S13=0,0,1000000*S13/TrRail_act!S28)</f>
        <v>221887.57899253393</v>
      </c>
      <c r="T48" s="110">
        <f>IF(T13=0,0,1000000*T13/TrRail_act!T28)</f>
        <v>213913.55268401309</v>
      </c>
      <c r="U48" s="110">
        <f>IF(U13=0,0,1000000*U13/TrRail_act!U28)</f>
        <v>208823.40241572159</v>
      </c>
      <c r="V48" s="110">
        <f>IF(V13=0,0,1000000*V13/TrRail_act!V28)</f>
        <v>172456.25042829744</v>
      </c>
      <c r="W48" s="110">
        <f>IF(W13=0,0,1000000*W13/TrRail_act!W28)</f>
        <v>198713.51681360573</v>
      </c>
      <c r="X48" s="110">
        <f>IF(X13=0,0,1000000*X13/TrRail_act!X28)</f>
        <v>198002.19606201461</v>
      </c>
      <c r="Y48" s="110">
        <f>IF(Y13=0,0,1000000*Y13/TrRail_act!Y28)</f>
        <v>200285.81024232699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428645.52755200915</v>
      </c>
      <c r="C49" s="84">
        <f>IF(C14=0,0,1000000*C14/TrRail_act!C29)</f>
        <v>397390.50011850952</v>
      </c>
      <c r="D49" s="84">
        <f>IF(D14=0,0,1000000*D14/TrRail_act!D29)</f>
        <v>383412.89242778165</v>
      </c>
      <c r="E49" s="84">
        <f>IF(E14=0,0,1000000*E14/TrRail_act!E29)</f>
        <v>355423.78383731708</v>
      </c>
      <c r="F49" s="84">
        <f>IF(F14=0,0,1000000*F14/TrRail_act!F29)</f>
        <v>350313.5335728685</v>
      </c>
      <c r="G49" s="84">
        <f>IF(G14=0,0,1000000*G14/TrRail_act!G29)</f>
        <v>327765.45101938437</v>
      </c>
      <c r="H49" s="84">
        <f>IF(H14=0,0,1000000*H14/TrRail_act!H29)</f>
        <v>317301.95402893162</v>
      </c>
      <c r="I49" s="84">
        <f>IF(I14=0,0,1000000*I14/TrRail_act!I29)</f>
        <v>315650.7142388564</v>
      </c>
      <c r="J49" s="84">
        <f>IF(J14=0,0,1000000*J14/TrRail_act!J29)</f>
        <v>307555.39491106075</v>
      </c>
      <c r="K49" s="84">
        <f>IF(K14=0,0,1000000*K14/TrRail_act!K29)</f>
        <v>280246.8405126158</v>
      </c>
      <c r="L49" s="84">
        <f>IF(L14=0,0,1000000*L14/TrRail_act!L29)</f>
        <v>255412.51856334563</v>
      </c>
      <c r="M49" s="84">
        <f>IF(M14=0,0,1000000*M14/TrRail_act!M29)</f>
        <v>281419.73395554983</v>
      </c>
      <c r="N49" s="84">
        <f>IF(N14=0,0,1000000*N14/TrRail_act!N29)</f>
        <v>285285.56354599248</v>
      </c>
      <c r="O49" s="84">
        <f>IF(O14=0,0,1000000*O14/TrRail_act!O29)</f>
        <v>278517.85724505328</v>
      </c>
      <c r="P49" s="84">
        <f>IF(P14=0,0,1000000*P14/TrRail_act!P29)</f>
        <v>268259.6181703083</v>
      </c>
      <c r="Q49" s="84">
        <f>IF(Q14=0,0,1000000*Q14/TrRail_act!Q29)</f>
        <v>266397.52332246746</v>
      </c>
      <c r="R49" s="84">
        <f>IF(R14=0,0,1000000*R14/TrRail_act!R29)</f>
        <v>262359.3570418196</v>
      </c>
      <c r="S49" s="84">
        <f>IF(S14=0,0,1000000*S14/TrRail_act!S29)</f>
        <v>256777.22965464648</v>
      </c>
      <c r="T49" s="84">
        <f>IF(T14=0,0,1000000*T14/TrRail_act!T29)</f>
        <v>250142.04309464031</v>
      </c>
      <c r="U49" s="84">
        <f>IF(U14=0,0,1000000*U14/TrRail_act!U29)</f>
        <v>245278.4007824072</v>
      </c>
      <c r="V49" s="84">
        <f>IF(V14=0,0,1000000*V14/TrRail_act!V29)</f>
        <v>158117.54952408973</v>
      </c>
      <c r="W49" s="84">
        <f>IF(W14=0,0,1000000*W14/TrRail_act!W29)</f>
        <v>239038.10595232906</v>
      </c>
      <c r="X49" s="84">
        <f>IF(X14=0,0,1000000*X14/TrRail_act!X29)</f>
        <v>237066.19021640057</v>
      </c>
      <c r="Y49" s="84">
        <f>IF(Y14=0,0,1000000*Y14/TrRail_act!Y29)</f>
        <v>235597.9650031169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255942.2347634726</v>
      </c>
      <c r="C50" s="84">
        <f>IF(C15=0,0,1000000*C15/TrRail_act!C30)</f>
        <v>252519.26440200699</v>
      </c>
      <c r="D50" s="84">
        <f>IF(D15=0,0,1000000*D15/TrRail_act!D30)</f>
        <v>250349.32339641181</v>
      </c>
      <c r="E50" s="84">
        <f>IF(E15=0,0,1000000*E15/TrRail_act!E30)</f>
        <v>245973.75363468617</v>
      </c>
      <c r="F50" s="84">
        <f>IF(F15=0,0,1000000*F15/TrRail_act!F30)</f>
        <v>241461.81488114278</v>
      </c>
      <c r="G50" s="84">
        <f>IF(G15=0,0,1000000*G15/TrRail_act!G30)</f>
        <v>236279.79411010817</v>
      </c>
      <c r="H50" s="84">
        <f>IF(H15=0,0,1000000*H15/TrRail_act!H30)</f>
        <v>231510.73457437684</v>
      </c>
      <c r="I50" s="84">
        <f>IF(I15=0,0,1000000*I15/TrRail_act!I30)</f>
        <v>228193.05948285729</v>
      </c>
      <c r="J50" s="84">
        <f>IF(J15=0,0,1000000*J15/TrRail_act!J30)</f>
        <v>224256.40114159032</v>
      </c>
      <c r="K50" s="84">
        <f>IF(K15=0,0,1000000*K15/TrRail_act!K30)</f>
        <v>220610.76555489475</v>
      </c>
      <c r="L50" s="84">
        <f>IF(L15=0,0,1000000*L15/TrRail_act!L30)</f>
        <v>164084.28371594861</v>
      </c>
      <c r="M50" s="84">
        <f>IF(M15=0,0,1000000*M15/TrRail_act!M30)</f>
        <v>170486.43733057185</v>
      </c>
      <c r="N50" s="84">
        <f>IF(N15=0,0,1000000*N15/TrRail_act!N30)</f>
        <v>194203.82271700902</v>
      </c>
      <c r="O50" s="84">
        <f>IF(O15=0,0,1000000*O15/TrRail_act!O30)</f>
        <v>190964.7577310068</v>
      </c>
      <c r="P50" s="84">
        <f>IF(P15=0,0,1000000*P15/TrRail_act!P30)</f>
        <v>203510.60178188822</v>
      </c>
      <c r="Q50" s="84">
        <f>IF(Q15=0,0,1000000*Q15/TrRail_act!Q30)</f>
        <v>200994.05175334829</v>
      </c>
      <c r="R50" s="84">
        <f>IF(R15=0,0,1000000*R15/TrRail_act!R30)</f>
        <v>197135.81854605291</v>
      </c>
      <c r="S50" s="84">
        <f>IF(S15=0,0,1000000*S15/TrRail_act!S30)</f>
        <v>192347.90978414181</v>
      </c>
      <c r="T50" s="84">
        <f>IF(T15=0,0,1000000*T15/TrRail_act!T30)</f>
        <v>188833.45264277206</v>
      </c>
      <c r="U50" s="84">
        <f>IF(U15=0,0,1000000*U15/TrRail_act!U30)</f>
        <v>186239.8095024706</v>
      </c>
      <c r="V50" s="84">
        <f>IF(V15=0,0,1000000*V15/TrRail_act!V30)</f>
        <v>179824.53922278929</v>
      </c>
      <c r="W50" s="84">
        <f>IF(W15=0,0,1000000*W15/TrRail_act!W30)</f>
        <v>182889.63770807165</v>
      </c>
      <c r="X50" s="84">
        <f>IF(X15=0,0,1000000*X15/TrRail_act!X30)</f>
        <v>181825.65011059731</v>
      </c>
      <c r="Y50" s="84">
        <f>IF(Y15=0,0,1000000*Y15/TrRail_act!Y30)</f>
        <v>181031.72855968698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993943.04312832421</v>
      </c>
      <c r="C52" s="28">
        <f>IF(C17=0,0,1000000*C17/TrRail_act!C32)</f>
        <v>988343.25536195992</v>
      </c>
      <c r="D52" s="28">
        <f>IF(D17=0,0,1000000*D17/TrRail_act!D32)</f>
        <v>981470.54957419063</v>
      </c>
      <c r="E52" s="28">
        <f>IF(E17=0,0,1000000*E17/TrRail_act!E32)</f>
        <v>974782.93344645877</v>
      </c>
      <c r="F52" s="28">
        <f>IF(F17=0,0,1000000*F17/TrRail_act!F32)</f>
        <v>978743.00279669208</v>
      </c>
      <c r="G52" s="28">
        <f>IF(G17=0,0,1000000*G17/TrRail_act!G32)</f>
        <v>967042.36126402544</v>
      </c>
      <c r="H52" s="28">
        <f>IF(H17=0,0,1000000*H17/TrRail_act!H32)</f>
        <v>902082.84549395402</v>
      </c>
      <c r="I52" s="28">
        <f>IF(I17=0,0,1000000*I17/TrRail_act!I32)</f>
        <v>963616.06764154637</v>
      </c>
      <c r="J52" s="28">
        <f>IF(J17=0,0,1000000*J17/TrRail_act!J32)</f>
        <v>910263.25789008918</v>
      </c>
      <c r="K52" s="28">
        <f>IF(K17=0,0,1000000*K17/TrRail_act!K32)</f>
        <v>901616.03532369074</v>
      </c>
      <c r="L52" s="28">
        <f>IF(L17=0,0,1000000*L17/TrRail_act!L32)</f>
        <v>891123.47102259716</v>
      </c>
      <c r="M52" s="28">
        <f>IF(M17=0,0,1000000*M17/TrRail_act!M32)</f>
        <v>851561.9217602011</v>
      </c>
      <c r="N52" s="28">
        <f>IF(N17=0,0,1000000*N17/TrRail_act!N32)</f>
        <v>857146.39628139231</v>
      </c>
      <c r="O52" s="28">
        <f>IF(O17=0,0,1000000*O17/TrRail_act!O32)</f>
        <v>806105.89286142739</v>
      </c>
      <c r="P52" s="28">
        <f>IF(P17=0,0,1000000*P17/TrRail_act!P32)</f>
        <v>826926.43285849702</v>
      </c>
      <c r="Q52" s="28">
        <f>IF(Q17=0,0,1000000*Q17/TrRail_act!Q32)</f>
        <v>821186.42492283916</v>
      </c>
      <c r="R52" s="28">
        <f>IF(R17=0,0,1000000*R17/TrRail_act!R32)</f>
        <v>743156.55040905823</v>
      </c>
      <c r="S52" s="28">
        <f>IF(S17=0,0,1000000*S17/TrRail_act!S32)</f>
        <v>741574.94597277185</v>
      </c>
      <c r="T52" s="28">
        <f>IF(T17=0,0,1000000*T17/TrRail_act!T32)</f>
        <v>778866.56777513935</v>
      </c>
      <c r="U52" s="28">
        <f>IF(U17=0,0,1000000*U17/TrRail_act!U32)</f>
        <v>688257.10080098442</v>
      </c>
      <c r="V52" s="28">
        <f>IF(V17=0,0,1000000*V17/TrRail_act!V32)</f>
        <v>454617.1779895685</v>
      </c>
      <c r="W52" s="28">
        <f>IF(W17=0,0,1000000*W17/TrRail_act!W32)</f>
        <v>455959.46252181957</v>
      </c>
      <c r="X52" s="28">
        <f>IF(X17=0,0,1000000*X17/TrRail_act!X32)</f>
        <v>476674.70517716382</v>
      </c>
      <c r="Y52" s="28">
        <f>IF(Y17=0,0,1000000*Y17/TrRail_act!Y32)</f>
        <v>481119.98770580383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993943.04312832421</v>
      </c>
      <c r="C53" s="84">
        <f>IF(C18=0,0,1000000*C18/TrRail_act!C33)</f>
        <v>988343.25536195992</v>
      </c>
      <c r="D53" s="84">
        <f>IF(D18=0,0,1000000*D18/TrRail_act!D33)</f>
        <v>981470.54957419063</v>
      </c>
      <c r="E53" s="84">
        <f>IF(E18=0,0,1000000*E18/TrRail_act!E33)</f>
        <v>974782.93344645877</v>
      </c>
      <c r="F53" s="84">
        <f>IF(F18=0,0,1000000*F18/TrRail_act!F33)</f>
        <v>978743.00279669208</v>
      </c>
      <c r="G53" s="84">
        <f>IF(G18=0,0,1000000*G18/TrRail_act!G33)</f>
        <v>967042.36126402544</v>
      </c>
      <c r="H53" s="84">
        <f>IF(H18=0,0,1000000*H18/TrRail_act!H33)</f>
        <v>902082.84549395402</v>
      </c>
      <c r="I53" s="84">
        <f>IF(I18=0,0,1000000*I18/TrRail_act!I33)</f>
        <v>963616.06764154637</v>
      </c>
      <c r="J53" s="84">
        <f>IF(J18=0,0,1000000*J18/TrRail_act!J33)</f>
        <v>910263.25789008918</v>
      </c>
      <c r="K53" s="84">
        <f>IF(K18=0,0,1000000*K18/TrRail_act!K33)</f>
        <v>901616.03532369074</v>
      </c>
      <c r="L53" s="84">
        <f>IF(L18=0,0,1000000*L18/TrRail_act!L33)</f>
        <v>891123.47102259716</v>
      </c>
      <c r="M53" s="84">
        <f>IF(M18=0,0,1000000*M18/TrRail_act!M33)</f>
        <v>851561.9217602011</v>
      </c>
      <c r="N53" s="84">
        <f>IF(N18=0,0,1000000*N18/TrRail_act!N33)</f>
        <v>857146.39628139231</v>
      </c>
      <c r="O53" s="84">
        <f>IF(O18=0,0,1000000*O18/TrRail_act!O33)</f>
        <v>806105.89286142739</v>
      </c>
      <c r="P53" s="84">
        <f>IF(P18=0,0,1000000*P18/TrRail_act!P33)</f>
        <v>826926.43285849702</v>
      </c>
      <c r="Q53" s="84">
        <f>IF(Q18=0,0,1000000*Q18/TrRail_act!Q33)</f>
        <v>821186.42492283916</v>
      </c>
      <c r="R53" s="84">
        <f>IF(R18=0,0,1000000*R18/TrRail_act!R33)</f>
        <v>743156.55040905823</v>
      </c>
      <c r="S53" s="84">
        <f>IF(S18=0,0,1000000*S18/TrRail_act!S33)</f>
        <v>741574.94597277185</v>
      </c>
      <c r="T53" s="84">
        <f>IF(T18=0,0,1000000*T18/TrRail_act!T33)</f>
        <v>778866.56777513935</v>
      </c>
      <c r="U53" s="84">
        <f>IF(U18=0,0,1000000*U18/TrRail_act!U33)</f>
        <v>688257.10080098442</v>
      </c>
      <c r="V53" s="84">
        <f>IF(V18=0,0,1000000*V18/TrRail_act!V33)</f>
        <v>454617.1779895685</v>
      </c>
      <c r="W53" s="84">
        <f>IF(W18=0,0,1000000*W18/TrRail_act!W33)</f>
        <v>455959.46252181957</v>
      </c>
      <c r="X53" s="84">
        <f>IF(X18=0,0,1000000*X18/TrRail_act!X33)</f>
        <v>476674.70517716382</v>
      </c>
      <c r="Y53" s="84">
        <f>IF(Y18=0,0,1000000*Y18/TrRail_act!Y33)</f>
        <v>481119.98770580383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X54" s="86">
        <f>IF(X19=0,0,1000000*X19/TrRail_act!X34)</f>
        <v>0</v>
      </c>
      <c r="Y54" s="86">
        <f>IF(Y19=0,0,1000000*Y19/TrRail_act!Y34)</f>
        <v>0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0.22562008569457245</v>
      </c>
      <c r="C57" s="31">
        <f t="shared" ref="C57:V57" si="18">IF(C11=0,0,C11/C$10)</f>
        <v>0.20641183620466808</v>
      </c>
      <c r="D57" s="31">
        <f t="shared" si="18"/>
        <v>0.20529194819603058</v>
      </c>
      <c r="E57" s="31">
        <f t="shared" si="18"/>
        <v>0.18289867158060766</v>
      </c>
      <c r="F57" s="31">
        <f t="shared" si="18"/>
        <v>0.17763693203690656</v>
      </c>
      <c r="G57" s="31">
        <f t="shared" si="18"/>
        <v>0.17871477968934002</v>
      </c>
      <c r="H57" s="31">
        <f t="shared" si="18"/>
        <v>0.19495408845209647</v>
      </c>
      <c r="I57" s="31">
        <f t="shared" si="18"/>
        <v>0.18070463069665624</v>
      </c>
      <c r="J57" s="31">
        <f t="shared" si="18"/>
        <v>0.17561901857456028</v>
      </c>
      <c r="K57" s="31">
        <f t="shared" si="18"/>
        <v>0.16152175983567885</v>
      </c>
      <c r="L57" s="31">
        <f t="shared" si="18"/>
        <v>0.15593452584945136</v>
      </c>
      <c r="M57" s="31">
        <f t="shared" si="18"/>
        <v>0.13618468340875134</v>
      </c>
      <c r="N57" s="31">
        <f t="shared" si="18"/>
        <v>0.12328972039468311</v>
      </c>
      <c r="O57" s="31">
        <f t="shared" si="18"/>
        <v>0.13421624265766371</v>
      </c>
      <c r="P57" s="31">
        <f t="shared" si="18"/>
        <v>0.12682595613788988</v>
      </c>
      <c r="Q57" s="31">
        <f t="shared" si="18"/>
        <v>0.15021909838322328</v>
      </c>
      <c r="R57" s="31">
        <f t="shared" si="18"/>
        <v>0.17096744297458741</v>
      </c>
      <c r="S57" s="31">
        <f t="shared" si="18"/>
        <v>0.17680963718625911</v>
      </c>
      <c r="T57" s="31">
        <f t="shared" si="18"/>
        <v>0.16140185630669368</v>
      </c>
      <c r="U57" s="31">
        <f t="shared" si="18"/>
        <v>0.1846299886016611</v>
      </c>
      <c r="V57" s="31">
        <f t="shared" si="18"/>
        <v>0.22514408667261257</v>
      </c>
      <c r="W57" s="31">
        <f t="shared" ref="W57:Y57" si="19">IF(W11=0,0,W11/W$10)</f>
        <v>0.26859423846889252</v>
      </c>
      <c r="X57" s="31">
        <f t="shared" si="19"/>
        <v>0.28383142182770554</v>
      </c>
      <c r="Y57" s="31">
        <f t="shared" si="19"/>
        <v>0.32435799410176663</v>
      </c>
      <c r="DA57" s="173"/>
    </row>
    <row r="58" spans="1:105" ht="11.45" customHeight="1" x14ac:dyDescent="0.25">
      <c r="A58" s="107" t="s">
        <v>23</v>
      </c>
      <c r="B58" s="123">
        <f t="shared" si="15"/>
        <v>1.9897994531077511E-2</v>
      </c>
      <c r="C58" s="123">
        <f t="shared" ref="C58:V58" si="20">IF(C12=0,0,C12/C$10)</f>
        <v>1.8337147060470054E-2</v>
      </c>
      <c r="D58" s="123">
        <f t="shared" si="20"/>
        <v>1.7059915922635002E-2</v>
      </c>
      <c r="E58" s="123">
        <f t="shared" si="20"/>
        <v>1.4180422604203961E-2</v>
      </c>
      <c r="F58" s="123">
        <f t="shared" si="20"/>
        <v>1.4067922528962606E-2</v>
      </c>
      <c r="G58" s="123">
        <f t="shared" si="20"/>
        <v>1.4110290902464993E-2</v>
      </c>
      <c r="H58" s="123">
        <f t="shared" si="20"/>
        <v>1.5716007972055537E-2</v>
      </c>
      <c r="I58" s="123">
        <f t="shared" si="20"/>
        <v>1.4547836129197311E-2</v>
      </c>
      <c r="J58" s="123">
        <f t="shared" si="20"/>
        <v>1.3497519265567295E-2</v>
      </c>
      <c r="K58" s="123">
        <f t="shared" si="20"/>
        <v>9.8394725841900645E-3</v>
      </c>
      <c r="L58" s="123">
        <f t="shared" si="20"/>
        <v>2.2291497938096119E-2</v>
      </c>
      <c r="M58" s="123">
        <f t="shared" si="20"/>
        <v>2.0203980165133958E-2</v>
      </c>
      <c r="N58" s="123">
        <f t="shared" si="20"/>
        <v>1.7722970264402244E-2</v>
      </c>
      <c r="O58" s="123">
        <f t="shared" si="20"/>
        <v>2.0977425208769482E-2</v>
      </c>
      <c r="P58" s="123">
        <f t="shared" si="20"/>
        <v>2.2349978367048013E-2</v>
      </c>
      <c r="Q58" s="123">
        <f t="shared" si="20"/>
        <v>2.1101157587927986E-2</v>
      </c>
      <c r="R58" s="123">
        <f t="shared" si="20"/>
        <v>2.3061517080858358E-2</v>
      </c>
      <c r="S58" s="123">
        <f t="shared" si="20"/>
        <v>2.4896737520744359E-2</v>
      </c>
      <c r="T58" s="123">
        <f t="shared" si="20"/>
        <v>2.4578753881788221E-2</v>
      </c>
      <c r="U58" s="123">
        <f t="shared" si="20"/>
        <v>2.7521595531708541E-2</v>
      </c>
      <c r="V58" s="123">
        <f t="shared" si="20"/>
        <v>3.9516203909456482E-2</v>
      </c>
      <c r="W58" s="123">
        <f t="shared" ref="W58:Y58" si="21">IF(W12=0,0,W12/W$10)</f>
        <v>1.3835277836733393E-2</v>
      </c>
      <c r="X58" s="123">
        <f t="shared" si="21"/>
        <v>1.2507481139562427E-2</v>
      </c>
      <c r="Y58" s="123">
        <f t="shared" si="21"/>
        <v>1.3299086000250189E-2</v>
      </c>
      <c r="DA58" s="203"/>
    </row>
    <row r="59" spans="1:105" ht="11.45" customHeight="1" x14ac:dyDescent="0.25">
      <c r="A59" s="109" t="s">
        <v>24</v>
      </c>
      <c r="B59" s="124">
        <f t="shared" si="15"/>
        <v>0.20572209116349494</v>
      </c>
      <c r="C59" s="124">
        <f t="shared" ref="C59:V59" si="22">IF(C13=0,0,C13/C$10)</f>
        <v>0.18807468914419803</v>
      </c>
      <c r="D59" s="124">
        <f t="shared" si="22"/>
        <v>0.18823203227339561</v>
      </c>
      <c r="E59" s="124">
        <f t="shared" si="22"/>
        <v>0.16871824897640367</v>
      </c>
      <c r="F59" s="124">
        <f t="shared" si="22"/>
        <v>0.16356900950794395</v>
      </c>
      <c r="G59" s="124">
        <f t="shared" si="22"/>
        <v>0.164604488786875</v>
      </c>
      <c r="H59" s="124">
        <f t="shared" si="22"/>
        <v>0.17923808048004092</v>
      </c>
      <c r="I59" s="124">
        <f t="shared" si="22"/>
        <v>0.16615679456745894</v>
      </c>
      <c r="J59" s="124">
        <f t="shared" si="22"/>
        <v>0.16212149930899297</v>
      </c>
      <c r="K59" s="124">
        <f t="shared" si="22"/>
        <v>0.1516822872514888</v>
      </c>
      <c r="L59" s="124">
        <f t="shared" si="22"/>
        <v>0.13364302791135524</v>
      </c>
      <c r="M59" s="124">
        <f t="shared" si="22"/>
        <v>0.11598070324361738</v>
      </c>
      <c r="N59" s="124">
        <f t="shared" si="22"/>
        <v>0.10556675013028087</v>
      </c>
      <c r="O59" s="124">
        <f t="shared" si="22"/>
        <v>0.11323881744889422</v>
      </c>
      <c r="P59" s="124">
        <f t="shared" si="22"/>
        <v>0.10447597777084189</v>
      </c>
      <c r="Q59" s="124">
        <f t="shared" si="22"/>
        <v>0.12911794079529529</v>
      </c>
      <c r="R59" s="124">
        <f t="shared" si="22"/>
        <v>0.14790592589372903</v>
      </c>
      <c r="S59" s="124">
        <f t="shared" si="22"/>
        <v>0.15191289966551477</v>
      </c>
      <c r="T59" s="124">
        <f t="shared" si="22"/>
        <v>0.13682310242490545</v>
      </c>
      <c r="U59" s="124">
        <f t="shared" si="22"/>
        <v>0.15710839306995256</v>
      </c>
      <c r="V59" s="124">
        <f t="shared" si="22"/>
        <v>0.18562788276315609</v>
      </c>
      <c r="W59" s="124">
        <f t="shared" ref="W59:Y59" si="23">IF(W13=0,0,W13/W$10)</f>
        <v>0.25475896063215914</v>
      </c>
      <c r="X59" s="124">
        <f t="shared" si="23"/>
        <v>0.27132394068814314</v>
      </c>
      <c r="Y59" s="124">
        <f t="shared" si="23"/>
        <v>0.31105890810151643</v>
      </c>
      <c r="DA59" s="176"/>
    </row>
    <row r="60" spans="1:105" ht="11.45" customHeight="1" x14ac:dyDescent="0.25">
      <c r="A60" s="111" t="s">
        <v>92</v>
      </c>
      <c r="B60" s="125">
        <f t="shared" si="15"/>
        <v>0.17842572815260363</v>
      </c>
      <c r="C60" s="125">
        <f t="shared" ref="C60:V60" si="24">IF(C14=0,0,C14/C$10)</f>
        <v>0.16171429360307779</v>
      </c>
      <c r="D60" s="125">
        <f t="shared" si="24"/>
        <v>0.16465069895369958</v>
      </c>
      <c r="E60" s="125">
        <f t="shared" si="24"/>
        <v>0.14421088002228377</v>
      </c>
      <c r="F60" s="125">
        <f t="shared" si="24"/>
        <v>0.13985711282328356</v>
      </c>
      <c r="G60" s="125">
        <f t="shared" si="24"/>
        <v>0.13902546762418602</v>
      </c>
      <c r="H60" s="125">
        <f t="shared" si="24"/>
        <v>0.15107470051330257</v>
      </c>
      <c r="I60" s="125">
        <f t="shared" si="24"/>
        <v>0.1400634165455939</v>
      </c>
      <c r="J60" s="125">
        <f t="shared" si="24"/>
        <v>0.13099548038459474</v>
      </c>
      <c r="K60" s="125">
        <f t="shared" si="24"/>
        <v>0.11715633514210531</v>
      </c>
      <c r="L60" s="125">
        <f t="shared" si="24"/>
        <v>0.1070934632144516</v>
      </c>
      <c r="M60" s="125">
        <f t="shared" si="24"/>
        <v>9.336147794194094E-2</v>
      </c>
      <c r="N60" s="125">
        <f t="shared" si="24"/>
        <v>8.301123494629295E-2</v>
      </c>
      <c r="O60" s="125">
        <f t="shared" si="24"/>
        <v>9.0264161695676609E-2</v>
      </c>
      <c r="P60" s="125">
        <f t="shared" si="24"/>
        <v>8.0489759227587526E-2</v>
      </c>
      <c r="Q60" s="125">
        <f t="shared" si="24"/>
        <v>7.2921968214856067E-2</v>
      </c>
      <c r="R60" s="125">
        <f t="shared" si="24"/>
        <v>8.1271593446170118E-2</v>
      </c>
      <c r="S60" s="125">
        <f t="shared" si="24"/>
        <v>8.0600966897088414E-2</v>
      </c>
      <c r="T60" s="125">
        <f t="shared" si="24"/>
        <v>6.5450920527651446E-2</v>
      </c>
      <c r="U60" s="125">
        <f t="shared" si="24"/>
        <v>7.0588926198812518E-2</v>
      </c>
      <c r="V60" s="125">
        <f t="shared" si="24"/>
        <v>5.7771199674080037E-2</v>
      </c>
      <c r="W60" s="125">
        <f t="shared" ref="W60:Y60" si="25">IF(W14=0,0,W14/W$10)</f>
        <v>8.6366285400079748E-2</v>
      </c>
      <c r="X60" s="125">
        <f t="shared" si="25"/>
        <v>9.5129586496484453E-2</v>
      </c>
      <c r="Y60" s="125">
        <f t="shared" si="25"/>
        <v>0.12911086945147132</v>
      </c>
      <c r="DA60" s="171"/>
    </row>
    <row r="61" spans="1:105" ht="11.45" customHeight="1" x14ac:dyDescent="0.25">
      <c r="A61" s="111" t="s">
        <v>93</v>
      </c>
      <c r="B61" s="125">
        <f t="shared" si="15"/>
        <v>2.7296363010891309E-2</v>
      </c>
      <c r="C61" s="125">
        <f t="shared" ref="C61:V61" si="26">IF(C15=0,0,C15/C$10)</f>
        <v>2.6360395541120223E-2</v>
      </c>
      <c r="D61" s="125">
        <f t="shared" si="26"/>
        <v>2.3581333319696012E-2</v>
      </c>
      <c r="E61" s="125">
        <f t="shared" si="26"/>
        <v>2.4507368954119924E-2</v>
      </c>
      <c r="F61" s="125">
        <f t="shared" si="26"/>
        <v>2.3711896684660394E-2</v>
      </c>
      <c r="G61" s="125">
        <f t="shared" si="26"/>
        <v>2.5579021162688974E-2</v>
      </c>
      <c r="H61" s="125">
        <f t="shared" si="26"/>
        <v>2.8163379966738344E-2</v>
      </c>
      <c r="I61" s="125">
        <f t="shared" si="26"/>
        <v>2.6093378021865045E-2</v>
      </c>
      <c r="J61" s="125">
        <f t="shared" si="26"/>
        <v>3.1126018924398226E-2</v>
      </c>
      <c r="K61" s="125">
        <f t="shared" si="26"/>
        <v>3.4525952109383473E-2</v>
      </c>
      <c r="L61" s="125">
        <f t="shared" si="26"/>
        <v>2.654956469690363E-2</v>
      </c>
      <c r="M61" s="125">
        <f t="shared" si="26"/>
        <v>2.2619225301676444E-2</v>
      </c>
      <c r="N61" s="125">
        <f t="shared" si="26"/>
        <v>2.2555515183987924E-2</v>
      </c>
      <c r="O61" s="125">
        <f t="shared" si="26"/>
        <v>2.297465575321761E-2</v>
      </c>
      <c r="P61" s="125">
        <f t="shared" si="26"/>
        <v>2.3986218543254358E-2</v>
      </c>
      <c r="Q61" s="125">
        <f t="shared" si="26"/>
        <v>5.6195972580439221E-2</v>
      </c>
      <c r="R61" s="125">
        <f t="shared" si="26"/>
        <v>6.6634332447558925E-2</v>
      </c>
      <c r="S61" s="125">
        <f t="shared" si="26"/>
        <v>7.1311932768426331E-2</v>
      </c>
      <c r="T61" s="125">
        <f t="shared" si="26"/>
        <v>7.1372181897253986E-2</v>
      </c>
      <c r="U61" s="125">
        <f t="shared" si="26"/>
        <v>8.6519466871140038E-2</v>
      </c>
      <c r="V61" s="125">
        <f t="shared" si="26"/>
        <v>0.12785668308907605</v>
      </c>
      <c r="W61" s="125">
        <f t="shared" ref="W61:Y61" si="27">IF(W15=0,0,W15/W$10)</f>
        <v>0.16839267523207938</v>
      </c>
      <c r="X61" s="125">
        <f t="shared" si="27"/>
        <v>0.17619435419165866</v>
      </c>
      <c r="Y61" s="125">
        <f t="shared" si="27"/>
        <v>0.18194803865004514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0.77437991430542752</v>
      </c>
      <c r="C63" s="31">
        <f t="shared" ref="C63:V63" si="30">IF(C17=0,0,C17/C$10)</f>
        <v>0.79358816379533192</v>
      </c>
      <c r="D63" s="31">
        <f t="shared" si="30"/>
        <v>0.79470805180396942</v>
      </c>
      <c r="E63" s="31">
        <f t="shared" si="30"/>
        <v>0.81710132841939243</v>
      </c>
      <c r="F63" s="31">
        <f t="shared" si="30"/>
        <v>0.82236306796309344</v>
      </c>
      <c r="G63" s="31">
        <f t="shared" si="30"/>
        <v>0.82128522031065998</v>
      </c>
      <c r="H63" s="31">
        <f t="shared" si="30"/>
        <v>0.8050459115479035</v>
      </c>
      <c r="I63" s="31">
        <f t="shared" si="30"/>
        <v>0.8192953693033439</v>
      </c>
      <c r="J63" s="31">
        <f t="shared" si="30"/>
        <v>0.8243809814254397</v>
      </c>
      <c r="K63" s="31">
        <f t="shared" si="30"/>
        <v>0.83847824016432104</v>
      </c>
      <c r="L63" s="31">
        <f t="shared" si="30"/>
        <v>0.84406547415054867</v>
      </c>
      <c r="M63" s="31">
        <f t="shared" si="30"/>
        <v>0.86381531659124877</v>
      </c>
      <c r="N63" s="31">
        <f t="shared" si="30"/>
        <v>0.87671027960531689</v>
      </c>
      <c r="O63" s="31">
        <f t="shared" si="30"/>
        <v>0.86578375734233626</v>
      </c>
      <c r="P63" s="31">
        <f t="shared" si="30"/>
        <v>0.87317404386211006</v>
      </c>
      <c r="Q63" s="31">
        <f t="shared" si="30"/>
        <v>0.84978090161677677</v>
      </c>
      <c r="R63" s="31">
        <f t="shared" si="30"/>
        <v>0.82903255702541256</v>
      </c>
      <c r="S63" s="31">
        <f t="shared" si="30"/>
        <v>0.82319036281374092</v>
      </c>
      <c r="T63" s="31">
        <f t="shared" si="30"/>
        <v>0.83859814369330632</v>
      </c>
      <c r="U63" s="31">
        <f t="shared" si="30"/>
        <v>0.81537001139833898</v>
      </c>
      <c r="V63" s="31">
        <f t="shared" si="30"/>
        <v>0.77485591332738757</v>
      </c>
      <c r="W63" s="31">
        <f t="shared" ref="W63:Y63" si="31">IF(W17=0,0,W17/W$10)</f>
        <v>0.73140576153110748</v>
      </c>
      <c r="X63" s="31">
        <f t="shared" si="31"/>
        <v>0.71616857817229451</v>
      </c>
      <c r="Y63" s="31">
        <f t="shared" si="31"/>
        <v>0.67564200589823342</v>
      </c>
      <c r="DA63" s="173"/>
    </row>
    <row r="64" spans="1:105" ht="11.45" customHeight="1" x14ac:dyDescent="0.25">
      <c r="A64" s="83" t="s">
        <v>92</v>
      </c>
      <c r="B64" s="125">
        <f t="shared" si="15"/>
        <v>0.77437991430542752</v>
      </c>
      <c r="C64" s="125">
        <f t="shared" ref="C64:V64" si="32">IF(C18=0,0,C18/C$10)</f>
        <v>0.79358816379533192</v>
      </c>
      <c r="D64" s="125">
        <f t="shared" si="32"/>
        <v>0.79470805180396942</v>
      </c>
      <c r="E64" s="125">
        <f t="shared" si="32"/>
        <v>0.81710132841939243</v>
      </c>
      <c r="F64" s="125">
        <f t="shared" si="32"/>
        <v>0.82236306796309344</v>
      </c>
      <c r="G64" s="125">
        <f t="shared" si="32"/>
        <v>0.82128522031065998</v>
      </c>
      <c r="H64" s="125">
        <f t="shared" si="32"/>
        <v>0.8050459115479035</v>
      </c>
      <c r="I64" s="125">
        <f t="shared" si="32"/>
        <v>0.8192953693033439</v>
      </c>
      <c r="J64" s="125">
        <f t="shared" si="32"/>
        <v>0.8243809814254397</v>
      </c>
      <c r="K64" s="125">
        <f t="shared" si="32"/>
        <v>0.83847824016432104</v>
      </c>
      <c r="L64" s="125">
        <f t="shared" si="32"/>
        <v>0.84406547415054867</v>
      </c>
      <c r="M64" s="125">
        <f t="shared" si="32"/>
        <v>0.86381531659124877</v>
      </c>
      <c r="N64" s="125">
        <f t="shared" si="32"/>
        <v>0.87671027960531689</v>
      </c>
      <c r="O64" s="125">
        <f t="shared" si="32"/>
        <v>0.86578375734233626</v>
      </c>
      <c r="P64" s="125">
        <f t="shared" si="32"/>
        <v>0.87317404386211006</v>
      </c>
      <c r="Q64" s="125">
        <f t="shared" si="32"/>
        <v>0.84978090161677677</v>
      </c>
      <c r="R64" s="125">
        <f t="shared" si="32"/>
        <v>0.82903255702541256</v>
      </c>
      <c r="S64" s="125">
        <f t="shared" si="32"/>
        <v>0.82319036281374092</v>
      </c>
      <c r="T64" s="125">
        <f t="shared" si="32"/>
        <v>0.83859814369330632</v>
      </c>
      <c r="U64" s="125">
        <f t="shared" si="32"/>
        <v>0.81537001139833898</v>
      </c>
      <c r="V64" s="125">
        <f t="shared" si="32"/>
        <v>0.77485591332738757</v>
      </c>
      <c r="W64" s="125">
        <f t="shared" ref="W64:Y64" si="33">IF(W18=0,0,W18/W$10)</f>
        <v>0.73140576153110748</v>
      </c>
      <c r="X64" s="125">
        <f t="shared" si="33"/>
        <v>0.71616857817229451</v>
      </c>
      <c r="Y64" s="125">
        <f t="shared" si="33"/>
        <v>0.67564200589823342</v>
      </c>
      <c r="DA64" s="171"/>
    </row>
    <row r="65" spans="1:105" ht="11.45" customHeight="1" x14ac:dyDescent="0.25">
      <c r="A65" s="85" t="s">
        <v>93</v>
      </c>
      <c r="B65" s="127">
        <f t="shared" si="15"/>
        <v>0</v>
      </c>
      <c r="C65" s="127">
        <f t="shared" ref="C65:V65" si="34">IF(C19=0,0,C19/C$10)</f>
        <v>0</v>
      </c>
      <c r="D65" s="127">
        <f t="shared" si="34"/>
        <v>0</v>
      </c>
      <c r="E65" s="127">
        <f t="shared" si="34"/>
        <v>0</v>
      </c>
      <c r="F65" s="127">
        <f t="shared" si="34"/>
        <v>0</v>
      </c>
      <c r="G65" s="127">
        <f t="shared" si="34"/>
        <v>0</v>
      </c>
      <c r="H65" s="127">
        <f t="shared" si="34"/>
        <v>0</v>
      </c>
      <c r="I65" s="127">
        <f t="shared" si="34"/>
        <v>0</v>
      </c>
      <c r="J65" s="127">
        <f t="shared" si="34"/>
        <v>0</v>
      </c>
      <c r="K65" s="127">
        <f t="shared" si="34"/>
        <v>0</v>
      </c>
      <c r="L65" s="127">
        <f t="shared" si="34"/>
        <v>0</v>
      </c>
      <c r="M65" s="127">
        <f t="shared" si="34"/>
        <v>0</v>
      </c>
      <c r="N65" s="127">
        <f t="shared" si="34"/>
        <v>0</v>
      </c>
      <c r="O65" s="127">
        <f t="shared" si="34"/>
        <v>0</v>
      </c>
      <c r="P65" s="127">
        <f t="shared" si="34"/>
        <v>0</v>
      </c>
      <c r="Q65" s="127">
        <f t="shared" si="34"/>
        <v>0</v>
      </c>
      <c r="R65" s="127">
        <f t="shared" si="34"/>
        <v>0</v>
      </c>
      <c r="S65" s="127">
        <f t="shared" si="34"/>
        <v>0</v>
      </c>
      <c r="T65" s="127">
        <f t="shared" si="34"/>
        <v>0</v>
      </c>
      <c r="U65" s="127">
        <f t="shared" si="34"/>
        <v>0</v>
      </c>
      <c r="V65" s="127">
        <f t="shared" si="34"/>
        <v>0</v>
      </c>
      <c r="W65" s="127">
        <f t="shared" ref="W65:Y65" si="35">IF(W19=0,0,W19/W$10)</f>
        <v>0</v>
      </c>
      <c r="X65" s="127">
        <f t="shared" si="35"/>
        <v>0</v>
      </c>
      <c r="Y65" s="127">
        <f t="shared" si="35"/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204.65320355999998</v>
      </c>
      <c r="C4" s="26">
        <f t="shared" ref="C4:W4" si="0">SUM(C5:C6)</f>
        <v>210.95007336</v>
      </c>
      <c r="D4" s="26">
        <f t="shared" si="0"/>
        <v>220.39551143999998</v>
      </c>
      <c r="E4" s="26">
        <f t="shared" si="0"/>
        <v>251.88066071999998</v>
      </c>
      <c r="F4" s="26">
        <f t="shared" si="0"/>
        <v>258.17779727999999</v>
      </c>
      <c r="G4" s="26">
        <f t="shared" si="0"/>
        <v>258.17779727999999</v>
      </c>
      <c r="H4" s="26">
        <f t="shared" si="0"/>
        <v>226.69264799999999</v>
      </c>
      <c r="I4" s="26">
        <f t="shared" si="0"/>
        <v>245.58379091999998</v>
      </c>
      <c r="J4" s="26">
        <f t="shared" si="0"/>
        <v>245.58379091999998</v>
      </c>
      <c r="K4" s="26">
        <f t="shared" si="0"/>
        <v>229.84121627999997</v>
      </c>
      <c r="L4" s="26">
        <f t="shared" si="0"/>
        <v>207.80150507999997</v>
      </c>
      <c r="M4" s="26">
        <f t="shared" si="0"/>
        <v>232.98978456</v>
      </c>
      <c r="N4" s="26">
        <f t="shared" si="0"/>
        <v>248.73209243999997</v>
      </c>
      <c r="O4" s="26">
        <f t="shared" si="0"/>
        <v>223.54407971999998</v>
      </c>
      <c r="P4" s="26">
        <f t="shared" si="0"/>
        <v>214.09864164000001</v>
      </c>
      <c r="Q4" s="26">
        <f t="shared" si="0"/>
        <v>204.65320355999998</v>
      </c>
      <c r="R4" s="26">
        <f t="shared" si="0"/>
        <v>173.16805427999998</v>
      </c>
      <c r="S4" s="26">
        <f t="shared" si="0"/>
        <v>162.48191544000002</v>
      </c>
      <c r="T4" s="26">
        <f t="shared" si="0"/>
        <v>165.63368484</v>
      </c>
      <c r="U4" s="26">
        <f t="shared" si="0"/>
        <v>136.07854415999998</v>
      </c>
      <c r="V4" s="26">
        <f t="shared" si="0"/>
        <v>80.249144040000004</v>
      </c>
      <c r="W4" s="26">
        <f t="shared" si="0"/>
        <v>75.66487343999998</v>
      </c>
      <c r="X4" s="26">
        <f t="shared" ref="X4:Y4" si="1">SUM(X5:X6)</f>
        <v>71.354565359999981</v>
      </c>
      <c r="Y4" s="26">
        <f t="shared" si="1"/>
        <v>66.622509719999996</v>
      </c>
      <c r="DA4" s="202" t="s">
        <v>1137</v>
      </c>
    </row>
    <row r="5" spans="1:105" ht="11.45" customHeight="1" x14ac:dyDescent="0.25">
      <c r="A5" s="107" t="s">
        <v>92</v>
      </c>
      <c r="B5" s="129">
        <v>204.65320355999998</v>
      </c>
      <c r="C5" s="129">
        <v>210.95007336</v>
      </c>
      <c r="D5" s="129">
        <v>220.39551143999998</v>
      </c>
      <c r="E5" s="129">
        <v>251.88066071999998</v>
      </c>
      <c r="F5" s="129">
        <v>258.17779727999999</v>
      </c>
      <c r="G5" s="129">
        <v>258.17779727999999</v>
      </c>
      <c r="H5" s="129">
        <v>226.69264799999999</v>
      </c>
      <c r="I5" s="129">
        <v>245.58379091999998</v>
      </c>
      <c r="J5" s="129">
        <v>245.58379091999998</v>
      </c>
      <c r="K5" s="129">
        <v>229.84121627999997</v>
      </c>
      <c r="L5" s="129">
        <v>207.80150507999997</v>
      </c>
      <c r="M5" s="129">
        <v>232.98978456</v>
      </c>
      <c r="N5" s="129">
        <v>248.73209243999997</v>
      </c>
      <c r="O5" s="129">
        <v>223.54407971999998</v>
      </c>
      <c r="P5" s="129">
        <v>214.09864164000001</v>
      </c>
      <c r="Q5" s="129">
        <v>204.65320355999998</v>
      </c>
      <c r="R5" s="129">
        <v>173.16805427999998</v>
      </c>
      <c r="S5" s="129">
        <v>162.48191544000002</v>
      </c>
      <c r="T5" s="129">
        <v>165.63368484</v>
      </c>
      <c r="U5" s="129">
        <v>136.07854415999998</v>
      </c>
      <c r="V5" s="129">
        <v>80.249144040000004</v>
      </c>
      <c r="W5" s="129">
        <v>75.66487343999998</v>
      </c>
      <c r="X5" s="129">
        <v>71.354565359999981</v>
      </c>
      <c r="Y5" s="129">
        <v>66.622509719999996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204.65320356000001</v>
      </c>
      <c r="C8" s="79">
        <f t="shared" si="2"/>
        <v>210.95007335999998</v>
      </c>
      <c r="D8" s="79">
        <f t="shared" si="2"/>
        <v>220.39551143999995</v>
      </c>
      <c r="E8" s="79">
        <f t="shared" si="2"/>
        <v>251.88066071999998</v>
      </c>
      <c r="F8" s="79">
        <f t="shared" si="2"/>
        <v>258.17779727999999</v>
      </c>
      <c r="G8" s="79">
        <f t="shared" si="2"/>
        <v>258.17779727999999</v>
      </c>
      <c r="H8" s="79">
        <f t="shared" si="2"/>
        <v>226.69264799999999</v>
      </c>
      <c r="I8" s="79">
        <f t="shared" si="2"/>
        <v>245.58379092000001</v>
      </c>
      <c r="J8" s="79">
        <f t="shared" si="2"/>
        <v>245.58379091999998</v>
      </c>
      <c r="K8" s="79">
        <f t="shared" si="2"/>
        <v>229.84121628000003</v>
      </c>
      <c r="L8" s="79">
        <f t="shared" si="2"/>
        <v>207.80150507999997</v>
      </c>
      <c r="M8" s="79">
        <f t="shared" si="2"/>
        <v>232.98978455999998</v>
      </c>
      <c r="N8" s="79">
        <f t="shared" si="2"/>
        <v>248.73209243999997</v>
      </c>
      <c r="O8" s="79">
        <f t="shared" si="2"/>
        <v>223.54407971999998</v>
      </c>
      <c r="P8" s="79">
        <f t="shared" si="2"/>
        <v>214.09864164000004</v>
      </c>
      <c r="Q8" s="79">
        <f t="shared" si="2"/>
        <v>204.65320355999995</v>
      </c>
      <c r="R8" s="79">
        <f t="shared" si="2"/>
        <v>173.16805427999998</v>
      </c>
      <c r="S8" s="79">
        <f t="shared" si="2"/>
        <v>162.48191544000005</v>
      </c>
      <c r="T8" s="79">
        <f t="shared" si="2"/>
        <v>165.63368484</v>
      </c>
      <c r="U8" s="79">
        <f t="shared" si="2"/>
        <v>136.07854415999998</v>
      </c>
      <c r="V8" s="79">
        <f t="shared" si="2"/>
        <v>80.249144040000004</v>
      </c>
      <c r="W8" s="79">
        <f t="shared" si="2"/>
        <v>75.66487343999998</v>
      </c>
      <c r="X8" s="79">
        <f t="shared" ref="X8:Y8" si="3">SUM(X9,X15)</f>
        <v>71.354565359999967</v>
      </c>
      <c r="Y8" s="79">
        <f t="shared" si="3"/>
        <v>66.622509719999982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38.324077059151577</v>
      </c>
      <c r="C9" s="32">
        <f t="shared" si="4"/>
        <v>35.709781582507446</v>
      </c>
      <c r="D9" s="32">
        <f t="shared" si="4"/>
        <v>37.825552720705197</v>
      </c>
      <c r="E9" s="32">
        <f t="shared" si="4"/>
        <v>37.785780128505763</v>
      </c>
      <c r="F9" s="32">
        <f t="shared" si="4"/>
        <v>37.525716092491876</v>
      </c>
      <c r="G9" s="32">
        <f t="shared" si="4"/>
        <v>37.376746346771419</v>
      </c>
      <c r="H9" s="32">
        <f t="shared" si="4"/>
        <v>35.819250702415736</v>
      </c>
      <c r="I9" s="32">
        <f t="shared" si="4"/>
        <v>35.854474167384396</v>
      </c>
      <c r="J9" s="32">
        <f t="shared" si="4"/>
        <v>33.672973903173244</v>
      </c>
      <c r="K9" s="32">
        <f t="shared" si="4"/>
        <v>28.177459522469118</v>
      </c>
      <c r="L9" s="32">
        <f t="shared" si="4"/>
        <v>23.396912930076141</v>
      </c>
      <c r="M9" s="32">
        <f t="shared" si="4"/>
        <v>22.725447123385898</v>
      </c>
      <c r="N9" s="32">
        <f t="shared" si="4"/>
        <v>21.514114095761009</v>
      </c>
      <c r="O9" s="32">
        <f t="shared" si="4"/>
        <v>21.105656480336961</v>
      </c>
      <c r="P9" s="32">
        <f t="shared" si="4"/>
        <v>18.070045293452651</v>
      </c>
      <c r="Q9" s="32">
        <f t="shared" si="4"/>
        <v>16.173911334852512</v>
      </c>
      <c r="R9" s="32">
        <f t="shared" si="4"/>
        <v>15.460375192201019</v>
      </c>
      <c r="S9" s="32">
        <f t="shared" si="4"/>
        <v>14.490291129419363</v>
      </c>
      <c r="T9" s="32">
        <f t="shared" si="4"/>
        <v>11.991469901588548</v>
      </c>
      <c r="U9" s="32">
        <f t="shared" si="4"/>
        <v>10.842080714264215</v>
      </c>
      <c r="V9" s="32">
        <f t="shared" si="4"/>
        <v>5.5680258925230053</v>
      </c>
      <c r="W9" s="32">
        <f t="shared" si="4"/>
        <v>7.9910949252950472</v>
      </c>
      <c r="X9" s="32">
        <f t="shared" ref="X9:Y9" si="5">SUM(X10,X11,X14)</f>
        <v>8.3667516986241619</v>
      </c>
      <c r="Y9" s="32">
        <f t="shared" si="5"/>
        <v>10.688610651127453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38.324077059151577</v>
      </c>
      <c r="C11" s="130">
        <f t="shared" si="6"/>
        <v>35.709781582507446</v>
      </c>
      <c r="D11" s="130">
        <f t="shared" si="6"/>
        <v>37.825552720705197</v>
      </c>
      <c r="E11" s="130">
        <f t="shared" si="6"/>
        <v>37.785780128505763</v>
      </c>
      <c r="F11" s="130">
        <f t="shared" si="6"/>
        <v>37.525716092491876</v>
      </c>
      <c r="G11" s="130">
        <f t="shared" si="6"/>
        <v>37.376746346771419</v>
      </c>
      <c r="H11" s="130">
        <f t="shared" si="6"/>
        <v>35.819250702415736</v>
      </c>
      <c r="I11" s="130">
        <f t="shared" si="6"/>
        <v>35.854474167384396</v>
      </c>
      <c r="J11" s="130">
        <f t="shared" si="6"/>
        <v>33.672973903173244</v>
      </c>
      <c r="K11" s="130">
        <f t="shared" si="6"/>
        <v>28.177459522469118</v>
      </c>
      <c r="L11" s="130">
        <f t="shared" si="6"/>
        <v>23.396912930076141</v>
      </c>
      <c r="M11" s="130">
        <f t="shared" si="6"/>
        <v>22.725447123385898</v>
      </c>
      <c r="N11" s="130">
        <f t="shared" si="6"/>
        <v>21.514114095761009</v>
      </c>
      <c r="O11" s="130">
        <f t="shared" si="6"/>
        <v>21.105656480336961</v>
      </c>
      <c r="P11" s="130">
        <f t="shared" si="6"/>
        <v>18.070045293452651</v>
      </c>
      <c r="Q11" s="130">
        <f t="shared" si="6"/>
        <v>16.173911334852512</v>
      </c>
      <c r="R11" s="130">
        <f t="shared" si="6"/>
        <v>15.460375192201019</v>
      </c>
      <c r="S11" s="130">
        <f t="shared" si="6"/>
        <v>14.490291129419363</v>
      </c>
      <c r="T11" s="130">
        <f t="shared" si="6"/>
        <v>11.991469901588548</v>
      </c>
      <c r="U11" s="130">
        <f t="shared" si="6"/>
        <v>10.842080714264215</v>
      </c>
      <c r="V11" s="130">
        <f t="shared" si="6"/>
        <v>5.5680258925230053</v>
      </c>
      <c r="W11" s="130">
        <f t="shared" si="6"/>
        <v>7.9910949252950472</v>
      </c>
      <c r="X11" s="130">
        <f t="shared" ref="X11:Y11" si="7">SUM(X12:X13)</f>
        <v>8.3667516986241619</v>
      </c>
      <c r="Y11" s="130">
        <f t="shared" si="7"/>
        <v>10.688610651127453</v>
      </c>
      <c r="DA11" s="176" t="s">
        <v>409</v>
      </c>
    </row>
    <row r="12" spans="1:105" ht="11.45" customHeight="1" x14ac:dyDescent="0.25">
      <c r="A12" s="111" t="s">
        <v>92</v>
      </c>
      <c r="B12" s="96">
        <v>38.324077059151577</v>
      </c>
      <c r="C12" s="96">
        <v>35.709781582507446</v>
      </c>
      <c r="D12" s="96">
        <v>37.825552720705197</v>
      </c>
      <c r="E12" s="96">
        <v>37.785780128505763</v>
      </c>
      <c r="F12" s="96">
        <v>37.525716092491876</v>
      </c>
      <c r="G12" s="96">
        <v>37.376746346771419</v>
      </c>
      <c r="H12" s="96">
        <v>35.819250702415736</v>
      </c>
      <c r="I12" s="96">
        <v>35.854474167384396</v>
      </c>
      <c r="J12" s="96">
        <v>33.672973903173244</v>
      </c>
      <c r="K12" s="96">
        <v>28.177459522469118</v>
      </c>
      <c r="L12" s="96">
        <v>23.396912930076141</v>
      </c>
      <c r="M12" s="96">
        <v>22.725447123385898</v>
      </c>
      <c r="N12" s="96">
        <v>21.514114095761009</v>
      </c>
      <c r="O12" s="96">
        <v>21.105656480336961</v>
      </c>
      <c r="P12" s="96">
        <v>18.070045293452651</v>
      </c>
      <c r="Q12" s="96">
        <v>16.173911334852512</v>
      </c>
      <c r="R12" s="96">
        <v>15.460375192201019</v>
      </c>
      <c r="S12" s="96">
        <v>14.490291129419363</v>
      </c>
      <c r="T12" s="96">
        <v>11.991469901588548</v>
      </c>
      <c r="U12" s="96">
        <v>10.842080714264215</v>
      </c>
      <c r="V12" s="96">
        <v>5.5680258925230053</v>
      </c>
      <c r="W12" s="96">
        <v>7.9910949252950472</v>
      </c>
      <c r="X12" s="96">
        <v>8.3667516986241619</v>
      </c>
      <c r="Y12" s="96">
        <v>10.688610651127453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166.32912650084842</v>
      </c>
      <c r="C15" s="32">
        <f t="shared" si="8"/>
        <v>175.24029177749253</v>
      </c>
      <c r="D15" s="32">
        <f t="shared" si="8"/>
        <v>182.56995871929476</v>
      </c>
      <c r="E15" s="32">
        <f t="shared" si="8"/>
        <v>214.09488059149422</v>
      </c>
      <c r="F15" s="32">
        <f t="shared" si="8"/>
        <v>220.65208118750812</v>
      </c>
      <c r="G15" s="32">
        <f t="shared" si="8"/>
        <v>220.80105093322859</v>
      </c>
      <c r="H15" s="32">
        <f t="shared" si="8"/>
        <v>190.87339729758426</v>
      </c>
      <c r="I15" s="32">
        <f t="shared" si="8"/>
        <v>209.7293167526156</v>
      </c>
      <c r="J15" s="32">
        <f t="shared" si="8"/>
        <v>211.91081701682674</v>
      </c>
      <c r="K15" s="32">
        <f t="shared" si="8"/>
        <v>201.6637567575309</v>
      </c>
      <c r="L15" s="32">
        <f t="shared" si="8"/>
        <v>184.40459214992384</v>
      </c>
      <c r="M15" s="32">
        <f t="shared" si="8"/>
        <v>210.26433743661408</v>
      </c>
      <c r="N15" s="32">
        <f t="shared" si="8"/>
        <v>227.21797834423896</v>
      </c>
      <c r="O15" s="32">
        <f t="shared" si="8"/>
        <v>202.43842323966302</v>
      </c>
      <c r="P15" s="32">
        <f t="shared" si="8"/>
        <v>196.02859634654737</v>
      </c>
      <c r="Q15" s="32">
        <f t="shared" si="8"/>
        <v>188.47929222514745</v>
      </c>
      <c r="R15" s="32">
        <f t="shared" si="8"/>
        <v>157.70767908779897</v>
      </c>
      <c r="S15" s="32">
        <f t="shared" si="8"/>
        <v>147.99162431058068</v>
      </c>
      <c r="T15" s="32">
        <f t="shared" si="8"/>
        <v>153.64221493841146</v>
      </c>
      <c r="U15" s="32">
        <f t="shared" si="8"/>
        <v>125.23646344573577</v>
      </c>
      <c r="V15" s="32">
        <f t="shared" si="8"/>
        <v>74.681118147476994</v>
      </c>
      <c r="W15" s="32">
        <f t="shared" si="8"/>
        <v>67.673778514704935</v>
      </c>
      <c r="X15" s="32">
        <f t="shared" ref="X15:Y15" si="9">SUM(X16:X17)</f>
        <v>62.98781366137581</v>
      </c>
      <c r="Y15" s="32">
        <f t="shared" si="9"/>
        <v>55.933899068872535</v>
      </c>
      <c r="DA15" s="173" t="s">
        <v>414</v>
      </c>
    </row>
    <row r="16" spans="1:105" ht="11.45" customHeight="1" x14ac:dyDescent="0.25">
      <c r="A16" s="83" t="s">
        <v>92</v>
      </c>
      <c r="B16" s="96">
        <v>166.32912650084842</v>
      </c>
      <c r="C16" s="96">
        <v>175.24029177749253</v>
      </c>
      <c r="D16" s="96">
        <v>182.56995871929476</v>
      </c>
      <c r="E16" s="96">
        <v>214.09488059149422</v>
      </c>
      <c r="F16" s="96">
        <v>220.65208118750812</v>
      </c>
      <c r="G16" s="96">
        <v>220.80105093322859</v>
      </c>
      <c r="H16" s="96">
        <v>190.87339729758426</v>
      </c>
      <c r="I16" s="96">
        <v>209.7293167526156</v>
      </c>
      <c r="J16" s="96">
        <v>211.91081701682674</v>
      </c>
      <c r="K16" s="96">
        <v>201.6637567575309</v>
      </c>
      <c r="L16" s="96">
        <v>184.40459214992384</v>
      </c>
      <c r="M16" s="96">
        <v>210.26433743661408</v>
      </c>
      <c r="N16" s="96">
        <v>227.21797834423896</v>
      </c>
      <c r="O16" s="96">
        <v>202.43842323966302</v>
      </c>
      <c r="P16" s="96">
        <v>196.02859634654737</v>
      </c>
      <c r="Q16" s="96">
        <v>188.47929222514745</v>
      </c>
      <c r="R16" s="96">
        <v>157.70767908779897</v>
      </c>
      <c r="S16" s="96">
        <v>147.99162431058068</v>
      </c>
      <c r="T16" s="96">
        <v>153.64221493841146</v>
      </c>
      <c r="U16" s="96">
        <v>125.23646344573577</v>
      </c>
      <c r="V16" s="96">
        <v>74.681118147476994</v>
      </c>
      <c r="W16" s="96">
        <v>67.673778514704935</v>
      </c>
      <c r="X16" s="96">
        <v>62.98781366137581</v>
      </c>
      <c r="Y16" s="96">
        <v>55.933899068872535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2.9560021379078738</v>
      </c>
      <c r="C22" s="134">
        <f>IF(C4=0,0,C4/TrRail_ene!C4)</f>
        <v>2.9637483035190262</v>
      </c>
      <c r="D22" s="134">
        <f>IF(D4=0,0,D4/TrRail_ene!D4)</f>
        <v>2.9763326242951065</v>
      </c>
      <c r="E22" s="134">
        <f>IF(E4=0,0,E4/TrRail_ene!E4)</f>
        <v>2.9823930681389745</v>
      </c>
      <c r="F22" s="134">
        <f>IF(F4=0,0,F4/TrRail_ene!F4)</f>
        <v>2.9852099786110551</v>
      </c>
      <c r="G22" s="134">
        <f>IF(G4=0,0,G4/TrRail_ene!G4)</f>
        <v>2.9792859320899994</v>
      </c>
      <c r="H22" s="134">
        <f>IF(H4=0,0,H4/TrRail_ene!H4)</f>
        <v>2.9662865619261929</v>
      </c>
      <c r="I22" s="134">
        <f>IF(I4=0,0,I4/TrRail_ene!I4)</f>
        <v>2.9763327331629181</v>
      </c>
      <c r="J22" s="134">
        <f>IF(J4=0,0,J4/TrRail_ene!J4)</f>
        <v>2.963977896196933</v>
      </c>
      <c r="K22" s="134">
        <f>IF(K4=0,0,K4/TrRail_ene!K4)</f>
        <v>2.9647786723606728</v>
      </c>
      <c r="L22" s="134">
        <f>IF(L4=0,0,L4/TrRail_ene!L4)</f>
        <v>2.950893369069199</v>
      </c>
      <c r="M22" s="134">
        <f>IF(M4=0,0,M4/TrRail_ene!M4)</f>
        <v>2.900920157667334</v>
      </c>
      <c r="N22" s="134">
        <f>IF(N4=0,0,N4/TrRail_ene!N4)</f>
        <v>2.9128939840831505</v>
      </c>
      <c r="O22" s="134">
        <f>IF(O4=0,0,O4/TrRail_ene!O4)</f>
        <v>2.9299332234271356</v>
      </c>
      <c r="P22" s="134">
        <f>IF(P4=0,0,P4/TrRail_ene!P4)</f>
        <v>2.8843902646181432</v>
      </c>
      <c r="Q22" s="134">
        <f>IF(Q4=0,0,Q4/TrRail_ene!Q4)</f>
        <v>2.7875181032253984</v>
      </c>
      <c r="R22" s="134">
        <f>IF(R4=0,0,R4/TrRail_ene!R4)</f>
        <v>2.7370069735484219</v>
      </c>
      <c r="S22" s="134">
        <f>IF(S4=0,0,S4/TrRail_ene!S4)</f>
        <v>2.7669029590135779</v>
      </c>
      <c r="T22" s="134">
        <f>IF(T4=0,0,T4/TrRail_ene!T4)</f>
        <v>2.7096725366809915</v>
      </c>
      <c r="U22" s="134">
        <f>IF(U4=0,0,U4/TrRail_ene!U4)</f>
        <v>2.6681347738681538</v>
      </c>
      <c r="V22" s="134">
        <f>IF(V4=0,0,V4/TrRail_ene!V4)</f>
        <v>2.4856582102713114</v>
      </c>
      <c r="W22" s="134">
        <f>IF(W4=0,0,W4/TrRail_ene!W4)</f>
        <v>2.4454418782123462</v>
      </c>
      <c r="X22" s="134">
        <f>IF(X4=0,0,X4/TrRail_ene!X4)</f>
        <v>2.4233193509521231</v>
      </c>
      <c r="Y22" s="134">
        <f>IF(Y4=0,0,Y4/TrRail_ene!Y4)</f>
        <v>2.4085165932346912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1.5153523227034034</v>
      </c>
      <c r="N23" s="129">
        <f>IF(N5=0,0,N5/SUM(TrRail_ene!N5:N7))</f>
        <v>1.5175725144830581</v>
      </c>
      <c r="O23" s="129">
        <f>IF(O5=0,0,O5/SUM(TrRail_ene!O5:O7))</f>
        <v>1.5323150467056454</v>
      </c>
      <c r="P23" s="129">
        <f>IF(P5=0,0,P5/SUM(TrRail_ene!P5:P7))</f>
        <v>1.5122678743144295</v>
      </c>
      <c r="Q23" s="129">
        <f>IF(Q5=0,0,Q5/SUM(TrRail_ene!Q5:Q7))</f>
        <v>1.5105177378141468</v>
      </c>
      <c r="R23" s="129">
        <f>IF(R5=0,0,R5/SUM(TrRail_ene!R5:R7))</f>
        <v>1.5033475196891704</v>
      </c>
      <c r="S23" s="129">
        <f>IF(S5=0,0,S5/SUM(TrRail_ene!S5:S7))</f>
        <v>1.5307200169196447</v>
      </c>
      <c r="T23" s="129">
        <f>IF(T5=0,0,T5/SUM(TrRail_ene!T5:T7))</f>
        <v>1.4986313486292835</v>
      </c>
      <c r="U23" s="129">
        <f>IF(U5=0,0,U5/SUM(TrRail_ene!U5:U7))</f>
        <v>1.505789185390759</v>
      </c>
      <c r="V23" s="129">
        <f>IF(V5=0,0,V5/SUM(TrRail_ene!V5:V7))</f>
        <v>1.4926599022886553</v>
      </c>
      <c r="W23" s="129">
        <f>IF(W5=0,0,W5/SUM(TrRail_ene!W5:W7))</f>
        <v>1.4951855394111568</v>
      </c>
      <c r="X23" s="129">
        <f>IF(X5=0,0,X5/SUM(TrRail_ene!X5:X7))</f>
        <v>1.4934825792077748</v>
      </c>
      <c r="Y23" s="129">
        <f>IF(Y5=0,0,Y5/SUM(TrRail_ene!Y5:Y7))</f>
        <v>1.4964324247913199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10174.377170288662</v>
      </c>
      <c r="C26" s="54">
        <f>IF(C8=0,0,C8/TrRail_act!C14*1000)</f>
        <v>10234.309360143854</v>
      </c>
      <c r="D26" s="54">
        <f>IF(D8=0,0,D8/TrRail_act!D14*1000)</f>
        <v>10280.713021354944</v>
      </c>
      <c r="E26" s="54">
        <f>IF(E8=0,0,E8/TrRail_act!E14*1000)</f>
        <v>10484.156887479316</v>
      </c>
      <c r="F26" s="54">
        <f>IF(F8=0,0,F8/TrRail_act!F14*1000)</f>
        <v>10524.763655722189</v>
      </c>
      <c r="G26" s="54">
        <f>IF(G8=0,0,G8/TrRail_act!G14*1000)</f>
        <v>10233.954121077793</v>
      </c>
      <c r="H26" s="54">
        <f>IF(H8=0,0,H8/TrRail_act!H14*1000)</f>
        <v>9753.0932799825168</v>
      </c>
      <c r="I26" s="54">
        <f>IF(I8=0,0,I8/TrRail_act!I14*1000)</f>
        <v>10018.642446761651</v>
      </c>
      <c r="J26" s="54">
        <f>IF(J8=0,0,J8/TrRail_act!J14*1000)</f>
        <v>9677.7403766573498</v>
      </c>
      <c r="K26" s="54">
        <f>IF(K8=0,0,K8/TrRail_act!K14*1000)</f>
        <v>9980.9373673723603</v>
      </c>
      <c r="L26" s="54">
        <f>IF(L8=0,0,L8/TrRail_act!L14*1000)</f>
        <v>8966.5182395207958</v>
      </c>
      <c r="M26" s="54">
        <f>IF(M8=0,0,M8/TrRail_act!M14*1000)</f>
        <v>8827.9270930153962</v>
      </c>
      <c r="N26" s="54">
        <f>IF(N8=0,0,N8/TrRail_act!N14*1000)</f>
        <v>9135.2210251064025</v>
      </c>
      <c r="O26" s="54">
        <f>IF(O8=0,0,O8/TrRail_act!O14*1000)</f>
        <v>8758.204942455448</v>
      </c>
      <c r="P26" s="54">
        <f>IF(P8=0,0,P8/TrRail_act!P14*1000)</f>
        <v>8388.5776344692003</v>
      </c>
      <c r="Q26" s="54">
        <f>IF(Q8=0,0,Q8/TrRail_act!Q14*1000)</f>
        <v>7814.697632914631</v>
      </c>
      <c r="R26" s="54">
        <f>IF(R8=0,0,R8/TrRail_act!R14*1000)</f>
        <v>7285.4246929946048</v>
      </c>
      <c r="S26" s="54">
        <f>IF(S8=0,0,S8/TrRail_act!S14*1000)</f>
        <v>7085.6463332113435</v>
      </c>
      <c r="T26" s="54">
        <f>IF(T8=0,0,T8/TrRail_act!T14*1000)</f>
        <v>6940.7928029703471</v>
      </c>
      <c r="U26" s="54">
        <f>IF(U8=0,0,U8/TrRail_act!U14*1000)</f>
        <v>6450.2391505894038</v>
      </c>
      <c r="V26" s="54">
        <f>IF(V8=0,0,V8/TrRail_act!V14*1000)</f>
        <v>5276.8629577304373</v>
      </c>
      <c r="W26" s="54">
        <f>IF(W8=0,0,W8/TrRail_act!W14*1000)</f>
        <v>5682.9288083336542</v>
      </c>
      <c r="X26" s="54">
        <f>IF(X8=0,0,X8/TrRail_act!X14*1000)</f>
        <v>5554.9300929437695</v>
      </c>
      <c r="Y26" s="54">
        <f>IF(Y8=0,0,Y8/TrRail_act!Y14*1000)</f>
        <v>5279.4344421137312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4109.0796759722216</v>
      </c>
      <c r="C27" s="28">
        <f>IF(C9=0,0,C9/TrRail_act!C15*1000)</f>
        <v>3889.1928166285638</v>
      </c>
      <c r="D27" s="28">
        <f>IF(D9=0,0,D9/TrRail_act!D15*1000)</f>
        <v>4004.3813988285269</v>
      </c>
      <c r="E27" s="28">
        <f>IF(E9=0,0,E9/TrRail_act!E15*1000)</f>
        <v>3829.8846078315692</v>
      </c>
      <c r="F27" s="28">
        <f>IF(F9=0,0,F9/TrRail_act!F15*1000)</f>
        <v>3753.6786286520996</v>
      </c>
      <c r="G27" s="28">
        <f>IF(G9=0,0,G9/TrRail_act!G15*1000)</f>
        <v>3556.8661964719845</v>
      </c>
      <c r="H27" s="28">
        <f>IF(H9=0,0,H9/TrRail_act!H15*1000)</f>
        <v>3440.9883925236131</v>
      </c>
      <c r="I27" s="28">
        <f>IF(I9=0,0,I9/TrRail_act!I15*1000)</f>
        <v>3420.637997430184</v>
      </c>
      <c r="J27" s="28">
        <f>IF(J9=0,0,J9/TrRail_act!J15*1000)</f>
        <v>3247.6548476239645</v>
      </c>
      <c r="K27" s="28">
        <f>IF(K9=0,0,K9/TrRail_act!K15*1000)</f>
        <v>3273.0245324822058</v>
      </c>
      <c r="L27" s="28">
        <f>IF(L9=0,0,L9/TrRail_act!L15*1000)</f>
        <v>2363.7392709065712</v>
      </c>
      <c r="M27" s="28">
        <f>IF(M9=0,0,M9/TrRail_act!M15*1000)</f>
        <v>2250.4781675037739</v>
      </c>
      <c r="N27" s="28">
        <f>IF(N9=0,0,N9/TrRail_act!N15*1000)</f>
        <v>2204.3121705955286</v>
      </c>
      <c r="O27" s="28">
        <f>IF(O9=0,0,O9/TrRail_act!O15*1000)</f>
        <v>2123.5730646200955</v>
      </c>
      <c r="P27" s="28">
        <f>IF(P9=0,0,P9/TrRail_act!P15*1000)</f>
        <v>1835.0716026897171</v>
      </c>
      <c r="Q27" s="28">
        <f>IF(Q9=0,0,Q9/TrRail_act!Q15*1000)</f>
        <v>1471.2374721157919</v>
      </c>
      <c r="R27" s="28">
        <f>IF(R9=0,0,R9/TrRail_act!R15*1000)</f>
        <v>1431.8139112615306</v>
      </c>
      <c r="S27" s="28">
        <f>IF(S9=0,0,S9/TrRail_act!S15*1000)</f>
        <v>1352.1220974843836</v>
      </c>
      <c r="T27" s="28">
        <f>IF(T9=0,0,T9/TrRail_act!T15*1000)</f>
        <v>1120.6074560456748</v>
      </c>
      <c r="U27" s="28">
        <f>IF(U9=0,0,U9/TrRail_act!U15*1000)</f>
        <v>1053.8192883527513</v>
      </c>
      <c r="V27" s="28">
        <f>IF(V9=0,0,V9/TrRail_act!V15*1000)</f>
        <v>643.9576378380641</v>
      </c>
      <c r="W27" s="28">
        <f>IF(W9=0,0,W9/TrRail_act!W15*1000)</f>
        <v>1088.9422522916873</v>
      </c>
      <c r="X27" s="28">
        <f>IF(X9=0,0,X9/TrRail_act!X15*1000)</f>
        <v>1154.3182459157445</v>
      </c>
      <c r="Y27" s="28">
        <f>IF(Y9=0,0,Y9/TrRail_act!Y15*1000)</f>
        <v>1399.0726614626867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7057.3828841541135</v>
      </c>
      <c r="C29" s="110">
        <f>IF(C11=0,0,C11/TrRail_act!C17*1000)</f>
        <v>6541.1811802319444</v>
      </c>
      <c r="D29" s="110">
        <f>IF(D11=0,0,D11/TrRail_act!D17*1000)</f>
        <v>6503.539322988805</v>
      </c>
      <c r="E29" s="110">
        <f>IF(E11=0,0,E11/TrRail_act!E17*1000)</f>
        <v>5901.8918928706134</v>
      </c>
      <c r="F29" s="110">
        <f>IF(F11=0,0,F11/TrRail_act!F17*1000)</f>
        <v>5815.0963592340186</v>
      </c>
      <c r="G29" s="110">
        <f>IF(G11=0,0,G11/TrRail_act!G17*1000)</f>
        <v>5400.7014762363015</v>
      </c>
      <c r="H29" s="110">
        <f>IF(H11=0,0,H11/TrRail_act!H17*1000)</f>
        <v>5227.1437989484157</v>
      </c>
      <c r="I29" s="110">
        <f>IF(I11=0,0,I11/TrRail_act!I17*1000)</f>
        <v>5190.8658306426723</v>
      </c>
      <c r="J29" s="110">
        <f>IF(J11=0,0,J11/TrRail_act!J17*1000)</f>
        <v>4797.6794941797489</v>
      </c>
      <c r="K29" s="110">
        <f>IF(K11=0,0,K11/TrRail_act!K17*1000)</f>
        <v>4464.6873839320642</v>
      </c>
      <c r="L29" s="110">
        <f>IF(L11=0,0,L11/TrRail_act!L17*1000)</f>
        <v>4566.8846243839535</v>
      </c>
      <c r="M29" s="110">
        <f>IF(M11=0,0,M11/TrRail_act!M17*1000)</f>
        <v>4418.6988655919686</v>
      </c>
      <c r="N29" s="110">
        <f>IF(N11=0,0,N11/TrRail_act!N17*1000)</f>
        <v>4213.2762540785379</v>
      </c>
      <c r="O29" s="110">
        <f>IF(O11=0,0,O11/TrRail_act!O17*1000)</f>
        <v>4235.4180020192061</v>
      </c>
      <c r="P29" s="110">
        <f>IF(P11=0,0,P11/TrRail_act!P17*1000)</f>
        <v>3883.550508216696</v>
      </c>
      <c r="Q29" s="110">
        <f>IF(Q11=0,0,Q11/TrRail_act!Q17*1000)</f>
        <v>2654.2605361868918</v>
      </c>
      <c r="R29" s="110">
        <f>IF(R11=0,0,R11/TrRail_act!R17*1000)</f>
        <v>2514.8173720825575</v>
      </c>
      <c r="S29" s="110">
        <f>IF(S11=0,0,S11/TrRail_act!S17*1000)</f>
        <v>2402.7749769732432</v>
      </c>
      <c r="T29" s="110">
        <f>IF(T11=0,0,T11/TrRail_act!T17*1000)</f>
        <v>2044.6933124493328</v>
      </c>
      <c r="U29" s="110">
        <f>IF(U11=0,0,U11/TrRail_act!U17*1000)</f>
        <v>1883.7326933206057</v>
      </c>
      <c r="V29" s="110">
        <f>IF(V11=0,0,V11/TrRail_act!V17*1000)</f>
        <v>1232.7305140364872</v>
      </c>
      <c r="W29" s="110">
        <f>IF(W11=0,0,W11/TrRail_act!W17*1000)</f>
        <v>1342.9999952050473</v>
      </c>
      <c r="X29" s="110">
        <f>IF(X11=0,0,X11/TrRail_act!X17*1000)</f>
        <v>1382.4085428502631</v>
      </c>
      <c r="Y29" s="110">
        <f>IF(Y11=0,0,Y11/TrRail_act!Y17*1000)</f>
        <v>1658.6937004374427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8865.5864567340086</v>
      </c>
      <c r="C30" s="84">
        <f>IF(C12=0,0,C12/TrRail_act!C18*1000)</f>
        <v>8219.1452721535334</v>
      </c>
      <c r="D30" s="84">
        <f>IF(D12=0,0,D12/TrRail_act!D18*1000)</f>
        <v>7930.0492002728279</v>
      </c>
      <c r="E30" s="84">
        <f>IF(E12=0,0,E12/TrRail_act!E18*1000)</f>
        <v>7351.1562622647871</v>
      </c>
      <c r="F30" s="84">
        <f>IF(F12=0,0,F12/TrRail_act!F18*1000)</f>
        <v>7245.462054517493</v>
      </c>
      <c r="G30" s="84">
        <f>IF(G12=0,0,G12/TrRail_act!G18*1000)</f>
        <v>6779.10475082222</v>
      </c>
      <c r="H30" s="84">
        <f>IF(H12=0,0,H12/TrRail_act!H18*1000)</f>
        <v>6562.690463990788</v>
      </c>
      <c r="I30" s="84">
        <f>IF(I12=0,0,I12/TrRail_act!I18*1000)</f>
        <v>6528.538136316949</v>
      </c>
      <c r="J30" s="84">
        <f>IF(J12=0,0,J12/TrRail_act!J18*1000)</f>
        <v>6361.104270660041</v>
      </c>
      <c r="K30" s="84">
        <f>IF(K12=0,0,K12/TrRail_act!K18*1000)</f>
        <v>6273.8006382069434</v>
      </c>
      <c r="L30" s="84">
        <f>IF(L12=0,0,L12/TrRail_act!L18*1000)</f>
        <v>6122.2583604657166</v>
      </c>
      <c r="M30" s="84">
        <f>IF(M12=0,0,M12/TrRail_act!M18*1000)</f>
        <v>5894.2446463464421</v>
      </c>
      <c r="N30" s="84">
        <f>IF(N12=0,0,N12/TrRail_act!N18*1000)</f>
        <v>5772.5538846921681</v>
      </c>
      <c r="O30" s="84">
        <f>IF(O12=0,0,O12/TrRail_act!O18*1000)</f>
        <v>5690.3614694970038</v>
      </c>
      <c r="P30" s="84">
        <f>IF(P12=0,0,P12/TrRail_act!P18*1000)</f>
        <v>5409.0721682192288</v>
      </c>
      <c r="Q30" s="84">
        <f>IF(Q12=0,0,Q12/TrRail_act!Q18*1000)</f>
        <v>5365.3093373796009</v>
      </c>
      <c r="R30" s="84">
        <f>IF(R12=0,0,R12/TrRail_act!R18*1000)</f>
        <v>5258.8972109723036</v>
      </c>
      <c r="S30" s="84">
        <f>IF(S12=0,0,S12/TrRail_act!S18*1000)</f>
        <v>5240.7207967916938</v>
      </c>
      <c r="T30" s="84">
        <f>IF(T12=0,0,T12/TrRail_act!T18*1000)</f>
        <v>4998.2761020184944</v>
      </c>
      <c r="U30" s="84">
        <f>IF(U12=0,0,U12/TrRail_act!U18*1000)</f>
        <v>4924.5009935767584</v>
      </c>
      <c r="V30" s="84">
        <f>IF(V12=0,0,V12/TrRail_act!V18*1000)</f>
        <v>4810.202854086936</v>
      </c>
      <c r="W30" s="84">
        <f>IF(W12=0,0,W12/TrRail_act!W18*1000)</f>
        <v>4765.4176121214587</v>
      </c>
      <c r="X30" s="84">
        <f>IF(X12=0,0,X12/TrRail_act!X18*1000)</f>
        <v>4720.7233780584702</v>
      </c>
      <c r="Y30" s="84">
        <f>IF(Y12=0,0,Y12/TrRail_act!Y18*1000)</f>
        <v>4700.7525150880265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15418.137930806497</v>
      </c>
      <c r="C33" s="28">
        <f>IF(C15=0,0,C15/TrRail_act!C21*1000)</f>
        <v>15331.273637993501</v>
      </c>
      <c r="D33" s="28">
        <f>IF(D15=0,0,D15/TrRail_act!D21*1000)</f>
        <v>15224.663550660724</v>
      </c>
      <c r="E33" s="28">
        <f>IF(E15=0,0,E15/TrRail_act!E21*1000)</f>
        <v>15120.92455214425</v>
      </c>
      <c r="F33" s="28">
        <f>IF(F15=0,0,F15/TrRail_act!F21*1000)</f>
        <v>15182.353471586683</v>
      </c>
      <c r="G33" s="28">
        <f>IF(G15=0,0,G15/TrRail_act!G21*1000)</f>
        <v>15000.852037272683</v>
      </c>
      <c r="H33" s="28">
        <f>IF(H15=0,0,H15/TrRail_act!H21*1000)</f>
        <v>14872.975223467049</v>
      </c>
      <c r="I33" s="28">
        <f>IF(I15=0,0,I15/TrRail_act!I21*1000)</f>
        <v>14947.703180756838</v>
      </c>
      <c r="J33" s="28">
        <f>IF(J15=0,0,J15/TrRail_act!J21*1000)</f>
        <v>14120.089396120669</v>
      </c>
      <c r="K33" s="28">
        <f>IF(K15=0,0,K15/TrRail_act!K21*1000)</f>
        <v>13985.952744144874</v>
      </c>
      <c r="L33" s="28">
        <f>IF(L15=0,0,L15/TrRail_act!L21*1000)</f>
        <v>13889.015414640555</v>
      </c>
      <c r="M33" s="28">
        <f>IF(M15=0,0,M15/TrRail_act!M21*1000)</f>
        <v>12904.1633841609</v>
      </c>
      <c r="N33" s="28">
        <f>IF(N15=0,0,N15/TrRail_act!N21*1000)</f>
        <v>13007.818192636405</v>
      </c>
      <c r="O33" s="28">
        <f>IF(O15=0,0,O15/TrRail_act!O21*1000)</f>
        <v>12989.133941751494</v>
      </c>
      <c r="P33" s="28">
        <f>IF(P15=0,0,P15/TrRail_act!P21*1000)</f>
        <v>12505.342898458377</v>
      </c>
      <c r="Q33" s="28">
        <f>IF(Q15=0,0,Q15/TrRail_act!Q21*1000)</f>
        <v>12404.166728343263</v>
      </c>
      <c r="R33" s="28">
        <f>IF(R15=0,0,R15/TrRail_act!R21*1000)</f>
        <v>12158.150389885839</v>
      </c>
      <c r="S33" s="28">
        <f>IF(S15=0,0,S15/TrRail_act!S21*1000)</f>
        <v>12116.127971821545</v>
      </c>
      <c r="T33" s="28">
        <f>IF(T15=0,0,T15/TrRail_act!T21*1000)</f>
        <v>11672.338584353529</v>
      </c>
      <c r="U33" s="28">
        <f>IF(U15=0,0,U15/TrRail_act!U21*1000)</f>
        <v>11587.065651339639</v>
      </c>
      <c r="V33" s="28">
        <f>IF(V15=0,0,V15/TrRail_act!V21*1000)</f>
        <v>11382.294887870536</v>
      </c>
      <c r="W33" s="28">
        <f>IF(W15=0,0,W15/TrRail_act!W21*1000)</f>
        <v>11324.233327850301</v>
      </c>
      <c r="X33" s="28">
        <f>IF(X15=0,0,X15/TrRail_act!X21*1000)</f>
        <v>11253.754788123926</v>
      </c>
      <c r="Y33" s="28">
        <f>IF(Y15=0,0,Y15/TrRail_act!Y21*1000)</f>
        <v>11232.904616894728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15418.137930806497</v>
      </c>
      <c r="C34" s="84">
        <f>IF(C16=0,0,C16/TrRail_act!C22*1000)</f>
        <v>15331.273637993501</v>
      </c>
      <c r="D34" s="84">
        <f>IF(D16=0,0,D16/TrRail_act!D22*1000)</f>
        <v>15224.663550660724</v>
      </c>
      <c r="E34" s="84">
        <f>IF(E16=0,0,E16/TrRail_act!E22*1000)</f>
        <v>15120.92455214425</v>
      </c>
      <c r="F34" s="84">
        <f>IF(F16=0,0,F16/TrRail_act!F22*1000)</f>
        <v>15182.353471586683</v>
      </c>
      <c r="G34" s="84">
        <f>IF(G16=0,0,G16/TrRail_act!G22*1000)</f>
        <v>15000.852037272683</v>
      </c>
      <c r="H34" s="84">
        <f>IF(H16=0,0,H16/TrRail_act!H22*1000)</f>
        <v>14872.975223467049</v>
      </c>
      <c r="I34" s="84">
        <f>IF(I16=0,0,I16/TrRail_act!I22*1000)</f>
        <v>14947.703180756838</v>
      </c>
      <c r="J34" s="84">
        <f>IF(J16=0,0,J16/TrRail_act!J22*1000)</f>
        <v>14120.089396120669</v>
      </c>
      <c r="K34" s="84">
        <f>IF(K16=0,0,K16/TrRail_act!K22*1000)</f>
        <v>13985.952744144874</v>
      </c>
      <c r="L34" s="84">
        <f>IF(L16=0,0,L16/TrRail_act!L22*1000)</f>
        <v>13889.015414640555</v>
      </c>
      <c r="M34" s="84">
        <f>IF(M16=0,0,M16/TrRail_act!M22*1000)</f>
        <v>12904.1633841609</v>
      </c>
      <c r="N34" s="84">
        <f>IF(N16=0,0,N16/TrRail_act!N22*1000)</f>
        <v>13007.818192636405</v>
      </c>
      <c r="O34" s="84">
        <f>IF(O16=0,0,O16/TrRail_act!O22*1000)</f>
        <v>12989.133941751494</v>
      </c>
      <c r="P34" s="84">
        <f>IF(P16=0,0,P16/TrRail_act!P22*1000)</f>
        <v>12505.342898458377</v>
      </c>
      <c r="Q34" s="84">
        <f>IF(Q16=0,0,Q16/TrRail_act!Q22*1000)</f>
        <v>12404.166728343263</v>
      </c>
      <c r="R34" s="84">
        <f>IF(R16=0,0,R16/TrRail_act!R22*1000)</f>
        <v>12158.150389885839</v>
      </c>
      <c r="S34" s="84">
        <f>IF(S16=0,0,S16/TrRail_act!S22*1000)</f>
        <v>12116.127971821545</v>
      </c>
      <c r="T34" s="84">
        <f>IF(T16=0,0,T16/TrRail_act!T22*1000)</f>
        <v>11672.338584353529</v>
      </c>
      <c r="U34" s="84">
        <f>IF(U16=0,0,U16/TrRail_act!U22*1000)</f>
        <v>11587.065651339639</v>
      </c>
      <c r="V34" s="84">
        <f>IF(V16=0,0,V16/TrRail_act!V22*1000)</f>
        <v>11382.294887870536</v>
      </c>
      <c r="W34" s="84">
        <f>IF(W16=0,0,W16/TrRail_act!W22*1000)</f>
        <v>11324.233327850301</v>
      </c>
      <c r="X34" s="84">
        <f>IF(X16=0,0,X16/TrRail_act!X22*1000)</f>
        <v>11253.754788123926</v>
      </c>
      <c r="Y34" s="84">
        <f>IF(Y16=0,0,Y16/TrRail_act!Y22*1000)</f>
        <v>11232.904616894728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39.038481266325327</v>
      </c>
      <c r="C38" s="29">
        <f>IF(C9=0,0,C9/TrRail_act!C4*1000)</f>
        <v>36.939879572263827</v>
      </c>
      <c r="D38" s="29">
        <f>IF(D9=0,0,D9/TrRail_act!D4*1000)</f>
        <v>37.503026691161203</v>
      </c>
      <c r="E38" s="29">
        <f>IF(E9=0,0,E9/TrRail_act!E4*1000)</f>
        <v>37.198050923908013</v>
      </c>
      <c r="F38" s="29">
        <f>IF(F9=0,0,F9/TrRail_act!F4*1000)</f>
        <v>35.080598385053641</v>
      </c>
      <c r="G38" s="29">
        <f>IF(G9=0,0,G9/TrRail_act!G4*1000)</f>
        <v>32.174181240226751</v>
      </c>
      <c r="H38" s="29">
        <f>IF(H9=0,0,H9/TrRail_act!H4*1000)</f>
        <v>28.308899630455812</v>
      </c>
      <c r="I38" s="29">
        <f>IF(I9=0,0,I9/TrRail_act!I4*1000)</f>
        <v>28.578410782228914</v>
      </c>
      <c r="J38" s="29">
        <f>IF(J9=0,0,J9/TrRail_act!J4*1000)</f>
        <v>28.077189946779992</v>
      </c>
      <c r="K38" s="29">
        <f>IF(K9=0,0,K9/TrRail_act!K4*1000)</f>
        <v>30.661000568519171</v>
      </c>
      <c r="L38" s="29">
        <f>IF(L9=0,0,L9/TrRail_act!L4*1000)</f>
        <v>21.164062055135261</v>
      </c>
      <c r="M38" s="29">
        <f>IF(M9=0,0,M9/TrRail_act!M4*1000)</f>
        <v>20.49852803474705</v>
      </c>
      <c r="N38" s="29">
        <f>IF(N9=0,0,N9/TrRail_act!N4*1000)</f>
        <v>20.118456529403247</v>
      </c>
      <c r="O38" s="29">
        <f>IF(O9=0,0,O9/TrRail_act!O4*1000)</f>
        <v>19.221769313463071</v>
      </c>
      <c r="P38" s="29">
        <f>IF(P9=0,0,P9/TrRail_act!P4*1000)</f>
        <v>17.565733096259052</v>
      </c>
      <c r="Q38" s="29">
        <f>IF(Q9=0,0,Q9/TrRail_act!Q4*1000)</f>
        <v>17.102762358545096</v>
      </c>
      <c r="R38" s="29">
        <f>IF(R9=0,0,R9/TrRail_act!R4*1000)</f>
        <v>16.774870846612412</v>
      </c>
      <c r="S38" s="29">
        <f>IF(S9=0,0,S9/TrRail_act!S4*1000)</f>
        <v>15.454019222130654</v>
      </c>
      <c r="T38" s="29">
        <f>IF(T9=0,0,T9/TrRail_act!T4*1000)</f>
        <v>12.233784470597676</v>
      </c>
      <c r="U38" s="29">
        <f>IF(U9=0,0,U9/TrRail_act!U4*1000)</f>
        <v>11.072035826341502</v>
      </c>
      <c r="V38" s="29">
        <f>IF(V9=0,0,V9/TrRail_act!V4*1000)</f>
        <v>9.0587529183316953</v>
      </c>
      <c r="W38" s="29">
        <f>IF(W9=0,0,W9/TrRail_act!W4*1000)</f>
        <v>19.048549088691257</v>
      </c>
      <c r="X38" s="29">
        <f>IF(X9=0,0,X9/TrRail_act!X4*1000)</f>
        <v>13.602926006184926</v>
      </c>
      <c r="Y38" s="29">
        <f>IF(Y9=0,0,Y9/TrRail_act!Y4*1000)</f>
        <v>15.375490743481402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53.600107775037166</v>
      </c>
      <c r="C40" s="116">
        <f>IF(C11=0,0,C11/TrRail_act!C6*1000)</f>
        <v>50.580427170690434</v>
      </c>
      <c r="D40" s="116">
        <f>IF(D11=0,0,D11/TrRail_act!D6*1000)</f>
        <v>50.840796667614512</v>
      </c>
      <c r="E40" s="116">
        <f>IF(E11=0,0,E11/TrRail_act!E6*1000)</f>
        <v>49.587637963918326</v>
      </c>
      <c r="F40" s="116">
        <f>IF(F11=0,0,F11/TrRail_act!F6*1000)</f>
        <v>46.557960412520934</v>
      </c>
      <c r="G40" s="116">
        <f>IF(G11=0,0,G11/TrRail_act!G6*1000)</f>
        <v>42.043584192093839</v>
      </c>
      <c r="H40" s="116">
        <f>IF(H11=0,0,H11/TrRail_act!H6*1000)</f>
        <v>36.327840468981478</v>
      </c>
      <c r="I40" s="116">
        <f>IF(I11=0,0,I11/TrRail_act!I6*1000)</f>
        <v>36.773819658855786</v>
      </c>
      <c r="J40" s="116">
        <f>IF(J11=0,0,J11/TrRail_act!J6*1000)</f>
        <v>35.784244317931183</v>
      </c>
      <c r="K40" s="116">
        <f>IF(K11=0,0,K11/TrRail_act!K6*1000)</f>
        <v>37.670400431108447</v>
      </c>
      <c r="L40" s="116">
        <f>IF(L11=0,0,L11/TrRail_act!L6*1000)</f>
        <v>31.574781282154039</v>
      </c>
      <c r="M40" s="116">
        <f>IF(M11=0,0,M11/TrRail_act!M6*1000)</f>
        <v>31.003338503937105</v>
      </c>
      <c r="N40" s="116">
        <f>IF(N11=0,0,N11/TrRail_act!N6*1000)</f>
        <v>30.005737929931669</v>
      </c>
      <c r="O40" s="116">
        <f>IF(O11=0,0,O11/TrRail_act!O6*1000)</f>
        <v>29.27275517383767</v>
      </c>
      <c r="P40" s="116">
        <f>IF(P11=0,0,P11/TrRail_act!P6*1000)</f>
        <v>28.05907654262834</v>
      </c>
      <c r="Q40" s="116">
        <f>IF(Q11=0,0,Q11/TrRail_act!Q6*1000)</f>
        <v>27.4134090421229</v>
      </c>
      <c r="R40" s="116">
        <f>IF(R11=0,0,R11/TrRail_act!R6*1000)</f>
        <v>26.473245192125031</v>
      </c>
      <c r="S40" s="116">
        <f>IF(S11=0,0,S11/TrRail_act!S6*1000)</f>
        <v>24.312569009092893</v>
      </c>
      <c r="T40" s="116">
        <f>IF(T11=0,0,T11/TrRail_act!T6*1000)</f>
        <v>19.217099201263697</v>
      </c>
      <c r="U40" s="116">
        <f>IF(U11=0,0,U11/TrRail_act!U6*1000)</f>
        <v>16.861711841779496</v>
      </c>
      <c r="V40" s="116">
        <f>IF(V11=0,0,V11/TrRail_act!V6*1000)</f>
        <v>13.481902887464905</v>
      </c>
      <c r="W40" s="116">
        <f>IF(W11=0,0,W11/TrRail_act!W6*1000)</f>
        <v>22.135997022977971</v>
      </c>
      <c r="X40" s="116">
        <f>IF(X11=0,0,X11/TrRail_act!X6*1000)</f>
        <v>15.465345099120446</v>
      </c>
      <c r="Y40" s="116">
        <f>IF(Y11=0,0,Y11/TrRail_act!Y6*1000)</f>
        <v>17.465050083541591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72.508941029828748</v>
      </c>
      <c r="C41" s="87">
        <f>IF(C12=0,0,C12/TrRail_act!C7*1000)</f>
        <v>69.609578590393085</v>
      </c>
      <c r="D41" s="87">
        <f>IF(D12=0,0,D12/TrRail_act!D7*1000)</f>
        <v>69.710512086340813</v>
      </c>
      <c r="E41" s="87">
        <f>IF(E12=0,0,E12/TrRail_act!E7*1000)</f>
        <v>70.321514653445007</v>
      </c>
      <c r="F41" s="87">
        <f>IF(F12=0,0,F12/TrRail_act!F7*1000)</f>
        <v>66.096329480598499</v>
      </c>
      <c r="G41" s="87">
        <f>IF(G12=0,0,G12/TrRail_act!G7*1000)</f>
        <v>60.440154931754257</v>
      </c>
      <c r="H41" s="87">
        <f>IF(H12=0,0,H12/TrRail_act!H7*1000)</f>
        <v>52.219374769560176</v>
      </c>
      <c r="I41" s="87">
        <f>IF(I12=0,0,I12/TrRail_act!I7*1000)</f>
        <v>52.773659114121514</v>
      </c>
      <c r="J41" s="87">
        <f>IF(J12=0,0,J12/TrRail_act!J7*1000)</f>
        <v>54.528481431054324</v>
      </c>
      <c r="K41" s="87">
        <f>IF(K12=0,0,K12/TrRail_act!K7*1000)</f>
        <v>60.107242156617488</v>
      </c>
      <c r="L41" s="87">
        <f>IF(L12=0,0,L12/TrRail_act!L7*1000)</f>
        <v>54.770573866145952</v>
      </c>
      <c r="M41" s="87">
        <f>IF(M12=0,0,M12/TrRail_act!M7*1000)</f>
        <v>54.195882626642174</v>
      </c>
      <c r="N41" s="87">
        <f>IF(N12=0,0,N12/TrRail_act!N7*1000)</f>
        <v>53.394477262410049</v>
      </c>
      <c r="O41" s="87">
        <f>IF(O12=0,0,O12/TrRail_act!O7*1000)</f>
        <v>51.688002662298544</v>
      </c>
      <c r="P41" s="87">
        <f>IF(P12=0,0,P12/TrRail_act!P7*1000)</f>
        <v>51.124152722331416</v>
      </c>
      <c r="Q41" s="87">
        <f>IF(Q12=0,0,Q12/TrRail_act!Q7*1000)</f>
        <v>49.316482577151731</v>
      </c>
      <c r="R41" s="87">
        <f>IF(R12=0,0,R12/TrRail_act!R7*1000)</f>
        <v>50.492253005283906</v>
      </c>
      <c r="S41" s="87">
        <f>IF(S12=0,0,S12/TrRail_act!S7*1000)</f>
        <v>49.932338311885125</v>
      </c>
      <c r="T41" s="87">
        <f>IF(T12=0,0,T12/TrRail_act!T7*1000)</f>
        <v>42.996951011311033</v>
      </c>
      <c r="U41" s="87">
        <f>IF(U12=0,0,U12/TrRail_act!U7*1000)</f>
        <v>40.909537899669267</v>
      </c>
      <c r="V41" s="87">
        <f>IF(V12=0,0,V12/TrRail_act!V7*1000)</f>
        <v>53.075646624219367</v>
      </c>
      <c r="W41" s="87">
        <f>IF(W12=0,0,W12/TrRail_act!W7*1000)</f>
        <v>79.751862537809671</v>
      </c>
      <c r="X41" s="87">
        <f>IF(X12=0,0,X12/TrRail_act!X7*1000)</f>
        <v>53.399960495060363</v>
      </c>
      <c r="Y41" s="87">
        <f>IF(Y12=0,0,Y12/TrRail_act!Y7*1000)</f>
        <v>59.488280027892976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12.49655345611183</v>
      </c>
      <c r="C44" s="29">
        <f>IF(C15=0,0,C15/TrRail_act!C10*1000)</f>
        <v>12.358271634519927</v>
      </c>
      <c r="D44" s="29">
        <f>IF(D15=0,0,D15/TrRail_act!D10*1000)</f>
        <v>12.155123749620154</v>
      </c>
      <c r="E44" s="29">
        <f>IF(E15=0,0,E15/TrRail_act!E10*1000)</f>
        <v>11.923969957755174</v>
      </c>
      <c r="F44" s="29">
        <f>IF(F15=0,0,F15/TrRail_act!F10*1000)</f>
        <v>11.851545879659906</v>
      </c>
      <c r="G44" s="29">
        <f>IF(G15=0,0,G15/TrRail_act!G10*1000)</f>
        <v>11.163408207352676</v>
      </c>
      <c r="H44" s="29">
        <f>IF(H15=0,0,H15/TrRail_act!H10*1000)</f>
        <v>11.340585663215752</v>
      </c>
      <c r="I44" s="29">
        <f>IF(I15=0,0,I15/TrRail_act!I10*1000)</f>
        <v>11.452482758292776</v>
      </c>
      <c r="J44" s="29">
        <f>IF(J15=0,0,J15/TrRail_act!J10*1000)</f>
        <v>10.822267351862864</v>
      </c>
      <c r="K44" s="29">
        <f>IF(K15=0,0,K15/TrRail_act!K10*1000)</f>
        <v>10.769760040455589</v>
      </c>
      <c r="L44" s="29">
        <f>IF(L15=0,0,L15/TrRail_act!L10*1000)</f>
        <v>10.734303053141851</v>
      </c>
      <c r="M44" s="29">
        <f>IF(M15=0,0,M15/TrRail_act!M10*1000)</f>
        <v>9.8208471479035069</v>
      </c>
      <c r="N44" s="29">
        <f>IF(N15=0,0,N15/TrRail_act!N10*1000)</f>
        <v>10.390907684832806</v>
      </c>
      <c r="O44" s="29">
        <f>IF(O15=0,0,O15/TrRail_act!O10*1000)</f>
        <v>10.364449275018586</v>
      </c>
      <c r="P44" s="29">
        <f>IF(P15=0,0,P15/TrRail_act!P10*1000)</f>
        <v>10.083256846178047</v>
      </c>
      <c r="Q44" s="29">
        <f>IF(Q15=0,0,Q15/TrRail_act!Q10*1000)</f>
        <v>9.9692844718685851</v>
      </c>
      <c r="R44" s="29">
        <f>IF(R15=0,0,R15/TrRail_act!R10*1000)</f>
        <v>9.9355937181250535</v>
      </c>
      <c r="S44" s="29">
        <f>IF(S15=0,0,S15/TrRail_act!S10*1000)</f>
        <v>9.8569085060996855</v>
      </c>
      <c r="T44" s="29">
        <f>IF(T15=0,0,T15/TrRail_act!T10*1000)</f>
        <v>8.6030693173420385</v>
      </c>
      <c r="U44" s="29">
        <f>IF(U15=0,0,U15/TrRail_act!U10*1000)</f>
        <v>8.3385354181860141</v>
      </c>
      <c r="V44" s="29">
        <f>IF(V15=0,0,V15/TrRail_act!V10*1000)</f>
        <v>9.3597090045716254</v>
      </c>
      <c r="W44" s="29">
        <f>IF(W15=0,0,W15/TrRail_act!W10*1000)</f>
        <v>9.1860701119458312</v>
      </c>
      <c r="X44" s="29">
        <f>IF(X15=0,0,X15/TrRail_act!X10*1000)</f>
        <v>8.500379711386751</v>
      </c>
      <c r="Y44" s="29">
        <f>IF(Y15=0,0,Y15/TrRail_act!Y10*1000)</f>
        <v>10.775168381597483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12.49655345611183</v>
      </c>
      <c r="C45" s="87">
        <f>IF(C16=0,0,C16/TrRail_act!C11*1000)</f>
        <v>12.358271634519927</v>
      </c>
      <c r="D45" s="87">
        <f>IF(D16=0,0,D16/TrRail_act!D11*1000)</f>
        <v>12.155123749620154</v>
      </c>
      <c r="E45" s="87">
        <f>IF(E16=0,0,E16/TrRail_act!E11*1000)</f>
        <v>11.923969957755174</v>
      </c>
      <c r="F45" s="87">
        <f>IF(F16=0,0,F16/TrRail_act!F11*1000)</f>
        <v>11.851545879659906</v>
      </c>
      <c r="G45" s="87">
        <f>IF(G16=0,0,G16/TrRail_act!G11*1000)</f>
        <v>11.163408207352676</v>
      </c>
      <c r="H45" s="87">
        <f>IF(H16=0,0,H16/TrRail_act!H11*1000)</f>
        <v>11.340585663215752</v>
      </c>
      <c r="I45" s="87">
        <f>IF(I16=0,0,I16/TrRail_act!I11*1000)</f>
        <v>11.452482758292776</v>
      </c>
      <c r="J45" s="87">
        <f>IF(J16=0,0,J16/TrRail_act!J11*1000)</f>
        <v>10.822267351862864</v>
      </c>
      <c r="K45" s="87">
        <f>IF(K16=0,0,K16/TrRail_act!K11*1000)</f>
        <v>10.769760040455589</v>
      </c>
      <c r="L45" s="87">
        <f>IF(L16=0,0,L16/TrRail_act!L11*1000)</f>
        <v>10.734303053141851</v>
      </c>
      <c r="M45" s="87">
        <f>IF(M16=0,0,M16/TrRail_act!M11*1000)</f>
        <v>9.8208471479035069</v>
      </c>
      <c r="N45" s="87">
        <f>IF(N16=0,0,N16/TrRail_act!N11*1000)</f>
        <v>10.390907684832806</v>
      </c>
      <c r="O45" s="87">
        <f>IF(O16=0,0,O16/TrRail_act!O11*1000)</f>
        <v>10.364449275018586</v>
      </c>
      <c r="P45" s="87">
        <f>IF(P16=0,0,P16/TrRail_act!P11*1000)</f>
        <v>10.083256846178047</v>
      </c>
      <c r="Q45" s="87">
        <f>IF(Q16=0,0,Q16/TrRail_act!Q11*1000)</f>
        <v>9.9692844718685851</v>
      </c>
      <c r="R45" s="87">
        <f>IF(R16=0,0,R16/TrRail_act!R11*1000)</f>
        <v>9.9355937181250535</v>
      </c>
      <c r="S45" s="87">
        <f>IF(S16=0,0,S16/TrRail_act!S11*1000)</f>
        <v>9.8569085060996855</v>
      </c>
      <c r="T45" s="87">
        <f>IF(T16=0,0,T16/TrRail_act!T11*1000)</f>
        <v>8.6030693173420385</v>
      </c>
      <c r="U45" s="87">
        <f>IF(U16=0,0,U16/TrRail_act!U11*1000)</f>
        <v>8.3385354181860141</v>
      </c>
      <c r="V45" s="87">
        <f>IF(V16=0,0,V16/TrRail_act!V11*1000)</f>
        <v>9.3597090045716254</v>
      </c>
      <c r="W45" s="87">
        <f>IF(W16=0,0,W16/TrRail_act!W11*1000)</f>
        <v>9.1860701119458312</v>
      </c>
      <c r="X45" s="87">
        <f>IF(X16=0,0,X16/TrRail_act!X11*1000)</f>
        <v>8.500379711386751</v>
      </c>
      <c r="Y45" s="87">
        <f>IF(Y16=0,0,Y16/TrRail_act!Y11*1000)</f>
        <v>10.775168381597483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1629.885186281492</v>
      </c>
      <c r="C48" s="62">
        <f>IF(C8=0,0,1000000*C8/TrRail_act!C25/1000)</f>
        <v>1655.969515727407</v>
      </c>
      <c r="D48" s="62">
        <f>IF(D8=0,0,1000000*D8/TrRail_act!D25/1000)</f>
        <v>1673.0601648180009</v>
      </c>
      <c r="E48" s="62">
        <f>IF(E8=0,0,1000000*E8/TrRail_act!E25/1000)</f>
        <v>1737.5308241043342</v>
      </c>
      <c r="F48" s="62">
        <f>IF(F8=0,0,1000000*F8/TrRail_act!F25/1000)</f>
        <v>1745.5584784117239</v>
      </c>
      <c r="G48" s="62">
        <f>IF(G8=0,0,1000000*G8/TrRail_act!G25/1000)</f>
        <v>1694.6471743427364</v>
      </c>
      <c r="H48" s="62">
        <f>IF(H8=0,0,1000000*H8/TrRail_act!H25/1000)</f>
        <v>1550.3261206841441</v>
      </c>
      <c r="I48" s="62">
        <f>IF(I8=0,0,1000000*I8/TrRail_act!I25/1000)</f>
        <v>1651.5524795497442</v>
      </c>
      <c r="J48" s="62">
        <f>IF(J8=0,0,1000000*J8/TrRail_act!J25/1000)</f>
        <v>1612.6893652441531</v>
      </c>
      <c r="K48" s="62">
        <f>IF(K8=0,0,1000000*K8/TrRail_act!K25/1000)</f>
        <v>1601.1567744742076</v>
      </c>
      <c r="L48" s="62">
        <f>IF(L8=0,0,1000000*L8/TrRail_act!L25/1000)</f>
        <v>1375.8760011262766</v>
      </c>
      <c r="M48" s="62">
        <f>IF(M8=0,0,1000000*M8/TrRail_act!M25/1000)</f>
        <v>1422.2471931758735</v>
      </c>
      <c r="N48" s="62">
        <f>IF(N8=0,0,1000000*N8/TrRail_act!N25/1000)</f>
        <v>1512.879475295746</v>
      </c>
      <c r="O48" s="62">
        <f>IF(O8=0,0,1000000*O8/TrRail_act!O25/1000)</f>
        <v>1389.3181563608466</v>
      </c>
      <c r="P48" s="62">
        <f>IF(P8=0,0,1000000*P8/TrRail_act!P25/1000)</f>
        <v>1367.023372895854</v>
      </c>
      <c r="Q48" s="62">
        <f>IF(Q8=0,0,1000000*Q8/TrRail_act!Q25/1000)</f>
        <v>1270.0180462612575</v>
      </c>
      <c r="R48" s="62">
        <f>IF(R8=0,0,1000000*R8/TrRail_act!R25/1000)</f>
        <v>1125.651258713194</v>
      </c>
      <c r="S48" s="62">
        <f>IF(S8=0,0,1000000*S8/TrRail_act!S25/1000)</f>
        <v>1097.9166401616988</v>
      </c>
      <c r="T48" s="62">
        <f>IF(T8=0,0,1000000*T8/TrRail_act!T25/1000)</f>
        <v>1112.5474514978423</v>
      </c>
      <c r="U48" s="62">
        <f>IF(U8=0,0,1000000*U8/TrRail_act!U25/1000)</f>
        <v>972.00150121837885</v>
      </c>
      <c r="V48" s="62">
        <f>IF(V8=0,0,1000000*V8/TrRail_act!V25/1000)</f>
        <v>629.69153871982803</v>
      </c>
      <c r="W48" s="62">
        <f>IF(W8=0,0,1000000*W8/TrRail_act!W25/1000)</f>
        <v>613.05258208554039</v>
      </c>
      <c r="X48" s="62">
        <f>IF(X8=0,0,1000000*X8/TrRail_act!X25/1000)</f>
        <v>619.57009761360052</v>
      </c>
      <c r="Y48" s="62">
        <f>IF(Y8=0,0,1000000*Y8/TrRail_act!Y25/1000)</f>
        <v>612.09682977667046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535.07668226752219</v>
      </c>
      <c r="C49" s="29">
        <f>IF(C9=0,0,1000000*C9/TrRail_act!C26/1000)</f>
        <v>508.4226917782899</v>
      </c>
      <c r="D49" s="29">
        <f>IF(D9=0,0,1000000*D9/TrRail_act!D26/1000)</f>
        <v>527.01388737869013</v>
      </c>
      <c r="E49" s="29">
        <f>IF(E9=0,0,1000000*E9/TrRail_act!E26/1000)</f>
        <v>509.44505420574598</v>
      </c>
      <c r="F49" s="29">
        <f>IF(F9=0,0,1000000*F9/TrRail_act!F26/1000)</f>
        <v>498.75835254762677</v>
      </c>
      <c r="G49" s="29">
        <f>IF(G9=0,0,1000000*G9/TrRail_act!G26/1000)</f>
        <v>474.60831275011145</v>
      </c>
      <c r="H49" s="29">
        <f>IF(H9=0,0,1000000*H9/TrRail_act!H26/1000)</f>
        <v>459.10150804946915</v>
      </c>
      <c r="I49" s="29">
        <f>IF(I9=0,0,1000000*I9/TrRail_act!I26/1000)</f>
        <v>456.48677238893754</v>
      </c>
      <c r="J49" s="29">
        <f>IF(J9=0,0,1000000*J9/TrRail_act!J26/1000)</f>
        <v>435.93348818812285</v>
      </c>
      <c r="K49" s="29">
        <f>IF(K9=0,0,1000000*K9/TrRail_act!K26/1000)</f>
        <v>394.35580785814176</v>
      </c>
      <c r="L49" s="29">
        <f>IF(L9=0,0,1000000*L9/TrRail_act!L26/1000)</f>
        <v>277.44149220222675</v>
      </c>
      <c r="M49" s="29">
        <f>IF(M9=0,0,1000000*M9/TrRail_act!M26/1000)</f>
        <v>275.97325866741966</v>
      </c>
      <c r="N49" s="29">
        <f>IF(N9=0,0,1000000*N9/TrRail_act!N26/1000)</f>
        <v>279.14771280652184</v>
      </c>
      <c r="O49" s="29">
        <f>IF(O9=0,0,1000000*O9/TrRail_act!O26/1000)</f>
        <v>267.30589032208582</v>
      </c>
      <c r="P49" s="29">
        <f>IF(P9=0,0,1000000*P9/TrRail_act!P26/1000)</f>
        <v>230.96036945300315</v>
      </c>
      <c r="Q49" s="29">
        <f>IF(Q9=0,0,1000000*Q9/TrRail_act!Q26/1000)</f>
        <v>189.90645904776397</v>
      </c>
      <c r="R49" s="29">
        <f>IF(R9=0,0,1000000*R9/TrRail_act!R26/1000)</f>
        <v>185.69268045324512</v>
      </c>
      <c r="S49" s="29">
        <f>IF(S9=0,0,1000000*S9/TrRail_act!S26/1000)</f>
        <v>174.99332501939759</v>
      </c>
      <c r="T49" s="29">
        <f>IF(T9=0,0,1000000*T9/TrRail_act!T26/1000)</f>
        <v>144.3656248228132</v>
      </c>
      <c r="U49" s="29">
        <f>IF(U9=0,0,1000000*U9/TrRail_act!U26/1000)</f>
        <v>136.24544961887895</v>
      </c>
      <c r="V49" s="29">
        <f>IF(V9=0,0,1000000*V9/TrRail_act!V26/1000)</f>
        <v>76.890280586533208</v>
      </c>
      <c r="W49" s="29">
        <f>IF(W9=0,0,1000000*W9/TrRail_act!W26/1000)</f>
        <v>108.29465289197967</v>
      </c>
      <c r="X49" s="29">
        <f>IF(X9=0,0,1000000*X9/TrRail_act!X26/1000)</f>
        <v>117.95958264478058</v>
      </c>
      <c r="Y49" s="29">
        <f>IF(Y9=0,0,1000000*Y9/TrRail_act!Y26/1000)</f>
        <v>152.69850183480531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1058.6074108599073</v>
      </c>
      <c r="C51" s="116">
        <f>IF(C11=0,0,1000000*C11/TrRail_act!C28/1000)</f>
        <v>981.17715333316653</v>
      </c>
      <c r="D51" s="116">
        <f>IF(D11=0,0,1000000*D11/TrRail_act!D28/1000)</f>
        <v>975.53086403550469</v>
      </c>
      <c r="E51" s="116">
        <f>IF(E11=0,0,1000000*E11/TrRail_act!E28/1000)</f>
        <v>885.28376978602967</v>
      </c>
      <c r="F51" s="116">
        <f>IF(F11=0,0,1000000*F11/TrRail_act!F28/1000)</f>
        <v>872.26443318449196</v>
      </c>
      <c r="G51" s="116">
        <f>IF(G11=0,0,1000000*G11/TrRail_act!G28/1000)</f>
        <v>810.1052005320679</v>
      </c>
      <c r="H51" s="116">
        <f>IF(H11=0,0,1000000*H11/TrRail_act!H28/1000)</f>
        <v>784.07154240837133</v>
      </c>
      <c r="I51" s="116">
        <f>IF(I11=0,0,1000000*I11/TrRail_act!I28/1000)</f>
        <v>778.62986512652549</v>
      </c>
      <c r="J51" s="116">
        <f>IF(J11=0,0,1000000*J11/TrRail_act!J28/1000)</f>
        <v>719.65191976799736</v>
      </c>
      <c r="K51" s="116">
        <f>IF(K11=0,0,1000000*K11/TrRail_act!K28/1000)</f>
        <v>632.61491066941778</v>
      </c>
      <c r="L51" s="116">
        <f>IF(L11=0,0,1000000*L11/TrRail_act!L28/1000)</f>
        <v>571.75785562895805</v>
      </c>
      <c r="M51" s="116">
        <f>IF(M11=0,0,1000000*M11/TrRail_act!M28/1000)</f>
        <v>609.24852766189656</v>
      </c>
      <c r="N51" s="116">
        <f>IF(N11=0,0,1000000*N11/TrRail_act!N28/1000)</f>
        <v>618.86292166244925</v>
      </c>
      <c r="O51" s="116">
        <f>IF(O11=0,0,1000000*O11/TrRail_act!O28/1000)</f>
        <v>622.47712472401827</v>
      </c>
      <c r="P51" s="116">
        <f>IF(P11=0,0,1000000*P11/TrRail_act!P28/1000)</f>
        <v>582.53256132711908</v>
      </c>
      <c r="Q51" s="116">
        <f>IF(Q11=0,0,1000000*Q11/TrRail_act!Q28/1000)</f>
        <v>398.13906346693722</v>
      </c>
      <c r="R51" s="116">
        <f>IF(R11=0,0,1000000*R11/TrRail_act!R28/1000)</f>
        <v>377.22260256639873</v>
      </c>
      <c r="S51" s="116">
        <f>IF(S11=0,0,1000000*S11/TrRail_act!S28/1000)</f>
        <v>360.41623606006567</v>
      </c>
      <c r="T51" s="116">
        <f>IF(T11=0,0,1000000*T11/TrRail_act!T28/1000)</f>
        <v>306.70399611611862</v>
      </c>
      <c r="U51" s="116">
        <f>IF(U11=0,0,1000000*U11/TrRail_act!U28/1000)</f>
        <v>282.55989841534426</v>
      </c>
      <c r="V51" s="116">
        <f>IF(V11=0,0,1000000*V11/TrRail_act!V28/1000)</f>
        <v>160.22783937484172</v>
      </c>
      <c r="W51" s="116">
        <f>IF(W11=0,0,1000000*W11/TrRail_act!W28/1000)</f>
        <v>201.44999735163702</v>
      </c>
      <c r="X51" s="116">
        <f>IF(X11=0,0,1000000*X11/TrRail_act!X28/1000)</f>
        <v>207.36127606248638</v>
      </c>
      <c r="Y51" s="116">
        <f>IF(Y11=0,0,1000000*Y11/TrRail_act!Y28/1000)</f>
        <v>248.80405251661711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1329.837943213271</v>
      </c>
      <c r="C52" s="87">
        <f>IF(C12=0,0,1000000*C12/TrRail_act!C29/1000)</f>
        <v>1232.8717585090662</v>
      </c>
      <c r="D52" s="87">
        <f>IF(D12=0,0,1000000*D12/TrRail_act!D29/1000)</f>
        <v>1189.5073656303275</v>
      </c>
      <c r="E52" s="87">
        <f>IF(E12=0,0,1000000*E12/TrRail_act!E29/1000)</f>
        <v>1102.673428944029</v>
      </c>
      <c r="F52" s="87">
        <f>IF(F12=0,0,1000000*F12/TrRail_act!F29/1000)</f>
        <v>1086.8192924508983</v>
      </c>
      <c r="G52" s="87">
        <f>IF(G12=0,0,1000000*G12/TrRail_act!G29/1000)</f>
        <v>1016.8656972330172</v>
      </c>
      <c r="H52" s="87">
        <f>IF(H12=0,0,1000000*H12/TrRail_act!H29/1000)</f>
        <v>984.40354745609318</v>
      </c>
      <c r="I52" s="87">
        <f>IF(I12=0,0,1000000*I12/TrRail_act!I29/1000)</f>
        <v>979.28071008805557</v>
      </c>
      <c r="J52" s="87">
        <f>IF(J12=0,0,1000000*J12/TrRail_act!J29/1000)</f>
        <v>954.1656392134995</v>
      </c>
      <c r="K52" s="87">
        <f>IF(K12=0,0,1000000*K12/TrRail_act!K29/1000)</f>
        <v>869.44306664694102</v>
      </c>
      <c r="L52" s="87">
        <f>IF(L12=0,0,1000000*L12/TrRail_act!L29/1000)</f>
        <v>792.39659934627264</v>
      </c>
      <c r="M52" s="87">
        <f>IF(M12=0,0,1000000*M12/TrRail_act!M29/1000)</f>
        <v>852.90009500823248</v>
      </c>
      <c r="N52" s="87">
        <f>IF(N12=0,0,1000000*N12/TrRail_act!N29/1000)</f>
        <v>865.88306003241621</v>
      </c>
      <c r="O52" s="87">
        <f>IF(O12=0,0,1000000*O12/TrRail_act!O29/1000)</f>
        <v>853.55420686562036</v>
      </c>
      <c r="P52" s="87">
        <f>IF(P12=0,0,1000000*P12/TrRail_act!P29/1000)</f>
        <v>811.36080506962514</v>
      </c>
      <c r="Q52" s="87">
        <f>IF(Q12=0,0,1000000*Q12/TrRail_act!Q29/1000)</f>
        <v>804.79636857668993</v>
      </c>
      <c r="R52" s="87">
        <f>IF(R12=0,0,1000000*R12/TrRail_act!R29/1000)</f>
        <v>788.83457735213005</v>
      </c>
      <c r="S52" s="87">
        <f>IF(S12=0,0,1000000*S12/TrRail_act!S29/1000)</f>
        <v>786.10809064308012</v>
      </c>
      <c r="T52" s="87">
        <f>IF(T12=0,0,1000000*T12/TrRail_act!T29/1000)</f>
        <v>749.74141478361037</v>
      </c>
      <c r="U52" s="87">
        <f>IF(U12=0,0,1000000*U12/TrRail_act!U29/1000)</f>
        <v>738.6751266161782</v>
      </c>
      <c r="V52" s="87">
        <f>IF(V12=0,0,1000000*V12/TrRail_act!V29/1000)</f>
        <v>472.03145204549878</v>
      </c>
      <c r="W52" s="87">
        <f>IF(W12=0,0,1000000*W12/TrRail_act!W29/1000)</f>
        <v>714.81263877630897</v>
      </c>
      <c r="X52" s="87">
        <f>IF(X12=0,0,1000000*X12/TrRail_act!X29/1000)</f>
        <v>708.10845041470145</v>
      </c>
      <c r="Y52" s="87">
        <f>IF(Y12=0,0,1000000*Y12/TrRail_act!Y29/1000)</f>
        <v>705.11286809102944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3083.6275831305238</v>
      </c>
      <c r="C55" s="29">
        <f>IF(C15=0,0,1000000*C15/TrRail_act!C32/1000)</f>
        <v>3066.2546962881452</v>
      </c>
      <c r="D55" s="29">
        <f>IF(D15=0,0,1000000*D15/TrRail_act!D32/1000)</f>
        <v>3044.9326846453014</v>
      </c>
      <c r="E55" s="29">
        <f>IF(E15=0,0,1000000*E15/TrRail_act!E32/1000)</f>
        <v>3024.1848986434425</v>
      </c>
      <c r="F55" s="29">
        <f>IF(F15=0,0,1000000*F15/TrRail_act!F32/1000)</f>
        <v>3036.4706922449095</v>
      </c>
      <c r="G55" s="29">
        <f>IF(G15=0,0,1000000*G15/TrRail_act!G32/1000)</f>
        <v>3000.1704019819044</v>
      </c>
      <c r="H55" s="29">
        <f>IF(H15=0,0,1000000*H15/TrRail_act!H32/1000)</f>
        <v>2798.6387790179388</v>
      </c>
      <c r="I55" s="29">
        <f>IF(I15=0,0,1000000*I15/TrRail_act!I32/1000)</f>
        <v>2989.5406042332047</v>
      </c>
      <c r="J55" s="29">
        <f>IF(J15=0,0,1000000*J15/TrRail_act!J32/1000)</f>
        <v>2824.017844227461</v>
      </c>
      <c r="K55" s="29">
        <f>IF(K15=0,0,1000000*K15/TrRail_act!K32/1000)</f>
        <v>2797.1905383696821</v>
      </c>
      <c r="L55" s="29">
        <f>IF(L15=0,0,1000000*L15/TrRail_act!L32/1000)</f>
        <v>2764.6382096217599</v>
      </c>
      <c r="M55" s="29">
        <f>IF(M15=0,0,1000000*M15/TrRail_act!M32/1000)</f>
        <v>2580.8326721301892</v>
      </c>
      <c r="N55" s="29">
        <f>IF(N15=0,0,1000000*N15/TrRail_act!N32/1000)</f>
        <v>2601.563623769689</v>
      </c>
      <c r="O55" s="29">
        <f>IF(O15=0,0,1000000*O15/TrRail_act!O32/1000)</f>
        <v>2470.4163777393082</v>
      </c>
      <c r="P55" s="29">
        <f>IF(P15=0,0,1000000*P15/TrRail_act!P32/1000)</f>
        <v>2501.068557666666</v>
      </c>
      <c r="Q55" s="29">
        <f>IF(Q15=0,0,1000000*Q15/TrRail_act!Q32/1000)</f>
        <v>2480.8333217962672</v>
      </c>
      <c r="R55" s="29">
        <f>IF(R15=0,0,1000000*R15/TrRail_act!R32/1000)</f>
        <v>2234.4451135964346</v>
      </c>
      <c r="S55" s="29">
        <f>IF(S15=0,0,1000000*S15/TrRail_act!S32/1000)</f>
        <v>2270.2872276932521</v>
      </c>
      <c r="T55" s="29">
        <f>IF(T15=0,0,1000000*T15/TrRail_act!T32/1000)</f>
        <v>2334.4677097342369</v>
      </c>
      <c r="U55" s="29">
        <f>IF(U15=0,0,1000000*U15/TrRail_act!U32/1000)</f>
        <v>2072.7401983090399</v>
      </c>
      <c r="V55" s="29">
        <f>IF(V15=0,0,1000000*V15/TrRail_act!V32/1000)</f>
        <v>1357.1776649533069</v>
      </c>
      <c r="W55" s="29">
        <f>IF(W15=0,0,1000000*W15/TrRail_act!W32/1000)</f>
        <v>1363.4879898406157</v>
      </c>
      <c r="X55" s="29">
        <f>IF(X15=0,0,1000000*X15/TrRail_act!X32/1000)</f>
        <v>1423.8107362621922</v>
      </c>
      <c r="Y55" s="29">
        <f>IF(Y15=0,0,1000000*Y15/TrRail_act!Y32/1000)</f>
        <v>1439.9270996363321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3083.6275831305238</v>
      </c>
      <c r="C56" s="87">
        <f>IF(C16=0,0,1000000*C16/TrRail_act!C33/1000)</f>
        <v>3066.2546962881452</v>
      </c>
      <c r="D56" s="87">
        <f>IF(D16=0,0,1000000*D16/TrRail_act!D33/1000)</f>
        <v>3044.9326846453014</v>
      </c>
      <c r="E56" s="87">
        <f>IF(E16=0,0,1000000*E16/TrRail_act!E33/1000)</f>
        <v>3024.1848986434425</v>
      </c>
      <c r="F56" s="87">
        <f>IF(F16=0,0,1000000*F16/TrRail_act!F33/1000)</f>
        <v>3036.4706922449095</v>
      </c>
      <c r="G56" s="87">
        <f>IF(G16=0,0,1000000*G16/TrRail_act!G33/1000)</f>
        <v>3000.1704019819044</v>
      </c>
      <c r="H56" s="87">
        <f>IF(H16=0,0,1000000*H16/TrRail_act!H33/1000)</f>
        <v>2798.6387790179388</v>
      </c>
      <c r="I56" s="87">
        <f>IF(I16=0,0,1000000*I16/TrRail_act!I33/1000)</f>
        <v>2989.5406042332047</v>
      </c>
      <c r="J56" s="87">
        <f>IF(J16=0,0,1000000*J16/TrRail_act!J33/1000)</f>
        <v>2824.017844227461</v>
      </c>
      <c r="K56" s="87">
        <f>IF(K16=0,0,1000000*K16/TrRail_act!K33/1000)</f>
        <v>2797.1905383696821</v>
      </c>
      <c r="L56" s="87">
        <f>IF(L16=0,0,1000000*L16/TrRail_act!L33/1000)</f>
        <v>2764.6382096217599</v>
      </c>
      <c r="M56" s="87">
        <f>IF(M16=0,0,1000000*M16/TrRail_act!M33/1000)</f>
        <v>2580.8326721301892</v>
      </c>
      <c r="N56" s="87">
        <f>IF(N16=0,0,1000000*N16/TrRail_act!N33/1000)</f>
        <v>2601.563623769689</v>
      </c>
      <c r="O56" s="87">
        <f>IF(O16=0,0,1000000*O16/TrRail_act!O33/1000)</f>
        <v>2470.4163777393082</v>
      </c>
      <c r="P56" s="87">
        <f>IF(P16=0,0,1000000*P16/TrRail_act!P33/1000)</f>
        <v>2501.068557666666</v>
      </c>
      <c r="Q56" s="87">
        <f>IF(Q16=0,0,1000000*Q16/TrRail_act!Q33/1000)</f>
        <v>2480.8333217962672</v>
      </c>
      <c r="R56" s="87">
        <f>IF(R16=0,0,1000000*R16/TrRail_act!R33/1000)</f>
        <v>2234.4451135964346</v>
      </c>
      <c r="S56" s="87">
        <f>IF(S16=0,0,1000000*S16/TrRail_act!S33/1000)</f>
        <v>2270.2872276932521</v>
      </c>
      <c r="T56" s="87">
        <f>IF(T16=0,0,1000000*T16/TrRail_act!T33/1000)</f>
        <v>2334.4677097342369</v>
      </c>
      <c r="U56" s="87">
        <f>IF(U16=0,0,1000000*U16/TrRail_act!U33/1000)</f>
        <v>2072.7401983090399</v>
      </c>
      <c r="V56" s="87">
        <f>IF(V16=0,0,1000000*V16/TrRail_act!V33/1000)</f>
        <v>1357.1776649533069</v>
      </c>
      <c r="W56" s="87">
        <f>IF(W16=0,0,1000000*W16/TrRail_act!W33/1000)</f>
        <v>1363.4879898406157</v>
      </c>
      <c r="X56" s="87">
        <f>IF(X16=0,0,1000000*X16/TrRail_act!X33/1000)</f>
        <v>1423.8107362621922</v>
      </c>
      <c r="Y56" s="87">
        <f>IF(Y16=0,0,1000000*Y16/TrRail_act!Y33/1000)</f>
        <v>1439.9270996363321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0.18726350915838835</v>
      </c>
      <c r="C60" s="31">
        <f t="shared" ref="C60:V60" si="13">IF(C9=0,0,C9/C$8)</f>
        <v>0.16928072606813646</v>
      </c>
      <c r="D60" s="31">
        <f t="shared" si="13"/>
        <v>0.17162578526923744</v>
      </c>
      <c r="E60" s="31">
        <f t="shared" si="13"/>
        <v>0.15001461414502901</v>
      </c>
      <c r="F60" s="31">
        <f t="shared" si="13"/>
        <v>0.14534834709970951</v>
      </c>
      <c r="G60" s="31">
        <f t="shared" si="13"/>
        <v>0.14477134261950281</v>
      </c>
      <c r="H60" s="31">
        <f t="shared" si="13"/>
        <v>0.15800799460605242</v>
      </c>
      <c r="I60" s="31">
        <f t="shared" si="13"/>
        <v>0.14599690815532751</v>
      </c>
      <c r="J60" s="31">
        <f t="shared" si="13"/>
        <v>0.13711399183565159</v>
      </c>
      <c r="K60" s="31">
        <f t="shared" si="13"/>
        <v>0.12259532897764699</v>
      </c>
      <c r="L60" s="31">
        <f t="shared" si="13"/>
        <v>0.11259260572279654</v>
      </c>
      <c r="M60" s="31">
        <f t="shared" si="13"/>
        <v>9.7538384209860482E-2</v>
      </c>
      <c r="N60" s="31">
        <f t="shared" si="13"/>
        <v>8.6495127688240386E-2</v>
      </c>
      <c r="O60" s="31">
        <f t="shared" si="13"/>
        <v>9.4413846731136161E-2</v>
      </c>
      <c r="P60" s="31">
        <f t="shared" si="13"/>
        <v>8.4400560204566127E-2</v>
      </c>
      <c r="Q60" s="31">
        <f t="shared" si="13"/>
        <v>7.9030824113684922E-2</v>
      </c>
      <c r="R60" s="31">
        <f t="shared" si="13"/>
        <v>8.927960331068184E-2</v>
      </c>
      <c r="S60" s="31">
        <f t="shared" si="13"/>
        <v>8.9180947246835077E-2</v>
      </c>
      <c r="T60" s="31">
        <f t="shared" si="13"/>
        <v>7.2397531415014718E-2</v>
      </c>
      <c r="U60" s="31">
        <f t="shared" si="13"/>
        <v>7.9675166876537057E-2</v>
      </c>
      <c r="V60" s="31">
        <f t="shared" si="13"/>
        <v>6.938424028233417E-2</v>
      </c>
      <c r="W60" s="31">
        <f t="shared" ref="W60:Y60" si="14">IF(W9=0,0,W9/W$8)</f>
        <v>0.10561168692936163</v>
      </c>
      <c r="X60" s="31">
        <f t="shared" si="14"/>
        <v>0.11725601097017412</v>
      </c>
      <c r="Y60" s="31">
        <f t="shared" si="14"/>
        <v>0.1604354248443863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0.18726350915838835</v>
      </c>
      <c r="C62" s="124">
        <f t="shared" ref="C62:V62" si="17">IF(C11=0,0,C11/C$8)</f>
        <v>0.16928072606813646</v>
      </c>
      <c r="D62" s="124">
        <f t="shared" si="17"/>
        <v>0.17162578526923744</v>
      </c>
      <c r="E62" s="124">
        <f t="shared" si="17"/>
        <v>0.15001461414502901</v>
      </c>
      <c r="F62" s="124">
        <f t="shared" si="17"/>
        <v>0.14534834709970951</v>
      </c>
      <c r="G62" s="124">
        <f t="shared" si="17"/>
        <v>0.14477134261950281</v>
      </c>
      <c r="H62" s="124">
        <f t="shared" si="17"/>
        <v>0.15800799460605242</v>
      </c>
      <c r="I62" s="124">
        <f t="shared" si="17"/>
        <v>0.14599690815532751</v>
      </c>
      <c r="J62" s="124">
        <f t="shared" si="17"/>
        <v>0.13711399183565159</v>
      </c>
      <c r="K62" s="124">
        <f t="shared" si="17"/>
        <v>0.12259532897764699</v>
      </c>
      <c r="L62" s="124">
        <f t="shared" si="17"/>
        <v>0.11259260572279654</v>
      </c>
      <c r="M62" s="124">
        <f t="shared" si="17"/>
        <v>9.7538384209860482E-2</v>
      </c>
      <c r="N62" s="124">
        <f t="shared" si="17"/>
        <v>8.6495127688240386E-2</v>
      </c>
      <c r="O62" s="124">
        <f t="shared" si="17"/>
        <v>9.4413846731136161E-2</v>
      </c>
      <c r="P62" s="124">
        <f t="shared" si="17"/>
        <v>8.4400560204566127E-2</v>
      </c>
      <c r="Q62" s="124">
        <f t="shared" si="17"/>
        <v>7.9030824113684922E-2</v>
      </c>
      <c r="R62" s="124">
        <f t="shared" si="17"/>
        <v>8.927960331068184E-2</v>
      </c>
      <c r="S62" s="124">
        <f t="shared" si="17"/>
        <v>8.9180947246835077E-2</v>
      </c>
      <c r="T62" s="124">
        <f t="shared" si="17"/>
        <v>7.2397531415014718E-2</v>
      </c>
      <c r="U62" s="124">
        <f t="shared" si="17"/>
        <v>7.9675166876537057E-2</v>
      </c>
      <c r="V62" s="124">
        <f t="shared" si="17"/>
        <v>6.938424028233417E-2</v>
      </c>
      <c r="W62" s="124">
        <f t="shared" ref="W62:Y62" si="18">IF(W11=0,0,W11/W$8)</f>
        <v>0.10561168692936163</v>
      </c>
      <c r="X62" s="124">
        <f t="shared" si="18"/>
        <v>0.11725601097017412</v>
      </c>
      <c r="Y62" s="124">
        <f t="shared" si="18"/>
        <v>0.1604354248443863</v>
      </c>
      <c r="DA62" s="176"/>
    </row>
    <row r="63" spans="1:105" ht="11.45" customHeight="1" x14ac:dyDescent="0.25">
      <c r="A63" s="111" t="s">
        <v>92</v>
      </c>
      <c r="B63" s="125">
        <f t="shared" si="10"/>
        <v>0.18726350915838835</v>
      </c>
      <c r="C63" s="125">
        <f t="shared" ref="C63:V63" si="19">IF(C12=0,0,C12/C$8)</f>
        <v>0.16928072606813646</v>
      </c>
      <c r="D63" s="125">
        <f t="shared" si="19"/>
        <v>0.17162578526923744</v>
      </c>
      <c r="E63" s="125">
        <f t="shared" si="19"/>
        <v>0.15001461414502901</v>
      </c>
      <c r="F63" s="125">
        <f t="shared" si="19"/>
        <v>0.14534834709970951</v>
      </c>
      <c r="G63" s="125">
        <f t="shared" si="19"/>
        <v>0.14477134261950281</v>
      </c>
      <c r="H63" s="125">
        <f t="shared" si="19"/>
        <v>0.15800799460605242</v>
      </c>
      <c r="I63" s="125">
        <f t="shared" si="19"/>
        <v>0.14599690815532751</v>
      </c>
      <c r="J63" s="125">
        <f t="shared" si="19"/>
        <v>0.13711399183565159</v>
      </c>
      <c r="K63" s="125">
        <f t="shared" si="19"/>
        <v>0.12259532897764699</v>
      </c>
      <c r="L63" s="125">
        <f t="shared" si="19"/>
        <v>0.11259260572279654</v>
      </c>
      <c r="M63" s="125">
        <f t="shared" si="19"/>
        <v>9.7538384209860482E-2</v>
      </c>
      <c r="N63" s="125">
        <f t="shared" si="19"/>
        <v>8.6495127688240386E-2</v>
      </c>
      <c r="O63" s="125">
        <f t="shared" si="19"/>
        <v>9.4413846731136161E-2</v>
      </c>
      <c r="P63" s="125">
        <f t="shared" si="19"/>
        <v>8.4400560204566127E-2</v>
      </c>
      <c r="Q63" s="125">
        <f t="shared" si="19"/>
        <v>7.9030824113684922E-2</v>
      </c>
      <c r="R63" s="125">
        <f t="shared" si="19"/>
        <v>8.927960331068184E-2</v>
      </c>
      <c r="S63" s="125">
        <f t="shared" si="19"/>
        <v>8.9180947246835077E-2</v>
      </c>
      <c r="T63" s="125">
        <f t="shared" si="19"/>
        <v>7.2397531415014718E-2</v>
      </c>
      <c r="U63" s="125">
        <f t="shared" si="19"/>
        <v>7.9675166876537057E-2</v>
      </c>
      <c r="V63" s="125">
        <f t="shared" si="19"/>
        <v>6.938424028233417E-2</v>
      </c>
      <c r="W63" s="125">
        <f t="shared" ref="W63:Y63" si="20">IF(W12=0,0,W12/W$8)</f>
        <v>0.10561168692936163</v>
      </c>
      <c r="X63" s="125">
        <f t="shared" si="20"/>
        <v>0.11725601097017412</v>
      </c>
      <c r="Y63" s="125">
        <f t="shared" si="20"/>
        <v>0.1604354248443863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0.81273649084161159</v>
      </c>
      <c r="C66" s="31">
        <f t="shared" ref="C66:V66" si="25">IF(C15=0,0,C15/C$8)</f>
        <v>0.83071927393186351</v>
      </c>
      <c r="D66" s="31">
        <f t="shared" si="25"/>
        <v>0.82837421473076256</v>
      </c>
      <c r="E66" s="31">
        <f t="shared" si="25"/>
        <v>0.84998538585497097</v>
      </c>
      <c r="F66" s="31">
        <f t="shared" si="25"/>
        <v>0.85465165290029044</v>
      </c>
      <c r="G66" s="31">
        <f t="shared" si="25"/>
        <v>0.85522865738049725</v>
      </c>
      <c r="H66" s="31">
        <f t="shared" si="25"/>
        <v>0.84199200539394758</v>
      </c>
      <c r="I66" s="31">
        <f t="shared" si="25"/>
        <v>0.85400309184467238</v>
      </c>
      <c r="J66" s="31">
        <f t="shared" si="25"/>
        <v>0.86288600816434846</v>
      </c>
      <c r="K66" s="31">
        <f t="shared" si="25"/>
        <v>0.87740467102235298</v>
      </c>
      <c r="L66" s="31">
        <f t="shared" si="25"/>
        <v>0.8874073942772035</v>
      </c>
      <c r="M66" s="31">
        <f t="shared" si="25"/>
        <v>0.9024616157901395</v>
      </c>
      <c r="N66" s="31">
        <f t="shared" si="25"/>
        <v>0.91350487231175959</v>
      </c>
      <c r="O66" s="31">
        <f t="shared" si="25"/>
        <v>0.90558615326886382</v>
      </c>
      <c r="P66" s="31">
        <f t="shared" si="25"/>
        <v>0.91559943979543379</v>
      </c>
      <c r="Q66" s="31">
        <f t="shared" si="25"/>
        <v>0.92096917588631511</v>
      </c>
      <c r="R66" s="31">
        <f t="shared" si="25"/>
        <v>0.91072039668931815</v>
      </c>
      <c r="S66" s="31">
        <f t="shared" si="25"/>
        <v>0.91081905275316488</v>
      </c>
      <c r="T66" s="31">
        <f t="shared" si="25"/>
        <v>0.9276024685849853</v>
      </c>
      <c r="U66" s="31">
        <f t="shared" si="25"/>
        <v>0.92032483312346292</v>
      </c>
      <c r="V66" s="31">
        <f t="shared" si="25"/>
        <v>0.93061575971766575</v>
      </c>
      <c r="W66" s="31">
        <f t="shared" ref="W66:Y66" si="26">IF(W15=0,0,W15/W$8)</f>
        <v>0.89438831307063837</v>
      </c>
      <c r="X66" s="31">
        <f t="shared" si="26"/>
        <v>0.88274398902982598</v>
      </c>
      <c r="Y66" s="31">
        <f t="shared" si="26"/>
        <v>0.83956457515561378</v>
      </c>
      <c r="DA66" s="173"/>
    </row>
    <row r="67" spans="1:105" ht="11.45" customHeight="1" x14ac:dyDescent="0.25">
      <c r="A67" s="83" t="s">
        <v>92</v>
      </c>
      <c r="B67" s="125">
        <f t="shared" si="10"/>
        <v>0.81273649084161159</v>
      </c>
      <c r="C67" s="125">
        <f t="shared" ref="C67:V67" si="27">IF(C16=0,0,C16/C$8)</f>
        <v>0.83071927393186351</v>
      </c>
      <c r="D67" s="125">
        <f t="shared" si="27"/>
        <v>0.82837421473076256</v>
      </c>
      <c r="E67" s="125">
        <f t="shared" si="27"/>
        <v>0.84998538585497097</v>
      </c>
      <c r="F67" s="125">
        <f t="shared" si="27"/>
        <v>0.85465165290029044</v>
      </c>
      <c r="G67" s="125">
        <f t="shared" si="27"/>
        <v>0.85522865738049725</v>
      </c>
      <c r="H67" s="125">
        <f t="shared" si="27"/>
        <v>0.84199200539394758</v>
      </c>
      <c r="I67" s="125">
        <f t="shared" si="27"/>
        <v>0.85400309184467238</v>
      </c>
      <c r="J67" s="125">
        <f t="shared" si="27"/>
        <v>0.86288600816434846</v>
      </c>
      <c r="K67" s="125">
        <f t="shared" si="27"/>
        <v>0.87740467102235298</v>
      </c>
      <c r="L67" s="125">
        <f t="shared" si="27"/>
        <v>0.8874073942772035</v>
      </c>
      <c r="M67" s="125">
        <f t="shared" si="27"/>
        <v>0.9024616157901395</v>
      </c>
      <c r="N67" s="125">
        <f t="shared" si="27"/>
        <v>0.91350487231175959</v>
      </c>
      <c r="O67" s="125">
        <f t="shared" si="27"/>
        <v>0.90558615326886382</v>
      </c>
      <c r="P67" s="125">
        <f t="shared" si="27"/>
        <v>0.91559943979543379</v>
      </c>
      <c r="Q67" s="125">
        <f t="shared" si="27"/>
        <v>0.92096917588631511</v>
      </c>
      <c r="R67" s="125">
        <f t="shared" si="27"/>
        <v>0.91072039668931815</v>
      </c>
      <c r="S67" s="125">
        <f t="shared" si="27"/>
        <v>0.91081905275316488</v>
      </c>
      <c r="T67" s="125">
        <f t="shared" si="27"/>
        <v>0.9276024685849853</v>
      </c>
      <c r="U67" s="125">
        <f t="shared" si="27"/>
        <v>0.92032483312346292</v>
      </c>
      <c r="V67" s="125">
        <f t="shared" si="27"/>
        <v>0.93061575971766575</v>
      </c>
      <c r="W67" s="125">
        <f t="shared" ref="W67:Y67" si="28">IF(W16=0,0,W16/W$8)</f>
        <v>0.89438831307063837</v>
      </c>
      <c r="X67" s="125">
        <f t="shared" si="28"/>
        <v>0.88274398902982598</v>
      </c>
      <c r="Y67" s="125">
        <f t="shared" si="28"/>
        <v>0.83956457515561378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492.97215479676959</v>
      </c>
      <c r="C4" s="11">
        <f t="shared" si="0"/>
        <v>506.78266340870323</v>
      </c>
      <c r="D4" s="11">
        <f t="shared" ref="D4:V4" si="1">SUM(D5:D7)</f>
        <v>536.25484926101467</v>
      </c>
      <c r="E4" s="11">
        <f t="shared" si="1"/>
        <v>782.72937264707105</v>
      </c>
      <c r="F4" s="11">
        <f t="shared" si="1"/>
        <v>951.99757712546398</v>
      </c>
      <c r="G4" s="11">
        <f t="shared" si="1"/>
        <v>1825.9468832821383</v>
      </c>
      <c r="H4" s="11">
        <f t="shared" si="1"/>
        <v>2236.6708790076809</v>
      </c>
      <c r="I4" s="11">
        <f t="shared" si="1"/>
        <v>2763.5816152708667</v>
      </c>
      <c r="J4" s="11">
        <f t="shared" si="1"/>
        <v>3037.7882606713893</v>
      </c>
      <c r="K4" s="11">
        <f t="shared" si="1"/>
        <v>2907.5459480120999</v>
      </c>
      <c r="L4" s="11">
        <f t="shared" si="1"/>
        <v>3313.9711379062392</v>
      </c>
      <c r="M4" s="11">
        <f t="shared" si="1"/>
        <v>3337.7319775368187</v>
      </c>
      <c r="N4" s="11">
        <f t="shared" si="1"/>
        <v>3030.6642479529955</v>
      </c>
      <c r="O4" s="11">
        <f t="shared" si="1"/>
        <v>3091.5784019607349</v>
      </c>
      <c r="P4" s="11">
        <f t="shared" si="1"/>
        <v>3031.7792494482132</v>
      </c>
      <c r="Q4" s="11">
        <f t="shared" si="1"/>
        <v>3168.2968720582571</v>
      </c>
      <c r="R4" s="11">
        <f t="shared" si="1"/>
        <v>3296.1468243053187</v>
      </c>
      <c r="S4" s="11">
        <f t="shared" si="1"/>
        <v>3740.1012547874193</v>
      </c>
      <c r="T4" s="11">
        <f t="shared" si="1"/>
        <v>4354.799110117071</v>
      </c>
      <c r="U4" s="11">
        <f t="shared" si="1"/>
        <v>4777.5557255090262</v>
      </c>
      <c r="V4" s="11">
        <f t="shared" si="1"/>
        <v>1244.3531411262627</v>
      </c>
      <c r="W4" s="11">
        <f t="shared" ref="W4:Y4" si="2">SUM(W5:W7)</f>
        <v>1657.1704137043525</v>
      </c>
      <c r="X4" s="11">
        <f t="shared" si="2"/>
        <v>3817.6501479021317</v>
      </c>
      <c r="Y4" s="11">
        <f t="shared" si="2"/>
        <v>5018.2611055994057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360.41177453873297</v>
      </c>
      <c r="C6" s="84">
        <v>370.95489371302114</v>
      </c>
      <c r="D6" s="84">
        <v>391.5055125520542</v>
      </c>
      <c r="E6" s="84">
        <v>567.76303999885602</v>
      </c>
      <c r="F6" s="84">
        <v>686.54210842309533</v>
      </c>
      <c r="G6" s="84">
        <v>1311.7330467108745</v>
      </c>
      <c r="H6" s="84">
        <v>1605.9734000010501</v>
      </c>
      <c r="I6" s="84">
        <v>1846.1505824230246</v>
      </c>
      <c r="J6" s="84">
        <v>1963.4384622723235</v>
      </c>
      <c r="K6" s="84">
        <v>2032.1071438167235</v>
      </c>
      <c r="L6" s="84">
        <v>2355.0397945766817</v>
      </c>
      <c r="M6" s="84">
        <v>2414.7444189493249</v>
      </c>
      <c r="N6" s="84">
        <v>2185.8227047865075</v>
      </c>
      <c r="O6" s="84">
        <v>2196.8673802733233</v>
      </c>
      <c r="P6" s="84">
        <v>2276.2062047369586</v>
      </c>
      <c r="Q6" s="84">
        <v>2485.2309411723277</v>
      </c>
      <c r="R6" s="84">
        <v>2563.0234599079022</v>
      </c>
      <c r="S6" s="84">
        <v>2885.5489913338661</v>
      </c>
      <c r="T6" s="84">
        <v>3324.6593632384997</v>
      </c>
      <c r="U6" s="84">
        <v>3549.9418088793423</v>
      </c>
      <c r="V6" s="84">
        <v>1020.643013346976</v>
      </c>
      <c r="W6" s="84">
        <v>1276.9952338593509</v>
      </c>
      <c r="X6" s="84">
        <v>3094.816380474263</v>
      </c>
      <c r="Y6" s="84">
        <v>3874.0351969991611</v>
      </c>
      <c r="DA6" s="171" t="s">
        <v>192</v>
      </c>
    </row>
    <row r="7" spans="1:105" ht="11.45" customHeight="1" x14ac:dyDescent="0.25">
      <c r="A7" s="83" t="s">
        <v>182</v>
      </c>
      <c r="B7" s="84">
        <v>132.56038025803659</v>
      </c>
      <c r="C7" s="84">
        <v>135.82776969568209</v>
      </c>
      <c r="D7" s="84">
        <v>144.74933670896044</v>
      </c>
      <c r="E7" s="84">
        <v>214.96633264821503</v>
      </c>
      <c r="F7" s="84">
        <v>265.45546870236859</v>
      </c>
      <c r="G7" s="84">
        <v>514.21383657126376</v>
      </c>
      <c r="H7" s="84">
        <v>630.69747900663094</v>
      </c>
      <c r="I7" s="84">
        <v>917.43103284784195</v>
      </c>
      <c r="J7" s="84">
        <v>1074.3497983990658</v>
      </c>
      <c r="K7" s="84">
        <v>875.43880419537652</v>
      </c>
      <c r="L7" s="84">
        <v>958.93134332955742</v>
      </c>
      <c r="M7" s="84">
        <v>922.98755858749405</v>
      </c>
      <c r="N7" s="84">
        <v>844.84154316648778</v>
      </c>
      <c r="O7" s="84">
        <v>894.71102168741174</v>
      </c>
      <c r="P7" s="84">
        <v>755.57304471125474</v>
      </c>
      <c r="Q7" s="84">
        <v>683.06593088592956</v>
      </c>
      <c r="R7" s="84">
        <v>733.12336439741659</v>
      </c>
      <c r="S7" s="84">
        <v>854.55226345355334</v>
      </c>
      <c r="T7" s="84">
        <v>1030.1397468785713</v>
      </c>
      <c r="U7" s="84">
        <v>1227.6139166296834</v>
      </c>
      <c r="V7" s="84">
        <v>223.71012777928664</v>
      </c>
      <c r="W7" s="84">
        <v>380.17517984500165</v>
      </c>
      <c r="X7" s="84">
        <v>722.83376742786891</v>
      </c>
      <c r="Y7" s="84">
        <v>1144.225908600245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2.8537021294664258</v>
      </c>
      <c r="C8" s="13">
        <f t="shared" si="3"/>
        <v>3.1751379974193021</v>
      </c>
      <c r="D8" s="13">
        <f t="shared" ref="D8:V8" si="4">SUM(D9:D11)</f>
        <v>3.3928566810112604</v>
      </c>
      <c r="E8" s="13">
        <f t="shared" si="4"/>
        <v>3.0779626673337948</v>
      </c>
      <c r="F8" s="13">
        <f t="shared" si="4"/>
        <v>3.2915477003282962</v>
      </c>
      <c r="G8" s="13">
        <f t="shared" si="4"/>
        <v>5.0038006524896872</v>
      </c>
      <c r="H8" s="13">
        <f t="shared" si="4"/>
        <v>5.7223642731100739</v>
      </c>
      <c r="I8" s="13">
        <f t="shared" si="4"/>
        <v>7.1550004965788521</v>
      </c>
      <c r="J8" s="13">
        <f t="shared" si="4"/>
        <v>9.1670728883256594</v>
      </c>
      <c r="K8" s="13">
        <f t="shared" si="4"/>
        <v>12.152255024536395</v>
      </c>
      <c r="L8" s="13">
        <f t="shared" si="4"/>
        <v>19.159841268368513</v>
      </c>
      <c r="M8" s="13">
        <f t="shared" si="4"/>
        <v>18.735865685919467</v>
      </c>
      <c r="N8" s="13">
        <f t="shared" si="4"/>
        <v>119.14654533621115</v>
      </c>
      <c r="O8" s="13">
        <f t="shared" si="4"/>
        <v>193.6500819497906</v>
      </c>
      <c r="P8" s="13">
        <f t="shared" si="4"/>
        <v>104.71908175504353</v>
      </c>
      <c r="Q8" s="13">
        <f t="shared" si="4"/>
        <v>33.695872543153776</v>
      </c>
      <c r="R8" s="13">
        <f t="shared" si="4"/>
        <v>29.106015589528909</v>
      </c>
      <c r="S8" s="13">
        <f t="shared" si="4"/>
        <v>29.375698084623554</v>
      </c>
      <c r="T8" s="13">
        <f t="shared" si="4"/>
        <v>27.055040495920231</v>
      </c>
      <c r="U8" s="13">
        <f t="shared" si="4"/>
        <v>49.811218862680839</v>
      </c>
      <c r="V8" s="13">
        <f t="shared" si="4"/>
        <v>12.7621124064061</v>
      </c>
      <c r="W8" s="13">
        <f t="shared" ref="W8:Y8" si="5">SUM(W9:W11)</f>
        <v>12.756985774740762</v>
      </c>
      <c r="X8" s="13">
        <f t="shared" si="5"/>
        <v>14.719910225693347</v>
      </c>
      <c r="Y8" s="13">
        <f t="shared" si="5"/>
        <v>14.149270314401942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1.0830458237890042</v>
      </c>
      <c r="C10" s="102">
        <v>1.0545583749410039</v>
      </c>
      <c r="D10" s="102">
        <v>1.1403746386441806</v>
      </c>
      <c r="E10" s="102">
        <v>1.0312965328588988</v>
      </c>
      <c r="F10" s="102">
        <v>1.0843827323369937</v>
      </c>
      <c r="G10" s="102">
        <v>1.6380599985779472</v>
      </c>
      <c r="H10" s="102">
        <v>1.7235030798892581</v>
      </c>
      <c r="I10" s="102">
        <v>1.6829647916586563</v>
      </c>
      <c r="J10" s="102">
        <v>2.0490427116657979</v>
      </c>
      <c r="K10" s="102">
        <v>3.8399526637018138</v>
      </c>
      <c r="L10" s="102">
        <v>5.3838840742339729</v>
      </c>
      <c r="M10" s="102">
        <v>4.9229984565602321</v>
      </c>
      <c r="N10" s="102">
        <v>5.0402729158707809</v>
      </c>
      <c r="O10" s="102">
        <v>5.7479161689905247</v>
      </c>
      <c r="P10" s="102">
        <v>6.5127203006673868</v>
      </c>
      <c r="Q10" s="102">
        <v>5.9394069344369598</v>
      </c>
      <c r="R10" s="102">
        <v>5.829415486512576</v>
      </c>
      <c r="S10" s="102">
        <v>5.9227820092203372</v>
      </c>
      <c r="T10" s="102">
        <v>6.1454202957928459</v>
      </c>
      <c r="U10" s="102">
        <v>7.9099064054750672</v>
      </c>
      <c r="V10" s="102">
        <v>5.806394007958664</v>
      </c>
      <c r="W10" s="102">
        <v>7.7921574570286349</v>
      </c>
      <c r="X10" s="102">
        <v>9.4023425980595263</v>
      </c>
      <c r="Y10" s="102">
        <v>9.6999087296378672</v>
      </c>
      <c r="DA10" s="175" t="s">
        <v>196</v>
      </c>
    </row>
    <row r="11" spans="1:105" ht="11.45" customHeight="1" x14ac:dyDescent="0.25">
      <c r="A11" s="85" t="s">
        <v>182</v>
      </c>
      <c r="B11" s="86">
        <v>1.7706563056774216</v>
      </c>
      <c r="C11" s="86">
        <v>2.1205796224782985</v>
      </c>
      <c r="D11" s="86">
        <v>2.2524820423670797</v>
      </c>
      <c r="E11" s="86">
        <v>2.0466661344748962</v>
      </c>
      <c r="F11" s="86">
        <v>2.2071649679913028</v>
      </c>
      <c r="G11" s="86">
        <v>3.3657406539117396</v>
      </c>
      <c r="H11" s="86">
        <v>3.9988611932208156</v>
      </c>
      <c r="I11" s="86">
        <v>5.472035704920196</v>
      </c>
      <c r="J11" s="86">
        <v>7.118030176659861</v>
      </c>
      <c r="K11" s="86">
        <v>8.3123023608345807</v>
      </c>
      <c r="L11" s="86">
        <v>13.775957194134541</v>
      </c>
      <c r="M11" s="86">
        <v>13.812867229359234</v>
      </c>
      <c r="N11" s="86">
        <v>114.10627242034036</v>
      </c>
      <c r="O11" s="86">
        <v>187.90216578080009</v>
      </c>
      <c r="P11" s="86">
        <v>98.20636145437615</v>
      </c>
      <c r="Q11" s="86">
        <v>27.756465608716816</v>
      </c>
      <c r="R11" s="86">
        <v>23.276600103016332</v>
      </c>
      <c r="S11" s="86">
        <v>23.452916075403216</v>
      </c>
      <c r="T11" s="86">
        <v>20.909620200127385</v>
      </c>
      <c r="U11" s="86">
        <v>41.901312457205769</v>
      </c>
      <c r="V11" s="86">
        <v>6.9557183984474369</v>
      </c>
      <c r="W11" s="86">
        <v>4.9648283177121284</v>
      </c>
      <c r="X11" s="86">
        <v>5.31756762763382</v>
      </c>
      <c r="Y11" s="86">
        <v>4.4493615847640742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8.174040784368934</v>
      </c>
      <c r="C13" s="54">
        <f t="shared" si="6"/>
        <v>8.1814744357573481</v>
      </c>
      <c r="D13" s="54">
        <f t="shared" ref="D13:V13" si="7">SUM(D14,D18)</f>
        <v>8.5094798445392517</v>
      </c>
      <c r="E13" s="54">
        <f t="shared" si="7"/>
        <v>12.268696795613479</v>
      </c>
      <c r="F13" s="54">
        <f t="shared" si="7"/>
        <v>14.798646183037189</v>
      </c>
      <c r="G13" s="54">
        <f t="shared" si="7"/>
        <v>21.81908702298346</v>
      </c>
      <c r="H13" s="54">
        <f t="shared" si="7"/>
        <v>25.432987054347382</v>
      </c>
      <c r="I13" s="54">
        <f t="shared" si="7"/>
        <v>30.537282386575352</v>
      </c>
      <c r="J13" s="54">
        <f t="shared" si="7"/>
        <v>34.623023196970159</v>
      </c>
      <c r="K13" s="54">
        <f t="shared" si="7"/>
        <v>32.903877158412939</v>
      </c>
      <c r="L13" s="54">
        <f t="shared" si="7"/>
        <v>37.726757221185288</v>
      </c>
      <c r="M13" s="54">
        <f t="shared" si="7"/>
        <v>36.390471397398763</v>
      </c>
      <c r="N13" s="54">
        <f t="shared" si="7"/>
        <v>33.903270776642017</v>
      </c>
      <c r="O13" s="54">
        <f t="shared" si="7"/>
        <v>35.500302809589044</v>
      </c>
      <c r="P13" s="54">
        <f t="shared" si="7"/>
        <v>33.769021313769713</v>
      </c>
      <c r="Q13" s="54">
        <f t="shared" si="7"/>
        <v>33.473174337134438</v>
      </c>
      <c r="R13" s="54">
        <f t="shared" si="7"/>
        <v>32.782899578973208</v>
      </c>
      <c r="S13" s="54">
        <f t="shared" si="7"/>
        <v>36.211360836490222</v>
      </c>
      <c r="T13" s="54">
        <f t="shared" si="7"/>
        <v>42.258422503179787</v>
      </c>
      <c r="U13" s="54">
        <f t="shared" si="7"/>
        <v>44.845731577163058</v>
      </c>
      <c r="V13" s="54">
        <f t="shared" si="7"/>
        <v>14.451741239353156</v>
      </c>
      <c r="W13" s="54">
        <f t="shared" ref="W13:Y13" si="8">SUM(W14,W18)</f>
        <v>19.698628127139031</v>
      </c>
      <c r="X13" s="54">
        <f t="shared" si="8"/>
        <v>32.207910128643157</v>
      </c>
      <c r="Y13" s="54">
        <f t="shared" si="8"/>
        <v>38.044104559721774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8.11120419770117</v>
      </c>
      <c r="C14" s="11">
        <f t="shared" si="9"/>
        <v>8.1191036171571476</v>
      </c>
      <c r="D14" s="11">
        <f t="shared" ref="D14:V14" si="10">SUM(D15:D17)</f>
        <v>8.4383967295674012</v>
      </c>
      <c r="E14" s="11">
        <f t="shared" si="10"/>
        <v>12.202742392870071</v>
      </c>
      <c r="F14" s="11">
        <f t="shared" si="10"/>
        <v>14.723439803913294</v>
      </c>
      <c r="G14" s="11">
        <f t="shared" si="10"/>
        <v>21.699284699454047</v>
      </c>
      <c r="H14" s="11">
        <f t="shared" si="10"/>
        <v>25.289445915230885</v>
      </c>
      <c r="I14" s="11">
        <f t="shared" si="10"/>
        <v>30.371364445067137</v>
      </c>
      <c r="J14" s="11">
        <f t="shared" si="10"/>
        <v>34.407423320954294</v>
      </c>
      <c r="K14" s="11">
        <f t="shared" si="10"/>
        <v>32.592937856287868</v>
      </c>
      <c r="L14" s="11">
        <f t="shared" si="10"/>
        <v>37.275309342023561</v>
      </c>
      <c r="M14" s="11">
        <f t="shared" si="10"/>
        <v>35.977426407896424</v>
      </c>
      <c r="N14" s="11">
        <f t="shared" si="10"/>
        <v>32.310886538290383</v>
      </c>
      <c r="O14" s="11">
        <f t="shared" si="10"/>
        <v>33.017945620787003</v>
      </c>
      <c r="P14" s="11">
        <f t="shared" si="10"/>
        <v>32.479356443251945</v>
      </c>
      <c r="Q14" s="11">
        <f t="shared" si="10"/>
        <v>32.947936330103971</v>
      </c>
      <c r="R14" s="11">
        <f t="shared" si="10"/>
        <v>32.34952722676141</v>
      </c>
      <c r="S14" s="11">
        <f t="shared" si="10"/>
        <v>35.747942297948711</v>
      </c>
      <c r="T14" s="11">
        <f t="shared" si="10"/>
        <v>41.801708686505954</v>
      </c>
      <c r="U14" s="11">
        <f t="shared" si="10"/>
        <v>44.126680314237888</v>
      </c>
      <c r="V14" s="11">
        <f t="shared" si="10"/>
        <v>14.094089880019208</v>
      </c>
      <c r="W14" s="11">
        <f t="shared" ref="W14:Y14" si="11">SUM(W15:W17)</f>
        <v>19.258417474982465</v>
      </c>
      <c r="X14" s="11">
        <f t="shared" si="11"/>
        <v>31.709974765952449</v>
      </c>
      <c r="Y14" s="11">
        <f t="shared" si="11"/>
        <v>37.568438190702636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5.7389234571679015</v>
      </c>
      <c r="C16" s="84">
        <v>5.7437014545968621</v>
      </c>
      <c r="D16" s="84">
        <v>5.9693519061965929</v>
      </c>
      <c r="E16" s="84">
        <v>8.6318355939620997</v>
      </c>
      <c r="F16" s="84">
        <v>10.412755984602185</v>
      </c>
      <c r="G16" s="84">
        <v>14.842000270030589</v>
      </c>
      <c r="H16" s="84">
        <v>16.646556953235894</v>
      </c>
      <c r="I16" s="84">
        <v>19.377638960240432</v>
      </c>
      <c r="J16" s="84">
        <v>22.263811961293349</v>
      </c>
      <c r="K16" s="84">
        <v>22.391962908410051</v>
      </c>
      <c r="L16" s="84">
        <v>26.738321011196494</v>
      </c>
      <c r="M16" s="84">
        <v>26.349914611521204</v>
      </c>
      <c r="N16" s="84">
        <v>24.019738092073428</v>
      </c>
      <c r="O16" s="84">
        <v>23.890699722175132</v>
      </c>
      <c r="P16" s="84">
        <v>24.388649622168209</v>
      </c>
      <c r="Q16" s="84">
        <v>26.012672251736586</v>
      </c>
      <c r="R16" s="84">
        <v>24.879103081429033</v>
      </c>
      <c r="S16" s="84">
        <v>27.182625254332784</v>
      </c>
      <c r="T16" s="84">
        <v>31.235566392861546</v>
      </c>
      <c r="U16" s="84">
        <v>32.124109494989526</v>
      </c>
      <c r="V16" s="84">
        <v>11.825203642275174</v>
      </c>
      <c r="W16" s="84">
        <v>15.619555080283325</v>
      </c>
      <c r="X16" s="84">
        <v>26.667104796166875</v>
      </c>
      <c r="Y16" s="84">
        <v>30.247376109279713</v>
      </c>
      <c r="DA16" s="171" t="s">
        <v>201</v>
      </c>
    </row>
    <row r="17" spans="1:105" ht="11.45" customHeight="1" x14ac:dyDescent="0.25">
      <c r="A17" s="83" t="s">
        <v>182</v>
      </c>
      <c r="B17" s="84">
        <v>2.372280740533268</v>
      </c>
      <c r="C17" s="84">
        <v>2.3754021625602855</v>
      </c>
      <c r="D17" s="84">
        <v>2.4690448233708091</v>
      </c>
      <c r="E17" s="84">
        <v>3.5709067989079721</v>
      </c>
      <c r="F17" s="84">
        <v>4.3106838193111097</v>
      </c>
      <c r="G17" s="84">
        <v>6.8572844294234594</v>
      </c>
      <c r="H17" s="84">
        <v>8.6428889619949931</v>
      </c>
      <c r="I17" s="84">
        <v>10.993725484826706</v>
      </c>
      <c r="J17" s="84">
        <v>12.143611359660945</v>
      </c>
      <c r="K17" s="84">
        <v>10.200974947877819</v>
      </c>
      <c r="L17" s="84">
        <v>10.536988330827068</v>
      </c>
      <c r="M17" s="84">
        <v>9.6275117963752184</v>
      </c>
      <c r="N17" s="84">
        <v>8.2911484462169547</v>
      </c>
      <c r="O17" s="84">
        <v>9.1272458986118714</v>
      </c>
      <c r="P17" s="84">
        <v>8.090706821083737</v>
      </c>
      <c r="Q17" s="84">
        <v>6.9352640783673882</v>
      </c>
      <c r="R17" s="84">
        <v>7.470424145332375</v>
      </c>
      <c r="S17" s="84">
        <v>8.5653170436159289</v>
      </c>
      <c r="T17" s="84">
        <v>10.566142293644406</v>
      </c>
      <c r="U17" s="84">
        <v>12.002570819248358</v>
      </c>
      <c r="V17" s="84">
        <v>2.2688862377440349</v>
      </c>
      <c r="W17" s="84">
        <v>3.6388623946991401</v>
      </c>
      <c r="X17" s="84">
        <v>5.042869969785575</v>
      </c>
      <c r="Y17" s="84">
        <v>7.3210620814229257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6.2836586667764066E-2</v>
      </c>
      <c r="C18" s="13">
        <f t="shared" si="12"/>
        <v>6.2370818600199787E-2</v>
      </c>
      <c r="D18" s="13">
        <f t="shared" ref="D18:V18" si="13">SUM(D19:D21)</f>
        <v>7.1083114971850631E-2</v>
      </c>
      <c r="E18" s="13">
        <f t="shared" si="13"/>
        <v>6.595440274340808E-2</v>
      </c>
      <c r="F18" s="13">
        <f t="shared" si="13"/>
        <v>7.5206379123893913E-2</v>
      </c>
      <c r="G18" s="13">
        <f t="shared" si="13"/>
        <v>0.11980232352941175</v>
      </c>
      <c r="H18" s="13">
        <f t="shared" si="13"/>
        <v>0.14354113911649649</v>
      </c>
      <c r="I18" s="13">
        <f t="shared" si="13"/>
        <v>0.16591794150821468</v>
      </c>
      <c r="J18" s="13">
        <f t="shared" si="13"/>
        <v>0.21559987601586605</v>
      </c>
      <c r="K18" s="13">
        <f t="shared" si="13"/>
        <v>0.31093930212506876</v>
      </c>
      <c r="L18" s="13">
        <f t="shared" si="13"/>
        <v>0.45144787916172402</v>
      </c>
      <c r="M18" s="13">
        <f t="shared" si="13"/>
        <v>0.41304498950234092</v>
      </c>
      <c r="N18" s="13">
        <f t="shared" si="13"/>
        <v>1.5923842383516367</v>
      </c>
      <c r="O18" s="13">
        <f t="shared" si="13"/>
        <v>2.4823571888020406</v>
      </c>
      <c r="P18" s="13">
        <f t="shared" si="13"/>
        <v>1.2896648705177713</v>
      </c>
      <c r="Q18" s="13">
        <f t="shared" si="13"/>
        <v>0.52523800703047008</v>
      </c>
      <c r="R18" s="13">
        <f t="shared" si="13"/>
        <v>0.4333723522117976</v>
      </c>
      <c r="S18" s="13">
        <f t="shared" si="13"/>
        <v>0.46341853854151027</v>
      </c>
      <c r="T18" s="13">
        <f t="shared" si="13"/>
        <v>0.45671381667383587</v>
      </c>
      <c r="U18" s="13">
        <f t="shared" si="13"/>
        <v>0.71905126292516997</v>
      </c>
      <c r="V18" s="13">
        <f t="shared" si="13"/>
        <v>0.35765135933394826</v>
      </c>
      <c r="W18" s="13">
        <f t="shared" ref="W18:Y18" si="14">SUM(W19:W21)</f>
        <v>0.44021065215656474</v>
      </c>
      <c r="X18" s="13">
        <f t="shared" si="14"/>
        <v>0.49793536269070748</v>
      </c>
      <c r="Y18" s="13">
        <f t="shared" si="14"/>
        <v>0.47566636901913867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4.1529257727150819E-2</v>
      </c>
      <c r="C20" s="102">
        <v>3.8019585525213208E-2</v>
      </c>
      <c r="D20" s="102">
        <v>4.3687977762490726E-2</v>
      </c>
      <c r="E20" s="102">
        <v>3.855926553404819E-2</v>
      </c>
      <c r="F20" s="102">
        <v>4.4767337780160683E-2</v>
      </c>
      <c r="G20" s="102">
        <v>7.0444823529411754E-2</v>
      </c>
      <c r="H20" s="102">
        <v>8.2879629173134725E-2</v>
      </c>
      <c r="I20" s="102">
        <v>8.1500568959496922E-2</v>
      </c>
      <c r="J20" s="102">
        <v>0.10353170429991583</v>
      </c>
      <c r="K20" s="102">
        <v>0.19489838077172042</v>
      </c>
      <c r="L20" s="102">
        <v>0.26227121249505736</v>
      </c>
      <c r="M20" s="102">
        <v>0.22963187888949207</v>
      </c>
      <c r="N20" s="102">
        <v>0.21930362389380528</v>
      </c>
      <c r="O20" s="102">
        <v>0.25938111321594037</v>
      </c>
      <c r="P20" s="102">
        <v>0.25765499390532443</v>
      </c>
      <c r="Q20" s="102">
        <v>0.23452210210029734</v>
      </c>
      <c r="R20" s="102">
        <v>0.20878144226765066</v>
      </c>
      <c r="S20" s="102">
        <v>0.22966055734732843</v>
      </c>
      <c r="T20" s="102">
        <v>0.23949124314442413</v>
      </c>
      <c r="U20" s="102">
        <v>0.29055428333333333</v>
      </c>
      <c r="V20" s="102">
        <v>0.2494525578358209</v>
      </c>
      <c r="W20" s="102">
        <v>0.35630992057761735</v>
      </c>
      <c r="X20" s="102">
        <v>0.42203436269070749</v>
      </c>
      <c r="Y20" s="102">
        <v>0.41776257954545448</v>
      </c>
      <c r="DA20" s="175" t="s">
        <v>205</v>
      </c>
    </row>
    <row r="21" spans="1:105" ht="11.45" customHeight="1" x14ac:dyDescent="0.25">
      <c r="A21" s="85" t="s">
        <v>182</v>
      </c>
      <c r="B21" s="86">
        <v>2.1307328940613254E-2</v>
      </c>
      <c r="C21" s="86">
        <v>2.4351233074986576E-2</v>
      </c>
      <c r="D21" s="86">
        <v>2.7395137209359897E-2</v>
      </c>
      <c r="E21" s="86">
        <v>2.7395137209359897E-2</v>
      </c>
      <c r="F21" s="86">
        <v>3.0439041343733222E-2</v>
      </c>
      <c r="G21" s="86">
        <v>4.9357499999999999E-2</v>
      </c>
      <c r="H21" s="86">
        <v>6.0661509943361773E-2</v>
      </c>
      <c r="I21" s="86">
        <v>8.4417372548717756E-2</v>
      </c>
      <c r="J21" s="86">
        <v>0.11206817171595022</v>
      </c>
      <c r="K21" s="86">
        <v>0.11604092135334834</v>
      </c>
      <c r="L21" s="86">
        <v>0.18917666666666669</v>
      </c>
      <c r="M21" s="86">
        <v>0.18341311061284885</v>
      </c>
      <c r="N21" s="86">
        <v>1.3730806144578314</v>
      </c>
      <c r="O21" s="86">
        <v>2.2229760755861001</v>
      </c>
      <c r="P21" s="86">
        <v>1.032009876612447</v>
      </c>
      <c r="Q21" s="86">
        <v>0.29071590493017274</v>
      </c>
      <c r="R21" s="86">
        <v>0.22459090994414693</v>
      </c>
      <c r="S21" s="86">
        <v>0.23375798119418184</v>
      </c>
      <c r="T21" s="86">
        <v>0.21722257352941174</v>
      </c>
      <c r="U21" s="86">
        <v>0.42849697959183669</v>
      </c>
      <c r="V21" s="86">
        <v>0.10819880149812734</v>
      </c>
      <c r="W21" s="86">
        <v>8.3900731578947368E-2</v>
      </c>
      <c r="X21" s="86">
        <v>7.5900999999999996E-2</v>
      </c>
      <c r="Y21" s="86">
        <v>5.79037894736842E-2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6485</v>
      </c>
      <c r="C23" s="54">
        <f t="shared" si="15"/>
        <v>6488</v>
      </c>
      <c r="D23" s="54">
        <f t="shared" ref="D23:V23" si="16">SUM(D24,D28)</f>
        <v>6750</v>
      </c>
      <c r="E23" s="54">
        <f t="shared" si="16"/>
        <v>9723</v>
      </c>
      <c r="F23" s="54">
        <f t="shared" si="16"/>
        <v>11727</v>
      </c>
      <c r="G23" s="54">
        <f t="shared" si="16"/>
        <v>15250</v>
      </c>
      <c r="H23" s="54">
        <f t="shared" si="16"/>
        <v>17828</v>
      </c>
      <c r="I23" s="54">
        <f t="shared" si="16"/>
        <v>21598</v>
      </c>
      <c r="J23" s="54">
        <f t="shared" si="16"/>
        <v>26225</v>
      </c>
      <c r="K23" s="54">
        <f t="shared" si="16"/>
        <v>28973</v>
      </c>
      <c r="L23" s="54">
        <f t="shared" si="16"/>
        <v>33416</v>
      </c>
      <c r="M23" s="54">
        <f t="shared" si="16"/>
        <v>35220</v>
      </c>
      <c r="N23" s="54">
        <f t="shared" si="16"/>
        <v>32577</v>
      </c>
      <c r="O23" s="54">
        <f t="shared" si="16"/>
        <v>31862</v>
      </c>
      <c r="P23" s="54">
        <f t="shared" si="16"/>
        <v>30990</v>
      </c>
      <c r="Q23" s="54">
        <f t="shared" si="16"/>
        <v>31860</v>
      </c>
      <c r="R23" s="54">
        <f t="shared" si="16"/>
        <v>31530</v>
      </c>
      <c r="S23" s="54">
        <f t="shared" si="16"/>
        <v>34651</v>
      </c>
      <c r="T23" s="54">
        <f t="shared" si="16"/>
        <v>39101</v>
      </c>
      <c r="U23" s="54">
        <f t="shared" si="16"/>
        <v>40800</v>
      </c>
      <c r="V23" s="54">
        <f t="shared" si="16"/>
        <v>13405</v>
      </c>
      <c r="W23" s="54">
        <f t="shared" ref="W23:Y23" si="17">SUM(W24,W28)</f>
        <v>14880</v>
      </c>
      <c r="X23" s="54">
        <f t="shared" si="17"/>
        <v>24788</v>
      </c>
      <c r="Y23" s="54">
        <f t="shared" si="17"/>
        <v>28435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6420</v>
      </c>
      <c r="C24" s="11">
        <f t="shared" si="18"/>
        <v>6426</v>
      </c>
      <c r="D24" s="11">
        <f t="shared" ref="D24:V24" si="19">SUM(D25:D27)</f>
        <v>6679</v>
      </c>
      <c r="E24" s="11">
        <f t="shared" si="19"/>
        <v>9659</v>
      </c>
      <c r="F24" s="11">
        <f t="shared" si="19"/>
        <v>11653</v>
      </c>
      <c r="G24" s="11">
        <f t="shared" si="19"/>
        <v>15151</v>
      </c>
      <c r="H24" s="11">
        <f t="shared" si="19"/>
        <v>17717</v>
      </c>
      <c r="I24" s="11">
        <f t="shared" si="19"/>
        <v>21493</v>
      </c>
      <c r="J24" s="11">
        <f t="shared" si="19"/>
        <v>26104</v>
      </c>
      <c r="K24" s="11">
        <f t="shared" si="19"/>
        <v>28776</v>
      </c>
      <c r="L24" s="11">
        <f t="shared" si="19"/>
        <v>33168</v>
      </c>
      <c r="M24" s="11">
        <f t="shared" si="19"/>
        <v>34980</v>
      </c>
      <c r="N24" s="11">
        <f t="shared" si="19"/>
        <v>32091</v>
      </c>
      <c r="O24" s="11">
        <f t="shared" si="19"/>
        <v>31110</v>
      </c>
      <c r="P24" s="11">
        <f t="shared" si="19"/>
        <v>30468</v>
      </c>
      <c r="Q24" s="11">
        <f t="shared" si="19"/>
        <v>31520</v>
      </c>
      <c r="R24" s="11">
        <f t="shared" si="19"/>
        <v>31200</v>
      </c>
      <c r="S24" s="11">
        <f t="shared" si="19"/>
        <v>34256</v>
      </c>
      <c r="T24" s="11">
        <f t="shared" si="19"/>
        <v>38675</v>
      </c>
      <c r="U24" s="11">
        <f t="shared" si="19"/>
        <v>40354</v>
      </c>
      <c r="V24" s="11">
        <f t="shared" si="19"/>
        <v>13007</v>
      </c>
      <c r="W24" s="11">
        <f t="shared" ref="W24:Y24" si="20">SUM(W25:W27)</f>
        <v>14371</v>
      </c>
      <c r="X24" s="11">
        <f t="shared" si="20"/>
        <v>24221</v>
      </c>
      <c r="Y24" s="11">
        <f t="shared" si="20"/>
        <v>27870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5660</v>
      </c>
      <c r="C26" s="84">
        <v>5665</v>
      </c>
      <c r="D26" s="84">
        <v>5888</v>
      </c>
      <c r="E26" s="84">
        <v>8515</v>
      </c>
      <c r="F26" s="84">
        <v>10272</v>
      </c>
      <c r="G26" s="84">
        <v>13115</v>
      </c>
      <c r="H26" s="84">
        <v>14814</v>
      </c>
      <c r="I26" s="84">
        <v>17510</v>
      </c>
      <c r="J26" s="84">
        <v>21350</v>
      </c>
      <c r="K26" s="84">
        <v>23787</v>
      </c>
      <c r="L26" s="84">
        <v>27016</v>
      </c>
      <c r="M26" s="84">
        <v>28259</v>
      </c>
      <c r="N26" s="84">
        <v>25518</v>
      </c>
      <c r="O26" s="84">
        <v>24176</v>
      </c>
      <c r="P26" s="84">
        <v>23928</v>
      </c>
      <c r="Q26" s="84">
        <v>25655</v>
      </c>
      <c r="R26" s="84">
        <v>24638</v>
      </c>
      <c r="S26" s="84">
        <v>26872</v>
      </c>
      <c r="T26" s="84">
        <v>29852</v>
      </c>
      <c r="U26" s="84">
        <v>30367</v>
      </c>
      <c r="V26" s="84">
        <v>11269</v>
      </c>
      <c r="W26" s="84">
        <v>12417</v>
      </c>
      <c r="X26" s="84">
        <v>22372</v>
      </c>
      <c r="Y26" s="84">
        <v>25376</v>
      </c>
      <c r="DA26" s="171" t="s">
        <v>210</v>
      </c>
    </row>
    <row r="27" spans="1:105" ht="11.45" customHeight="1" x14ac:dyDescent="0.25">
      <c r="A27" s="83" t="s">
        <v>182</v>
      </c>
      <c r="B27" s="84">
        <v>760</v>
      </c>
      <c r="C27" s="84">
        <v>761</v>
      </c>
      <c r="D27" s="84">
        <v>791</v>
      </c>
      <c r="E27" s="84">
        <v>1144</v>
      </c>
      <c r="F27" s="84">
        <v>1381</v>
      </c>
      <c r="G27" s="84">
        <v>2036</v>
      </c>
      <c r="H27" s="84">
        <v>2903</v>
      </c>
      <c r="I27" s="84">
        <v>3983</v>
      </c>
      <c r="J27" s="84">
        <v>4754</v>
      </c>
      <c r="K27" s="84">
        <v>4989</v>
      </c>
      <c r="L27" s="84">
        <v>6152</v>
      </c>
      <c r="M27" s="84">
        <v>6721</v>
      </c>
      <c r="N27" s="84">
        <v>6573</v>
      </c>
      <c r="O27" s="84">
        <v>6934</v>
      </c>
      <c r="P27" s="84">
        <v>6540</v>
      </c>
      <c r="Q27" s="84">
        <v>5865</v>
      </c>
      <c r="R27" s="84">
        <v>6562</v>
      </c>
      <c r="S27" s="84">
        <v>7384</v>
      </c>
      <c r="T27" s="84">
        <v>8823</v>
      </c>
      <c r="U27" s="84">
        <v>9987</v>
      </c>
      <c r="V27" s="84">
        <v>1738</v>
      </c>
      <c r="W27" s="84">
        <v>1954</v>
      </c>
      <c r="X27" s="84">
        <v>1849</v>
      </c>
      <c r="Y27" s="84">
        <v>2494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65</v>
      </c>
      <c r="C28" s="13">
        <f t="shared" si="21"/>
        <v>62</v>
      </c>
      <c r="D28" s="13">
        <f t="shared" ref="D28:V28" si="22">SUM(D29:D31)</f>
        <v>71</v>
      </c>
      <c r="E28" s="13">
        <f t="shared" si="22"/>
        <v>64</v>
      </c>
      <c r="F28" s="13">
        <f t="shared" si="22"/>
        <v>74</v>
      </c>
      <c r="G28" s="13">
        <f t="shared" si="22"/>
        <v>99</v>
      </c>
      <c r="H28" s="13">
        <f t="shared" si="22"/>
        <v>111</v>
      </c>
      <c r="I28" s="13">
        <f t="shared" si="22"/>
        <v>105</v>
      </c>
      <c r="J28" s="13">
        <f t="shared" si="22"/>
        <v>121</v>
      </c>
      <c r="K28" s="13">
        <f t="shared" si="22"/>
        <v>197</v>
      </c>
      <c r="L28" s="13">
        <f t="shared" si="22"/>
        <v>248</v>
      </c>
      <c r="M28" s="13">
        <f t="shared" si="22"/>
        <v>240</v>
      </c>
      <c r="N28" s="13">
        <f t="shared" si="22"/>
        <v>486</v>
      </c>
      <c r="O28" s="13">
        <f t="shared" si="22"/>
        <v>752</v>
      </c>
      <c r="P28" s="13">
        <f t="shared" si="22"/>
        <v>522</v>
      </c>
      <c r="Q28" s="13">
        <f t="shared" si="22"/>
        <v>340</v>
      </c>
      <c r="R28" s="13">
        <f t="shared" si="22"/>
        <v>330</v>
      </c>
      <c r="S28" s="13">
        <f t="shared" si="22"/>
        <v>395</v>
      </c>
      <c r="T28" s="13">
        <f t="shared" si="22"/>
        <v>426</v>
      </c>
      <c r="U28" s="13">
        <f t="shared" si="22"/>
        <v>446</v>
      </c>
      <c r="V28" s="13">
        <f t="shared" si="22"/>
        <v>398</v>
      </c>
      <c r="W28" s="13">
        <f t="shared" ref="W28:Y28" si="23">SUM(W29:W31)</f>
        <v>509</v>
      </c>
      <c r="X28" s="13">
        <f t="shared" si="23"/>
        <v>567</v>
      </c>
      <c r="Y28" s="13">
        <f t="shared" si="23"/>
        <v>565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58</v>
      </c>
      <c r="C30" s="102">
        <v>54</v>
      </c>
      <c r="D30" s="102">
        <v>62</v>
      </c>
      <c r="E30" s="102">
        <v>55</v>
      </c>
      <c r="F30" s="102">
        <v>64</v>
      </c>
      <c r="G30" s="102">
        <v>84</v>
      </c>
      <c r="H30" s="102">
        <v>94</v>
      </c>
      <c r="I30" s="102">
        <v>84</v>
      </c>
      <c r="J30" s="102">
        <v>96</v>
      </c>
      <c r="K30" s="102">
        <v>172</v>
      </c>
      <c r="L30" s="102">
        <v>210</v>
      </c>
      <c r="M30" s="102">
        <v>202</v>
      </c>
      <c r="N30" s="102">
        <v>199</v>
      </c>
      <c r="O30" s="102">
        <v>245</v>
      </c>
      <c r="P30" s="102">
        <v>254</v>
      </c>
      <c r="Q30" s="102">
        <v>253</v>
      </c>
      <c r="R30" s="102">
        <v>251</v>
      </c>
      <c r="S30" s="102">
        <v>298</v>
      </c>
      <c r="T30" s="102">
        <v>317</v>
      </c>
      <c r="U30" s="102">
        <v>350</v>
      </c>
      <c r="V30" s="102">
        <v>310</v>
      </c>
      <c r="W30" s="102">
        <v>440</v>
      </c>
      <c r="X30" s="102">
        <v>546</v>
      </c>
      <c r="Y30" s="102">
        <v>548</v>
      </c>
      <c r="DA30" s="175" t="s">
        <v>214</v>
      </c>
    </row>
    <row r="31" spans="1:105" ht="11.45" customHeight="1" x14ac:dyDescent="0.25">
      <c r="A31" s="85" t="s">
        <v>182</v>
      </c>
      <c r="B31" s="86">
        <v>7</v>
      </c>
      <c r="C31" s="86">
        <v>8</v>
      </c>
      <c r="D31" s="86">
        <v>9</v>
      </c>
      <c r="E31" s="86">
        <v>9</v>
      </c>
      <c r="F31" s="86">
        <v>10</v>
      </c>
      <c r="G31" s="86">
        <v>15</v>
      </c>
      <c r="H31" s="86">
        <v>17</v>
      </c>
      <c r="I31" s="86">
        <v>21</v>
      </c>
      <c r="J31" s="86">
        <v>25</v>
      </c>
      <c r="K31" s="86">
        <v>25</v>
      </c>
      <c r="L31" s="86">
        <v>38</v>
      </c>
      <c r="M31" s="86">
        <v>38</v>
      </c>
      <c r="N31" s="86">
        <v>287</v>
      </c>
      <c r="O31" s="86">
        <v>507</v>
      </c>
      <c r="P31" s="86">
        <v>268</v>
      </c>
      <c r="Q31" s="86">
        <v>87</v>
      </c>
      <c r="R31" s="86">
        <v>79</v>
      </c>
      <c r="S31" s="86">
        <v>97</v>
      </c>
      <c r="T31" s="86">
        <v>109</v>
      </c>
      <c r="U31" s="86">
        <v>96</v>
      </c>
      <c r="V31" s="86">
        <v>88</v>
      </c>
      <c r="W31" s="86">
        <v>69</v>
      </c>
      <c r="X31" s="86">
        <v>21</v>
      </c>
      <c r="Y31" s="86">
        <v>17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266503</v>
      </c>
      <c r="C34" s="11">
        <f t="shared" si="24"/>
        <v>273445</v>
      </c>
      <c r="D34" s="11">
        <f t="shared" ref="D34:V34" si="25">SUM(D35:D37)</f>
        <v>291382</v>
      </c>
      <c r="E34" s="11">
        <f t="shared" si="25"/>
        <v>431883</v>
      </c>
      <c r="F34" s="11">
        <f t="shared" si="25"/>
        <v>534444</v>
      </c>
      <c r="G34" s="11">
        <f t="shared" si="25"/>
        <v>953963</v>
      </c>
      <c r="H34" s="11">
        <f t="shared" si="25"/>
        <v>1262940</v>
      </c>
      <c r="I34" s="11">
        <f t="shared" si="25"/>
        <v>1590516</v>
      </c>
      <c r="J34" s="11">
        <f t="shared" si="25"/>
        <v>1853380</v>
      </c>
      <c r="K34" s="11">
        <f t="shared" si="25"/>
        <v>2063721</v>
      </c>
      <c r="L34" s="11">
        <f t="shared" si="25"/>
        <v>2359702</v>
      </c>
      <c r="M34" s="11">
        <f t="shared" si="25"/>
        <v>2575032</v>
      </c>
      <c r="N34" s="11">
        <f t="shared" si="25"/>
        <v>2401218</v>
      </c>
      <c r="O34" s="11">
        <f t="shared" si="25"/>
        <v>2414621</v>
      </c>
      <c r="P34" s="11">
        <f t="shared" si="25"/>
        <v>2418788</v>
      </c>
      <c r="Q34" s="11">
        <f t="shared" si="25"/>
        <v>2590415</v>
      </c>
      <c r="R34" s="11">
        <f t="shared" si="25"/>
        <v>2712262</v>
      </c>
      <c r="S34" s="11">
        <f t="shared" si="25"/>
        <v>3052877</v>
      </c>
      <c r="T34" s="11">
        <f t="shared" si="25"/>
        <v>3521987</v>
      </c>
      <c r="U34" s="11">
        <f t="shared" si="25"/>
        <v>3885943</v>
      </c>
      <c r="V34" s="11">
        <f t="shared" si="25"/>
        <v>993598</v>
      </c>
      <c r="W34" s="11">
        <f t="shared" ref="W34:Y34" si="26">SUM(W35:W37)</f>
        <v>1173376</v>
      </c>
      <c r="X34" s="11">
        <f t="shared" si="26"/>
        <v>2689713</v>
      </c>
      <c r="Y34" s="11">
        <f t="shared" si="26"/>
        <v>3315907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233235</v>
      </c>
      <c r="C36" s="84">
        <v>239357</v>
      </c>
      <c r="D36" s="84">
        <v>255055</v>
      </c>
      <c r="E36" s="84">
        <v>377934</v>
      </c>
      <c r="F36" s="84">
        <v>467824</v>
      </c>
      <c r="G36" s="84">
        <v>834362</v>
      </c>
      <c r="H36" s="84">
        <v>1096991</v>
      </c>
      <c r="I36" s="84">
        <v>1330138</v>
      </c>
      <c r="J36" s="84">
        <v>1523905</v>
      </c>
      <c r="K36" s="84">
        <v>1728321</v>
      </c>
      <c r="L36" s="84">
        <v>1921118</v>
      </c>
      <c r="M36" s="84">
        <v>2066059</v>
      </c>
      <c r="N36" s="84">
        <v>1878427</v>
      </c>
      <c r="O36" s="84">
        <v>1888210</v>
      </c>
      <c r="P36" s="84">
        <v>1936126</v>
      </c>
      <c r="Q36" s="84">
        <v>2136398</v>
      </c>
      <c r="R36" s="84">
        <v>2204780</v>
      </c>
      <c r="S36" s="84">
        <v>2456263</v>
      </c>
      <c r="T36" s="84">
        <v>2782750</v>
      </c>
      <c r="U36" s="84">
        <v>2984849</v>
      </c>
      <c r="V36" s="84">
        <v>842994</v>
      </c>
      <c r="W36" s="84">
        <v>971348</v>
      </c>
      <c r="X36" s="84">
        <v>2442490</v>
      </c>
      <c r="Y36" s="84">
        <v>2972047</v>
      </c>
      <c r="DA36" s="171" t="s">
        <v>218</v>
      </c>
    </row>
    <row r="37" spans="1:105" ht="11.45" customHeight="1" x14ac:dyDescent="0.25">
      <c r="A37" s="83" t="s">
        <v>182</v>
      </c>
      <c r="B37" s="84">
        <v>33268</v>
      </c>
      <c r="C37" s="84">
        <v>34088</v>
      </c>
      <c r="D37" s="84">
        <v>36327</v>
      </c>
      <c r="E37" s="84">
        <v>53949</v>
      </c>
      <c r="F37" s="84">
        <v>66620</v>
      </c>
      <c r="G37" s="84">
        <v>119601</v>
      </c>
      <c r="H37" s="84">
        <v>165949</v>
      </c>
      <c r="I37" s="84">
        <v>260378</v>
      </c>
      <c r="J37" s="84">
        <v>329475</v>
      </c>
      <c r="K37" s="84">
        <v>335400</v>
      </c>
      <c r="L37" s="84">
        <v>438584</v>
      </c>
      <c r="M37" s="84">
        <v>508973</v>
      </c>
      <c r="N37" s="84">
        <v>522791</v>
      </c>
      <c r="O37" s="84">
        <v>526411</v>
      </c>
      <c r="P37" s="84">
        <v>482662</v>
      </c>
      <c r="Q37" s="84">
        <v>454017</v>
      </c>
      <c r="R37" s="84">
        <v>507482</v>
      </c>
      <c r="S37" s="84">
        <v>596614</v>
      </c>
      <c r="T37" s="84">
        <v>739237</v>
      </c>
      <c r="U37" s="84">
        <v>901094</v>
      </c>
      <c r="V37" s="84">
        <v>150604</v>
      </c>
      <c r="W37" s="84">
        <v>202028</v>
      </c>
      <c r="X37" s="84">
        <v>247223</v>
      </c>
      <c r="Y37" s="84">
        <v>343860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1302.7011096876358</v>
      </c>
      <c r="C38" s="13">
        <f t="shared" si="27"/>
        <v>1313.7057722936188</v>
      </c>
      <c r="D38" s="13">
        <f t="shared" ref="D38:V38" si="28">SUM(D39:D41)</f>
        <v>1490.7676198954896</v>
      </c>
      <c r="E38" s="13">
        <f t="shared" si="28"/>
        <v>1385.7327624159293</v>
      </c>
      <c r="F38" s="13">
        <f t="shared" si="28"/>
        <v>1508.817013165997</v>
      </c>
      <c r="G38" s="13">
        <f t="shared" si="28"/>
        <v>1940.2410946083589</v>
      </c>
      <c r="H38" s="13">
        <f t="shared" si="28"/>
        <v>2085.4679530382332</v>
      </c>
      <c r="I38" s="13">
        <f t="shared" si="28"/>
        <v>2106.9971409685022</v>
      </c>
      <c r="J38" s="13">
        <f t="shared" si="28"/>
        <v>2438.6087475912882</v>
      </c>
      <c r="K38" s="13">
        <f t="shared" si="28"/>
        <v>3603.7081481685377</v>
      </c>
      <c r="L38" s="13">
        <f t="shared" si="28"/>
        <v>5042.0638061616582</v>
      </c>
      <c r="M38" s="13">
        <f t="shared" si="28"/>
        <v>5242.5098918102394</v>
      </c>
      <c r="N38" s="13">
        <f t="shared" si="28"/>
        <v>20273.536295637547</v>
      </c>
      <c r="O38" s="13">
        <f t="shared" si="28"/>
        <v>34355.464992621084</v>
      </c>
      <c r="P38" s="13">
        <f t="shared" si="28"/>
        <v>22497.915348855175</v>
      </c>
      <c r="Q38" s="13">
        <f t="shared" si="28"/>
        <v>10439.839797761084</v>
      </c>
      <c r="R38" s="13">
        <f t="shared" si="28"/>
        <v>11034.770797716596</v>
      </c>
      <c r="S38" s="13">
        <f t="shared" si="28"/>
        <v>12887.117804381167</v>
      </c>
      <c r="T38" s="13">
        <f t="shared" si="28"/>
        <v>14116.07994725523</v>
      </c>
      <c r="U38" s="13">
        <f t="shared" si="28"/>
        <v>14134.455736273118</v>
      </c>
      <c r="V38" s="13">
        <f t="shared" si="28"/>
        <v>9915.0415975232627</v>
      </c>
      <c r="W38" s="13">
        <f t="shared" ref="W38:Y38" si="29">SUM(W39:W41)</f>
        <v>11515.597963358618</v>
      </c>
      <c r="X38" s="13">
        <f t="shared" si="29"/>
        <v>11038.734030348423</v>
      </c>
      <c r="Y38" s="13">
        <f t="shared" si="29"/>
        <v>10919.726903254606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937.73285039503139</v>
      </c>
      <c r="C40" s="102">
        <v>882.76671613324345</v>
      </c>
      <c r="D40" s="102">
        <v>1014.6389239747338</v>
      </c>
      <c r="E40" s="102">
        <v>947.19331725197856</v>
      </c>
      <c r="F40" s="102">
        <v>1028.2206224844117</v>
      </c>
      <c r="G40" s="102">
        <v>1277.0079750996401</v>
      </c>
      <c r="H40" s="102">
        <v>1317.6776971730196</v>
      </c>
      <c r="I40" s="102">
        <v>1158.0948760337567</v>
      </c>
      <c r="J40" s="102">
        <v>1315.780753502522</v>
      </c>
      <c r="K40" s="102">
        <v>2356.2098117401874</v>
      </c>
      <c r="L40" s="102">
        <v>3046.002632100985</v>
      </c>
      <c r="M40" s="102">
        <v>3149.9861773474399</v>
      </c>
      <c r="N40" s="102">
        <v>3316.9862164951942</v>
      </c>
      <c r="O40" s="102">
        <v>4105.4666133374749</v>
      </c>
      <c r="P40" s="102">
        <v>4686.1508203807844</v>
      </c>
      <c r="Q40" s="102">
        <v>4674.8344592988788</v>
      </c>
      <c r="R40" s="102">
        <v>5232.8277701587858</v>
      </c>
      <c r="S40" s="102">
        <v>5774.5025051529401</v>
      </c>
      <c r="T40" s="102">
        <v>6094.4711992297553</v>
      </c>
      <c r="U40" s="102">
        <v>6895.9095161711848</v>
      </c>
      <c r="V40" s="102">
        <v>5468.5568954915088</v>
      </c>
      <c r="W40" s="102">
        <v>7818.0941324067107</v>
      </c>
      <c r="X40" s="102">
        <v>9768.1988750569999</v>
      </c>
      <c r="Y40" s="102">
        <v>9847.5804093518018</v>
      </c>
      <c r="DA40" s="175" t="s">
        <v>222</v>
      </c>
    </row>
    <row r="41" spans="1:105" ht="11.45" customHeight="1" x14ac:dyDescent="0.25">
      <c r="A41" s="85" t="s">
        <v>182</v>
      </c>
      <c r="B41" s="86">
        <v>364.9682592926045</v>
      </c>
      <c r="C41" s="86">
        <v>430.93905616037523</v>
      </c>
      <c r="D41" s="86">
        <v>476.12869592075594</v>
      </c>
      <c r="E41" s="86">
        <v>438.53944516395075</v>
      </c>
      <c r="F41" s="86">
        <v>480.59639068158532</v>
      </c>
      <c r="G41" s="86">
        <v>663.2331195087188</v>
      </c>
      <c r="H41" s="86">
        <v>767.79025586521368</v>
      </c>
      <c r="I41" s="86">
        <v>948.9022649347454</v>
      </c>
      <c r="J41" s="86">
        <v>1122.8279940887662</v>
      </c>
      <c r="K41" s="86">
        <v>1247.4983364283503</v>
      </c>
      <c r="L41" s="86">
        <v>1996.0611740606735</v>
      </c>
      <c r="M41" s="86">
        <v>2092.523714462799</v>
      </c>
      <c r="N41" s="86">
        <v>16956.550079142351</v>
      </c>
      <c r="O41" s="86">
        <v>30249.99837928361</v>
      </c>
      <c r="P41" s="86">
        <v>17811.764528474392</v>
      </c>
      <c r="Q41" s="86">
        <v>5765.0053384622051</v>
      </c>
      <c r="R41" s="86">
        <v>5801.9430275578097</v>
      </c>
      <c r="S41" s="86">
        <v>7112.6152992282268</v>
      </c>
      <c r="T41" s="86">
        <v>8021.6087480254746</v>
      </c>
      <c r="U41" s="86">
        <v>7238.5462201019318</v>
      </c>
      <c r="V41" s="86">
        <v>4446.4847020317538</v>
      </c>
      <c r="W41" s="86">
        <v>3697.5038309519068</v>
      </c>
      <c r="X41" s="86">
        <v>1270.5351552914226</v>
      </c>
      <c r="Y41" s="86">
        <v>1072.1464939028049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5.5337062737656435</v>
      </c>
      <c r="C43" s="54">
        <f t="shared" si="30"/>
        <v>5.5379560428330281</v>
      </c>
      <c r="D43" s="54">
        <f t="shared" ref="D43:V43" si="31">SUM(D44,D48)</f>
        <v>5.7616156069881219</v>
      </c>
      <c r="E43" s="54">
        <f t="shared" si="31"/>
        <v>8.2965618750006502</v>
      </c>
      <c r="F43" s="54">
        <f t="shared" si="31"/>
        <v>10.005096540139116</v>
      </c>
      <c r="G43" s="54">
        <f t="shared" si="31"/>
        <v>14.016407039811568</v>
      </c>
      <c r="H43" s="54">
        <f t="shared" si="31"/>
        <v>16.476137238780233</v>
      </c>
      <c r="I43" s="54">
        <f t="shared" si="31"/>
        <v>20.008788949060165</v>
      </c>
      <c r="J43" s="54">
        <f t="shared" si="31"/>
        <v>23.442133186668897</v>
      </c>
      <c r="K43" s="54">
        <f t="shared" si="31"/>
        <v>24.482229274038811</v>
      </c>
      <c r="L43" s="54">
        <f t="shared" si="31"/>
        <v>26.960995785364808</v>
      </c>
      <c r="M43" s="54">
        <f t="shared" si="31"/>
        <v>27.227672262662285</v>
      </c>
      <c r="N43" s="54">
        <f t="shared" si="31"/>
        <v>27.397798228641072</v>
      </c>
      <c r="O43" s="54">
        <f t="shared" si="31"/>
        <v>27.532914338583169</v>
      </c>
      <c r="P43" s="54">
        <f t="shared" si="31"/>
        <v>27.250541616165147</v>
      </c>
      <c r="Q43" s="54">
        <f t="shared" si="31"/>
        <v>27.077493522525348</v>
      </c>
      <c r="R43" s="54">
        <f t="shared" si="31"/>
        <v>26.700037695713256</v>
      </c>
      <c r="S43" s="54">
        <f t="shared" si="31"/>
        <v>28.16340469479708</v>
      </c>
      <c r="T43" s="54">
        <f t="shared" si="31"/>
        <v>32.010777645068274</v>
      </c>
      <c r="U43" s="54">
        <f t="shared" si="31"/>
        <v>33.680465881016879</v>
      </c>
      <c r="V43" s="54">
        <f t="shared" si="31"/>
        <v>33.404861695954985</v>
      </c>
      <c r="W43" s="54">
        <f t="shared" ref="W43:Y43" si="32">SUM(W44,W48)</f>
        <v>33.222671958742922</v>
      </c>
      <c r="X43" s="54">
        <f t="shared" si="32"/>
        <v>33.0302113551624</v>
      </c>
      <c r="Y43" s="54">
        <f t="shared" si="32"/>
        <v>32.760422278756472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5.4715155581019079</v>
      </c>
      <c r="C44" s="11">
        <f t="shared" si="33"/>
        <v>5.4768747284704169</v>
      </c>
      <c r="D44" s="11">
        <f t="shared" ref="D44:V44" si="34">SUM(D45:D47)</f>
        <v>5.6924097418771371</v>
      </c>
      <c r="E44" s="11">
        <f t="shared" si="34"/>
        <v>8.2320503254349084</v>
      </c>
      <c r="F44" s="11">
        <f t="shared" si="34"/>
        <v>9.9323831003045058</v>
      </c>
      <c r="G44" s="11">
        <f t="shared" si="34"/>
        <v>13.911582768281304</v>
      </c>
      <c r="H44" s="11">
        <f t="shared" si="34"/>
        <v>16.354221942165623</v>
      </c>
      <c r="I44" s="11">
        <f t="shared" si="34"/>
        <v>19.876013566351403</v>
      </c>
      <c r="J44" s="11">
        <f t="shared" si="34"/>
        <v>23.284294875318455</v>
      </c>
      <c r="K44" s="11">
        <f t="shared" si="34"/>
        <v>24.246469925107672</v>
      </c>
      <c r="L44" s="11">
        <f t="shared" si="34"/>
        <v>26.638682132307139</v>
      </c>
      <c r="M44" s="11">
        <f t="shared" si="34"/>
        <v>26.908873762427859</v>
      </c>
      <c r="N44" s="11">
        <f t="shared" si="34"/>
        <v>26.403238284551939</v>
      </c>
      <c r="O44" s="11">
        <f t="shared" si="34"/>
        <v>26.003996622543394</v>
      </c>
      <c r="P44" s="11">
        <f t="shared" si="34"/>
        <v>25.717214931130581</v>
      </c>
      <c r="Q44" s="11">
        <f t="shared" si="34"/>
        <v>25.550219322413781</v>
      </c>
      <c r="R44" s="11">
        <f t="shared" si="34"/>
        <v>25.178982567168063</v>
      </c>
      <c r="S44" s="11">
        <f t="shared" si="34"/>
        <v>26.617505198975522</v>
      </c>
      <c r="T44" s="11">
        <f t="shared" si="34"/>
        <v>30.454632069290845</v>
      </c>
      <c r="U44" s="11">
        <f t="shared" si="34"/>
        <v>32.086813769887641</v>
      </c>
      <c r="V44" s="11">
        <f t="shared" si="34"/>
        <v>31.813237991982547</v>
      </c>
      <c r="W44" s="11">
        <f t="shared" ref="W44:Y44" si="35">SUM(W45:W47)</f>
        <v>31.539662214077453</v>
      </c>
      <c r="X44" s="11">
        <f t="shared" si="35"/>
        <v>31.266086436172358</v>
      </c>
      <c r="Y44" s="11">
        <f t="shared" si="35"/>
        <v>30.99251065826726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4.0429441295304791</v>
      </c>
      <c r="C46" s="84">
        <v>4.0464236006508685</v>
      </c>
      <c r="D46" s="84">
        <v>4.2055676366139796</v>
      </c>
      <c r="E46" s="84">
        <v>6.0816743855852842</v>
      </c>
      <c r="F46" s="84">
        <v>7.336518438650371</v>
      </c>
      <c r="G46" s="84">
        <v>9.8558058758510256</v>
      </c>
      <c r="H46" s="84">
        <v>11.095163971151131</v>
      </c>
      <c r="I46" s="84">
        <v>13.055808086899349</v>
      </c>
      <c r="J46" s="84">
        <v>15.604165634607632</v>
      </c>
      <c r="K46" s="84">
        <v>16.709197827253991</v>
      </c>
      <c r="L46" s="84">
        <v>19.090215874638428</v>
      </c>
      <c r="M46" s="84">
        <v>19.503264647616291</v>
      </c>
      <c r="N46" s="84">
        <v>19.140486312597513</v>
      </c>
      <c r="O46" s="84">
        <v>18.766000797908738</v>
      </c>
      <c r="P46" s="84">
        <v>18.622076249353068</v>
      </c>
      <c r="Q46" s="84">
        <v>18.597937783493414</v>
      </c>
      <c r="R46" s="84">
        <v>18.369558171104838</v>
      </c>
      <c r="S46" s="84">
        <v>19.448573160140569</v>
      </c>
      <c r="T46" s="84">
        <v>21.736252622650529</v>
      </c>
      <c r="U46" s="84">
        <v>22.198694958006453</v>
      </c>
      <c r="V46" s="84">
        <v>21.996547751529931</v>
      </c>
      <c r="W46" s="84">
        <v>21.794400545053406</v>
      </c>
      <c r="X46" s="84">
        <v>21.592253338576885</v>
      </c>
      <c r="Y46" s="84">
        <v>21.390106132100357</v>
      </c>
      <c r="DA46" s="171" t="s">
        <v>227</v>
      </c>
    </row>
    <row r="47" spans="1:105" ht="11.45" customHeight="1" x14ac:dyDescent="0.25">
      <c r="A47" s="83" t="s">
        <v>182</v>
      </c>
      <c r="B47" s="84">
        <v>1.4285714285714286</v>
      </c>
      <c r="C47" s="84">
        <v>1.4304511278195489</v>
      </c>
      <c r="D47" s="84">
        <v>1.486842105263158</v>
      </c>
      <c r="E47" s="84">
        <v>2.1503759398496243</v>
      </c>
      <c r="F47" s="84">
        <v>2.5958646616541352</v>
      </c>
      <c r="G47" s="84">
        <v>4.0557768924302788</v>
      </c>
      <c r="H47" s="84">
        <v>5.2590579710144931</v>
      </c>
      <c r="I47" s="84">
        <v>6.8202054794520546</v>
      </c>
      <c r="J47" s="84">
        <v>7.6801292407108237</v>
      </c>
      <c r="K47" s="84">
        <v>7.5372720978536805</v>
      </c>
      <c r="L47" s="84">
        <v>7.5484662576687116</v>
      </c>
      <c r="M47" s="84">
        <v>7.4056091148115684</v>
      </c>
      <c r="N47" s="84">
        <v>7.2627519719544251</v>
      </c>
      <c r="O47" s="84">
        <v>7.2379958246346554</v>
      </c>
      <c r="P47" s="84">
        <v>7.0951386817775122</v>
      </c>
      <c r="Q47" s="84">
        <v>6.9522815389203689</v>
      </c>
      <c r="R47" s="84">
        <v>6.8094243960632257</v>
      </c>
      <c r="S47" s="84">
        <v>7.1689320388349511</v>
      </c>
      <c r="T47" s="84">
        <v>8.7183794466403164</v>
      </c>
      <c r="U47" s="84">
        <v>9.8881188118811885</v>
      </c>
      <c r="V47" s="84">
        <v>9.8166902404526173</v>
      </c>
      <c r="W47" s="84">
        <v>9.7452616690240461</v>
      </c>
      <c r="X47" s="84">
        <v>9.6738330975954749</v>
      </c>
      <c r="Y47" s="84">
        <v>9.6024045261669038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6.2190715663735324E-2</v>
      </c>
      <c r="C48" s="13">
        <f t="shared" si="36"/>
        <v>6.1081314362611626E-2</v>
      </c>
      <c r="D48" s="13">
        <f t="shared" ref="D48:V48" si="37">SUM(D49:D51)</f>
        <v>6.9205865110985226E-2</v>
      </c>
      <c r="E48" s="13">
        <f t="shared" si="37"/>
        <v>6.4511549565741608E-2</v>
      </c>
      <c r="F48" s="13">
        <f t="shared" si="37"/>
        <v>7.2713439834610177E-2</v>
      </c>
      <c r="G48" s="13">
        <f t="shared" si="37"/>
        <v>0.104824271530263</v>
      </c>
      <c r="H48" s="13">
        <f t="shared" si="37"/>
        <v>0.12191529661461051</v>
      </c>
      <c r="I48" s="13">
        <f t="shared" si="37"/>
        <v>0.13277538270875999</v>
      </c>
      <c r="J48" s="13">
        <f t="shared" si="37"/>
        <v>0.15783831135044238</v>
      </c>
      <c r="K48" s="13">
        <f t="shared" si="37"/>
        <v>0.23575934893113892</v>
      </c>
      <c r="L48" s="13">
        <f t="shared" si="37"/>
        <v>0.32231365305767001</v>
      </c>
      <c r="M48" s="13">
        <f t="shared" si="37"/>
        <v>0.3187985002344258</v>
      </c>
      <c r="N48" s="13">
        <f t="shared" si="37"/>
        <v>0.9945599440891344</v>
      </c>
      <c r="O48" s="13">
        <f t="shared" si="37"/>
        <v>1.5289177160397749</v>
      </c>
      <c r="P48" s="13">
        <f t="shared" si="37"/>
        <v>1.5333266850345675</v>
      </c>
      <c r="Q48" s="13">
        <f t="shared" si="37"/>
        <v>1.5272742001115653</v>
      </c>
      <c r="R48" s="13">
        <f t="shared" si="37"/>
        <v>1.5210551285451919</v>
      </c>
      <c r="S48" s="13">
        <f t="shared" si="37"/>
        <v>1.5458994958215595</v>
      </c>
      <c r="T48" s="13">
        <f t="shared" si="37"/>
        <v>1.5561455757774256</v>
      </c>
      <c r="U48" s="13">
        <f t="shared" si="37"/>
        <v>1.5936521111292383</v>
      </c>
      <c r="V48" s="13">
        <f t="shared" si="37"/>
        <v>1.5916237039724406</v>
      </c>
      <c r="W48" s="13">
        <f t="shared" ref="W48:Y48" si="38">SUM(W49:W51)</f>
        <v>1.6830097446654724</v>
      </c>
      <c r="X48" s="13">
        <f t="shared" si="38"/>
        <v>1.764124918990041</v>
      </c>
      <c r="Y48" s="13">
        <f t="shared" si="38"/>
        <v>1.7679116204892118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4.8465225467656893E-2</v>
      </c>
      <c r="C50" s="102">
        <v>4.5395039852807705E-2</v>
      </c>
      <c r="D50" s="102">
        <v>5.1558806287455815E-2</v>
      </c>
      <c r="E50" s="102">
        <v>4.6864490742212196E-2</v>
      </c>
      <c r="F50" s="102">
        <v>5.3105596697355269E-2</v>
      </c>
      <c r="G50" s="102">
        <v>7.3832535993072906E-2</v>
      </c>
      <c r="H50" s="102">
        <v>8.4634594860224552E-2</v>
      </c>
      <c r="I50" s="102">
        <v>8.2536148258999242E-2</v>
      </c>
      <c r="J50" s="102">
        <v>9.3071471972204042E-2</v>
      </c>
      <c r="K50" s="102">
        <v>0.16909268226447224</v>
      </c>
      <c r="L50" s="102">
        <v>0.21557208002396216</v>
      </c>
      <c r="M50" s="102">
        <v>0.21342947622032576</v>
      </c>
      <c r="N50" s="102">
        <v>0.21254359531529246</v>
      </c>
      <c r="O50" s="102">
        <v>0.23555036910099936</v>
      </c>
      <c r="P50" s="102">
        <v>0.24133188711539991</v>
      </c>
      <c r="Q50" s="102">
        <v>0.23665195121200586</v>
      </c>
      <c r="R50" s="102">
        <v>0.23180542866524015</v>
      </c>
      <c r="S50" s="102">
        <v>0.25802234496121579</v>
      </c>
      <c r="T50" s="102">
        <v>0.26964097393668984</v>
      </c>
      <c r="U50" s="102">
        <v>0.30852005830811052</v>
      </c>
      <c r="V50" s="102">
        <v>0.30717792566111679</v>
      </c>
      <c r="W50" s="102">
        <v>0.39925024086395244</v>
      </c>
      <c r="X50" s="102">
        <v>0.48105168969832501</v>
      </c>
      <c r="Y50" s="102">
        <v>0.48552466570729969</v>
      </c>
      <c r="DA50" s="175" t="s">
        <v>231</v>
      </c>
    </row>
    <row r="51" spans="1:105" ht="11.45" customHeight="1" x14ac:dyDescent="0.25">
      <c r="A51" s="85" t="s">
        <v>182</v>
      </c>
      <c r="B51" s="86">
        <v>1.3725490196078431E-2</v>
      </c>
      <c r="C51" s="86">
        <v>1.5686274509803921E-2</v>
      </c>
      <c r="D51" s="86">
        <v>1.7647058823529412E-2</v>
      </c>
      <c r="E51" s="86">
        <v>1.7647058823529412E-2</v>
      </c>
      <c r="F51" s="86">
        <v>1.9607843137254902E-2</v>
      </c>
      <c r="G51" s="86">
        <v>3.0991735537190084E-2</v>
      </c>
      <c r="H51" s="86">
        <v>3.7280701754385963E-2</v>
      </c>
      <c r="I51" s="86">
        <v>5.0239234449760764E-2</v>
      </c>
      <c r="J51" s="86">
        <v>6.4766839378238336E-2</v>
      </c>
      <c r="K51" s="86">
        <v>6.6666666666666666E-2</v>
      </c>
      <c r="L51" s="86">
        <v>0.10674157303370786</v>
      </c>
      <c r="M51" s="86">
        <v>0.10536902401410002</v>
      </c>
      <c r="N51" s="86">
        <v>0.78201634877384196</v>
      </c>
      <c r="O51" s="86">
        <v>1.2933673469387754</v>
      </c>
      <c r="P51" s="86">
        <v>1.2919947979191675</v>
      </c>
      <c r="Q51" s="86">
        <v>1.2906222488995596</v>
      </c>
      <c r="R51" s="86">
        <v>1.2892496998799516</v>
      </c>
      <c r="S51" s="86">
        <v>1.2878771508603437</v>
      </c>
      <c r="T51" s="86">
        <v>1.2865046018407358</v>
      </c>
      <c r="U51" s="86">
        <v>1.2851320528211279</v>
      </c>
      <c r="V51" s="86">
        <v>1.2844457783113239</v>
      </c>
      <c r="W51" s="86">
        <v>1.2837595038015199</v>
      </c>
      <c r="X51" s="86">
        <v>1.283073229291716</v>
      </c>
      <c r="Y51" s="86">
        <v>1.282386954781912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2.7573566700000041E-4</v>
      </c>
      <c r="C53" s="54">
        <f t="shared" si="39"/>
        <v>0.19045605711523539</v>
      </c>
      <c r="D53" s="54">
        <f t="shared" ref="D53:V53" si="40">SUM(D54,D58)</f>
        <v>0.40825809891609349</v>
      </c>
      <c r="E53" s="54">
        <f t="shared" si="40"/>
        <v>2.7227766859907723</v>
      </c>
      <c r="F53" s="54">
        <f t="shared" si="40"/>
        <v>1.8931331998994656</v>
      </c>
      <c r="G53" s="54">
        <f t="shared" si="40"/>
        <v>4.1959090344334511</v>
      </c>
      <c r="H53" s="54">
        <f t="shared" si="40"/>
        <v>2.644955205064186</v>
      </c>
      <c r="I53" s="54">
        <f t="shared" si="40"/>
        <v>3.7417163121056221</v>
      </c>
      <c r="J53" s="54">
        <f t="shared" si="40"/>
        <v>3.6407116150063197</v>
      </c>
      <c r="K53" s="54">
        <f t="shared" si="40"/>
        <v>1.3426389033636452</v>
      </c>
      <c r="L53" s="54">
        <f t="shared" si="40"/>
        <v>2.6638900460869985</v>
      </c>
      <c r="M53" s="54">
        <f t="shared" si="40"/>
        <v>0.5543488009671651</v>
      </c>
      <c r="N53" s="54">
        <f t="shared" si="40"/>
        <v>0.71587477012954415</v>
      </c>
      <c r="O53" s="54">
        <f t="shared" si="40"/>
        <v>0.58288112094494171</v>
      </c>
      <c r="P53" s="54">
        <f t="shared" si="40"/>
        <v>0.24499717910471261</v>
      </c>
      <c r="Q53" s="54">
        <f t="shared" si="40"/>
        <v>0.3477334356938257</v>
      </c>
      <c r="R53" s="54">
        <f t="shared" si="40"/>
        <v>0.15314595792788621</v>
      </c>
      <c r="S53" s="54">
        <f t="shared" si="40"/>
        <v>1.6555873570706303</v>
      </c>
      <c r="T53" s="54">
        <f t="shared" si="40"/>
        <v>4.0395933082579978</v>
      </c>
      <c r="U53" s="54">
        <f t="shared" si="40"/>
        <v>1.868414944745481</v>
      </c>
      <c r="V53" s="54">
        <f t="shared" si="40"/>
        <v>1.0557607926281395E-3</v>
      </c>
      <c r="W53" s="54">
        <f t="shared" ref="W53:Y53" si="41">SUM(W54,W58)</f>
        <v>9.3735483197835617E-2</v>
      </c>
      <c r="X53" s="54">
        <f t="shared" si="41"/>
        <v>8.3464616829372562E-2</v>
      </c>
      <c r="Y53" s="54">
        <f t="shared" si="41"/>
        <v>6.1615118377357104E-3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0</v>
      </c>
      <c r="C54" s="11">
        <f t="shared" si="42"/>
        <v>0.1879216613175099</v>
      </c>
      <c r="D54" s="11">
        <f t="shared" ref="D54:V54" si="43">SUM(D55:D57)</f>
        <v>0.39809750435571989</v>
      </c>
      <c r="E54" s="11">
        <f t="shared" si="43"/>
        <v>2.7222030745067722</v>
      </c>
      <c r="F54" s="11">
        <f t="shared" si="43"/>
        <v>1.8828952658185971</v>
      </c>
      <c r="G54" s="11">
        <f t="shared" si="43"/>
        <v>4.1617621589257983</v>
      </c>
      <c r="H54" s="11">
        <f t="shared" si="43"/>
        <v>2.6252016648333165</v>
      </c>
      <c r="I54" s="11">
        <f t="shared" si="43"/>
        <v>3.7271229577713689</v>
      </c>
      <c r="J54" s="11">
        <f t="shared" si="43"/>
        <v>3.6136126425526371</v>
      </c>
      <c r="K54" s="11">
        <f t="shared" si="43"/>
        <v>1.2626818219709488</v>
      </c>
      <c r="L54" s="11">
        <f t="shared" si="43"/>
        <v>2.5747746981484676</v>
      </c>
      <c r="M54" s="11">
        <f t="shared" si="43"/>
        <v>0.55174635355855783</v>
      </c>
      <c r="N54" s="11">
        <f t="shared" si="43"/>
        <v>3.5268927911069836E-2</v>
      </c>
      <c r="O54" s="11">
        <f t="shared" si="43"/>
        <v>4.6487305182301375E-2</v>
      </c>
      <c r="P54" s="11">
        <f t="shared" si="43"/>
        <v>0.23760102176079001</v>
      </c>
      <c r="Q54" s="11">
        <f t="shared" si="43"/>
        <v>0.3477334356938257</v>
      </c>
      <c r="R54" s="11">
        <f t="shared" si="43"/>
        <v>0.15314595792788621</v>
      </c>
      <c r="S54" s="11">
        <f t="shared" si="43"/>
        <v>1.6273322727796546</v>
      </c>
      <c r="T54" s="11">
        <f t="shared" si="43"/>
        <v>4.0259365112875241</v>
      </c>
      <c r="U54" s="11">
        <f t="shared" si="43"/>
        <v>1.8274976923790602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0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0</v>
      </c>
      <c r="C56" s="84">
        <v>0.13836025780838959</v>
      </c>
      <c r="D56" s="84">
        <v>0.29402482265111074</v>
      </c>
      <c r="E56" s="84">
        <v>2.0109875356593059</v>
      </c>
      <c r="F56" s="84">
        <v>1.3897248397530861</v>
      </c>
      <c r="G56" s="84">
        <v>2.6541682238886555</v>
      </c>
      <c r="H56" s="84">
        <v>1.3742388819881026</v>
      </c>
      <c r="I56" s="84">
        <v>2.1182937450728079</v>
      </c>
      <c r="J56" s="84">
        <v>2.7060071770328684</v>
      </c>
      <c r="K56" s="84">
        <v>1.2626818219709488</v>
      </c>
      <c r="L56" s="84">
        <v>2.5158988340724369</v>
      </c>
      <c r="M56" s="84">
        <v>0.55174635355855783</v>
      </c>
      <c r="N56" s="84">
        <v>3.5268927911069836E-2</v>
      </c>
      <c r="O56" s="84">
        <v>2.356174824107149E-2</v>
      </c>
      <c r="P56" s="84">
        <v>0.23760102176079001</v>
      </c>
      <c r="Q56" s="84">
        <v>0.3477334356938257</v>
      </c>
      <c r="R56" s="84">
        <v>0.15314595792788621</v>
      </c>
      <c r="S56" s="84">
        <v>1.2201429257469296</v>
      </c>
      <c r="T56" s="84">
        <v>2.4288073992211587</v>
      </c>
      <c r="U56" s="84">
        <v>0.61007662287718767</v>
      </c>
      <c r="V56" s="84">
        <v>0</v>
      </c>
      <c r="W56" s="84">
        <v>0</v>
      </c>
      <c r="X56" s="84">
        <v>0</v>
      </c>
      <c r="Y56" s="84">
        <v>0</v>
      </c>
      <c r="DA56" s="171" t="s">
        <v>236</v>
      </c>
    </row>
    <row r="57" spans="1:105" ht="11.45" customHeight="1" x14ac:dyDescent="0.25">
      <c r="A57" s="83" t="s">
        <v>182</v>
      </c>
      <c r="B57" s="84">
        <v>0</v>
      </c>
      <c r="C57" s="84">
        <v>4.9561403509120305E-2</v>
      </c>
      <c r="D57" s="84">
        <v>0.10407268170460915</v>
      </c>
      <c r="E57" s="84">
        <v>0.71121553884746636</v>
      </c>
      <c r="F57" s="84">
        <v>0.49317042606551098</v>
      </c>
      <c r="G57" s="84">
        <v>1.5075939350371432</v>
      </c>
      <c r="H57" s="84">
        <v>1.2509627828452139</v>
      </c>
      <c r="I57" s="84">
        <v>1.6088292126985611</v>
      </c>
      <c r="J57" s="84">
        <v>0.90760546551976873</v>
      </c>
      <c r="K57" s="84">
        <v>0</v>
      </c>
      <c r="L57" s="84">
        <v>5.8875864076030737E-2</v>
      </c>
      <c r="M57" s="84">
        <v>0</v>
      </c>
      <c r="N57" s="84">
        <v>0</v>
      </c>
      <c r="O57" s="84">
        <v>2.2925556941229885E-2</v>
      </c>
      <c r="P57" s="84">
        <v>0</v>
      </c>
      <c r="Q57" s="84">
        <v>0</v>
      </c>
      <c r="R57" s="84">
        <v>0</v>
      </c>
      <c r="S57" s="84">
        <v>0.40718934703272502</v>
      </c>
      <c r="T57" s="84">
        <v>1.5971291120663658</v>
      </c>
      <c r="U57" s="84">
        <v>1.2174210695018726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2.7573566700000041E-4</v>
      </c>
      <c r="C58" s="13">
        <f t="shared" si="45"/>
        <v>2.5343957977254916E-3</v>
      </c>
      <c r="D58" s="13">
        <f t="shared" ref="D58:V58" si="46">SUM(D59:D61)</f>
        <v>1.01605945603736E-2</v>
      </c>
      <c r="E58" s="13">
        <f t="shared" si="46"/>
        <v>5.7361148400000145E-4</v>
      </c>
      <c r="F58" s="13">
        <f t="shared" si="46"/>
        <v>1.0237934080868562E-2</v>
      </c>
      <c r="G58" s="13">
        <f t="shared" si="46"/>
        <v>3.4146875507652816E-2</v>
      </c>
      <c r="H58" s="13">
        <f t="shared" si="46"/>
        <v>1.9753540230869608E-2</v>
      </c>
      <c r="I58" s="13">
        <f t="shared" si="46"/>
        <v>1.4593354334252944E-2</v>
      </c>
      <c r="J58" s="13">
        <f t="shared" si="46"/>
        <v>2.7098972453682375E-2</v>
      </c>
      <c r="K58" s="13">
        <f t="shared" si="46"/>
        <v>7.9957081392696513E-2</v>
      </c>
      <c r="L58" s="13">
        <f t="shared" si="46"/>
        <v>8.9115347938531125E-2</v>
      </c>
      <c r="M58" s="13">
        <f t="shared" si="46"/>
        <v>2.6024474086072118E-3</v>
      </c>
      <c r="N58" s="13">
        <f t="shared" si="46"/>
        <v>0.68060584221847431</v>
      </c>
      <c r="O58" s="13">
        <f t="shared" si="46"/>
        <v>0.53639381576264034</v>
      </c>
      <c r="P58" s="13">
        <f t="shared" si="46"/>
        <v>7.3961573439226061E-3</v>
      </c>
      <c r="Q58" s="13">
        <f t="shared" si="46"/>
        <v>0</v>
      </c>
      <c r="R58" s="13">
        <f t="shared" si="46"/>
        <v>0</v>
      </c>
      <c r="S58" s="13">
        <f t="shared" si="46"/>
        <v>2.8255084290975625E-2</v>
      </c>
      <c r="T58" s="13">
        <f t="shared" si="46"/>
        <v>1.3656796970474084E-2</v>
      </c>
      <c r="U58" s="13">
        <f t="shared" si="46"/>
        <v>4.0917252366420659E-2</v>
      </c>
      <c r="V58" s="13">
        <f t="shared" si="46"/>
        <v>1.0557607926281395E-3</v>
      </c>
      <c r="W58" s="13">
        <f t="shared" ref="W58:Y58" si="47">SUM(W59:W61)</f>
        <v>9.3735483197835617E-2</v>
      </c>
      <c r="X58" s="13">
        <f t="shared" si="47"/>
        <v>8.3464616829372562E-2</v>
      </c>
      <c r="Y58" s="13">
        <f t="shared" si="47"/>
        <v>6.1615118377357104E-3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2.7573566700000041E-4</v>
      </c>
      <c r="C60" s="102">
        <v>5.073566700000004E-5</v>
      </c>
      <c r="D60" s="102">
        <v>7.6769344296481086E-3</v>
      </c>
      <c r="E60" s="102">
        <v>5.073566700000004E-5</v>
      </c>
      <c r="F60" s="102">
        <v>7.7542739501430709E-3</v>
      </c>
      <c r="G60" s="102">
        <v>2.2240107290717633E-2</v>
      </c>
      <c r="H60" s="102">
        <v>1.2941698196673726E-2</v>
      </c>
      <c r="I60" s="102">
        <v>1.111945821878142E-3</v>
      </c>
      <c r="J60" s="102">
        <v>1.2048491708204802E-2</v>
      </c>
      <c r="K60" s="102">
        <v>7.7534378287268182E-2</v>
      </c>
      <c r="L60" s="102">
        <v>4.8517565754489934E-2</v>
      </c>
      <c r="M60" s="102">
        <v>2.6024474086072118E-3</v>
      </c>
      <c r="N60" s="102">
        <v>3.435641641732403E-3</v>
      </c>
      <c r="O60" s="102">
        <v>2.4519941780706891E-2</v>
      </c>
      <c r="P60" s="102">
        <v>7.3961573439226061E-3</v>
      </c>
      <c r="Q60" s="102">
        <v>0</v>
      </c>
      <c r="R60" s="102">
        <v>0</v>
      </c>
      <c r="S60" s="102">
        <v>2.8255084290975625E-2</v>
      </c>
      <c r="T60" s="102">
        <v>1.3656796970474084E-2</v>
      </c>
      <c r="U60" s="102">
        <v>4.0917252366420659E-2</v>
      </c>
      <c r="V60" s="102">
        <v>1.0557607926281395E-3</v>
      </c>
      <c r="W60" s="102">
        <v>9.3735483197835617E-2</v>
      </c>
      <c r="X60" s="102">
        <v>8.3464616829372562E-2</v>
      </c>
      <c r="Y60" s="102">
        <v>6.1615118377357104E-3</v>
      </c>
      <c r="DA60" s="175" t="s">
        <v>240</v>
      </c>
    </row>
    <row r="61" spans="1:105" ht="11.45" customHeight="1" x14ac:dyDescent="0.25">
      <c r="A61" s="85" t="s">
        <v>182</v>
      </c>
      <c r="B61" s="86">
        <v>0</v>
      </c>
      <c r="C61" s="86">
        <v>2.4836601307254916E-3</v>
      </c>
      <c r="D61" s="86">
        <v>2.4836601307254916E-3</v>
      </c>
      <c r="E61" s="86">
        <v>5.2287581700000141E-4</v>
      </c>
      <c r="F61" s="86">
        <v>2.4836601307254916E-3</v>
      </c>
      <c r="G61" s="86">
        <v>1.1906768216935183E-2</v>
      </c>
      <c r="H61" s="86">
        <v>6.8118420341958807E-3</v>
      </c>
      <c r="I61" s="86">
        <v>1.3481408512374803E-2</v>
      </c>
      <c r="J61" s="86">
        <v>1.5050480745477574E-2</v>
      </c>
      <c r="K61" s="86">
        <v>2.422703105428331E-3</v>
      </c>
      <c r="L61" s="86">
        <v>4.0597782184041198E-2</v>
      </c>
      <c r="M61" s="86">
        <v>0</v>
      </c>
      <c r="N61" s="86">
        <v>0.67717020057674193</v>
      </c>
      <c r="O61" s="86">
        <v>0.5118738739819334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41.511370716510903</v>
      </c>
      <c r="C66" s="14">
        <f t="shared" si="48"/>
        <v>42.55291005291005</v>
      </c>
      <c r="D66" s="14">
        <f t="shared" ref="D66:V66" si="49">IF(D34=0,0,D34/D24)</f>
        <v>43.626590807007034</v>
      </c>
      <c r="E66" s="14">
        <f t="shared" si="49"/>
        <v>44.713013769541362</v>
      </c>
      <c r="F66" s="14">
        <f t="shared" si="49"/>
        <v>45.863211190251434</v>
      </c>
      <c r="G66" s="14">
        <f t="shared" si="49"/>
        <v>62.963698765758039</v>
      </c>
      <c r="H66" s="14">
        <f t="shared" si="49"/>
        <v>71.284077439747136</v>
      </c>
      <c r="I66" s="14">
        <f t="shared" si="49"/>
        <v>74.001581910389433</v>
      </c>
      <c r="J66" s="14">
        <f t="shared" si="49"/>
        <v>70.999846766779044</v>
      </c>
      <c r="K66" s="14">
        <f t="shared" si="49"/>
        <v>71.716743119266056</v>
      </c>
      <c r="L66" s="14">
        <f t="shared" si="49"/>
        <v>71.143933912204531</v>
      </c>
      <c r="M66" s="14">
        <f t="shared" si="49"/>
        <v>73.614408233276151</v>
      </c>
      <c r="N66" s="14">
        <f t="shared" si="49"/>
        <v>74.825278115359453</v>
      </c>
      <c r="O66" s="14">
        <f t="shared" si="49"/>
        <v>77.615589842494373</v>
      </c>
      <c r="P66" s="14">
        <f t="shared" si="49"/>
        <v>79.38781672574504</v>
      </c>
      <c r="Q66" s="14">
        <f t="shared" si="49"/>
        <v>82.183217005076145</v>
      </c>
      <c r="R66" s="14">
        <f t="shared" si="49"/>
        <v>86.931474358974356</v>
      </c>
      <c r="S66" s="14">
        <f t="shared" si="49"/>
        <v>89.119482718355911</v>
      </c>
      <c r="T66" s="14">
        <f t="shared" si="49"/>
        <v>91.066244343891398</v>
      </c>
      <c r="U66" s="14">
        <f t="shared" si="49"/>
        <v>96.296352282301626</v>
      </c>
      <c r="V66" s="14">
        <f t="shared" si="49"/>
        <v>76.389482586299678</v>
      </c>
      <c r="W66" s="14">
        <f t="shared" ref="W66:Y66" si="50">IF(W34=0,0,W34/W24)</f>
        <v>81.648876209032082</v>
      </c>
      <c r="X66" s="14">
        <f t="shared" si="50"/>
        <v>111.0488006275546</v>
      </c>
      <c r="Y66" s="14">
        <f t="shared" si="50"/>
        <v>118.97764621456764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41.207597173144876</v>
      </c>
      <c r="C68" s="87">
        <f t="shared" si="48"/>
        <v>42.25189761694616</v>
      </c>
      <c r="D68" s="87">
        <f t="shared" ref="D68:V68" si="53">IF(D36=0,0,D36/D26)</f>
        <v>43.317764945652172</v>
      </c>
      <c r="E68" s="87">
        <f t="shared" si="53"/>
        <v>44.384497944803286</v>
      </c>
      <c r="F68" s="87">
        <f t="shared" si="53"/>
        <v>45.543613707165107</v>
      </c>
      <c r="G68" s="87">
        <f t="shared" si="53"/>
        <v>63.618909645444148</v>
      </c>
      <c r="H68" s="87">
        <f t="shared" si="53"/>
        <v>74.050965303091672</v>
      </c>
      <c r="I68" s="87">
        <f t="shared" si="53"/>
        <v>75.964477441462023</v>
      </c>
      <c r="J68" s="87">
        <f t="shared" si="53"/>
        <v>71.377283372365341</v>
      </c>
      <c r="K68" s="87">
        <f t="shared" si="53"/>
        <v>72.658216672972628</v>
      </c>
      <c r="L68" s="87">
        <f t="shared" si="53"/>
        <v>71.11037903464613</v>
      </c>
      <c r="M68" s="87">
        <f t="shared" si="53"/>
        <v>73.111539686471573</v>
      </c>
      <c r="N68" s="87">
        <f t="shared" si="53"/>
        <v>73.611842620895061</v>
      </c>
      <c r="O68" s="87">
        <f t="shared" si="53"/>
        <v>78.102663798808734</v>
      </c>
      <c r="P68" s="87">
        <f t="shared" si="53"/>
        <v>80.914660648612511</v>
      </c>
      <c r="Q68" s="87">
        <f t="shared" si="53"/>
        <v>83.274137595010714</v>
      </c>
      <c r="R68" s="87">
        <f t="shared" si="53"/>
        <v>89.486971345076711</v>
      </c>
      <c r="S68" s="87">
        <f t="shared" si="53"/>
        <v>91.406036022625784</v>
      </c>
      <c r="T68" s="87">
        <f t="shared" si="53"/>
        <v>93.218209835186926</v>
      </c>
      <c r="U68" s="87">
        <f t="shared" si="53"/>
        <v>98.292521487140647</v>
      </c>
      <c r="V68" s="87">
        <f t="shared" si="53"/>
        <v>74.806460200550177</v>
      </c>
      <c r="W68" s="87">
        <f t="shared" ref="W68:Y68" si="54">IF(W36=0,0,W36/W26)</f>
        <v>78.227269066602233</v>
      </c>
      <c r="X68" s="87">
        <f t="shared" si="54"/>
        <v>109.17620239585196</v>
      </c>
      <c r="Y68" s="87">
        <f t="shared" si="54"/>
        <v>117.12038934426229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43.773684210526319</v>
      </c>
      <c r="C69" s="87">
        <f t="shared" si="48"/>
        <v>44.793692509855454</v>
      </c>
      <c r="D69" s="87">
        <f t="shared" ref="D69:V69" si="55">IF(D37=0,0,D37/D27)</f>
        <v>45.925410872313527</v>
      </c>
      <c r="E69" s="87">
        <f t="shared" si="55"/>
        <v>47.15821678321678</v>
      </c>
      <c r="F69" s="87">
        <f t="shared" si="55"/>
        <v>48.240405503258508</v>
      </c>
      <c r="G69" s="87">
        <f t="shared" si="55"/>
        <v>58.743123772102159</v>
      </c>
      <c r="H69" s="87">
        <f t="shared" si="55"/>
        <v>57.164657251119529</v>
      </c>
      <c r="I69" s="87">
        <f t="shared" si="55"/>
        <v>65.372332412754204</v>
      </c>
      <c r="J69" s="87">
        <f t="shared" si="55"/>
        <v>69.304795961295753</v>
      </c>
      <c r="K69" s="87">
        <f t="shared" si="55"/>
        <v>67.227901383042692</v>
      </c>
      <c r="L69" s="87">
        <f t="shared" si="55"/>
        <v>71.29128738621587</v>
      </c>
      <c r="M69" s="87">
        <f t="shared" si="55"/>
        <v>75.72876060110103</v>
      </c>
      <c r="N69" s="87">
        <f t="shared" si="55"/>
        <v>79.536132663928186</v>
      </c>
      <c r="O69" s="87">
        <f t="shared" si="55"/>
        <v>75.917363715027406</v>
      </c>
      <c r="P69" s="87">
        <f t="shared" si="55"/>
        <v>73.801529051987771</v>
      </c>
      <c r="Q69" s="87">
        <f t="shared" si="55"/>
        <v>77.411253196930943</v>
      </c>
      <c r="R69" s="87">
        <f t="shared" si="55"/>
        <v>77.336482779640349</v>
      </c>
      <c r="S69" s="87">
        <f t="shared" si="55"/>
        <v>80.79821235102925</v>
      </c>
      <c r="T69" s="87">
        <f t="shared" si="55"/>
        <v>83.785220446560132</v>
      </c>
      <c r="U69" s="87">
        <f t="shared" si="55"/>
        <v>90.226694703114049</v>
      </c>
      <c r="V69" s="87">
        <f t="shared" si="55"/>
        <v>86.653624856156497</v>
      </c>
      <c r="W69" s="87">
        <f t="shared" ref="W69:Y69" si="56">IF(W37=0,0,W37/W27)</f>
        <v>103.39201637666325</v>
      </c>
      <c r="X69" s="87">
        <f t="shared" si="56"/>
        <v>133.70632774472688</v>
      </c>
      <c r="Y69" s="87">
        <f t="shared" si="56"/>
        <v>137.87489975942262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20.041555533655934</v>
      </c>
      <c r="C70" s="15">
        <f t="shared" si="48"/>
        <v>21.188802778929336</v>
      </c>
      <c r="D70" s="15">
        <f t="shared" ref="D70:V70" si="57">IF(D38=0,0,D38/D28)</f>
        <v>20.996727040781543</v>
      </c>
      <c r="E70" s="15">
        <f t="shared" si="57"/>
        <v>21.652074412748895</v>
      </c>
      <c r="F70" s="15">
        <f t="shared" si="57"/>
        <v>20.389419096837798</v>
      </c>
      <c r="G70" s="15">
        <f t="shared" si="57"/>
        <v>19.59839489503393</v>
      </c>
      <c r="H70" s="15">
        <f t="shared" si="57"/>
        <v>18.78799957692102</v>
      </c>
      <c r="I70" s="15">
        <f t="shared" si="57"/>
        <v>20.06663943779526</v>
      </c>
      <c r="J70" s="15">
        <f t="shared" si="57"/>
        <v>20.153791302407342</v>
      </c>
      <c r="K70" s="15">
        <f t="shared" si="57"/>
        <v>18.29293476227684</v>
      </c>
      <c r="L70" s="15">
        <f t="shared" si="57"/>
        <v>20.330902444200234</v>
      </c>
      <c r="M70" s="15">
        <f t="shared" si="57"/>
        <v>21.843791215875999</v>
      </c>
      <c r="N70" s="15">
        <f t="shared" si="57"/>
        <v>41.715095258513472</v>
      </c>
      <c r="O70" s="15">
        <f t="shared" si="57"/>
        <v>45.685458766783356</v>
      </c>
      <c r="P70" s="15">
        <f t="shared" si="57"/>
        <v>43.099454691293438</v>
      </c>
      <c r="Q70" s="15">
        <f t="shared" si="57"/>
        <v>30.70541116988554</v>
      </c>
      <c r="R70" s="15">
        <f t="shared" si="57"/>
        <v>33.438699387019987</v>
      </c>
      <c r="S70" s="15">
        <f t="shared" si="57"/>
        <v>32.625614694635864</v>
      </c>
      <c r="T70" s="15">
        <f t="shared" si="57"/>
        <v>33.136337904355003</v>
      </c>
      <c r="U70" s="15">
        <f t="shared" si="57"/>
        <v>31.691604789850039</v>
      </c>
      <c r="V70" s="15">
        <f t="shared" si="57"/>
        <v>24.912164817897644</v>
      </c>
      <c r="W70" s="15">
        <f t="shared" ref="W70:Y70" si="58">IF(W38=0,0,W38/W28)</f>
        <v>22.623964564555241</v>
      </c>
      <c r="X70" s="15">
        <f t="shared" si="58"/>
        <v>19.468666720191223</v>
      </c>
      <c r="Y70" s="15">
        <f t="shared" si="58"/>
        <v>19.326950271247092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15.202475894043335</v>
      </c>
      <c r="H72" s="41">
        <f t="shared" si="61"/>
        <v>14.017847842266166</v>
      </c>
      <c r="I72" s="41">
        <f t="shared" si="61"/>
        <v>13.786843762306628</v>
      </c>
      <c r="J72" s="41">
        <f t="shared" si="61"/>
        <v>13.706049515651271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18.449412678664505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19.37752518507698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17.970037243342706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55.066413538494714</v>
      </c>
      <c r="N73" s="40">
        <f t="shared" si="63"/>
        <v>59.082056024886242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50.528235250360837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63.067440817812049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1260.4534748448625</v>
      </c>
      <c r="C75" s="62">
        <f t="shared" si="65"/>
        <v>1261.016405018087</v>
      </c>
      <c r="D75" s="62">
        <f t="shared" ref="D75:V75" si="66">IF(D13=0,0,D13*1000000/D23)</f>
        <v>1260.6636806724816</v>
      </c>
      <c r="E75" s="62">
        <f t="shared" si="66"/>
        <v>1261.82215320513</v>
      </c>
      <c r="F75" s="62">
        <f t="shared" si="66"/>
        <v>1261.9294093150156</v>
      </c>
      <c r="G75" s="62">
        <f t="shared" si="66"/>
        <v>1430.7598047858007</v>
      </c>
      <c r="H75" s="62">
        <f t="shared" si="66"/>
        <v>1426.5754461716053</v>
      </c>
      <c r="I75" s="62">
        <f t="shared" si="66"/>
        <v>1413.8939895627072</v>
      </c>
      <c r="J75" s="62">
        <f t="shared" si="66"/>
        <v>1320.229673859682</v>
      </c>
      <c r="K75" s="62">
        <f t="shared" si="66"/>
        <v>1135.6738052121955</v>
      </c>
      <c r="L75" s="62">
        <f t="shared" si="66"/>
        <v>1129.0027897170603</v>
      </c>
      <c r="M75" s="62">
        <f t="shared" si="66"/>
        <v>1033.2331458659501</v>
      </c>
      <c r="N75" s="62">
        <f t="shared" si="66"/>
        <v>1040.7118757602609</v>
      </c>
      <c r="O75" s="62">
        <f t="shared" si="66"/>
        <v>1114.1894046070254</v>
      </c>
      <c r="P75" s="62">
        <f t="shared" si="66"/>
        <v>1089.6747761784354</v>
      </c>
      <c r="Q75" s="62">
        <f t="shared" si="66"/>
        <v>1050.6332183658017</v>
      </c>
      <c r="R75" s="62">
        <f t="shared" si="66"/>
        <v>1039.73674528935</v>
      </c>
      <c r="S75" s="62">
        <f t="shared" si="66"/>
        <v>1045.030759184157</v>
      </c>
      <c r="T75" s="62">
        <f t="shared" si="66"/>
        <v>1080.7504284591132</v>
      </c>
      <c r="U75" s="62">
        <f t="shared" si="66"/>
        <v>1099.1600876755651</v>
      </c>
      <c r="V75" s="62">
        <f t="shared" si="66"/>
        <v>1078.0858813392881</v>
      </c>
      <c r="W75" s="62">
        <f t="shared" ref="W75:Y75" si="67">IF(W13=0,0,W13*1000000/W23)</f>
        <v>1323.8325354260103</v>
      </c>
      <c r="X75" s="62">
        <f t="shared" si="67"/>
        <v>1299.334763943971</v>
      </c>
      <c r="Y75" s="62">
        <f t="shared" si="67"/>
        <v>1337.93228625714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1263.4274451247929</v>
      </c>
      <c r="C76" s="14">
        <f t="shared" si="65"/>
        <v>1263.477064605843</v>
      </c>
      <c r="D76" s="14">
        <f t="shared" ref="D76:V76" si="68">IF(D14=0,0,D14*1000000/D24)</f>
        <v>1263.4221784050608</v>
      </c>
      <c r="E76" s="14">
        <f t="shared" si="68"/>
        <v>1263.3546322466166</v>
      </c>
      <c r="F76" s="14">
        <f t="shared" si="68"/>
        <v>1263.4892134139959</v>
      </c>
      <c r="G76" s="14">
        <f t="shared" si="68"/>
        <v>1432.2014850144576</v>
      </c>
      <c r="H76" s="14">
        <f t="shared" si="68"/>
        <v>1427.4112950968497</v>
      </c>
      <c r="I76" s="14">
        <f t="shared" si="68"/>
        <v>1413.0816751996992</v>
      </c>
      <c r="J76" s="14">
        <f t="shared" si="68"/>
        <v>1318.0900751208355</v>
      </c>
      <c r="K76" s="14">
        <f t="shared" si="68"/>
        <v>1132.643100371416</v>
      </c>
      <c r="L76" s="14">
        <f t="shared" si="68"/>
        <v>1123.8334943928955</v>
      </c>
      <c r="M76" s="14">
        <f t="shared" si="68"/>
        <v>1028.5141911920075</v>
      </c>
      <c r="N76" s="14">
        <f t="shared" si="68"/>
        <v>1006.8519690346321</v>
      </c>
      <c r="O76" s="14">
        <f t="shared" si="68"/>
        <v>1061.3290138472196</v>
      </c>
      <c r="P76" s="14">
        <f t="shared" si="68"/>
        <v>1066.0153749262158</v>
      </c>
      <c r="Q76" s="14">
        <f t="shared" si="68"/>
        <v>1045.3025485439077</v>
      </c>
      <c r="R76" s="14">
        <f t="shared" si="68"/>
        <v>1036.8438213705579</v>
      </c>
      <c r="S76" s="14">
        <f t="shared" si="68"/>
        <v>1043.5527293889745</v>
      </c>
      <c r="T76" s="14">
        <f t="shared" si="68"/>
        <v>1080.845732036353</v>
      </c>
      <c r="U76" s="14">
        <f t="shared" si="68"/>
        <v>1093.4896246775509</v>
      </c>
      <c r="V76" s="14">
        <f t="shared" si="68"/>
        <v>1083.5772953040062</v>
      </c>
      <c r="W76" s="14">
        <f t="shared" ref="W76:Y76" si="69">IF(W14=0,0,W14*1000000/W24)</f>
        <v>1340.0888925601882</v>
      </c>
      <c r="X76" s="14">
        <f t="shared" si="69"/>
        <v>1309.193458814766</v>
      </c>
      <c r="Y76" s="14">
        <f t="shared" si="69"/>
        <v>1347.9884532006688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1013.9440737045761</v>
      </c>
      <c r="C78" s="39">
        <f t="shared" si="65"/>
        <v>1013.8925780400463</v>
      </c>
      <c r="D78" s="39">
        <f t="shared" ref="D78:V78" si="72">IF(D16=0,0,D16*1000000/D26)</f>
        <v>1013.8165601556714</v>
      </c>
      <c r="E78" s="39">
        <f t="shared" si="72"/>
        <v>1013.7211502010687</v>
      </c>
      <c r="F78" s="39">
        <f t="shared" si="72"/>
        <v>1013.7028801209292</v>
      </c>
      <c r="G78" s="39">
        <f t="shared" si="72"/>
        <v>1131.6813015654279</v>
      </c>
      <c r="H78" s="39">
        <f t="shared" si="72"/>
        <v>1123.7043980853175</v>
      </c>
      <c r="I78" s="39">
        <f t="shared" si="72"/>
        <v>1106.6612769983112</v>
      </c>
      <c r="J78" s="39">
        <f t="shared" si="72"/>
        <v>1042.8014970160821</v>
      </c>
      <c r="K78" s="39">
        <f t="shared" si="72"/>
        <v>941.35296205532643</v>
      </c>
      <c r="L78" s="39">
        <f t="shared" si="72"/>
        <v>989.72168386128567</v>
      </c>
      <c r="M78" s="39">
        <f t="shared" si="72"/>
        <v>932.44327865533819</v>
      </c>
      <c r="N78" s="39">
        <f t="shared" si="72"/>
        <v>941.28607618439651</v>
      </c>
      <c r="O78" s="39">
        <f t="shared" si="72"/>
        <v>988.19902887885223</v>
      </c>
      <c r="P78" s="39">
        <f t="shared" si="72"/>
        <v>1019.2514887231782</v>
      </c>
      <c r="Q78" s="39">
        <f t="shared" si="72"/>
        <v>1013.9416196350257</v>
      </c>
      <c r="R78" s="39">
        <f t="shared" si="72"/>
        <v>1009.7858219591295</v>
      </c>
      <c r="S78" s="39">
        <f t="shared" si="72"/>
        <v>1011.5594393544502</v>
      </c>
      <c r="T78" s="39">
        <f t="shared" si="72"/>
        <v>1046.347527564704</v>
      </c>
      <c r="U78" s="39">
        <f t="shared" si="72"/>
        <v>1057.8624656696259</v>
      </c>
      <c r="V78" s="39">
        <f t="shared" si="72"/>
        <v>1049.3569653274624</v>
      </c>
      <c r="W78" s="39">
        <f t="shared" ref="W78:Y78" si="73">IF(W16=0,0,W16*1000000/W26)</f>
        <v>1257.9169751375796</v>
      </c>
      <c r="X78" s="39">
        <f t="shared" si="73"/>
        <v>1191.9857319938706</v>
      </c>
      <c r="Y78" s="39">
        <f t="shared" si="73"/>
        <v>1191.967847938198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3121.4220270174578</v>
      </c>
      <c r="C79" s="39">
        <f t="shared" si="65"/>
        <v>3121.4220270174578</v>
      </c>
      <c r="D79" s="39">
        <f t="shared" ref="D79:V79" si="74">IF(D17=0,0,D17*1000000/D27)</f>
        <v>3121.4220270174578</v>
      </c>
      <c r="E79" s="39">
        <f t="shared" si="74"/>
        <v>3121.4220270174578</v>
      </c>
      <c r="F79" s="39">
        <f t="shared" si="74"/>
        <v>3121.4220270174578</v>
      </c>
      <c r="G79" s="39">
        <f t="shared" si="74"/>
        <v>3368.0178926441354</v>
      </c>
      <c r="H79" s="39">
        <f t="shared" si="74"/>
        <v>2977.226648982085</v>
      </c>
      <c r="I79" s="39">
        <f t="shared" si="74"/>
        <v>2760.162059961513</v>
      </c>
      <c r="J79" s="39">
        <f t="shared" si="74"/>
        <v>2554.3986873497988</v>
      </c>
      <c r="K79" s="39">
        <f t="shared" si="74"/>
        <v>2044.693314868274</v>
      </c>
      <c r="L79" s="39">
        <f t="shared" si="74"/>
        <v>1712.7744360902257</v>
      </c>
      <c r="M79" s="39">
        <f t="shared" si="74"/>
        <v>1432.4522833470048</v>
      </c>
      <c r="N79" s="39">
        <f t="shared" si="74"/>
        <v>1261.3948647827408</v>
      </c>
      <c r="O79" s="39">
        <f t="shared" si="74"/>
        <v>1316.3031293065867</v>
      </c>
      <c r="P79" s="39">
        <f t="shared" si="74"/>
        <v>1237.1111347222839</v>
      </c>
      <c r="Q79" s="39">
        <f t="shared" si="74"/>
        <v>1182.4832188179689</v>
      </c>
      <c r="R79" s="39">
        <f t="shared" si="74"/>
        <v>1138.4370840189538</v>
      </c>
      <c r="S79" s="39">
        <f t="shared" si="74"/>
        <v>1159.9833482686795</v>
      </c>
      <c r="T79" s="39">
        <f t="shared" si="74"/>
        <v>1197.5679806918743</v>
      </c>
      <c r="U79" s="39">
        <f t="shared" si="74"/>
        <v>1201.8194472062039</v>
      </c>
      <c r="V79" s="39">
        <f t="shared" si="74"/>
        <v>1305.4581344902385</v>
      </c>
      <c r="W79" s="39">
        <f t="shared" ref="W79:Y79" si="75">IF(W17=0,0,W17*1000000/W27)</f>
        <v>1862.263252148997</v>
      </c>
      <c r="X79" s="39">
        <f t="shared" si="75"/>
        <v>2727.349902534113</v>
      </c>
      <c r="Y79" s="39">
        <f t="shared" si="75"/>
        <v>2935.4699604743087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966.71671796560099</v>
      </c>
      <c r="C80" s="15">
        <f t="shared" si="65"/>
        <v>1005.9809451645127</v>
      </c>
      <c r="D80" s="15">
        <f t="shared" ref="D80:V80" si="76">IF(D18=0,0,D18*1000000/D28)</f>
        <v>1001.170633406347</v>
      </c>
      <c r="E80" s="15">
        <f t="shared" si="76"/>
        <v>1030.5375428657512</v>
      </c>
      <c r="F80" s="15">
        <f t="shared" si="76"/>
        <v>1016.3024205931611</v>
      </c>
      <c r="G80" s="15">
        <f t="shared" si="76"/>
        <v>1210.1244800950681</v>
      </c>
      <c r="H80" s="15">
        <f t="shared" si="76"/>
        <v>1293.1634154639323</v>
      </c>
      <c r="I80" s="15">
        <f t="shared" si="76"/>
        <v>1580.1708715068066</v>
      </c>
      <c r="J80" s="15">
        <f t="shared" si="76"/>
        <v>1781.8171571559178</v>
      </c>
      <c r="K80" s="15">
        <f t="shared" si="76"/>
        <v>1578.3720920054254</v>
      </c>
      <c r="L80" s="15">
        <f t="shared" si="76"/>
        <v>1820.3543514585645</v>
      </c>
      <c r="M80" s="15">
        <f t="shared" si="76"/>
        <v>1721.0207895930871</v>
      </c>
      <c r="N80" s="15">
        <f t="shared" si="76"/>
        <v>3276.5107785013097</v>
      </c>
      <c r="O80" s="15">
        <f t="shared" si="76"/>
        <v>3301.0069000027138</v>
      </c>
      <c r="P80" s="15">
        <f t="shared" si="76"/>
        <v>2470.6223573137386</v>
      </c>
      <c r="Q80" s="15">
        <f t="shared" si="76"/>
        <v>1544.8176677366766</v>
      </c>
      <c r="R80" s="15">
        <f t="shared" si="76"/>
        <v>1313.2495521569624</v>
      </c>
      <c r="S80" s="15">
        <f t="shared" si="76"/>
        <v>1173.211489978507</v>
      </c>
      <c r="T80" s="15">
        <f t="shared" si="76"/>
        <v>1072.0981612061873</v>
      </c>
      <c r="U80" s="15">
        <f t="shared" si="76"/>
        <v>1612.2225626124889</v>
      </c>
      <c r="V80" s="15">
        <f t="shared" si="76"/>
        <v>898.62150586419159</v>
      </c>
      <c r="W80" s="15">
        <f t="shared" ref="W80:Y80" si="77">IF(W18=0,0,W18*1000000/W28)</f>
        <v>864.85393350995037</v>
      </c>
      <c r="X80" s="15">
        <f t="shared" si="77"/>
        <v>878.19287952505726</v>
      </c>
      <c r="Y80" s="15">
        <f t="shared" si="77"/>
        <v>841.88737879493567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716.02168495087619</v>
      </c>
      <c r="C82" s="41">
        <f t="shared" si="65"/>
        <v>704.06639861505948</v>
      </c>
      <c r="D82" s="41">
        <f t="shared" ref="D82:V82" si="80">IF(D20=0,0,D20*1000000/D30)</f>
        <v>704.64480262081827</v>
      </c>
      <c r="E82" s="41">
        <f t="shared" si="80"/>
        <v>701.07755516451255</v>
      </c>
      <c r="F82" s="41">
        <f t="shared" si="80"/>
        <v>699.48965281501069</v>
      </c>
      <c r="G82" s="41">
        <f t="shared" si="80"/>
        <v>838.6288515406161</v>
      </c>
      <c r="H82" s="41">
        <f t="shared" si="80"/>
        <v>881.69818269292261</v>
      </c>
      <c r="I82" s="41">
        <f t="shared" si="80"/>
        <v>970.24486856543945</v>
      </c>
      <c r="J82" s="41">
        <f t="shared" si="80"/>
        <v>1078.4552531241231</v>
      </c>
      <c r="K82" s="41">
        <f t="shared" si="80"/>
        <v>1133.1301207658164</v>
      </c>
      <c r="L82" s="41">
        <f t="shared" si="80"/>
        <v>1248.9105356907494</v>
      </c>
      <c r="M82" s="41">
        <f t="shared" si="80"/>
        <v>1136.7914796509508</v>
      </c>
      <c r="N82" s="41">
        <f t="shared" si="80"/>
        <v>1102.0282607728909</v>
      </c>
      <c r="O82" s="41">
        <f t="shared" si="80"/>
        <v>1058.6984212895525</v>
      </c>
      <c r="P82" s="41">
        <f t="shared" si="80"/>
        <v>1014.3897397847419</v>
      </c>
      <c r="Q82" s="41">
        <f t="shared" si="80"/>
        <v>926.96483043595788</v>
      </c>
      <c r="R82" s="41">
        <f t="shared" si="80"/>
        <v>831.79857477151654</v>
      </c>
      <c r="S82" s="41">
        <f t="shared" si="80"/>
        <v>770.67301123264576</v>
      </c>
      <c r="T82" s="41">
        <f t="shared" si="80"/>
        <v>755.49288058177956</v>
      </c>
      <c r="U82" s="41">
        <f t="shared" si="80"/>
        <v>830.15509523809521</v>
      </c>
      <c r="V82" s="41">
        <f t="shared" si="80"/>
        <v>804.68567043813198</v>
      </c>
      <c r="W82" s="41">
        <f t="shared" ref="W82:Y82" si="81">IF(W20=0,0,W20*1000000/W30)</f>
        <v>809.79527404003943</v>
      </c>
      <c r="X82" s="41">
        <f t="shared" si="81"/>
        <v>772.95670822473903</v>
      </c>
      <c r="Y82" s="41">
        <f t="shared" si="81"/>
        <v>762.34047362309207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3043.904134373322</v>
      </c>
      <c r="C83" s="40">
        <f t="shared" si="65"/>
        <v>3043.904134373322</v>
      </c>
      <c r="D83" s="40">
        <f t="shared" ref="D83:V83" si="82">IF(D21=0,0,D21*1000000/D31)</f>
        <v>3043.904134373322</v>
      </c>
      <c r="E83" s="40">
        <f t="shared" si="82"/>
        <v>3043.904134373322</v>
      </c>
      <c r="F83" s="40">
        <f t="shared" si="82"/>
        <v>3043.904134373322</v>
      </c>
      <c r="G83" s="40">
        <f t="shared" si="82"/>
        <v>3290.5</v>
      </c>
      <c r="H83" s="40">
        <f t="shared" si="82"/>
        <v>3568.3241143153982</v>
      </c>
      <c r="I83" s="40">
        <f t="shared" si="82"/>
        <v>4019.874883272274</v>
      </c>
      <c r="J83" s="40">
        <f t="shared" si="82"/>
        <v>4482.7268686380094</v>
      </c>
      <c r="K83" s="40">
        <f t="shared" si="82"/>
        <v>4641.6368541339334</v>
      </c>
      <c r="L83" s="40">
        <f t="shared" si="82"/>
        <v>4978.3333333333339</v>
      </c>
      <c r="M83" s="40">
        <f t="shared" si="82"/>
        <v>4826.6608056012847</v>
      </c>
      <c r="N83" s="40">
        <f t="shared" si="82"/>
        <v>4784.2530120481924</v>
      </c>
      <c r="O83" s="40">
        <f t="shared" si="82"/>
        <v>4384.5681964222886</v>
      </c>
      <c r="P83" s="40">
        <f t="shared" si="82"/>
        <v>3850.7831216882355</v>
      </c>
      <c r="Q83" s="40">
        <f t="shared" si="82"/>
        <v>3341.5621256341692</v>
      </c>
      <c r="R83" s="40">
        <f t="shared" si="82"/>
        <v>2842.9229106854041</v>
      </c>
      <c r="S83" s="40">
        <f t="shared" si="82"/>
        <v>2409.8760947853798</v>
      </c>
      <c r="T83" s="40">
        <f t="shared" si="82"/>
        <v>1992.8676470588234</v>
      </c>
      <c r="U83" s="40">
        <f t="shared" si="82"/>
        <v>4463.5102040816319</v>
      </c>
      <c r="V83" s="40">
        <f t="shared" si="82"/>
        <v>1229.5318352059926</v>
      </c>
      <c r="W83" s="40">
        <f t="shared" ref="W83:Y83" si="83">IF(W21=0,0,W21*1000000/W31)</f>
        <v>1215.9526315789474</v>
      </c>
      <c r="X83" s="40">
        <f t="shared" si="83"/>
        <v>3614.3333333333335</v>
      </c>
      <c r="Y83" s="40">
        <f t="shared" si="83"/>
        <v>3406.1052631578941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76786.939999496812</v>
      </c>
      <c r="C86" s="11">
        <f t="shared" si="84"/>
        <v>78864.404514270645</v>
      </c>
      <c r="D86" s="11">
        <f t="shared" ref="D86:V86" si="85">IF(D4=0,0,D4*1000000/D24)</f>
        <v>80289.691459951282</v>
      </c>
      <c r="E86" s="11">
        <f t="shared" si="85"/>
        <v>81036.27421545409</v>
      </c>
      <c r="F86" s="11">
        <f t="shared" si="85"/>
        <v>81695.492759415079</v>
      </c>
      <c r="G86" s="11">
        <f t="shared" si="85"/>
        <v>120516.59186074439</v>
      </c>
      <c r="H86" s="11">
        <f t="shared" si="85"/>
        <v>126244.33476365529</v>
      </c>
      <c r="I86" s="11">
        <f t="shared" si="85"/>
        <v>128580.54321271423</v>
      </c>
      <c r="J86" s="11">
        <f t="shared" si="85"/>
        <v>116372.5199460385</v>
      </c>
      <c r="K86" s="11">
        <f t="shared" si="85"/>
        <v>101040.65707576105</v>
      </c>
      <c r="L86" s="11">
        <f t="shared" si="85"/>
        <v>99914.711104264323</v>
      </c>
      <c r="M86" s="11">
        <f t="shared" si="85"/>
        <v>95418.295527067428</v>
      </c>
      <c r="N86" s="11">
        <f t="shared" si="85"/>
        <v>94439.694866255188</v>
      </c>
      <c r="O86" s="11">
        <f t="shared" si="85"/>
        <v>99375.712052739793</v>
      </c>
      <c r="P86" s="11">
        <f t="shared" si="85"/>
        <v>99506.999128535288</v>
      </c>
      <c r="Q86" s="11">
        <f t="shared" si="85"/>
        <v>100517.03274296501</v>
      </c>
      <c r="R86" s="11">
        <f t="shared" si="85"/>
        <v>105645.73154824739</v>
      </c>
      <c r="S86" s="11">
        <f t="shared" si="85"/>
        <v>109180.91005334596</v>
      </c>
      <c r="T86" s="11">
        <f t="shared" si="85"/>
        <v>112599.84770826298</v>
      </c>
      <c r="U86" s="11">
        <f t="shared" si="85"/>
        <v>118391.13162286332</v>
      </c>
      <c r="V86" s="11">
        <f t="shared" si="85"/>
        <v>95667.958878008969</v>
      </c>
      <c r="W86" s="11">
        <f t="shared" ref="W86:Y86" si="86">IF(W4=0,0,W4*1000000/W24)</f>
        <v>115313.50732060069</v>
      </c>
      <c r="X86" s="11">
        <f t="shared" si="86"/>
        <v>157617.36294546598</v>
      </c>
      <c r="Y86" s="11">
        <f t="shared" si="86"/>
        <v>180059.60192319358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63676.99196797402</v>
      </c>
      <c r="C88" s="36">
        <f t="shared" si="84"/>
        <v>65481.887681027569</v>
      </c>
      <c r="D88" s="36">
        <f t="shared" ref="D88:V88" si="89">IF(D6=0,0,D6*1000000/D26)</f>
        <v>66492.104713324428</v>
      </c>
      <c r="E88" s="36">
        <f t="shared" si="89"/>
        <v>66677.984732690078</v>
      </c>
      <c r="F88" s="36">
        <f t="shared" si="89"/>
        <v>66836.264449288879</v>
      </c>
      <c r="G88" s="36">
        <f t="shared" si="89"/>
        <v>100017.76947852646</v>
      </c>
      <c r="H88" s="36">
        <f t="shared" si="89"/>
        <v>108409.1670042561</v>
      </c>
      <c r="I88" s="36">
        <f t="shared" si="89"/>
        <v>105434.07095505566</v>
      </c>
      <c r="J88" s="36">
        <f t="shared" si="89"/>
        <v>91964.330785588914</v>
      </c>
      <c r="K88" s="36">
        <f t="shared" si="89"/>
        <v>85429.316173402418</v>
      </c>
      <c r="L88" s="36">
        <f t="shared" si="89"/>
        <v>87172.038591082382</v>
      </c>
      <c r="M88" s="36">
        <f t="shared" si="89"/>
        <v>85450.455392948264</v>
      </c>
      <c r="N88" s="36">
        <f t="shared" si="89"/>
        <v>85658.072920546576</v>
      </c>
      <c r="O88" s="36">
        <f t="shared" si="89"/>
        <v>90869.76258575957</v>
      </c>
      <c r="P88" s="36">
        <f t="shared" si="89"/>
        <v>95127.307118729455</v>
      </c>
      <c r="Q88" s="36">
        <f t="shared" si="89"/>
        <v>96871.211895237866</v>
      </c>
      <c r="R88" s="36">
        <f t="shared" si="89"/>
        <v>104027.25302004637</v>
      </c>
      <c r="S88" s="36">
        <f t="shared" si="89"/>
        <v>107381.25153817603</v>
      </c>
      <c r="T88" s="36">
        <f t="shared" si="89"/>
        <v>111371.41106922484</v>
      </c>
      <c r="U88" s="36">
        <f t="shared" si="89"/>
        <v>116901.30104650911</v>
      </c>
      <c r="V88" s="36">
        <f t="shared" si="89"/>
        <v>90570.859290706881</v>
      </c>
      <c r="W88" s="36">
        <f t="shared" ref="W88:Y88" si="90">IF(W6=0,0,W6*1000000/W26)</f>
        <v>102842.49286134742</v>
      </c>
      <c r="X88" s="36">
        <f t="shared" si="90"/>
        <v>138334.36351127585</v>
      </c>
      <c r="Y88" s="36">
        <f t="shared" si="90"/>
        <v>152665.32144542722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174421.55297110075</v>
      </c>
      <c r="C89" s="36">
        <f t="shared" si="84"/>
        <v>178485.8997315139</v>
      </c>
      <c r="D89" s="36">
        <f t="shared" ref="D89:V89" si="91">IF(D7=0,0,D7*1000000/D27)</f>
        <v>182995.36878503216</v>
      </c>
      <c r="E89" s="36">
        <f t="shared" si="91"/>
        <v>187907.63343375438</v>
      </c>
      <c r="F89" s="36">
        <f t="shared" si="91"/>
        <v>192219.7456208317</v>
      </c>
      <c r="G89" s="36">
        <f t="shared" si="91"/>
        <v>252560.82346329259</v>
      </c>
      <c r="H89" s="36">
        <f t="shared" si="91"/>
        <v>217257.1405465487</v>
      </c>
      <c r="I89" s="36">
        <f t="shared" si="91"/>
        <v>230336.68914080894</v>
      </c>
      <c r="J89" s="36">
        <f t="shared" si="91"/>
        <v>225988.59873770841</v>
      </c>
      <c r="K89" s="36">
        <f t="shared" si="91"/>
        <v>175473.8032061288</v>
      </c>
      <c r="L89" s="36">
        <f t="shared" si="91"/>
        <v>155873.10522261987</v>
      </c>
      <c r="M89" s="36">
        <f t="shared" si="91"/>
        <v>137328.90322682547</v>
      </c>
      <c r="N89" s="36">
        <f t="shared" si="91"/>
        <v>128532.10758656441</v>
      </c>
      <c r="O89" s="36">
        <f t="shared" si="91"/>
        <v>129032.45193069105</v>
      </c>
      <c r="P89" s="36">
        <f t="shared" si="91"/>
        <v>115531.04659193497</v>
      </c>
      <c r="Q89" s="36">
        <f t="shared" si="91"/>
        <v>116464.77934968962</v>
      </c>
      <c r="R89" s="36">
        <f t="shared" si="91"/>
        <v>111722.54867379101</v>
      </c>
      <c r="S89" s="36">
        <f t="shared" si="91"/>
        <v>115730.26319793517</v>
      </c>
      <c r="T89" s="36">
        <f t="shared" si="91"/>
        <v>116756.17668350575</v>
      </c>
      <c r="U89" s="36">
        <f t="shared" si="91"/>
        <v>122921.18920893998</v>
      </c>
      <c r="V89" s="36">
        <f t="shared" si="91"/>
        <v>128716.98951627538</v>
      </c>
      <c r="W89" s="36">
        <f t="shared" ref="W89:Y89" si="92">IF(W7=0,0,W7*1000000/W27)</f>
        <v>194562.52806806634</v>
      </c>
      <c r="X89" s="36">
        <f t="shared" si="92"/>
        <v>390932.27010701405</v>
      </c>
      <c r="Y89" s="36">
        <f t="shared" si="92"/>
        <v>458791.46295118082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43903.109684098854</v>
      </c>
      <c r="C90" s="13">
        <f t="shared" si="84"/>
        <v>51211.903184182294</v>
      </c>
      <c r="D90" s="13">
        <f t="shared" ref="D90:V90" si="93">IF(D8=0,0,D8*1000000/D28)</f>
        <v>47786.713817060008</v>
      </c>
      <c r="E90" s="13">
        <f t="shared" si="93"/>
        <v>48093.166677090543</v>
      </c>
      <c r="F90" s="13">
        <f t="shared" si="93"/>
        <v>44480.374328760758</v>
      </c>
      <c r="G90" s="13">
        <f t="shared" si="93"/>
        <v>50543.440934239268</v>
      </c>
      <c r="H90" s="13">
        <f t="shared" si="93"/>
        <v>51552.831289279944</v>
      </c>
      <c r="I90" s="13">
        <f t="shared" si="93"/>
        <v>68142.861872179536</v>
      </c>
      <c r="J90" s="13">
        <f t="shared" si="93"/>
        <v>75760.932961369093</v>
      </c>
      <c r="K90" s="13">
        <f t="shared" si="93"/>
        <v>61686.573728611133</v>
      </c>
      <c r="L90" s="13">
        <f t="shared" si="93"/>
        <v>77257.424469227873</v>
      </c>
      <c r="M90" s="13">
        <f t="shared" si="93"/>
        <v>78066.107024664452</v>
      </c>
      <c r="N90" s="13">
        <f t="shared" si="93"/>
        <v>245157.50069179249</v>
      </c>
      <c r="O90" s="13">
        <f t="shared" si="93"/>
        <v>257513.4068481258</v>
      </c>
      <c r="P90" s="13">
        <f t="shared" si="93"/>
        <v>200611.26772996847</v>
      </c>
      <c r="Q90" s="13">
        <f t="shared" si="93"/>
        <v>99105.507479864056</v>
      </c>
      <c r="R90" s="13">
        <f t="shared" si="93"/>
        <v>88200.04724099669</v>
      </c>
      <c r="S90" s="13">
        <f t="shared" si="93"/>
        <v>74368.855910439379</v>
      </c>
      <c r="T90" s="13">
        <f t="shared" si="93"/>
        <v>63509.484732207115</v>
      </c>
      <c r="U90" s="13">
        <f t="shared" si="93"/>
        <v>111684.34722574179</v>
      </c>
      <c r="V90" s="13">
        <f t="shared" si="93"/>
        <v>32065.609061321862</v>
      </c>
      <c r="W90" s="13">
        <f t="shared" ref="W90:Y90" si="94">IF(W8=0,0,W8*1000000/W28)</f>
        <v>25062.840421887551</v>
      </c>
      <c r="X90" s="13">
        <f t="shared" si="94"/>
        <v>25961.040962422128</v>
      </c>
      <c r="Y90" s="13">
        <f t="shared" si="94"/>
        <v>25042.956308676003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18673.203858431109</v>
      </c>
      <c r="C92" s="34">
        <f t="shared" si="84"/>
        <v>19528.858795203778</v>
      </c>
      <c r="D92" s="34">
        <f t="shared" ref="D92:V92" si="97">IF(D10=0,0,D10*1000000/D30)</f>
        <v>18393.139332970655</v>
      </c>
      <c r="E92" s="34">
        <f t="shared" si="97"/>
        <v>18750.846051979977</v>
      </c>
      <c r="F92" s="34">
        <f t="shared" si="97"/>
        <v>16943.480192765524</v>
      </c>
      <c r="G92" s="34">
        <f t="shared" si="97"/>
        <v>19500.714268785086</v>
      </c>
      <c r="H92" s="34">
        <f t="shared" si="97"/>
        <v>18335.139147758066</v>
      </c>
      <c r="I92" s="34">
        <f t="shared" si="97"/>
        <v>20035.295138793525</v>
      </c>
      <c r="J92" s="34">
        <f t="shared" si="97"/>
        <v>21344.194913185394</v>
      </c>
      <c r="K92" s="34">
        <f t="shared" si="97"/>
        <v>22325.306184312871</v>
      </c>
      <c r="L92" s="34">
        <f t="shared" si="97"/>
        <v>25637.543210637963</v>
      </c>
      <c r="M92" s="34">
        <f t="shared" si="97"/>
        <v>24371.27948792194</v>
      </c>
      <c r="N92" s="34">
        <f t="shared" si="97"/>
        <v>25328.004602365734</v>
      </c>
      <c r="O92" s="34">
        <f t="shared" si="97"/>
        <v>23460.882322410303</v>
      </c>
      <c r="P92" s="34">
        <f t="shared" si="97"/>
        <v>25640.631104989712</v>
      </c>
      <c r="Q92" s="34">
        <f t="shared" si="97"/>
        <v>23475.916736904979</v>
      </c>
      <c r="R92" s="34">
        <f t="shared" si="97"/>
        <v>23224.762894472417</v>
      </c>
      <c r="S92" s="34">
        <f t="shared" si="97"/>
        <v>19875.107413491067</v>
      </c>
      <c r="T92" s="34">
        <f t="shared" si="97"/>
        <v>19386.183898400144</v>
      </c>
      <c r="U92" s="34">
        <f t="shared" si="97"/>
        <v>22599.732587071619</v>
      </c>
      <c r="V92" s="34">
        <f t="shared" si="97"/>
        <v>18730.30325147956</v>
      </c>
      <c r="W92" s="34">
        <f t="shared" ref="W92:Y92" si="98">IF(W10=0,0,W10*1000000/W30)</f>
        <v>17709.448765974172</v>
      </c>
      <c r="X92" s="34">
        <f t="shared" si="98"/>
        <v>17220.407688753708</v>
      </c>
      <c r="Y92" s="34">
        <f t="shared" si="98"/>
        <v>17700.563375251582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252950.90081106024</v>
      </c>
      <c r="C93" s="35">
        <f t="shared" si="84"/>
        <v>265072.4528097873</v>
      </c>
      <c r="D93" s="35">
        <f t="shared" ref="D93:V93" si="99">IF(D11=0,0,D11*1000000/D31)</f>
        <v>250275.78248523109</v>
      </c>
      <c r="E93" s="35">
        <f t="shared" si="99"/>
        <v>227407.34827498847</v>
      </c>
      <c r="F93" s="35">
        <f t="shared" si="99"/>
        <v>220716.49679913028</v>
      </c>
      <c r="G93" s="35">
        <f t="shared" si="99"/>
        <v>224382.71026078265</v>
      </c>
      <c r="H93" s="35">
        <f t="shared" si="99"/>
        <v>235227.12901298914</v>
      </c>
      <c r="I93" s="35">
        <f t="shared" si="99"/>
        <v>260573.12880572362</v>
      </c>
      <c r="J93" s="35">
        <f t="shared" si="99"/>
        <v>284721.20706639445</v>
      </c>
      <c r="K93" s="35">
        <f t="shared" si="99"/>
        <v>332492.09443338326</v>
      </c>
      <c r="L93" s="35">
        <f t="shared" si="99"/>
        <v>362525.18931933003</v>
      </c>
      <c r="M93" s="35">
        <f t="shared" si="99"/>
        <v>363496.5060357693</v>
      </c>
      <c r="N93" s="35">
        <f t="shared" si="99"/>
        <v>397582.83073289326</v>
      </c>
      <c r="O93" s="35">
        <f t="shared" si="99"/>
        <v>370615.71159921127</v>
      </c>
      <c r="P93" s="35">
        <f t="shared" si="99"/>
        <v>366441.64721782145</v>
      </c>
      <c r="Q93" s="35">
        <f t="shared" si="99"/>
        <v>319039.83458295191</v>
      </c>
      <c r="R93" s="35">
        <f t="shared" si="99"/>
        <v>294640.50763311813</v>
      </c>
      <c r="S93" s="35">
        <f t="shared" si="99"/>
        <v>241782.63995261048</v>
      </c>
      <c r="T93" s="35">
        <f t="shared" si="99"/>
        <v>191831.37798282006</v>
      </c>
      <c r="U93" s="35">
        <f t="shared" si="99"/>
        <v>436472.00476256013</v>
      </c>
      <c r="V93" s="35">
        <f t="shared" si="99"/>
        <v>79042.25452781179</v>
      </c>
      <c r="W93" s="35">
        <f t="shared" ref="W93:Y93" si="100">IF(W11=0,0,W11*1000000/W31)</f>
        <v>71954.033590030842</v>
      </c>
      <c r="X93" s="35">
        <f t="shared" si="100"/>
        <v>253217.50607780096</v>
      </c>
      <c r="Y93" s="35">
        <f t="shared" si="100"/>
        <v>261727.15204494557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1171.9089664632686</v>
      </c>
      <c r="C95" s="62">
        <f t="shared" si="101"/>
        <v>1171.5513719897572</v>
      </c>
      <c r="D95" s="62">
        <f t="shared" ref="D95:V95" si="102">IF(D23=0,0,D23/D43)</f>
        <v>1171.5463960860372</v>
      </c>
      <c r="E95" s="62">
        <f t="shared" si="102"/>
        <v>1171.931234466836</v>
      </c>
      <c r="F95" s="62">
        <f t="shared" si="102"/>
        <v>1172.1026331882792</v>
      </c>
      <c r="G95" s="62">
        <f t="shared" si="102"/>
        <v>1088.0106404362109</v>
      </c>
      <c r="H95" s="62">
        <f t="shared" si="102"/>
        <v>1082.0497390637083</v>
      </c>
      <c r="I95" s="62">
        <f t="shared" si="102"/>
        <v>1079.4256491477702</v>
      </c>
      <c r="J95" s="62">
        <f t="shared" si="102"/>
        <v>1118.7121833653632</v>
      </c>
      <c r="K95" s="62">
        <f t="shared" si="102"/>
        <v>1183.4298125262328</v>
      </c>
      <c r="L95" s="62">
        <f t="shared" si="102"/>
        <v>1239.4200965729592</v>
      </c>
      <c r="M95" s="62">
        <f t="shared" si="102"/>
        <v>1293.5369450695832</v>
      </c>
      <c r="N95" s="62">
        <f t="shared" si="102"/>
        <v>1189.0371528448115</v>
      </c>
      <c r="O95" s="62">
        <f t="shared" si="102"/>
        <v>1157.2331068255378</v>
      </c>
      <c r="P95" s="62">
        <f t="shared" si="102"/>
        <v>1137.2251031376413</v>
      </c>
      <c r="Q95" s="62">
        <f t="shared" si="102"/>
        <v>1176.6229386592286</v>
      </c>
      <c r="R95" s="62">
        <f t="shared" si="102"/>
        <v>1180.8972091849221</v>
      </c>
      <c r="S95" s="62">
        <f t="shared" si="102"/>
        <v>1230.3555047945408</v>
      </c>
      <c r="T95" s="62">
        <f t="shared" si="102"/>
        <v>1221.494848814586</v>
      </c>
      <c r="U95" s="62">
        <f t="shared" si="102"/>
        <v>1211.3846686127897</v>
      </c>
      <c r="V95" s="62">
        <f t="shared" si="102"/>
        <v>401.28889387448714</v>
      </c>
      <c r="W95" s="62">
        <f t="shared" ref="W95:Y95" si="103">IF(W23=0,0,W23/W43)</f>
        <v>447.88691344508669</v>
      </c>
      <c r="X95" s="62">
        <f t="shared" si="103"/>
        <v>750.46446822465771</v>
      </c>
      <c r="Y95" s="62">
        <f t="shared" si="103"/>
        <v>867.96805480858234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1173.3494918960123</v>
      </c>
      <c r="C96" s="11">
        <f t="shared" si="104"/>
        <v>1173.2968743279355</v>
      </c>
      <c r="D96" s="11">
        <f t="shared" ref="D96:V96" si="105">IF(D24=0,0,D24/D44)</f>
        <v>1173.3168030517641</v>
      </c>
      <c r="E96" s="11">
        <f t="shared" si="105"/>
        <v>1173.3407375020761</v>
      </c>
      <c r="F96" s="11">
        <f t="shared" si="105"/>
        <v>1173.2330380654309</v>
      </c>
      <c r="G96" s="11">
        <f t="shared" si="105"/>
        <v>1089.092467216929</v>
      </c>
      <c r="H96" s="11">
        <f t="shared" si="105"/>
        <v>1083.328822529965</v>
      </c>
      <c r="I96" s="11">
        <f t="shared" si="105"/>
        <v>1081.3536591857651</v>
      </c>
      <c r="J96" s="11">
        <f t="shared" si="105"/>
        <v>1121.0990128659835</v>
      </c>
      <c r="K96" s="11">
        <f t="shared" si="105"/>
        <v>1186.8119395888602</v>
      </c>
      <c r="L96" s="11">
        <f t="shared" si="105"/>
        <v>1245.1066398579142</v>
      </c>
      <c r="M96" s="11">
        <f t="shared" si="105"/>
        <v>1299.9429225031945</v>
      </c>
      <c r="N96" s="11">
        <f t="shared" si="105"/>
        <v>1215.4190957241738</v>
      </c>
      <c r="O96" s="11">
        <f t="shared" si="105"/>
        <v>1196.3545623994623</v>
      </c>
      <c r="P96" s="11">
        <f t="shared" si="105"/>
        <v>1184.7317091524797</v>
      </c>
      <c r="Q96" s="11">
        <f t="shared" si="105"/>
        <v>1233.6489014929614</v>
      </c>
      <c r="R96" s="11">
        <f t="shared" si="105"/>
        <v>1239.1287025506342</v>
      </c>
      <c r="S96" s="11">
        <f t="shared" si="105"/>
        <v>1286.9726048299401</v>
      </c>
      <c r="T96" s="11">
        <f t="shared" si="105"/>
        <v>1269.9217613926855</v>
      </c>
      <c r="U96" s="11">
        <f t="shared" si="105"/>
        <v>1257.6505816190083</v>
      </c>
      <c r="V96" s="11">
        <f t="shared" si="105"/>
        <v>408.85495538926205</v>
      </c>
      <c r="W96" s="11">
        <f t="shared" ref="W96:Y96" si="106">IF(W24=0,0,W24/W44)</f>
        <v>455.64850702762533</v>
      </c>
      <c r="X96" s="11">
        <f t="shared" si="106"/>
        <v>774.6732245957794</v>
      </c>
      <c r="Y96" s="11">
        <f t="shared" si="106"/>
        <v>899.2495092541227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1399.9698780545145</v>
      </c>
      <c r="C98" s="36">
        <f t="shared" si="104"/>
        <v>1400.0017198122271</v>
      </c>
      <c r="D98" s="36">
        <f t="shared" ref="D98:V98" si="109">IF(D26=0,0,D26/D46)</f>
        <v>1400.0488183185169</v>
      </c>
      <c r="E98" s="36">
        <f t="shared" si="109"/>
        <v>1400.1078420413558</v>
      </c>
      <c r="F98" s="36">
        <f t="shared" si="109"/>
        <v>1400.1191554136735</v>
      </c>
      <c r="G98" s="36">
        <f t="shared" si="109"/>
        <v>1330.6877352500157</v>
      </c>
      <c r="H98" s="36">
        <f t="shared" si="109"/>
        <v>1335.1763019021914</v>
      </c>
      <c r="I98" s="36">
        <f t="shared" si="109"/>
        <v>1341.1655474294344</v>
      </c>
      <c r="J98" s="36">
        <f t="shared" si="109"/>
        <v>1368.2243895597335</v>
      </c>
      <c r="K98" s="36">
        <f t="shared" si="109"/>
        <v>1423.5871910739825</v>
      </c>
      <c r="L98" s="36">
        <f t="shared" si="109"/>
        <v>1415.1751964151997</v>
      </c>
      <c r="M98" s="36">
        <f t="shared" si="109"/>
        <v>1448.9369093114287</v>
      </c>
      <c r="N98" s="36">
        <f t="shared" si="109"/>
        <v>1333.1949660654682</v>
      </c>
      <c r="O98" s="36">
        <f t="shared" si="109"/>
        <v>1288.2872733701549</v>
      </c>
      <c r="P98" s="36">
        <f t="shared" si="109"/>
        <v>1284.9265398551497</v>
      </c>
      <c r="Q98" s="36">
        <f t="shared" si="109"/>
        <v>1379.4540178949344</v>
      </c>
      <c r="R98" s="36">
        <f t="shared" si="109"/>
        <v>1341.2407511659899</v>
      </c>
      <c r="S98" s="36">
        <f t="shared" si="109"/>
        <v>1381.6951906309293</v>
      </c>
      <c r="T98" s="36">
        <f t="shared" si="109"/>
        <v>1373.3738063428816</v>
      </c>
      <c r="U98" s="36">
        <f t="shared" si="109"/>
        <v>1367.9632995293478</v>
      </c>
      <c r="V98" s="36">
        <f t="shared" si="109"/>
        <v>512.30766424318585</v>
      </c>
      <c r="W98" s="36">
        <f t="shared" ref="W98:Y98" si="110">IF(W26=0,0,W26/W46)</f>
        <v>569.7334952769894</v>
      </c>
      <c r="X98" s="36">
        <f t="shared" si="110"/>
        <v>1036.1123338632756</v>
      </c>
      <c r="Y98" s="36">
        <f t="shared" si="110"/>
        <v>1186.3428747517046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532</v>
      </c>
      <c r="C99" s="36">
        <f t="shared" si="104"/>
        <v>532</v>
      </c>
      <c r="D99" s="36">
        <f t="shared" ref="D99:V99" si="111">IF(D27=0,0,D27/D47)</f>
        <v>532</v>
      </c>
      <c r="E99" s="36">
        <f t="shared" si="111"/>
        <v>532</v>
      </c>
      <c r="F99" s="36">
        <f t="shared" si="111"/>
        <v>532</v>
      </c>
      <c r="G99" s="36">
        <f t="shared" si="111"/>
        <v>502</v>
      </c>
      <c r="H99" s="36">
        <f t="shared" si="111"/>
        <v>552</v>
      </c>
      <c r="I99" s="36">
        <f t="shared" si="111"/>
        <v>584</v>
      </c>
      <c r="J99" s="36">
        <f t="shared" si="111"/>
        <v>619</v>
      </c>
      <c r="K99" s="36">
        <f t="shared" si="111"/>
        <v>661.91056064178338</v>
      </c>
      <c r="L99" s="36">
        <f t="shared" si="111"/>
        <v>815</v>
      </c>
      <c r="M99" s="36">
        <f t="shared" si="111"/>
        <v>907.55532675329596</v>
      </c>
      <c r="N99" s="36">
        <f t="shared" si="111"/>
        <v>905.02884104841439</v>
      </c>
      <c r="O99" s="36">
        <f t="shared" si="111"/>
        <v>958</v>
      </c>
      <c r="P99" s="36">
        <f t="shared" si="111"/>
        <v>921.75788146279956</v>
      </c>
      <c r="Q99" s="36">
        <f t="shared" si="111"/>
        <v>843.60795332675571</v>
      </c>
      <c r="R99" s="36">
        <f t="shared" si="111"/>
        <v>963.66441836019635</v>
      </c>
      <c r="S99" s="36">
        <f t="shared" si="111"/>
        <v>1030</v>
      </c>
      <c r="T99" s="36">
        <f t="shared" si="111"/>
        <v>1012</v>
      </c>
      <c r="U99" s="36">
        <f t="shared" si="111"/>
        <v>1010</v>
      </c>
      <c r="V99" s="36">
        <f t="shared" si="111"/>
        <v>177.04541524984148</v>
      </c>
      <c r="W99" s="36">
        <f t="shared" ref="W99:Y99" si="112">IF(W27=0,0,W27/W47)</f>
        <v>200.50769967633781</v>
      </c>
      <c r="X99" s="36">
        <f t="shared" si="112"/>
        <v>191.13416381553935</v>
      </c>
      <c r="Y99" s="36">
        <f t="shared" si="112"/>
        <v>259.72661255873555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1045.1720856768147</v>
      </c>
      <c r="C100" s="13">
        <f t="shared" si="104"/>
        <v>1015.040371134363</v>
      </c>
      <c r="D100" s="13">
        <f t="shared" ref="D100:V100" si="113">IF(D28=0,0,D28/D48)</f>
        <v>1025.9246074900952</v>
      </c>
      <c r="E100" s="13">
        <f t="shared" si="113"/>
        <v>992.0704188756107</v>
      </c>
      <c r="F100" s="13">
        <f t="shared" si="113"/>
        <v>1017.6935676309106</v>
      </c>
      <c r="G100" s="13">
        <f t="shared" si="113"/>
        <v>944.43775811424064</v>
      </c>
      <c r="H100" s="13">
        <f t="shared" si="113"/>
        <v>910.46819457680419</v>
      </c>
      <c r="I100" s="13">
        <f t="shared" si="113"/>
        <v>790.8092438363766</v>
      </c>
      <c r="J100" s="13">
        <f t="shared" si="113"/>
        <v>766.60728922364308</v>
      </c>
      <c r="K100" s="13">
        <f t="shared" si="113"/>
        <v>835.59782843453718</v>
      </c>
      <c r="L100" s="13">
        <f t="shared" si="113"/>
        <v>769.43684404093972</v>
      </c>
      <c r="M100" s="13">
        <f t="shared" si="113"/>
        <v>752.82662817898461</v>
      </c>
      <c r="N100" s="13">
        <f t="shared" si="113"/>
        <v>488.65832862905216</v>
      </c>
      <c r="O100" s="13">
        <f t="shared" si="113"/>
        <v>491.85119127786777</v>
      </c>
      <c r="P100" s="13">
        <f t="shared" si="113"/>
        <v>340.43625868823381</v>
      </c>
      <c r="Q100" s="13">
        <f t="shared" si="113"/>
        <v>222.61883293462526</v>
      </c>
      <c r="R100" s="13">
        <f t="shared" si="113"/>
        <v>216.95466114737565</v>
      </c>
      <c r="S100" s="13">
        <f t="shared" si="113"/>
        <v>255.514670305316</v>
      </c>
      <c r="T100" s="13">
        <f t="shared" si="113"/>
        <v>273.75330857922927</v>
      </c>
      <c r="U100" s="13">
        <f t="shared" si="113"/>
        <v>279.86032640710459</v>
      </c>
      <c r="V100" s="13">
        <f t="shared" si="113"/>
        <v>250.05910568349483</v>
      </c>
      <c r="W100" s="13">
        <f t="shared" ref="W100:Y100" si="114">IF(W28=0,0,W28/W48)</f>
        <v>302.43437485335096</v>
      </c>
      <c r="X100" s="13">
        <f t="shared" si="114"/>
        <v>321.40581083374002</v>
      </c>
      <c r="Y100" s="13">
        <f t="shared" si="114"/>
        <v>319.58611134851566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1196.7343479853635</v>
      </c>
      <c r="C102" s="34">
        <f t="shared" si="104"/>
        <v>1189.5572770746246</v>
      </c>
      <c r="D102" s="34">
        <f t="shared" ref="D102:V102" si="117">IF(D30=0,0,D30/D50)</f>
        <v>1202.5103850219377</v>
      </c>
      <c r="E102" s="34">
        <f t="shared" si="117"/>
        <v>1173.596450722976</v>
      </c>
      <c r="F102" s="34">
        <f t="shared" si="117"/>
        <v>1205.1460482542188</v>
      </c>
      <c r="G102" s="34">
        <f t="shared" si="117"/>
        <v>1137.7098032753611</v>
      </c>
      <c r="H102" s="34">
        <f t="shared" si="117"/>
        <v>1110.656938279702</v>
      </c>
      <c r="I102" s="34">
        <f t="shared" si="117"/>
        <v>1017.7358862980518</v>
      </c>
      <c r="J102" s="34">
        <f t="shared" si="117"/>
        <v>1031.4653670532962</v>
      </c>
      <c r="K102" s="34">
        <f t="shared" si="117"/>
        <v>1017.1936342637259</v>
      </c>
      <c r="L102" s="34">
        <f t="shared" si="117"/>
        <v>974.15212571431891</v>
      </c>
      <c r="M102" s="34">
        <f t="shared" si="117"/>
        <v>946.44846427619495</v>
      </c>
      <c r="N102" s="34">
        <f t="shared" si="117"/>
        <v>936.27850655672989</v>
      </c>
      <c r="O102" s="34">
        <f t="shared" si="117"/>
        <v>1040.1172408902014</v>
      </c>
      <c r="P102" s="34">
        <f t="shared" si="117"/>
        <v>1052.4924950284023</v>
      </c>
      <c r="Q102" s="34">
        <f t="shared" si="117"/>
        <v>1069.0805577738452</v>
      </c>
      <c r="R102" s="34">
        <f t="shared" si="117"/>
        <v>1082.8046670230469</v>
      </c>
      <c r="S102" s="34">
        <f t="shared" si="117"/>
        <v>1154.9387323210065</v>
      </c>
      <c r="T102" s="34">
        <f t="shared" si="117"/>
        <v>1175.6373498132734</v>
      </c>
      <c r="U102" s="34">
        <f t="shared" si="117"/>
        <v>1134.4481195788721</v>
      </c>
      <c r="V102" s="34">
        <f t="shared" si="117"/>
        <v>1009.1871000587346</v>
      </c>
      <c r="W102" s="34">
        <f t="shared" ref="W102:Y102" si="118">IF(W30=0,0,W30/W50)</f>
        <v>1102.0657095857166</v>
      </c>
      <c r="X102" s="34">
        <f t="shared" si="118"/>
        <v>1135.0131632266068</v>
      </c>
      <c r="Y102" s="34">
        <f t="shared" si="118"/>
        <v>1128.675922574784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510</v>
      </c>
      <c r="C103" s="35">
        <f t="shared" si="104"/>
        <v>510</v>
      </c>
      <c r="D103" s="35">
        <f t="shared" ref="D103:V103" si="119">IF(D31=0,0,D31/D51)</f>
        <v>510</v>
      </c>
      <c r="E103" s="35">
        <f t="shared" si="119"/>
        <v>510</v>
      </c>
      <c r="F103" s="35">
        <f t="shared" si="119"/>
        <v>510</v>
      </c>
      <c r="G103" s="35">
        <f t="shared" si="119"/>
        <v>484</v>
      </c>
      <c r="H103" s="35">
        <f t="shared" si="119"/>
        <v>456</v>
      </c>
      <c r="I103" s="35">
        <f t="shared" si="119"/>
        <v>418</v>
      </c>
      <c r="J103" s="35">
        <f t="shared" si="119"/>
        <v>386.00000000000006</v>
      </c>
      <c r="K103" s="35">
        <f t="shared" si="119"/>
        <v>375</v>
      </c>
      <c r="L103" s="35">
        <f t="shared" si="119"/>
        <v>356</v>
      </c>
      <c r="M103" s="35">
        <f t="shared" si="119"/>
        <v>360.63729692433145</v>
      </c>
      <c r="N103" s="35">
        <f t="shared" si="119"/>
        <v>367</v>
      </c>
      <c r="O103" s="35">
        <f t="shared" si="119"/>
        <v>392</v>
      </c>
      <c r="P103" s="35">
        <f t="shared" si="119"/>
        <v>207.4311757536714</v>
      </c>
      <c r="Q103" s="35">
        <f t="shared" si="119"/>
        <v>67.409344658500942</v>
      </c>
      <c r="R103" s="35">
        <f t="shared" si="119"/>
        <v>61.275949885701799</v>
      </c>
      <c r="S103" s="35">
        <f t="shared" si="119"/>
        <v>75.317742794955905</v>
      </c>
      <c r="T103" s="35">
        <f t="shared" si="119"/>
        <v>84.725697711490795</v>
      </c>
      <c r="U103" s="35">
        <f t="shared" si="119"/>
        <v>74.700494621747509</v>
      </c>
      <c r="V103" s="35">
        <f t="shared" si="119"/>
        <v>68.512039578420072</v>
      </c>
      <c r="W103" s="35">
        <f t="shared" ref="W103:Y103" si="120">IF(W31=0,0,W31/W51)</f>
        <v>53.748384955028136</v>
      </c>
      <c r="X103" s="35">
        <f t="shared" si="120"/>
        <v>16.366953592814379</v>
      </c>
      <c r="Y103" s="35">
        <f t="shared" si="120"/>
        <v>13.256529112845731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0.73109965954834644</v>
      </c>
      <c r="C108" s="43">
        <f t="shared" si="127"/>
        <v>0.73198023629679387</v>
      </c>
      <c r="D108" s="43">
        <f t="shared" ref="D108:V108" si="128">IF(D6=0,0,D6/D$4)</f>
        <v>0.73007360789663323</v>
      </c>
      <c r="E108" s="43">
        <f t="shared" si="128"/>
        <v>0.7253631457303924</v>
      </c>
      <c r="F108" s="43">
        <f t="shared" si="128"/>
        <v>0.7211595122921366</v>
      </c>
      <c r="G108" s="43">
        <f t="shared" si="128"/>
        <v>0.71838510677431933</v>
      </c>
      <c r="H108" s="43">
        <f t="shared" si="128"/>
        <v>0.71801954193348039</v>
      </c>
      <c r="I108" s="43">
        <f t="shared" si="128"/>
        <v>0.66802824719257592</v>
      </c>
      <c r="J108" s="43">
        <f t="shared" si="128"/>
        <v>0.64633815585236976</v>
      </c>
      <c r="K108" s="43">
        <f t="shared" si="128"/>
        <v>0.69890800701054534</v>
      </c>
      <c r="L108" s="43">
        <f t="shared" si="128"/>
        <v>0.710639802392664</v>
      </c>
      <c r="M108" s="43">
        <f t="shared" si="128"/>
        <v>0.72346864134110589</v>
      </c>
      <c r="N108" s="43">
        <f t="shared" si="128"/>
        <v>0.72123551998967883</v>
      </c>
      <c r="O108" s="43">
        <f t="shared" si="128"/>
        <v>0.7105973372307266</v>
      </c>
      <c r="P108" s="43">
        <f t="shared" si="128"/>
        <v>0.75078230222442166</v>
      </c>
      <c r="Q108" s="43">
        <f t="shared" si="128"/>
        <v>0.78440595737413288</v>
      </c>
      <c r="R108" s="43">
        <f t="shared" si="128"/>
        <v>0.77758170267432603</v>
      </c>
      <c r="S108" s="43">
        <f t="shared" si="128"/>
        <v>0.77151627583352034</v>
      </c>
      <c r="T108" s="43">
        <f t="shared" si="128"/>
        <v>0.76344724042830125</v>
      </c>
      <c r="U108" s="43">
        <f t="shared" si="128"/>
        <v>0.74304561010664349</v>
      </c>
      <c r="V108" s="43">
        <f t="shared" si="128"/>
        <v>0.82021974278394405</v>
      </c>
      <c r="W108" s="43">
        <f t="shared" ref="W108:Y108" si="129">IF(W6=0,0,W6/W$4)</f>
        <v>0.7705877580838667</v>
      </c>
      <c r="X108" s="43">
        <f t="shared" si="129"/>
        <v>0.81066002922633473</v>
      </c>
      <c r="Y108" s="43">
        <f t="shared" si="129"/>
        <v>0.77198757009205632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0.26890034045165351</v>
      </c>
      <c r="C109" s="43">
        <f t="shared" si="130"/>
        <v>0.26801976370320613</v>
      </c>
      <c r="D109" s="43">
        <f t="shared" ref="D109:V109" si="131">IF(D7=0,0,D7/D$4)</f>
        <v>0.26992639210336666</v>
      </c>
      <c r="E109" s="43">
        <f t="shared" si="131"/>
        <v>0.2746368542696076</v>
      </c>
      <c r="F109" s="43">
        <f t="shared" si="131"/>
        <v>0.27884048770786329</v>
      </c>
      <c r="G109" s="43">
        <f t="shared" si="131"/>
        <v>0.28161489322568067</v>
      </c>
      <c r="H109" s="43">
        <f t="shared" si="131"/>
        <v>0.28198045806651961</v>
      </c>
      <c r="I109" s="43">
        <f t="shared" si="131"/>
        <v>0.33197175280742408</v>
      </c>
      <c r="J109" s="43">
        <f t="shared" si="131"/>
        <v>0.3536618441476303</v>
      </c>
      <c r="K109" s="43">
        <f t="shared" si="131"/>
        <v>0.30109199298945466</v>
      </c>
      <c r="L109" s="43">
        <f t="shared" si="131"/>
        <v>0.289360197607336</v>
      </c>
      <c r="M109" s="43">
        <f t="shared" si="131"/>
        <v>0.27653135865889417</v>
      </c>
      <c r="N109" s="43">
        <f t="shared" si="131"/>
        <v>0.27876448001032117</v>
      </c>
      <c r="O109" s="43">
        <f t="shared" si="131"/>
        <v>0.2894026627692734</v>
      </c>
      <c r="P109" s="43">
        <f t="shared" si="131"/>
        <v>0.2492176977755784</v>
      </c>
      <c r="Q109" s="43">
        <f t="shared" si="131"/>
        <v>0.21559404262586718</v>
      </c>
      <c r="R109" s="43">
        <f t="shared" si="131"/>
        <v>0.22241829732567403</v>
      </c>
      <c r="S109" s="43">
        <f t="shared" si="131"/>
        <v>0.22848372416647969</v>
      </c>
      <c r="T109" s="43">
        <f t="shared" si="131"/>
        <v>0.23655275957169877</v>
      </c>
      <c r="U109" s="43">
        <f t="shared" si="131"/>
        <v>0.25695438989335639</v>
      </c>
      <c r="V109" s="43">
        <f t="shared" si="131"/>
        <v>0.17978025721605592</v>
      </c>
      <c r="W109" s="43">
        <f t="shared" ref="W109:Y109" si="132">IF(W7=0,0,W7/W$4)</f>
        <v>0.22941224191613332</v>
      </c>
      <c r="X109" s="43">
        <f t="shared" si="132"/>
        <v>0.18933997077366538</v>
      </c>
      <c r="Y109" s="43">
        <f t="shared" si="132"/>
        <v>0.22801242990794379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0.37952308077490482</v>
      </c>
      <c r="C112" s="44">
        <f t="shared" si="139"/>
        <v>0.33212993444635508</v>
      </c>
      <c r="D112" s="44">
        <f t="shared" ref="D112:V112" si="140">IF(D10=0,0,D10/D$8)</f>
        <v>0.33611046556328028</v>
      </c>
      <c r="E112" s="44">
        <f t="shared" si="140"/>
        <v>0.33505816812009376</v>
      </c>
      <c r="F112" s="44">
        <f t="shared" si="140"/>
        <v>0.32944463549133385</v>
      </c>
      <c r="G112" s="44">
        <f t="shared" si="140"/>
        <v>0.32736316099301743</v>
      </c>
      <c r="H112" s="44">
        <f t="shared" si="140"/>
        <v>0.3011872361897967</v>
      </c>
      <c r="I112" s="44">
        <f t="shared" si="140"/>
        <v>0.23521518865908705</v>
      </c>
      <c r="J112" s="44">
        <f t="shared" si="140"/>
        <v>0.22352202678297345</v>
      </c>
      <c r="K112" s="44">
        <f t="shared" si="140"/>
        <v>0.3159868399690951</v>
      </c>
      <c r="L112" s="44">
        <f t="shared" si="140"/>
        <v>0.28099836521727184</v>
      </c>
      <c r="M112" s="44">
        <f t="shared" si="140"/>
        <v>0.26275799256289528</v>
      </c>
      <c r="N112" s="44">
        <f t="shared" si="140"/>
        <v>4.2303139395674406E-2</v>
      </c>
      <c r="O112" s="44">
        <f t="shared" si="140"/>
        <v>2.9681971270638752E-2</v>
      </c>
      <c r="P112" s="44">
        <f t="shared" si="140"/>
        <v>6.2192297635895934E-2</v>
      </c>
      <c r="Q112" s="44">
        <f t="shared" si="140"/>
        <v>0.17626511754015137</v>
      </c>
      <c r="R112" s="44">
        <f t="shared" si="140"/>
        <v>0.200282153652448</v>
      </c>
      <c r="S112" s="44">
        <f t="shared" si="140"/>
        <v>0.20162183013177701</v>
      </c>
      <c r="T112" s="44">
        <f t="shared" si="140"/>
        <v>0.22714511540722127</v>
      </c>
      <c r="U112" s="44">
        <f t="shared" si="140"/>
        <v>0.15879768827341953</v>
      </c>
      <c r="V112" s="44">
        <f t="shared" si="140"/>
        <v>0.45497123227374747</v>
      </c>
      <c r="W112" s="44">
        <f t="shared" ref="W112:Y112" si="141">IF(W10=0,0,W10/W$8)</f>
        <v>0.61081493658614516</v>
      </c>
      <c r="X112" s="44">
        <f t="shared" si="141"/>
        <v>0.63874999601885485</v>
      </c>
      <c r="Y112" s="44">
        <f t="shared" si="141"/>
        <v>0.68554126920345437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0.62047691922509518</v>
      </c>
      <c r="C113" s="45">
        <f t="shared" si="142"/>
        <v>0.66787006555364503</v>
      </c>
      <c r="D113" s="45">
        <f t="shared" ref="D113:V113" si="143">IF(D11=0,0,D11/D$8)</f>
        <v>0.66388953443671972</v>
      </c>
      <c r="E113" s="45">
        <f t="shared" si="143"/>
        <v>0.6649418318799063</v>
      </c>
      <c r="F113" s="45">
        <f t="shared" si="143"/>
        <v>0.67055536450866626</v>
      </c>
      <c r="G113" s="45">
        <f t="shared" si="143"/>
        <v>0.67263683900698246</v>
      </c>
      <c r="H113" s="45">
        <f t="shared" si="143"/>
        <v>0.6988127638102033</v>
      </c>
      <c r="I113" s="45">
        <f t="shared" si="143"/>
        <v>0.76478481134091292</v>
      </c>
      <c r="J113" s="45">
        <f t="shared" si="143"/>
        <v>0.7764779732170265</v>
      </c>
      <c r="K113" s="45">
        <f t="shared" si="143"/>
        <v>0.68401316003090484</v>
      </c>
      <c r="L113" s="45">
        <f t="shared" si="143"/>
        <v>0.71900163478272816</v>
      </c>
      <c r="M113" s="45">
        <f t="shared" si="143"/>
        <v>0.73724200743710466</v>
      </c>
      <c r="N113" s="45">
        <f t="shared" si="143"/>
        <v>0.95769686060432557</v>
      </c>
      <c r="O113" s="45">
        <f t="shared" si="143"/>
        <v>0.97031802872936135</v>
      </c>
      <c r="P113" s="45">
        <f t="shared" si="143"/>
        <v>0.93780770236410416</v>
      </c>
      <c r="Q113" s="45">
        <f t="shared" si="143"/>
        <v>0.82373488245984861</v>
      </c>
      <c r="R113" s="45">
        <f t="shared" si="143"/>
        <v>0.79971784634755194</v>
      </c>
      <c r="S113" s="45">
        <f t="shared" si="143"/>
        <v>0.79837816986822296</v>
      </c>
      <c r="T113" s="45">
        <f t="shared" si="143"/>
        <v>0.77285488459277873</v>
      </c>
      <c r="U113" s="45">
        <f t="shared" si="143"/>
        <v>0.84120231172658044</v>
      </c>
      <c r="V113" s="45">
        <f t="shared" si="143"/>
        <v>0.54502876772625264</v>
      </c>
      <c r="W113" s="45">
        <f t="shared" ref="W113:Y113" si="144">IF(W11=0,0,W11/W$8)</f>
        <v>0.38918506341385489</v>
      </c>
      <c r="X113" s="45">
        <f t="shared" si="144"/>
        <v>0.3612500039811451</v>
      </c>
      <c r="Y113" s="45">
        <f t="shared" si="144"/>
        <v>0.31445873079654557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0.70753038849575423</v>
      </c>
      <c r="C118" s="43">
        <f t="shared" si="151"/>
        <v>0.70743049053584839</v>
      </c>
      <c r="D118" s="43">
        <f t="shared" ref="D118:V118" si="152">IF(D16=0,0,D16/D$14)</f>
        <v>0.70740356225259093</v>
      </c>
      <c r="E118" s="43">
        <f t="shared" si="152"/>
        <v>0.70736850095316173</v>
      </c>
      <c r="F118" s="43">
        <f t="shared" si="152"/>
        <v>0.70722304864075403</v>
      </c>
      <c r="G118" s="43">
        <f t="shared" si="152"/>
        <v>0.68398569241335461</v>
      </c>
      <c r="H118" s="43">
        <f t="shared" si="152"/>
        <v>0.6582412682758817</v>
      </c>
      <c r="I118" s="43">
        <f t="shared" si="152"/>
        <v>0.63802332606060164</v>
      </c>
      <c r="J118" s="43">
        <f t="shared" si="152"/>
        <v>0.64706420337307202</v>
      </c>
      <c r="K118" s="43">
        <f t="shared" si="152"/>
        <v>0.68701885688068365</v>
      </c>
      <c r="L118" s="43">
        <f t="shared" si="152"/>
        <v>0.71731989574804567</v>
      </c>
      <c r="M118" s="43">
        <f t="shared" si="152"/>
        <v>0.73240132056076845</v>
      </c>
      <c r="N118" s="43">
        <f t="shared" si="152"/>
        <v>0.74339458509157785</v>
      </c>
      <c r="O118" s="43">
        <f t="shared" si="152"/>
        <v>0.72356711700240794</v>
      </c>
      <c r="P118" s="43">
        <f t="shared" si="152"/>
        <v>0.75089694787457228</v>
      </c>
      <c r="Q118" s="43">
        <f t="shared" si="152"/>
        <v>0.78950839260816608</v>
      </c>
      <c r="R118" s="43">
        <f t="shared" si="152"/>
        <v>0.76907161291827453</v>
      </c>
      <c r="S118" s="43">
        <f t="shared" si="152"/>
        <v>0.76039692096886313</v>
      </c>
      <c r="T118" s="43">
        <f t="shared" si="152"/>
        <v>0.74723180880270401</v>
      </c>
      <c r="U118" s="43">
        <f t="shared" si="152"/>
        <v>0.7279974216556776</v>
      </c>
      <c r="V118" s="43">
        <f t="shared" si="152"/>
        <v>0.83901860587957722</v>
      </c>
      <c r="W118" s="43">
        <f t="shared" ref="W118:Y118" si="153">IF(W16=0,0,W16/W$14)</f>
        <v>0.81105080937069807</v>
      </c>
      <c r="X118" s="43">
        <f t="shared" si="153"/>
        <v>0.84096896932254295</v>
      </c>
      <c r="Y118" s="43">
        <f t="shared" si="153"/>
        <v>0.80512732405163634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0.29246961150424566</v>
      </c>
      <c r="C119" s="43">
        <f t="shared" si="154"/>
        <v>0.29256950946415161</v>
      </c>
      <c r="D119" s="43">
        <f t="shared" ref="D119:V119" si="155">IF(D17=0,0,D17/D$14)</f>
        <v>0.29259643774740918</v>
      </c>
      <c r="E119" s="43">
        <f t="shared" si="155"/>
        <v>0.29263149904683833</v>
      </c>
      <c r="F119" s="43">
        <f t="shared" si="155"/>
        <v>0.29277695135924603</v>
      </c>
      <c r="G119" s="43">
        <f t="shared" si="155"/>
        <v>0.31601430758664539</v>
      </c>
      <c r="H119" s="43">
        <f t="shared" si="155"/>
        <v>0.34175873172411836</v>
      </c>
      <c r="I119" s="43">
        <f t="shared" si="155"/>
        <v>0.36197667393939847</v>
      </c>
      <c r="J119" s="43">
        <f t="shared" si="155"/>
        <v>0.35293579662692803</v>
      </c>
      <c r="K119" s="43">
        <f t="shared" si="155"/>
        <v>0.31298114311931641</v>
      </c>
      <c r="L119" s="43">
        <f t="shared" si="155"/>
        <v>0.28268010425195433</v>
      </c>
      <c r="M119" s="43">
        <f t="shared" si="155"/>
        <v>0.26759867943923155</v>
      </c>
      <c r="N119" s="43">
        <f t="shared" si="155"/>
        <v>0.25660541490842215</v>
      </c>
      <c r="O119" s="43">
        <f t="shared" si="155"/>
        <v>0.27643288299759206</v>
      </c>
      <c r="P119" s="43">
        <f t="shared" si="155"/>
        <v>0.24910305212542774</v>
      </c>
      <c r="Q119" s="43">
        <f t="shared" si="155"/>
        <v>0.21049160739183398</v>
      </c>
      <c r="R119" s="43">
        <f t="shared" si="155"/>
        <v>0.23092838708172544</v>
      </c>
      <c r="S119" s="43">
        <f t="shared" si="155"/>
        <v>0.23960307903113695</v>
      </c>
      <c r="T119" s="43">
        <f t="shared" si="155"/>
        <v>0.25276819119729599</v>
      </c>
      <c r="U119" s="43">
        <f t="shared" si="155"/>
        <v>0.27200257834432234</v>
      </c>
      <c r="V119" s="43">
        <f t="shared" si="155"/>
        <v>0.16098139412042281</v>
      </c>
      <c r="W119" s="43">
        <f t="shared" ref="W119:Y119" si="156">IF(W17=0,0,W17/W$14)</f>
        <v>0.18894919062930185</v>
      </c>
      <c r="X119" s="43">
        <f t="shared" si="156"/>
        <v>0.15903103067745711</v>
      </c>
      <c r="Y119" s="43">
        <f t="shared" si="156"/>
        <v>0.19487267594836369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0.66090887378603957</v>
      </c>
      <c r="C122" s="44">
        <f t="shared" si="163"/>
        <v>0.60957329691182571</v>
      </c>
      <c r="D122" s="44">
        <f t="shared" ref="D122:V122" si="164">IF(D20=0,0,D20/D$18)</f>
        <v>0.61460415430290927</v>
      </c>
      <c r="E122" s="44">
        <f t="shared" si="164"/>
        <v>0.58463520144456249</v>
      </c>
      <c r="F122" s="44">
        <f t="shared" si="164"/>
        <v>0.59525984765749207</v>
      </c>
      <c r="G122" s="44">
        <f t="shared" si="164"/>
        <v>0.5880088253223017</v>
      </c>
      <c r="H122" s="44">
        <f t="shared" si="164"/>
        <v>0.57739286230597964</v>
      </c>
      <c r="I122" s="44">
        <f t="shared" si="164"/>
        <v>0.49121010192536524</v>
      </c>
      <c r="J122" s="44">
        <f t="shared" si="164"/>
        <v>0.48020298625912433</v>
      </c>
      <c r="K122" s="44">
        <f t="shared" si="164"/>
        <v>0.62680522995876109</v>
      </c>
      <c r="L122" s="44">
        <f t="shared" si="164"/>
        <v>0.58095568636197503</v>
      </c>
      <c r="M122" s="44">
        <f t="shared" si="164"/>
        <v>0.55594883057694289</v>
      </c>
      <c r="N122" s="44">
        <f t="shared" si="164"/>
        <v>0.13772029301220562</v>
      </c>
      <c r="O122" s="44">
        <f t="shared" si="164"/>
        <v>0.10448984311605654</v>
      </c>
      <c r="P122" s="44">
        <f t="shared" si="164"/>
        <v>0.19978445547786516</v>
      </c>
      <c r="Q122" s="44">
        <f t="shared" si="164"/>
        <v>0.44650634371684428</v>
      </c>
      <c r="R122" s="44">
        <f t="shared" si="164"/>
        <v>0.48175994892635665</v>
      </c>
      <c r="S122" s="44">
        <f t="shared" si="164"/>
        <v>0.49557913257015029</v>
      </c>
      <c r="T122" s="44">
        <f t="shared" si="164"/>
        <v>0.52437923794072083</v>
      </c>
      <c r="U122" s="44">
        <f t="shared" si="164"/>
        <v>0.40408006815999525</v>
      </c>
      <c r="V122" s="44">
        <f t="shared" si="164"/>
        <v>0.69747409404615357</v>
      </c>
      <c r="W122" s="44">
        <f t="shared" ref="W122:Y122" si="165">IF(W20=0,0,W20/W$18)</f>
        <v>0.80940776610487974</v>
      </c>
      <c r="X122" s="44">
        <f t="shared" si="165"/>
        <v>0.84756856875990572</v>
      </c>
      <c r="Y122" s="44">
        <f t="shared" si="165"/>
        <v>0.87826806088249132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0.33909112621396054</v>
      </c>
      <c r="C123" s="45">
        <f t="shared" si="166"/>
        <v>0.39042670308817423</v>
      </c>
      <c r="D123" s="45">
        <f t="shared" ref="D123:V123" si="167">IF(D21=0,0,D21/D$18)</f>
        <v>0.38539584569709062</v>
      </c>
      <c r="E123" s="45">
        <f t="shared" si="167"/>
        <v>0.41536479855543756</v>
      </c>
      <c r="F123" s="45">
        <f t="shared" si="167"/>
        <v>0.40474015234250782</v>
      </c>
      <c r="G123" s="45">
        <f t="shared" si="167"/>
        <v>0.41199117467769825</v>
      </c>
      <c r="H123" s="45">
        <f t="shared" si="167"/>
        <v>0.42260713769402042</v>
      </c>
      <c r="I123" s="45">
        <f t="shared" si="167"/>
        <v>0.50878989807463471</v>
      </c>
      <c r="J123" s="45">
        <f t="shared" si="167"/>
        <v>0.51979701374087572</v>
      </c>
      <c r="K123" s="45">
        <f t="shared" si="167"/>
        <v>0.37319477004123891</v>
      </c>
      <c r="L123" s="45">
        <f t="shared" si="167"/>
        <v>0.41904431363802497</v>
      </c>
      <c r="M123" s="45">
        <f t="shared" si="167"/>
        <v>0.44405116942305711</v>
      </c>
      <c r="N123" s="45">
        <f t="shared" si="167"/>
        <v>0.86227970698779433</v>
      </c>
      <c r="O123" s="45">
        <f t="shared" si="167"/>
        <v>0.89551015688394342</v>
      </c>
      <c r="P123" s="45">
        <f t="shared" si="167"/>
        <v>0.80021554452213495</v>
      </c>
      <c r="Q123" s="45">
        <f t="shared" si="167"/>
        <v>0.55349365628315572</v>
      </c>
      <c r="R123" s="45">
        <f t="shared" si="167"/>
        <v>0.51824005107364335</v>
      </c>
      <c r="S123" s="45">
        <f t="shared" si="167"/>
        <v>0.50442086742984971</v>
      </c>
      <c r="T123" s="45">
        <f t="shared" si="167"/>
        <v>0.47562076205927917</v>
      </c>
      <c r="U123" s="45">
        <f t="shared" si="167"/>
        <v>0.5959199318400048</v>
      </c>
      <c r="V123" s="45">
        <f t="shared" si="167"/>
        <v>0.30252590595384637</v>
      </c>
      <c r="W123" s="45">
        <f t="shared" ref="W123:Y123" si="168">IF(W21=0,0,W21/W$18)</f>
        <v>0.19059223389512017</v>
      </c>
      <c r="X123" s="45">
        <f t="shared" si="168"/>
        <v>0.15243143124009431</v>
      </c>
      <c r="Y123" s="45">
        <f t="shared" si="168"/>
        <v>0.12173193911750867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26.827171109200336</v>
      </c>
      <c r="C3" s="79">
        <f t="shared" si="0"/>
        <v>26.827171109200336</v>
      </c>
      <c r="D3" s="79">
        <f t="shared" ref="D3" si="1">SUM(D4:D5)</f>
        <v>27.858985382631129</v>
      </c>
      <c r="E3" s="79">
        <f t="shared" ref="E3" si="2">SUM(E4:E5)</f>
        <v>40.250042992261385</v>
      </c>
      <c r="F3" s="79">
        <f t="shared" ref="F3" si="3">SUM(F4:F5)</f>
        <v>48.50653482373172</v>
      </c>
      <c r="G3" s="79">
        <f t="shared" ref="G3" si="4">SUM(G4:G5)</f>
        <v>58.826999140154783</v>
      </c>
      <c r="H3" s="79">
        <f t="shared" ref="H3" si="5">SUM(H4:H5)</f>
        <v>66.051418744625948</v>
      </c>
      <c r="I3" s="79">
        <f t="shared" ref="I3" si="6">SUM(I4:I5)</f>
        <v>80.500171969045553</v>
      </c>
      <c r="J3" s="79">
        <f t="shared" ref="J3" si="7">SUM(J4:J5)</f>
        <v>97.012983662940655</v>
      </c>
      <c r="K3" s="79">
        <f t="shared" ref="K3" si="8">SUM(K4:K5)</f>
        <v>102.17325881341358</v>
      </c>
      <c r="L3" s="79">
        <f t="shared" ref="L3" si="9">SUM(L4:L5)</f>
        <v>117.65408426483232</v>
      </c>
      <c r="M3" s="79">
        <f t="shared" ref="M3" si="10">SUM(M4:M5)</f>
        <v>117.65408426483229</v>
      </c>
      <c r="N3" s="79">
        <f t="shared" ref="N3" si="11">SUM(N4:N5)</f>
        <v>118.6860705073087</v>
      </c>
      <c r="O3" s="79">
        <f t="shared" ref="O3" si="12">SUM(O4:O5)</f>
        <v>122.81435941530519</v>
      </c>
      <c r="P3" s="79">
        <f t="shared" ref="P3" si="13">SUM(P4:P5)</f>
        <v>109.39759243336202</v>
      </c>
      <c r="Q3" s="79">
        <f t="shared" ref="Q3" si="14">SUM(Q4:Q5)</f>
        <v>107.33353396388651</v>
      </c>
      <c r="R3" s="79">
        <f t="shared" ref="R3" si="15">SUM(R4:R5)</f>
        <v>122.8143594153052</v>
      </c>
      <c r="S3" s="79">
        <f t="shared" ref="S3" si="16">SUM(S4:S5)</f>
        <v>139.92897678417879</v>
      </c>
      <c r="T3" s="79">
        <f t="shared" ref="T3" si="17">SUM(T4:T5)</f>
        <v>153.26612209802241</v>
      </c>
      <c r="U3" s="79">
        <f t="shared" ref="U3" si="18">SUM(U4:U5)</f>
        <v>156.88237317282898</v>
      </c>
      <c r="V3" s="79">
        <f t="shared" ref="V3:W3" si="19">SUM(V4:V5)</f>
        <v>58.125193465176267</v>
      </c>
      <c r="W3" s="79">
        <f t="shared" si="19"/>
        <v>78.229664660361109</v>
      </c>
      <c r="X3" s="79">
        <f t="shared" ref="X3:Y3" si="20">SUM(X4:X5)</f>
        <v>105.92992261392952</v>
      </c>
      <c r="Y3" s="79">
        <f t="shared" si="20"/>
        <v>133.22476354256236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26.827171109200336</v>
      </c>
      <c r="C5" s="96">
        <f t="shared" si="24"/>
        <v>26.827171109200336</v>
      </c>
      <c r="D5" s="96">
        <f t="shared" ref="D5:V5" si="25">SUM(D8:D9,D12:D13)</f>
        <v>27.858985382631129</v>
      </c>
      <c r="E5" s="96">
        <f t="shared" si="25"/>
        <v>40.250042992261385</v>
      </c>
      <c r="F5" s="96">
        <f t="shared" si="25"/>
        <v>48.50653482373172</v>
      </c>
      <c r="G5" s="96">
        <f t="shared" si="25"/>
        <v>58.826999140154783</v>
      </c>
      <c r="H5" s="96">
        <f t="shared" si="25"/>
        <v>66.051418744625948</v>
      </c>
      <c r="I5" s="96">
        <f t="shared" si="25"/>
        <v>80.500171969045553</v>
      </c>
      <c r="J5" s="96">
        <f t="shared" si="25"/>
        <v>97.012983662940655</v>
      </c>
      <c r="K5" s="96">
        <f t="shared" si="25"/>
        <v>102.17325881341358</v>
      </c>
      <c r="L5" s="96">
        <f t="shared" si="25"/>
        <v>117.65408426483232</v>
      </c>
      <c r="M5" s="96">
        <f t="shared" si="25"/>
        <v>117.65408426483229</v>
      </c>
      <c r="N5" s="96">
        <f t="shared" si="25"/>
        <v>118.6860705073087</v>
      </c>
      <c r="O5" s="96">
        <f t="shared" si="25"/>
        <v>122.81435941530519</v>
      </c>
      <c r="P5" s="96">
        <f t="shared" si="25"/>
        <v>109.39759243336202</v>
      </c>
      <c r="Q5" s="96">
        <f t="shared" si="25"/>
        <v>107.33353396388651</v>
      </c>
      <c r="R5" s="96">
        <f t="shared" si="25"/>
        <v>122.8143594153052</v>
      </c>
      <c r="S5" s="96">
        <f t="shared" si="25"/>
        <v>139.92897678417879</v>
      </c>
      <c r="T5" s="96">
        <f t="shared" si="25"/>
        <v>153.26612209802241</v>
      </c>
      <c r="U5" s="96">
        <f t="shared" si="25"/>
        <v>156.88237317282898</v>
      </c>
      <c r="V5" s="96">
        <f t="shared" si="25"/>
        <v>58.125193465176267</v>
      </c>
      <c r="W5" s="96">
        <f t="shared" ref="W5:Y5" si="26">SUM(W8:W9,W12:W13)</f>
        <v>78.229664660361109</v>
      </c>
      <c r="X5" s="96">
        <f t="shared" si="26"/>
        <v>105.92992261392952</v>
      </c>
      <c r="Y5" s="96">
        <f t="shared" si="26"/>
        <v>133.22476354256236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26.581644005326538</v>
      </c>
      <c r="C6" s="21">
        <f t="shared" si="27"/>
        <v>26.595948326497744</v>
      </c>
      <c r="D6" s="21">
        <f t="shared" ref="D6:V6" si="28">SUM(D7:D9)</f>
        <v>27.594438039832461</v>
      </c>
      <c r="E6" s="21">
        <f t="shared" si="28"/>
        <v>40.011603253039347</v>
      </c>
      <c r="F6" s="21">
        <f t="shared" si="28"/>
        <v>48.231745924065478</v>
      </c>
      <c r="G6" s="21">
        <f t="shared" si="28"/>
        <v>58.467429037041128</v>
      </c>
      <c r="H6" s="21">
        <f t="shared" si="28"/>
        <v>65.68317358285455</v>
      </c>
      <c r="I6" s="21">
        <f t="shared" si="28"/>
        <v>80.13218585791914</v>
      </c>
      <c r="J6" s="21">
        <f t="shared" si="28"/>
        <v>96.480222311657357</v>
      </c>
      <c r="K6" s="21">
        <f t="shared" si="28"/>
        <v>101.18040369458814</v>
      </c>
      <c r="L6" s="21">
        <f t="shared" si="28"/>
        <v>116.42252370981493</v>
      </c>
      <c r="M6" s="21">
        <f t="shared" si="28"/>
        <v>116.46115036584511</v>
      </c>
      <c r="N6" s="21">
        <f t="shared" si="28"/>
        <v>115.03520066260455</v>
      </c>
      <c r="O6" s="21">
        <f t="shared" si="28"/>
        <v>117.49374828521032</v>
      </c>
      <c r="P6" s="21">
        <f t="shared" si="28"/>
        <v>106.6102075476411</v>
      </c>
      <c r="Q6" s="21">
        <f t="shared" si="28"/>
        <v>105.96519276933174</v>
      </c>
      <c r="R6" s="21">
        <f t="shared" si="28"/>
        <v>121.52330243288563</v>
      </c>
      <c r="S6" s="21">
        <f t="shared" si="28"/>
        <v>138.45223827047263</v>
      </c>
      <c r="T6" s="21">
        <f t="shared" si="28"/>
        <v>151.77979572759011</v>
      </c>
      <c r="U6" s="21">
        <f t="shared" si="28"/>
        <v>154.94115998132986</v>
      </c>
      <c r="V6" s="21">
        <f t="shared" si="28"/>
        <v>56.75644571832153</v>
      </c>
      <c r="W6" s="21">
        <f t="shared" ref="W6:Y6" si="29">SUM(W7:W9)</f>
        <v>76.551638428279702</v>
      </c>
      <c r="X6" s="21">
        <f t="shared" si="29"/>
        <v>104.29084872128617</v>
      </c>
      <c r="Y6" s="21">
        <f t="shared" si="29"/>
        <v>131.51762800592587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23.285025185641473</v>
      </c>
      <c r="C8" s="96">
        <v>23.296103341477981</v>
      </c>
      <c r="D8" s="96">
        <v>24.170520922833578</v>
      </c>
      <c r="E8" s="96">
        <v>35.04675306494449</v>
      </c>
      <c r="F8" s="96">
        <v>42.24360932458525</v>
      </c>
      <c r="G8" s="96">
        <v>52.212498980993139</v>
      </c>
      <c r="H8" s="96">
        <v>59.667262118784592</v>
      </c>
      <c r="I8" s="96">
        <v>73.127106212733068</v>
      </c>
      <c r="J8" s="96">
        <v>87.863232144406027</v>
      </c>
      <c r="K8" s="96">
        <v>92.033046400940947</v>
      </c>
      <c r="L8" s="96">
        <v>106.76363844025467</v>
      </c>
      <c r="M8" s="96">
        <v>106.7743929672332</v>
      </c>
      <c r="N8" s="96">
        <v>104.98591330453017</v>
      </c>
      <c r="O8" s="96">
        <v>107.42971621910294</v>
      </c>
      <c r="P8" s="96">
        <v>97.499671925993553</v>
      </c>
      <c r="Q8" s="96">
        <v>97.410947927689648</v>
      </c>
      <c r="R8" s="96">
        <v>112.11108321571366</v>
      </c>
      <c r="S8" s="96">
        <v>128.33618739610699</v>
      </c>
      <c r="T8" s="96">
        <v>140.94188697335994</v>
      </c>
      <c r="U8" s="96">
        <v>143.79978834846168</v>
      </c>
      <c r="V8" s="96">
        <v>50.48974395800871</v>
      </c>
      <c r="W8" s="96">
        <v>69.032562733607918</v>
      </c>
      <c r="X8" s="96">
        <v>96.423104299405225</v>
      </c>
      <c r="Y8" s="96">
        <v>121.33061790315894</v>
      </c>
      <c r="DA8" s="171" t="s">
        <v>282</v>
      </c>
    </row>
    <row r="9" spans="1:105" ht="11.45" customHeight="1" x14ac:dyDescent="0.25">
      <c r="A9" s="83" t="s">
        <v>182</v>
      </c>
      <c r="B9" s="96">
        <v>3.2966188196850665</v>
      </c>
      <c r="C9" s="96">
        <v>3.2998449850197646</v>
      </c>
      <c r="D9" s="96">
        <v>3.4239171169988847</v>
      </c>
      <c r="E9" s="96">
        <v>4.9648501880948581</v>
      </c>
      <c r="F9" s="96">
        <v>5.9881365994802298</v>
      </c>
      <c r="G9" s="96">
        <v>6.2549300560479875</v>
      </c>
      <c r="H9" s="96">
        <v>6.0159114640699594</v>
      </c>
      <c r="I9" s="96">
        <v>7.005079645186072</v>
      </c>
      <c r="J9" s="96">
        <v>8.6169901672513287</v>
      </c>
      <c r="K9" s="96">
        <v>9.1473572936471932</v>
      </c>
      <c r="L9" s="96">
        <v>9.6588852695602547</v>
      </c>
      <c r="M9" s="96">
        <v>9.6867573986119169</v>
      </c>
      <c r="N9" s="96">
        <v>10.049287358074382</v>
      </c>
      <c r="O9" s="96">
        <v>10.064032066107368</v>
      </c>
      <c r="P9" s="96">
        <v>9.1105356216475393</v>
      </c>
      <c r="Q9" s="96">
        <v>8.5542448416420882</v>
      </c>
      <c r="R9" s="96">
        <v>9.4122192171719732</v>
      </c>
      <c r="S9" s="96">
        <v>10.116050874365648</v>
      </c>
      <c r="T9" s="96">
        <v>10.837908754230156</v>
      </c>
      <c r="U9" s="96">
        <v>11.141371632868172</v>
      </c>
      <c r="V9" s="96">
        <v>6.266701760312821</v>
      </c>
      <c r="W9" s="96">
        <v>7.5190756946717903</v>
      </c>
      <c r="X9" s="96">
        <v>7.8677444218809409</v>
      </c>
      <c r="Y9" s="96">
        <v>10.187010102766925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0.24552710387380075</v>
      </c>
      <c r="C10" s="22">
        <f t="shared" si="30"/>
        <v>0.23122278270259106</v>
      </c>
      <c r="D10" s="22">
        <f t="shared" ref="D10:V10" si="31">SUM(D11:D13)</f>
        <v>0.26454734279866648</v>
      </c>
      <c r="E10" s="22">
        <f t="shared" si="31"/>
        <v>0.23843973922204215</v>
      </c>
      <c r="F10" s="22">
        <f t="shared" si="31"/>
        <v>0.27478889966624021</v>
      </c>
      <c r="G10" s="22">
        <f t="shared" si="31"/>
        <v>0.35957010311365267</v>
      </c>
      <c r="H10" s="22">
        <f t="shared" si="31"/>
        <v>0.36824516177140676</v>
      </c>
      <c r="I10" s="22">
        <f t="shared" si="31"/>
        <v>0.36798611112641877</v>
      </c>
      <c r="J10" s="22">
        <f t="shared" si="31"/>
        <v>0.53276135128329527</v>
      </c>
      <c r="K10" s="22">
        <f t="shared" si="31"/>
        <v>0.99285511882544608</v>
      </c>
      <c r="L10" s="22">
        <f t="shared" si="31"/>
        <v>1.2315605550173894</v>
      </c>
      <c r="M10" s="22">
        <f t="shared" si="31"/>
        <v>1.1929338989871829</v>
      </c>
      <c r="N10" s="22">
        <f t="shared" si="31"/>
        <v>3.6508698447041468</v>
      </c>
      <c r="O10" s="22">
        <f t="shared" si="31"/>
        <v>5.3206111300948704</v>
      </c>
      <c r="P10" s="22">
        <f t="shared" si="31"/>
        <v>2.7873848857209187</v>
      </c>
      <c r="Q10" s="22">
        <f t="shared" si="31"/>
        <v>1.368341194554783</v>
      </c>
      <c r="R10" s="22">
        <f t="shared" si="31"/>
        <v>1.2910569824195841</v>
      </c>
      <c r="S10" s="22">
        <f t="shared" si="31"/>
        <v>1.4767385137061391</v>
      </c>
      <c r="T10" s="22">
        <f t="shared" si="31"/>
        <v>1.4863263704323142</v>
      </c>
      <c r="U10" s="22">
        <f t="shared" si="31"/>
        <v>1.9412131914991124</v>
      </c>
      <c r="V10" s="22">
        <f t="shared" si="31"/>
        <v>1.3687477468547333</v>
      </c>
      <c r="W10" s="22">
        <f t="shared" ref="W10:Y10" si="32">SUM(W11:W13)</f>
        <v>1.6780262320814054</v>
      </c>
      <c r="X10" s="22">
        <f t="shared" si="32"/>
        <v>1.6390738926433417</v>
      </c>
      <c r="Y10" s="22">
        <f t="shared" si="32"/>
        <v>1.7071355366364624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0.21581846425303086</v>
      </c>
      <c r="C12" s="97">
        <v>0.19728148419841346</v>
      </c>
      <c r="D12" s="97">
        <v>0.22643033040430918</v>
      </c>
      <c r="E12" s="97">
        <v>0.20022312418052826</v>
      </c>
      <c r="F12" s="97">
        <v>0.23236333762017308</v>
      </c>
      <c r="G12" s="97">
        <v>0.31448163011895558</v>
      </c>
      <c r="H12" s="97">
        <v>0.31930965025891983</v>
      </c>
      <c r="I12" s="97">
        <v>0.29540775168969718</v>
      </c>
      <c r="J12" s="97">
        <v>0.40810318884340968</v>
      </c>
      <c r="K12" s="97">
        <v>0.82522044637972969</v>
      </c>
      <c r="L12" s="97">
        <v>0.96129047831992032</v>
      </c>
      <c r="M12" s="97">
        <v>0.9012230980878142</v>
      </c>
      <c r="N12" s="97">
        <v>1.0075105429161479</v>
      </c>
      <c r="O12" s="97">
        <v>1.1715235200664551</v>
      </c>
      <c r="P12" s="97">
        <v>1.0412928405914894</v>
      </c>
      <c r="Q12" s="97">
        <v>0.88074612190241197</v>
      </c>
      <c r="R12" s="97">
        <v>0.93613731315571758</v>
      </c>
      <c r="S12" s="97">
        <v>1.1397135625942831</v>
      </c>
      <c r="T12" s="97">
        <v>1.2129396176170659</v>
      </c>
      <c r="U12" s="97">
        <v>1.3109596153226544</v>
      </c>
      <c r="V12" s="97">
        <v>1.0799375246117842</v>
      </c>
      <c r="W12" s="97">
        <v>1.5416112487780043</v>
      </c>
      <c r="X12" s="97">
        <v>1.4893147421134585</v>
      </c>
      <c r="Y12" s="97">
        <v>1.6159621359344294</v>
      </c>
      <c r="DA12" s="175" t="s">
        <v>286</v>
      </c>
    </row>
    <row r="13" spans="1:105" ht="11.45" customHeight="1" x14ac:dyDescent="0.25">
      <c r="A13" s="85" t="s">
        <v>182</v>
      </c>
      <c r="B13" s="98">
        <v>2.9708639620769885E-2</v>
      </c>
      <c r="C13" s="98">
        <v>3.3941298504177583E-2</v>
      </c>
      <c r="D13" s="98">
        <v>3.8117012394357316E-2</v>
      </c>
      <c r="E13" s="98">
        <v>3.8216615041513871E-2</v>
      </c>
      <c r="F13" s="98">
        <v>4.2425562046067095E-2</v>
      </c>
      <c r="G13" s="98">
        <v>4.5088472994697093E-2</v>
      </c>
      <c r="H13" s="98">
        <v>4.8935511512486901E-2</v>
      </c>
      <c r="I13" s="98">
        <v>7.2578359436721557E-2</v>
      </c>
      <c r="J13" s="98">
        <v>0.12465816243988556</v>
      </c>
      <c r="K13" s="98">
        <v>0.16763467244571642</v>
      </c>
      <c r="L13" s="98">
        <v>0.27027007669746916</v>
      </c>
      <c r="M13" s="98">
        <v>0.29171080089936863</v>
      </c>
      <c r="N13" s="98">
        <v>2.6433593017879988</v>
      </c>
      <c r="O13" s="98">
        <v>4.1490876100284151</v>
      </c>
      <c r="P13" s="98">
        <v>1.7460920451294293</v>
      </c>
      <c r="Q13" s="98">
        <v>0.4875950726523709</v>
      </c>
      <c r="R13" s="98">
        <v>0.35491966926386653</v>
      </c>
      <c r="S13" s="98">
        <v>0.33702495111185604</v>
      </c>
      <c r="T13" s="98">
        <v>0.27338675281524816</v>
      </c>
      <c r="U13" s="98">
        <v>0.63025357617645794</v>
      </c>
      <c r="V13" s="98">
        <v>0.28881022224294917</v>
      </c>
      <c r="W13" s="98">
        <v>0.13641498330340124</v>
      </c>
      <c r="X13" s="98">
        <v>0.14975915052988323</v>
      </c>
      <c r="Y13" s="98">
        <v>9.1173400702033072E-2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328.19962386903467</v>
      </c>
      <c r="C17" s="62">
        <f>IF(C3=0,0,C3/TrAvia_act!C13*100)</f>
        <v>327.90142314631561</v>
      </c>
      <c r="D17" s="62">
        <f>IF(D3=0,0,D3/TrAvia_act!D13*100)</f>
        <v>327.38764168422051</v>
      </c>
      <c r="E17" s="62">
        <f>IF(E3=0,0,E3/TrAvia_act!E13*100)</f>
        <v>328.07105483813314</v>
      </c>
      <c r="F17" s="62">
        <f>IF(F3=0,0,F3/TrAvia_act!F13*100)</f>
        <v>327.77684001481083</v>
      </c>
      <c r="G17" s="62">
        <f>IF(G3=0,0,G3/TrAvia_act!G13*100)</f>
        <v>269.61256022393826</v>
      </c>
      <c r="H17" s="62">
        <f>IF(H3=0,0,H3/TrAvia_act!H13*100)</f>
        <v>259.70767257295273</v>
      </c>
      <c r="I17" s="62">
        <f>IF(I3=0,0,I3/TrAvia_act!I13*100)</f>
        <v>263.61275685892281</v>
      </c>
      <c r="J17" s="62">
        <f>IF(J3=0,0,J3/TrAvia_act!J13*100)</f>
        <v>280.19789927365497</v>
      </c>
      <c r="K17" s="62">
        <f>IF(K3=0,0,K3/TrAvia_act!K13*100)</f>
        <v>310.52042384400187</v>
      </c>
      <c r="L17" s="62">
        <f>IF(L3=0,0,L3/TrAvia_act!L13*100)</f>
        <v>311.85846049541783</v>
      </c>
      <c r="M17" s="62">
        <f>IF(M3=0,0,M3/TrAvia_act!M13*100)</f>
        <v>323.31014066842334</v>
      </c>
      <c r="N17" s="62">
        <f>IF(N3=0,0,N3/TrAvia_act!N13*100)</f>
        <v>350.07262658881456</v>
      </c>
      <c r="O17" s="62">
        <f>IF(O3=0,0,O3/TrAvia_act!O13*100)</f>
        <v>345.95299108866084</v>
      </c>
      <c r="P17" s="62">
        <f>IF(P3=0,0,P3/TrAvia_act!P13*100)</f>
        <v>323.95843343186812</v>
      </c>
      <c r="Q17" s="62">
        <f>IF(Q3=0,0,Q3/TrAvia_act!Q13*100)</f>
        <v>320.65537879033161</v>
      </c>
      <c r="R17" s="62">
        <f>IF(R3=0,0,R3/TrAvia_act!R13*100)</f>
        <v>374.62933722335447</v>
      </c>
      <c r="S17" s="62">
        <f>IF(S3=0,0,S3/TrAvia_act!S13*100)</f>
        <v>386.42286164283621</v>
      </c>
      <c r="T17" s="62">
        <f>IF(T3=0,0,T3/TrAvia_act!T13*100)</f>
        <v>362.6877507945066</v>
      </c>
      <c r="U17" s="62">
        <f>IF(U3=0,0,U3/TrAvia_act!U13*100)</f>
        <v>349.82676757740467</v>
      </c>
      <c r="V17" s="62">
        <f>IF(V3=0,0,V3/TrAvia_act!V13*100)</f>
        <v>402.20200806596978</v>
      </c>
      <c r="W17" s="62">
        <f>IF(W3=0,0,W3/TrAvia_act!W13*100)</f>
        <v>397.13255235567993</v>
      </c>
      <c r="X17" s="62">
        <f>IF(X3=0,0,X3/TrAvia_act!X13*100)</f>
        <v>328.89412008053222</v>
      </c>
      <c r="Y17" s="62">
        <f>IF(Y3=0,0,Y3/TrAvia_act!Y13*100)</f>
        <v>350.18504203042983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327.71513769632571</v>
      </c>
      <c r="C18" s="14">
        <f>IF(C6=0,0,C6/TrAvia_act!C14*100)</f>
        <v>327.57247081187205</v>
      </c>
      <c r="D18" s="14">
        <f>IF(D6=0,0,D6/TrAvia_act!D14*100)</f>
        <v>327.01043722137376</v>
      </c>
      <c r="E18" s="14">
        <f>IF(E6=0,0,E6/TrAvia_act!E14*100)</f>
        <v>327.89025585279654</v>
      </c>
      <c r="F18" s="14">
        <f>IF(F6=0,0,F6/TrAvia_act!F14*100)</f>
        <v>327.58476664703124</v>
      </c>
      <c r="G18" s="14">
        <f>IF(G6=0,0,G6/TrAvia_act!G14*100)</f>
        <v>269.44403857935544</v>
      </c>
      <c r="H18" s="14">
        <f>IF(H6=0,0,H6/TrAvia_act!H14*100)</f>
        <v>259.72563338485816</v>
      </c>
      <c r="I18" s="14">
        <f>IF(I6=0,0,I6/TrAvia_act!I14*100)</f>
        <v>263.84124428408444</v>
      </c>
      <c r="J18" s="14">
        <f>IF(J6=0,0,J6/TrAvia_act!J14*100)</f>
        <v>280.40525270283877</v>
      </c>
      <c r="K18" s="14">
        <f>IF(K6=0,0,K6/TrAvia_act!K14*100)</f>
        <v>310.43658641857684</v>
      </c>
      <c r="L18" s="14">
        <f>IF(L6=0,0,L6/TrAvia_act!L14*100)</f>
        <v>312.33147561987397</v>
      </c>
      <c r="M18" s="14">
        <f>IF(M6=0,0,M6/TrAvia_act!M14*100)</f>
        <v>323.7061735474328</v>
      </c>
      <c r="N18" s="14">
        <f>IF(N6=0,0,N6/TrAvia_act!N14*100)</f>
        <v>356.02613542120173</v>
      </c>
      <c r="O18" s="14">
        <f>IF(O6=0,0,O6/TrAvia_act!O14*100)</f>
        <v>355.8481488661734</v>
      </c>
      <c r="P18" s="14">
        <f>IF(P6=0,0,P6/TrAvia_act!P14*100)</f>
        <v>328.23990134752472</v>
      </c>
      <c r="Q18" s="14">
        <f>IF(Q6=0,0,Q6/TrAvia_act!Q14*100)</f>
        <v>321.61405105215385</v>
      </c>
      <c r="R18" s="14">
        <f>IF(R6=0,0,R6/TrAvia_act!R14*100)</f>
        <v>375.6571203685304</v>
      </c>
      <c r="S18" s="14">
        <f>IF(S6=0,0,S6/TrAvia_act!S14*100)</f>
        <v>387.30128049473018</v>
      </c>
      <c r="T18" s="14">
        <f>IF(T6=0,0,T6/TrAvia_act!T14*100)</f>
        <v>363.09471669177549</v>
      </c>
      <c r="U18" s="14">
        <f>IF(U6=0,0,U6/TrAvia_act!U14*100)</f>
        <v>351.12806782189921</v>
      </c>
      <c r="V18" s="14">
        <f>IF(V6=0,0,V6/TrAvia_act!V14*100)</f>
        <v>402.69677717029128</v>
      </c>
      <c r="W18" s="14">
        <f>IF(W6=0,0,W6/TrAvia_act!W14*100)</f>
        <v>397.49703488214266</v>
      </c>
      <c r="X18" s="14">
        <f>IF(X6=0,0,X6/TrAvia_act!X14*100)</f>
        <v>328.8897247350227</v>
      </c>
      <c r="Y18" s="14">
        <f>IF(Y6=0,0,Y6/TrAvia_act!Y14*100)</f>
        <v>350.07478175782563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405.73855635865874</v>
      </c>
      <c r="C20" s="87">
        <f>IF(C8=0,0,C8/TrAvia_act!C16*100)</f>
        <v>405.59391057544241</v>
      </c>
      <c r="D20" s="87">
        <f>IF(D8=0,0,D8/TrAvia_act!D16*100)</f>
        <v>404.91030354137666</v>
      </c>
      <c r="E20" s="87">
        <f>IF(E8=0,0,E8/TrAvia_act!E16*100)</f>
        <v>406.01738394391356</v>
      </c>
      <c r="F20" s="87">
        <f>IF(F8=0,0,F8/TrAvia_act!F16*100)</f>
        <v>405.69095623726128</v>
      </c>
      <c r="G20" s="87">
        <f>IF(G8=0,0,G8/TrAvia_act!G16*100)</f>
        <v>351.7888292080292</v>
      </c>
      <c r="H20" s="87">
        <f>IF(H8=0,0,H8/TrAvia_act!H16*100)</f>
        <v>358.43605549426229</v>
      </c>
      <c r="I20" s="87">
        <f>IF(I8=0,0,I8/TrAvia_act!I16*100)</f>
        <v>377.37882495786641</v>
      </c>
      <c r="J20" s="87">
        <f>IF(J8=0,0,J8/TrAvia_act!J16*100)</f>
        <v>394.64594965660081</v>
      </c>
      <c r="K20" s="87">
        <f>IF(K8=0,0,K8/TrAvia_act!K16*100)</f>
        <v>411.00928389969272</v>
      </c>
      <c r="L20" s="87">
        <f>IF(L8=0,0,L8/TrAvia_act!L16*100)</f>
        <v>399.2907348054805</v>
      </c>
      <c r="M20" s="87">
        <f>IF(M8=0,0,M8/TrAvia_act!M16*100)</f>
        <v>405.21722571559036</v>
      </c>
      <c r="N20" s="87">
        <f>IF(N8=0,0,N8/TrAvia_act!N16*100)</f>
        <v>437.08184036850832</v>
      </c>
      <c r="O20" s="87">
        <f>IF(O8=0,0,O8/TrAvia_act!O16*100)</f>
        <v>449.67170266422818</v>
      </c>
      <c r="P20" s="87">
        <f>IF(P8=0,0,P8/TrAvia_act!P16*100)</f>
        <v>399.77478637181554</v>
      </c>
      <c r="Q20" s="87">
        <f>IF(Q8=0,0,Q8/TrAvia_act!Q16*100)</f>
        <v>374.47497506215097</v>
      </c>
      <c r="R20" s="87">
        <f>IF(R8=0,0,R8/TrAvia_act!R16*100)</f>
        <v>450.62349253015793</v>
      </c>
      <c r="S20" s="87">
        <f>IF(S8=0,0,S8/TrAvia_act!S16*100)</f>
        <v>472.12580166682318</v>
      </c>
      <c r="T20" s="87">
        <f>IF(T8=0,0,T8/TrAvia_act!T16*100)</f>
        <v>451.22244687571998</v>
      </c>
      <c r="U20" s="87">
        <f>IF(U8=0,0,U8/TrAvia_act!U16*100)</f>
        <v>447.63820883779044</v>
      </c>
      <c r="V20" s="87">
        <f>IF(V8=0,0,V8/TrAvia_act!V16*100)</f>
        <v>426.96722598084972</v>
      </c>
      <c r="W20" s="87">
        <f>IF(W8=0,0,W8/TrAvia_act!W16*100)</f>
        <v>441.9624142863596</v>
      </c>
      <c r="X20" s="87">
        <f>IF(X8=0,0,X8/TrAvia_act!X16*100)</f>
        <v>361.58070040383637</v>
      </c>
      <c r="Y20" s="87">
        <f>IF(Y8=0,0,Y8/TrAvia_act!Y16*100)</f>
        <v>401.12774564249037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138.9641100801592</v>
      </c>
      <c r="C21" s="87">
        <f>IF(C9=0,0,C9/TrAvia_act!C17*100)</f>
        <v>138.91731838212544</v>
      </c>
      <c r="D21" s="87">
        <f>IF(D9=0,0,D9/TrAvia_act!D17*100)</f>
        <v>138.67375288571949</v>
      </c>
      <c r="E21" s="87">
        <f>IF(E9=0,0,E9/TrAvia_act!E17*100)</f>
        <v>139.03611792985387</v>
      </c>
      <c r="F21" s="87">
        <f>IF(F9=0,0,F9/TrAvia_act!F17*100)</f>
        <v>138.91384407862216</v>
      </c>
      <c r="G21" s="87">
        <f>IF(G9=0,0,G9/TrAvia_act!G17*100)</f>
        <v>91.215846745529902</v>
      </c>
      <c r="H21" s="87">
        <f>IF(H9=0,0,H9/TrAvia_act!H17*100)</f>
        <v>69.605330931861673</v>
      </c>
      <c r="I21" s="87">
        <f>IF(I9=0,0,I9/TrAvia_act!I17*100)</f>
        <v>63.718888149920836</v>
      </c>
      <c r="J21" s="87">
        <f>IF(J9=0,0,J9/TrAvia_act!J17*100)</f>
        <v>70.959041030212276</v>
      </c>
      <c r="K21" s="87">
        <f>IF(K9=0,0,K9/TrAvia_act!K17*100)</f>
        <v>89.671402394240587</v>
      </c>
      <c r="L21" s="87">
        <f>IF(L9=0,0,L9/TrAvia_act!L17*100)</f>
        <v>91.66647021238667</v>
      </c>
      <c r="M21" s="87">
        <f>IF(M9=0,0,M9/TrAvia_act!M17*100)</f>
        <v>100.61537813185546</v>
      </c>
      <c r="N21" s="87">
        <f>IF(N9=0,0,N9/TrAvia_act!N17*100)</f>
        <v>121.20501066000841</v>
      </c>
      <c r="O21" s="87">
        <f>IF(O9=0,0,O9/TrAvia_act!O17*100)</f>
        <v>110.26362363742133</v>
      </c>
      <c r="P21" s="87">
        <f>IF(P9=0,0,P9/TrAvia_act!P17*100)</f>
        <v>112.60494074394354</v>
      </c>
      <c r="Q21" s="87">
        <f>IF(Q9=0,0,Q9/TrAvia_act!Q17*100)</f>
        <v>123.34418336461989</v>
      </c>
      <c r="R21" s="87">
        <f>IF(R9=0,0,R9/TrAvia_act!R17*100)</f>
        <v>125.99310339096152</v>
      </c>
      <c r="S21" s="87">
        <f>IF(S9=0,0,S9/TrAvia_act!S17*100)</f>
        <v>118.10480362668588</v>
      </c>
      <c r="T21" s="87">
        <f>IF(T9=0,0,T9/TrAvia_act!T17*100)</f>
        <v>102.57204997844123</v>
      </c>
      <c r="U21" s="87">
        <f>IF(U9=0,0,U9/TrAvia_act!U17*100)</f>
        <v>92.824877275465909</v>
      </c>
      <c r="V21" s="87">
        <f>IF(V9=0,0,V9/TrAvia_act!V17*100)</f>
        <v>276.20167358165276</v>
      </c>
      <c r="W21" s="87">
        <f>IF(W9=0,0,W9/TrAvia_act!W17*100)</f>
        <v>206.63259225259782</v>
      </c>
      <c r="X21" s="87">
        <f>IF(X9=0,0,X9/TrAvia_act!X17*100)</f>
        <v>156.01719792540044</v>
      </c>
      <c r="Y21" s="87">
        <f>IF(Y9=0,0,Y9/TrAvia_act!Y17*100)</f>
        <v>139.14661547012824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390.73908513200502</v>
      </c>
      <c r="C22" s="15">
        <f>IF(C10=0,0,C10/TrAvia_act!C18*100)</f>
        <v>370.72269996124498</v>
      </c>
      <c r="D22" s="15">
        <f>IF(D10=0,0,D10/TrAvia_act!D18*100)</f>
        <v>372.166221054647</v>
      </c>
      <c r="E22" s="15">
        <f>IF(E10=0,0,E10/TrAvia_act!E18*100)</f>
        <v>361.52209603000824</v>
      </c>
      <c r="F22" s="15">
        <f>IF(F10=0,0,F10/TrAvia_act!F18*100)</f>
        <v>365.37977611388112</v>
      </c>
      <c r="G22" s="15">
        <f>IF(G10=0,0,G10/TrAvia_act!G18*100)</f>
        <v>300.13616808139562</v>
      </c>
      <c r="H22" s="15">
        <f>IF(H10=0,0,H10/TrAvia_act!H18*100)</f>
        <v>256.54329068166504</v>
      </c>
      <c r="I22" s="15">
        <f>IF(I10=0,0,I10/TrAvia_act!I18*100)</f>
        <v>221.78801628165067</v>
      </c>
      <c r="J22" s="15">
        <f>IF(J10=0,0,J10/TrAvia_act!J18*100)</f>
        <v>247.10652024868938</v>
      </c>
      <c r="K22" s="15">
        <f>IF(K10=0,0,K10/TrAvia_act!K18*100)</f>
        <v>319.30833832838897</v>
      </c>
      <c r="L22" s="15">
        <f>IF(L10=0,0,L10/TrAvia_act!L18*100)</f>
        <v>272.80237915930104</v>
      </c>
      <c r="M22" s="15">
        <f>IF(M10=0,0,M10/TrAvia_act!M18*100)</f>
        <v>288.81451883110714</v>
      </c>
      <c r="N22" s="15">
        <f>IF(N10=0,0,N10/TrAvia_act!N18*100)</f>
        <v>229.27065947872984</v>
      </c>
      <c r="O22" s="15">
        <f>IF(O10=0,0,O10/TrAvia_act!O18*100)</f>
        <v>214.33704843510216</v>
      </c>
      <c r="P22" s="15">
        <f>IF(P10=0,0,P10/TrAvia_act!P18*100)</f>
        <v>216.13249685570227</v>
      </c>
      <c r="Q22" s="15">
        <f>IF(Q10=0,0,Q10/TrAvia_act!Q18*100)</f>
        <v>260.51831288656206</v>
      </c>
      <c r="R22" s="15">
        <f>IF(R10=0,0,R10/TrAvia_act!R18*100)</f>
        <v>297.90940188741416</v>
      </c>
      <c r="S22" s="15">
        <f>IF(S10=0,0,S10/TrAvia_act!S18*100)</f>
        <v>318.6619418277462</v>
      </c>
      <c r="T22" s="15">
        <f>IF(T10=0,0,T10/TrAvia_act!T18*100)</f>
        <v>325.43932681015878</v>
      </c>
      <c r="U22" s="15">
        <f>IF(U10=0,0,U10/TrAvia_act!U18*100)</f>
        <v>269.96867839464875</v>
      </c>
      <c r="V22" s="15">
        <f>IF(V10=0,0,V10/TrAvia_act!V18*100)</f>
        <v>382.7044721439737</v>
      </c>
      <c r="W22" s="15">
        <f>IF(W10=0,0,W10/TrAvia_act!W18*100)</f>
        <v>381.18710300644898</v>
      </c>
      <c r="X22" s="15">
        <f>IF(X10=0,0,X10/TrAvia_act!X18*100)</f>
        <v>329.17402848960785</v>
      </c>
      <c r="Y22" s="15">
        <f>IF(Y10=0,0,Y10/TrAvia_act!Y18*100)</f>
        <v>358.89346984036513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519.67811625954971</v>
      </c>
      <c r="C24" s="101">
        <f>IF(C12=0,0,C12/TrAvia_act!C20*100)</f>
        <v>518.8943579292403</v>
      </c>
      <c r="D24" s="101">
        <f>IF(D12=0,0,D12/TrAvia_act!D20*100)</f>
        <v>518.28979504452116</v>
      </c>
      <c r="E24" s="101">
        <f>IF(E12=0,0,E12/TrAvia_act!E20*100)</f>
        <v>519.26073125985602</v>
      </c>
      <c r="F24" s="101">
        <f>IF(F12=0,0,F12/TrAvia_act!F20*100)</f>
        <v>519.0465842781216</v>
      </c>
      <c r="G24" s="101">
        <f>IF(G12=0,0,G12/TrAvia_act!G20*100)</f>
        <v>446.42262463423572</v>
      </c>
      <c r="H24" s="101">
        <f>IF(H12=0,0,H12/TrAvia_act!H20*100)</f>
        <v>385.26915895326357</v>
      </c>
      <c r="I24" s="101">
        <f>IF(I12=0,0,I12/TrAvia_act!I20*100)</f>
        <v>362.46096863017613</v>
      </c>
      <c r="J24" s="101">
        <f>IF(J12=0,0,J12/TrAvia_act!J20*100)</f>
        <v>394.18185144638971</v>
      </c>
      <c r="K24" s="101">
        <f>IF(K12=0,0,K12/TrAvia_act!K20*100)</f>
        <v>423.4106220442589</v>
      </c>
      <c r="L24" s="101">
        <f>IF(L12=0,0,L12/TrAvia_act!L20*100)</f>
        <v>366.52534953222761</v>
      </c>
      <c r="M24" s="101">
        <f>IF(M12=0,0,M12/TrAvia_act!M20*100)</f>
        <v>392.46427910887684</v>
      </c>
      <c r="N24" s="101">
        <f>IF(N12=0,0,N12/TrAvia_act!N20*100)</f>
        <v>459.41354047301149</v>
      </c>
      <c r="O24" s="101">
        <f>IF(O12=0,0,O12/TrAvia_act!O20*100)</f>
        <v>451.66107336856732</v>
      </c>
      <c r="P24" s="101">
        <f>IF(P12=0,0,P12/TrAvia_act!P20*100)</f>
        <v>404.14230859973685</v>
      </c>
      <c r="Q24" s="101">
        <f>IF(Q12=0,0,Q12/TrAvia_act!Q20*100)</f>
        <v>375.54930388852904</v>
      </c>
      <c r="R24" s="101">
        <f>IF(R12=0,0,R12/TrAvia_act!R20*100)</f>
        <v>448.3814763362069</v>
      </c>
      <c r="S24" s="101">
        <f>IF(S12=0,0,S12/TrAvia_act!S20*100)</f>
        <v>496.26003513987422</v>
      </c>
      <c r="T24" s="101">
        <f>IF(T12=0,0,T12/TrAvia_act!T20*100)</f>
        <v>506.46512235339145</v>
      </c>
      <c r="U24" s="101">
        <f>IF(U12=0,0,U12/TrAvia_act!U20*100)</f>
        <v>451.19266537147513</v>
      </c>
      <c r="V24" s="101">
        <f>IF(V12=0,0,V12/TrAvia_act!V20*100)</f>
        <v>432.9230110851592</v>
      </c>
      <c r="W24" s="101">
        <f>IF(W12=0,0,W12/TrAvia_act!W20*100)</f>
        <v>432.66020948248752</v>
      </c>
      <c r="X24" s="101">
        <f>IF(X12=0,0,X12/TrAvia_act!X20*100)</f>
        <v>352.88945019031996</v>
      </c>
      <c r="Y24" s="101">
        <f>IF(Y12=0,0,Y12/TrAvia_act!Y20*100)</f>
        <v>386.8135192224907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139.42920627720326</v>
      </c>
      <c r="C25" s="88">
        <f>IF(C13=0,0,C13/TrAvia_act!C21*100)</f>
        <v>139.38225797297247</v>
      </c>
      <c r="D25" s="88">
        <f>IF(D13=0,0,D13/TrAvia_act!D21*100)</f>
        <v>139.13787729208437</v>
      </c>
      <c r="E25" s="88">
        <f>IF(E13=0,0,E13/TrAvia_act!E21*100)</f>
        <v>139.50145512852799</v>
      </c>
      <c r="F25" s="88">
        <f>IF(F13=0,0,F13/TrAvia_act!F21*100)</f>
        <v>139.37877204139232</v>
      </c>
      <c r="G25" s="88">
        <f>IF(G13=0,0,G13/TrAvia_act!G21*100)</f>
        <v>91.350803818461415</v>
      </c>
      <c r="H25" s="88">
        <f>IF(H13=0,0,H13/TrAvia_act!H21*100)</f>
        <v>80.669788071838028</v>
      </c>
      <c r="I25" s="88">
        <f>IF(I13=0,0,I13/TrAvia_act!I21*100)</f>
        <v>85.975620000298107</v>
      </c>
      <c r="J25" s="88">
        <f>IF(J13=0,0,J13/TrAvia_act!J21*100)</f>
        <v>111.23422514275161</v>
      </c>
      <c r="K25" s="88">
        <f>IF(K13=0,0,K13/TrAvia_act!K21*100)</f>
        <v>144.46168686929281</v>
      </c>
      <c r="L25" s="88">
        <f>IF(L13=0,0,L13/TrAvia_act!L21*100)</f>
        <v>142.86649694155506</v>
      </c>
      <c r="M25" s="88">
        <f>IF(M13=0,0,M13/TrAvia_act!M21*100)</f>
        <v>159.04577373158247</v>
      </c>
      <c r="N25" s="88">
        <f>IF(N13=0,0,N13/TrAvia_act!N21*100)</f>
        <v>192.51304504300674</v>
      </c>
      <c r="O25" s="88">
        <f>IF(O13=0,0,O13/TrAvia_act!O21*100)</f>
        <v>186.64562590645448</v>
      </c>
      <c r="P25" s="88">
        <f>IF(P13=0,0,P13/TrAvia_act!P21*100)</f>
        <v>169.19334637193043</v>
      </c>
      <c r="Q25" s="88">
        <f>IF(Q13=0,0,Q13/TrAvia_act!Q21*100)</f>
        <v>167.72218663766839</v>
      </c>
      <c r="R25" s="88">
        <f>IF(R13=0,0,R13/TrAvia_act!R21*100)</f>
        <v>158.02940081240635</v>
      </c>
      <c r="S25" s="88">
        <f>IF(S13=0,0,S13/TrAvia_act!S21*100)</f>
        <v>144.17687447081892</v>
      </c>
      <c r="T25" s="88">
        <f>IF(T13=0,0,T13/TrAvia_act!T21*100)</f>
        <v>125.8555905923064</v>
      </c>
      <c r="U25" s="88">
        <f>IF(U13=0,0,U13/TrAvia_act!U21*100)</f>
        <v>147.08471849131908</v>
      </c>
      <c r="V25" s="88">
        <f>IF(V13=0,0,V13/TrAvia_act!V21*100)</f>
        <v>266.92552805027861</v>
      </c>
      <c r="W25" s="88">
        <f>IF(W13=0,0,W13/TrAvia_act!W21*100)</f>
        <v>162.59093423403581</v>
      </c>
      <c r="X25" s="88">
        <f>IF(X13=0,0,X13/TrAvia_act!X21*100)</f>
        <v>197.3085341825315</v>
      </c>
      <c r="Y25" s="88">
        <f>IF(Y13=0,0,Y13/TrAvia_act!Y21*100)</f>
        <v>157.4567079819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53.921187528908128</v>
      </c>
      <c r="C28" s="14">
        <f>IF(C6=0,0,C6/TrAvia_act!C4*1000)</f>
        <v>52.479988458186476</v>
      </c>
      <c r="D28" s="14">
        <f>IF(D6=0,0,D6/TrAvia_act!D4*1000)</f>
        <v>51.457694187491157</v>
      </c>
      <c r="E28" s="14">
        <f>IF(E6=0,0,E6/TrAvia_act!E4*1000)</f>
        <v>51.118055168577897</v>
      </c>
      <c r="F28" s="14">
        <f>IF(F6=0,0,F6/TrAvia_act!F4*1000)</f>
        <v>50.663727600757333</v>
      </c>
      <c r="G28" s="14">
        <f>IF(G6=0,0,G6/TrAvia_act!G4*1000)</f>
        <v>32.02033398252307</v>
      </c>
      <c r="H28" s="14">
        <f>IF(H6=0,0,H6/TrAvia_act!H4*1000)</f>
        <v>29.366490259843452</v>
      </c>
      <c r="I28" s="14">
        <f>IF(I6=0,0,I6/TrAvia_act!I4*1000)</f>
        <v>28.995773244086063</v>
      </c>
      <c r="J28" s="14">
        <f>IF(J6=0,0,J6/TrAvia_act!J4*1000)</f>
        <v>31.760022105798125</v>
      </c>
      <c r="K28" s="14">
        <f>IF(K6=0,0,K6/TrAvia_act!K4*1000)</f>
        <v>34.799244965936154</v>
      </c>
      <c r="L28" s="14">
        <f>IF(L6=0,0,L6/TrAvia_act!L4*1000)</f>
        <v>35.130820053964158</v>
      </c>
      <c r="M28" s="14">
        <f>IF(M6=0,0,M6/TrAvia_act!M4*1000)</f>
        <v>34.892301463879427</v>
      </c>
      <c r="N28" s="14">
        <f>IF(N6=0,0,N6/TrAvia_act!N4*1000)</f>
        <v>37.957091664080863</v>
      </c>
      <c r="O28" s="14">
        <f>IF(O6=0,0,O6/TrAvia_act!O4*1000)</f>
        <v>38.004453715517499</v>
      </c>
      <c r="P28" s="14">
        <f>IF(P6=0,0,P6/TrAvia_act!P4*1000)</f>
        <v>35.164238150598941</v>
      </c>
      <c r="Q28" s="14">
        <f>IF(Q6=0,0,Q6/TrAvia_act!Q4*1000)</f>
        <v>33.445474666170519</v>
      </c>
      <c r="R28" s="14">
        <f>IF(R6=0,0,R6/TrAvia_act!R4*1000)</f>
        <v>36.868291647929652</v>
      </c>
      <c r="S28" s="14">
        <f>IF(S6=0,0,S6/TrAvia_act!S4*1000)</f>
        <v>37.018312831303817</v>
      </c>
      <c r="T28" s="14">
        <f>IF(T6=0,0,T6/TrAvia_act!T4*1000)</f>
        <v>34.853455208754688</v>
      </c>
      <c r="U28" s="14">
        <f>IF(U6=0,0,U6/TrAvia_act!U4*1000)</f>
        <v>32.431052379786024</v>
      </c>
      <c r="V28" s="14">
        <f>IF(V6=0,0,V6/TrAvia_act!V4*1000)</f>
        <v>45.611204603020752</v>
      </c>
      <c r="W28" s="14">
        <f>IF(W6=0,0,W6/TrAvia_act!W4*1000)</f>
        <v>46.194186062711651</v>
      </c>
      <c r="X28" s="14">
        <f>IF(X6=0,0,X6/TrAvia_act!X4*1000)</f>
        <v>27.318073862424477</v>
      </c>
      <c r="Y28" s="14">
        <f>IF(Y6=0,0,Y6/TrAvia_act!Y4*1000)</f>
        <v>26.207808888058402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64.606727167674876</v>
      </c>
      <c r="C30" s="87">
        <f>IF(C8=0,0,C8/TrAvia_act!C6*1000)</f>
        <v>62.800366665334671</v>
      </c>
      <c r="D30" s="87">
        <f>IF(D8=0,0,D8/TrAvia_act!D6*1000)</f>
        <v>61.737370606294817</v>
      </c>
      <c r="E30" s="87">
        <f>IF(E8=0,0,E8/TrAvia_act!E6*1000)</f>
        <v>61.727781831334262</v>
      </c>
      <c r="F30" s="87">
        <f>IF(F8=0,0,F8/TrAvia_act!F6*1000)</f>
        <v>61.530980847793508</v>
      </c>
      <c r="G30" s="87">
        <f>IF(G8=0,0,G8/TrAvia_act!G6*1000)</f>
        <v>39.804211010703881</v>
      </c>
      <c r="H30" s="87">
        <f>IF(H8=0,0,H8/TrAvia_act!H6*1000)</f>
        <v>37.153331505207724</v>
      </c>
      <c r="I30" s="87">
        <f>IF(I8=0,0,I8/TrAvia_act!I6*1000)</f>
        <v>39.610585890970846</v>
      </c>
      <c r="J30" s="87">
        <f>IF(J8=0,0,J8/TrAvia_act!J6*1000)</f>
        <v>44.749674528999648</v>
      </c>
      <c r="K30" s="87">
        <f>IF(K8=0,0,K8/TrAvia_act!K6*1000)</f>
        <v>45.289465509226837</v>
      </c>
      <c r="L30" s="87">
        <f>IF(L8=0,0,L8/TrAvia_act!L6*1000)</f>
        <v>45.334112266856806</v>
      </c>
      <c r="M30" s="87">
        <f>IF(M8=0,0,M8/TrAvia_act!M6*1000)</f>
        <v>44.217678744523866</v>
      </c>
      <c r="N30" s="87">
        <f>IF(N8=0,0,N8/TrAvia_act!N6*1000)</f>
        <v>48.030388317694914</v>
      </c>
      <c r="O30" s="87">
        <f>IF(O8=0,0,O8/TrAvia_act!O6*1000)</f>
        <v>48.90132066403438</v>
      </c>
      <c r="P30" s="87">
        <f>IF(P8=0,0,P8/TrAvia_act!P6*1000)</f>
        <v>42.834287914288829</v>
      </c>
      <c r="Q30" s="87">
        <f>IF(Q8=0,0,Q8/TrAvia_act!Q6*1000)</f>
        <v>39.195933993055462</v>
      </c>
      <c r="R30" s="87">
        <f>IF(R8=0,0,R8/TrAvia_act!R6*1000)</f>
        <v>43.741731189515598</v>
      </c>
      <c r="S30" s="87">
        <f>IF(S8=0,0,S8/TrAvia_act!S6*1000)</f>
        <v>44.475483792351994</v>
      </c>
      <c r="T30" s="87">
        <f>IF(T8=0,0,T8/TrAvia_act!T6*1000)</f>
        <v>42.392880465224749</v>
      </c>
      <c r="U30" s="87">
        <f>IF(U8=0,0,U8/TrAvia_act!U6*1000)</f>
        <v>40.507646629243453</v>
      </c>
      <c r="V30" s="87">
        <f>IF(V8=0,0,V8/TrAvia_act!V6*1000)</f>
        <v>49.468563736539593</v>
      </c>
      <c r="W30" s="87">
        <f>IF(W8=0,0,W8/TrAvia_act!W6*1000)</f>
        <v>54.058590747419508</v>
      </c>
      <c r="X30" s="87">
        <f>IF(X8=0,0,X8/TrAvia_act!X6*1000)</f>
        <v>31.156324784809669</v>
      </c>
      <c r="Y30" s="87">
        <f>IF(Y8=0,0,Y8/TrAvia_act!Y6*1000)</f>
        <v>31.318925031228932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24.868809317444654</v>
      </c>
      <c r="C31" s="87">
        <f>IF(C9=0,0,C9/TrAvia_act!C7*1000)</f>
        <v>24.294332391770588</v>
      </c>
      <c r="D31" s="87">
        <f>IF(D9=0,0,D9/TrAvia_act!D7*1000)</f>
        <v>23.654112653263258</v>
      </c>
      <c r="E31" s="87">
        <f>IF(E9=0,0,E9/TrAvia_act!E7*1000)</f>
        <v>23.095943103889034</v>
      </c>
      <c r="F31" s="87">
        <f>IF(F9=0,0,F9/TrAvia_act!F7*1000)</f>
        <v>22.557970377299668</v>
      </c>
      <c r="G31" s="87">
        <f>IF(G9=0,0,G9/TrAvia_act!G7*1000)</f>
        <v>12.16406407450129</v>
      </c>
      <c r="H31" s="87">
        <f>IF(H9=0,0,H9/TrAvia_act!H7*1000)</f>
        <v>9.5385056454406882</v>
      </c>
      <c r="I31" s="87">
        <f>IF(I9=0,0,I9/TrAvia_act!I7*1000)</f>
        <v>7.6355381433318934</v>
      </c>
      <c r="J31" s="87">
        <f>IF(J9=0,0,J9/TrAvia_act!J7*1000)</f>
        <v>8.0206560098879081</v>
      </c>
      <c r="K31" s="87">
        <f>IF(K9=0,0,K9/TrAvia_act!K7*1000)</f>
        <v>10.448882605854569</v>
      </c>
      <c r="L31" s="87">
        <f>IF(L9=0,0,L9/TrAvia_act!L7*1000)</f>
        <v>10.072551425864459</v>
      </c>
      <c r="M31" s="87">
        <f>IF(M9=0,0,M9/TrAvia_act!M7*1000)</f>
        <v>10.495003219150831</v>
      </c>
      <c r="N31" s="87">
        <f>IF(N9=0,0,N9/TrAvia_act!N7*1000)</f>
        <v>11.894878322873891</v>
      </c>
      <c r="O31" s="87">
        <f>IF(O9=0,0,O9/TrAvia_act!O7*1000)</f>
        <v>11.248360445059403</v>
      </c>
      <c r="P31" s="87">
        <f>IF(P9=0,0,P9/TrAvia_act!P7*1000)</f>
        <v>12.057782745716091</v>
      </c>
      <c r="Q31" s="87">
        <f>IF(Q9=0,0,Q9/TrAvia_act!Q7*1000)</f>
        <v>12.523307714304122</v>
      </c>
      <c r="R31" s="87">
        <f>IF(R9=0,0,R9/TrAvia_act!R7*1000)</f>
        <v>12.838520328578332</v>
      </c>
      <c r="S31" s="87">
        <f>IF(S9=0,0,S9/TrAvia_act!S7*1000)</f>
        <v>11.837837551893015</v>
      </c>
      <c r="T31" s="87">
        <f>IF(T9=0,0,T9/TrAvia_act!T7*1000)</f>
        <v>10.520814080876043</v>
      </c>
      <c r="U31" s="87">
        <f>IF(U9=0,0,U9/TrAvia_act!U7*1000)</f>
        <v>9.0756315824896507</v>
      </c>
      <c r="V31" s="87">
        <f>IF(V9=0,0,V9/TrAvia_act!V7*1000)</f>
        <v>28.012597473886277</v>
      </c>
      <c r="W31" s="87">
        <f>IF(W9=0,0,W9/TrAvia_act!W7*1000)</f>
        <v>19.777923687015381</v>
      </c>
      <c r="X31" s="87">
        <f>IF(X9=0,0,X9/TrAvia_act!X7*1000)</f>
        <v>10.884583394433157</v>
      </c>
      <c r="Y31" s="87">
        <f>IF(Y9=0,0,Y9/TrAvia_act!Y7*1000)</f>
        <v>8.9029710183969719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86.038098138753</v>
      </c>
      <c r="C32" s="15">
        <f>IF(C10=0,0,C10/TrAvia_act!C8*1000)</f>
        <v>72.822908135181834</v>
      </c>
      <c r="D32" s="15">
        <f>IF(D10=0,0,D10/TrAvia_act!D8*1000)</f>
        <v>77.971859017580627</v>
      </c>
      <c r="E32" s="15">
        <f>IF(E10=0,0,E10/TrAvia_act!E8*1000)</f>
        <v>77.466741800537946</v>
      </c>
      <c r="F32" s="15">
        <f>IF(F10=0,0,F10/TrAvia_act!F8*1000)</f>
        <v>83.483189272582322</v>
      </c>
      <c r="G32" s="15">
        <f>IF(G10=0,0,G10/TrAvia_act!G8*1000)</f>
        <v>71.85939810266926</v>
      </c>
      <c r="H32" s="15">
        <f>IF(H10=0,0,H10/TrAvia_act!H8*1000)</f>
        <v>64.351925916674901</v>
      </c>
      <c r="I32" s="15">
        <f>IF(I10=0,0,I10/TrAvia_act!I8*1000)</f>
        <v>51.43061992831035</v>
      </c>
      <c r="J32" s="15">
        <f>IF(J10=0,0,J10/TrAvia_act!J8*1000)</f>
        <v>58.116844686788859</v>
      </c>
      <c r="K32" s="15">
        <f>IF(K10=0,0,K10/TrAvia_act!K8*1000)</f>
        <v>81.701307026621038</v>
      </c>
      <c r="L32" s="15">
        <f>IF(L10=0,0,L10/TrAvia_act!L8*1000)</f>
        <v>64.278223277903933</v>
      </c>
      <c r="M32" s="15">
        <f>IF(M10=0,0,M10/TrAvia_act!M8*1000)</f>
        <v>63.671138499018298</v>
      </c>
      <c r="N32" s="15">
        <f>IF(N10=0,0,N10/TrAvia_act!N8*1000)</f>
        <v>30.64184391080763</v>
      </c>
      <c r="O32" s="15">
        <f>IF(O10=0,0,O10/TrAvia_act!O8*1000)</f>
        <v>27.475387960199225</v>
      </c>
      <c r="P32" s="15">
        <f>IF(P10=0,0,P10/TrAvia_act!P8*1000)</f>
        <v>26.617736127987691</v>
      </c>
      <c r="Q32" s="15">
        <f>IF(Q10=0,0,Q10/TrAvia_act!Q8*1000)</f>
        <v>40.608569871647333</v>
      </c>
      <c r="R32" s="15">
        <f>IF(R10=0,0,R10/TrAvia_act!R8*1000)</f>
        <v>44.35704978059762</v>
      </c>
      <c r="S32" s="15">
        <f>IF(S10=0,0,S10/TrAvia_act!S8*1000)</f>
        <v>50.27075473924225</v>
      </c>
      <c r="T32" s="15">
        <f>IF(T10=0,0,T10/TrAvia_act!T8*1000)</f>
        <v>54.937133457865087</v>
      </c>
      <c r="U32" s="15">
        <f>IF(U10=0,0,U10/TrAvia_act!U8*1000)</f>
        <v>38.971405153739227</v>
      </c>
      <c r="V32" s="15">
        <f>IF(V10=0,0,V10/TrAvia_act!V8*1000)</f>
        <v>107.25087691342331</v>
      </c>
      <c r="W32" s="15">
        <f>IF(W10=0,0,W10/TrAvia_act!W8*1000)</f>
        <v>131.53783046493245</v>
      </c>
      <c r="X32" s="15">
        <f>IF(X10=0,0,X10/TrAvia_act!X8*1000)</f>
        <v>111.35080768239787</v>
      </c>
      <c r="Y32" s="15">
        <f>IF(Y10=0,0,Y10/TrAvia_act!Y8*1000)</f>
        <v>120.65184272427402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199.26992885489949</v>
      </c>
      <c r="C34" s="101">
        <f>IF(C12=0,0,C12/TrAvia_act!C10*1000)</f>
        <v>187.07497743730892</v>
      </c>
      <c r="D34" s="101">
        <f>IF(D12=0,0,D12/TrAvia_act!D10*1000)</f>
        <v>198.55784470401562</v>
      </c>
      <c r="E34" s="101">
        <f>IF(E12=0,0,E12/TrAvia_act!E10*1000)</f>
        <v>194.14699633041687</v>
      </c>
      <c r="F34" s="101">
        <f>IF(F12=0,0,F12/TrAvia_act!F10*1000)</f>
        <v>214.28166521925169</v>
      </c>
      <c r="G34" s="101">
        <f>IF(G12=0,0,G12/TrAvia_act!G10*1000)</f>
        <v>191.98419495742965</v>
      </c>
      <c r="H34" s="101">
        <f>IF(H12=0,0,H12/TrAvia_act!H10*1000)</f>
        <v>185.26781529130585</v>
      </c>
      <c r="I34" s="101">
        <f>IF(I12=0,0,I12/TrAvia_act!I10*1000)</f>
        <v>175.52818285554048</v>
      </c>
      <c r="J34" s="101">
        <f>IF(J12=0,0,J12/TrAvia_act!J10*1000)</f>
        <v>199.16773160459718</v>
      </c>
      <c r="K34" s="101">
        <f>IF(K12=0,0,K12/TrAvia_act!K10*1000)</f>
        <v>214.90380706521415</v>
      </c>
      <c r="L34" s="101">
        <f>IF(L12=0,0,L12/TrAvia_act!L10*1000)</f>
        <v>178.54962422397517</v>
      </c>
      <c r="M34" s="101">
        <f>IF(M12=0,0,M12/TrAvia_act!M10*1000)</f>
        <v>183.06385956446377</v>
      </c>
      <c r="N34" s="101">
        <f>IF(N12=0,0,N12/TrAvia_act!N10*1000)</f>
        <v>199.89206134923862</v>
      </c>
      <c r="O34" s="101">
        <f>IF(O12=0,0,O12/TrAvia_act!O10*1000)</f>
        <v>203.81708529200827</v>
      </c>
      <c r="P34" s="101">
        <f>IF(P12=0,0,P12/TrAvia_act!P10*1000)</f>
        <v>159.88600654088947</v>
      </c>
      <c r="Q34" s="101">
        <f>IF(Q12=0,0,Q12/TrAvia_act!Q10*1000)</f>
        <v>148.28856342470905</v>
      </c>
      <c r="R34" s="101">
        <f>IF(R12=0,0,R12/TrAvia_act!R10*1000)</f>
        <v>160.58853847725271</v>
      </c>
      <c r="S34" s="101">
        <f>IF(S12=0,0,S12/TrAvia_act!S10*1000)</f>
        <v>192.42875405848557</v>
      </c>
      <c r="T34" s="101">
        <f>IF(T12=0,0,T12/TrAvia_act!T10*1000)</f>
        <v>197.37293126190966</v>
      </c>
      <c r="U34" s="101">
        <f>IF(U12=0,0,U12/TrAvia_act!U10*1000)</f>
        <v>165.73642570729237</v>
      </c>
      <c r="V34" s="101">
        <f>IF(V12=0,0,V12/TrAvia_act!V10*1000)</f>
        <v>185.99108553975904</v>
      </c>
      <c r="W34" s="101">
        <f>IF(W12=0,0,W12/TrAvia_act!W10*1000)</f>
        <v>197.84138825216493</v>
      </c>
      <c r="X34" s="101">
        <f>IF(X12=0,0,X12/TrAvia_act!X10*1000)</f>
        <v>158.398263685991</v>
      </c>
      <c r="Y34" s="101">
        <f>IF(Y12=0,0,Y12/TrAvia_act!Y10*1000)</f>
        <v>166.59560218302789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16.778320855104564</v>
      </c>
      <c r="C35" s="88">
        <f>IF(C13=0,0,C13/TrAvia_act!C11*1000)</f>
        <v>16.005670404637179</v>
      </c>
      <c r="D35" s="88">
        <f>IF(D13=0,0,D13/TrAvia_act!D11*1000)</f>
        <v>16.922226982240911</v>
      </c>
      <c r="E35" s="88">
        <f>IF(E13=0,0,E13/TrAvia_act!E11*1000)</f>
        <v>18.672618067879906</v>
      </c>
      <c r="F35" s="88">
        <f>IF(F13=0,0,F13/TrAvia_act!F11*1000)</f>
        <v>19.221744935847617</v>
      </c>
      <c r="G35" s="88">
        <f>IF(G13=0,0,G13/TrAvia_act!G11*1000)</f>
        <v>13.396300437555775</v>
      </c>
      <c r="H35" s="88">
        <f>IF(H13=0,0,H13/TrAvia_act!H11*1000)</f>
        <v>12.237361875787595</v>
      </c>
      <c r="I35" s="88">
        <f>IF(I13=0,0,I13/TrAvia_act!I11*1000)</f>
        <v>13.263502533702864</v>
      </c>
      <c r="J35" s="88">
        <f>IF(J13=0,0,J13/TrAvia_act!J11*1000)</f>
        <v>17.513014042654913</v>
      </c>
      <c r="K35" s="88">
        <f>IF(K13=0,0,K13/TrAvia_act!K11*1000)</f>
        <v>20.167056631092688</v>
      </c>
      <c r="L35" s="88">
        <f>IF(L13=0,0,L13/TrAvia_act!L11*1000)</f>
        <v>19.618968968090538</v>
      </c>
      <c r="M35" s="88">
        <f>IF(M13=0,0,M13/TrAvia_act!M11*1000)</f>
        <v>21.11877252243022</v>
      </c>
      <c r="N35" s="88">
        <f>IF(N13=0,0,N13/TrAvia_act!N11*1000)</f>
        <v>23.165766839271484</v>
      </c>
      <c r="O35" s="88">
        <f>IF(O13=0,0,O13/TrAvia_act!O11*1000)</f>
        <v>22.081105839240784</v>
      </c>
      <c r="P35" s="88">
        <f>IF(P13=0,0,P13/TrAvia_act!P11*1000)</f>
        <v>17.779826268592725</v>
      </c>
      <c r="Q35" s="88">
        <f>IF(Q13=0,0,Q13/TrAvia_act!Q11*1000)</f>
        <v>17.566900610690269</v>
      </c>
      <c r="R35" s="88">
        <f>IF(R13=0,0,R13/TrAvia_act!R11*1000)</f>
        <v>15.247917122478455</v>
      </c>
      <c r="S35" s="88">
        <f>IF(S13=0,0,S13/TrAvia_act!S11*1000)</f>
        <v>14.370279159669987</v>
      </c>
      <c r="T35" s="88">
        <f>IF(T13=0,0,T13/TrAvia_act!T11*1000)</f>
        <v>13.074687641317494</v>
      </c>
      <c r="U35" s="88">
        <f>IF(U13=0,0,U13/TrAvia_act!U11*1000)</f>
        <v>15.04138031046503</v>
      </c>
      <c r="V35" s="88">
        <f>IF(V13=0,0,V13/TrAvia_act!V11*1000)</f>
        <v>41.521264332295793</v>
      </c>
      <c r="W35" s="88">
        <f>IF(W13=0,0,W13/TrAvia_act!W11*1000)</f>
        <v>27.476274016714324</v>
      </c>
      <c r="X35" s="88">
        <f>IF(X13=0,0,X13/TrAvia_act!X11*1000)</f>
        <v>28.163092792958455</v>
      </c>
      <c r="Y35" s="88">
        <f>IF(Y13=0,0,Y13/TrAvia_act!Y11*1000)</f>
        <v>20.491344424386114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4136.8035634850166</v>
      </c>
      <c r="C37" s="62">
        <f>IF(C3=0,0,C3/TrAvia_act!C23*1000000)</f>
        <v>4134.8907381628132</v>
      </c>
      <c r="D37" s="62">
        <f>IF(D3=0,0,D3/TrAvia_act!D23*1000000)</f>
        <v>4127.2570937231303</v>
      </c>
      <c r="E37" s="62">
        <f>IF(E3=0,0,E3/TrAvia_act!E23*1000000)</f>
        <v>4139.6732482013149</v>
      </c>
      <c r="F37" s="62">
        <f>IF(F3=0,0,F3/TrAvia_act!F23*1000000)</f>
        <v>4136.3123410703274</v>
      </c>
      <c r="G37" s="62">
        <f>IF(G3=0,0,G3/TrAvia_act!G23*1000000)</f>
        <v>3857.5081403380186</v>
      </c>
      <c r="H37" s="62">
        <f>IF(H3=0,0,H3/TrAvia_act!H23*1000000)</f>
        <v>3704.9258887494925</v>
      </c>
      <c r="I37" s="62">
        <f>IF(I3=0,0,I3/TrAvia_act!I23*1000000)</f>
        <v>3727.2049249488637</v>
      </c>
      <c r="J37" s="62">
        <f>IF(J3=0,0,J3/TrAvia_act!J23*1000000)</f>
        <v>3699.2558117422559</v>
      </c>
      <c r="K37" s="62">
        <f>IF(K3=0,0,K3/TrAvia_act!K23*1000000)</f>
        <v>3526.4991134302136</v>
      </c>
      <c r="L37" s="62">
        <f>IF(L3=0,0,L3/TrAvia_act!L23*1000000)</f>
        <v>3520.890718961944</v>
      </c>
      <c r="M37" s="62">
        <f>IF(M3=0,0,M3/TrAvia_act!M23*1000000)</f>
        <v>3340.5475373319791</v>
      </c>
      <c r="N37" s="62">
        <f>IF(N3=0,0,N3/TrAvia_act!N23*1000000)</f>
        <v>3643.2473986956657</v>
      </c>
      <c r="O37" s="62">
        <f>IF(O3=0,0,O3/TrAvia_act!O23*1000000)</f>
        <v>3854.5715716309455</v>
      </c>
      <c r="P37" s="62">
        <f>IF(P3=0,0,P3/TrAvia_act!P23*1000000)</f>
        <v>3530.0933344098748</v>
      </c>
      <c r="Q37" s="62">
        <f>IF(Q3=0,0,Q3/TrAvia_act!Q23*1000000)</f>
        <v>3368.9119260479129</v>
      </c>
      <c r="R37" s="62">
        <f>IF(R3=0,0,R3/TrAvia_act!R23*1000000)</f>
        <v>3895.1588777451698</v>
      </c>
      <c r="S37" s="62">
        <f>IF(S3=0,0,S3/TrAvia_act!S23*1000000)</f>
        <v>4038.2377646872756</v>
      </c>
      <c r="T37" s="62">
        <f>IF(T3=0,0,T3/TrAvia_act!T23*1000000)</f>
        <v>3919.7494206803508</v>
      </c>
      <c r="U37" s="62">
        <f>IF(U3=0,0,U3/TrAvia_act!U23*1000000)</f>
        <v>3845.1562052163968</v>
      </c>
      <c r="V37" s="62">
        <f>IF(V3=0,0,V3/TrAvia_act!V23*1000000)</f>
        <v>4336.0830634223248</v>
      </c>
      <c r="W37" s="62">
        <f>IF(W3=0,0,W3/TrAvia_act!W23*1000000)</f>
        <v>5257.3699368522248</v>
      </c>
      <c r="X37" s="62">
        <f>IF(X3=0,0,X3/TrAvia_act!X23*1000000)</f>
        <v>4273.4356387739845</v>
      </c>
      <c r="Y37" s="62">
        <f>IF(Y3=0,0,Y3/TrAvia_act!Y23*1000000)</f>
        <v>4685.2387389682563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4140.4429914838847</v>
      </c>
      <c r="C38" s="14">
        <f>IF(C6=0,0,C6/TrAvia_act!C24*1000000)</f>
        <v>4138.8030386706732</v>
      </c>
      <c r="D38" s="14">
        <f>IF(D6=0,0,D6/TrAvia_act!D24*1000000)</f>
        <v>4131.522389554194</v>
      </c>
      <c r="E38" s="14">
        <f>IF(E6=0,0,E6/TrAvia_act!E24*1000000)</f>
        <v>4142.416736001589</v>
      </c>
      <c r="F38" s="14">
        <f>IF(F6=0,0,F6/TrAvia_act!F24*1000000)</f>
        <v>4138.9981913726488</v>
      </c>
      <c r="G38" s="14">
        <f>IF(G6=0,0,G6/TrAvia_act!G24*1000000)</f>
        <v>3858.9815218164563</v>
      </c>
      <c r="H38" s="14">
        <f>IF(H6=0,0,H6/TrAvia_act!H24*1000000)</f>
        <v>3707.3530271972991</v>
      </c>
      <c r="I38" s="14">
        <f>IF(I6=0,0,I6/TrAvia_act!I24*1000000)</f>
        <v>3728.292274597271</v>
      </c>
      <c r="J38" s="14">
        <f>IF(J6=0,0,J6/TrAvia_act!J24*1000000)</f>
        <v>3695.9938059936162</v>
      </c>
      <c r="K38" s="14">
        <f>IF(K6=0,0,K6/TrAvia_act!K24*1000000)</f>
        <v>3516.1385770985594</v>
      </c>
      <c r="L38" s="14">
        <f>IF(L6=0,0,L6/TrAvia_act!L24*1000000)</f>
        <v>3510.0857365477245</v>
      </c>
      <c r="M38" s="14">
        <f>IF(M6=0,0,M6/TrAvia_act!M24*1000000)</f>
        <v>3329.3639326999746</v>
      </c>
      <c r="N38" s="14">
        <f>IF(N6=0,0,N6/TrAvia_act!N24*1000000)</f>
        <v>3584.6561547662754</v>
      </c>
      <c r="O38" s="14">
        <f>IF(O6=0,0,O6/TrAvia_act!O24*1000000)</f>
        <v>3776.7196491549444</v>
      </c>
      <c r="P38" s="14">
        <f>IF(P6=0,0,P6/TrAvia_act!P24*1000000)</f>
        <v>3499.0878150072567</v>
      </c>
      <c r="Q38" s="14">
        <f>IF(Q6=0,0,Q6/TrAvia_act!Q24*1000000)</f>
        <v>3361.8398721234685</v>
      </c>
      <c r="R38" s="14">
        <f>IF(R6=0,0,R6/TrAvia_act!R24*1000000)</f>
        <v>3894.9776420796675</v>
      </c>
      <c r="S38" s="14">
        <f>IF(S6=0,0,S6/TrAvia_act!S24*1000000)</f>
        <v>4041.6930835612047</v>
      </c>
      <c r="T38" s="14">
        <f>IF(T6=0,0,T6/TrAvia_act!T24*1000000)</f>
        <v>3924.4937486125436</v>
      </c>
      <c r="U38" s="14">
        <f>IF(U6=0,0,U6/TrAvia_act!U24*1000000)</f>
        <v>3839.548990963222</v>
      </c>
      <c r="V38" s="14">
        <f>IF(V6=0,0,V6/TrAvia_act!V24*1000000)</f>
        <v>4363.5308463382435</v>
      </c>
      <c r="W38" s="14">
        <f>IF(W6=0,0,W6/TrAvia_act!W24*1000000)</f>
        <v>5326.8136127116904</v>
      </c>
      <c r="X38" s="14">
        <f>IF(X6=0,0,X6/TrAvia_act!X24*1000000)</f>
        <v>4305.802762944807</v>
      </c>
      <c r="Y38" s="14">
        <f>IF(Y6=0,0,Y6/TrAvia_act!Y24*1000000)</f>
        <v>4718.9676356629307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4113.962046933123</v>
      </c>
      <c r="C40" s="87">
        <f>IF(C8=0,0,C8/TrAvia_act!C26*1000000)</f>
        <v>4112.2865563067926</v>
      </c>
      <c r="D40" s="87">
        <f>IF(D8=0,0,D8/TrAvia_act!D26*1000000)</f>
        <v>4105.0477110790716</v>
      </c>
      <c r="E40" s="87">
        <f>IF(E8=0,0,E8/TrAvia_act!E26*1000000)</f>
        <v>4115.8840945325292</v>
      </c>
      <c r="F40" s="87">
        <f>IF(F8=0,0,F8/TrAvia_act!F26*1000000)</f>
        <v>4112.5009077672557</v>
      </c>
      <c r="G40" s="87">
        <f>IF(G8=0,0,G8/TrAvia_act!G26*1000000)</f>
        <v>3981.1284011432049</v>
      </c>
      <c r="H40" s="87">
        <f>IF(H8=0,0,H8/TrAvia_act!H26*1000000)</f>
        <v>4027.7617199125552</v>
      </c>
      <c r="I40" s="87">
        <f>IF(I8=0,0,I8/TrAvia_act!I26*1000000)</f>
        <v>4176.3053233999462</v>
      </c>
      <c r="J40" s="87">
        <f>IF(J8=0,0,J8/TrAvia_act!J26*1000000)</f>
        <v>4115.3738709323661</v>
      </c>
      <c r="K40" s="87">
        <f>IF(K8=0,0,K8/TrAvia_act!K26*1000000)</f>
        <v>3869.0480683121432</v>
      </c>
      <c r="L40" s="87">
        <f>IF(L8=0,0,L8/TrAvia_act!L26*1000000)</f>
        <v>3951.8669840189018</v>
      </c>
      <c r="M40" s="87">
        <f>IF(M8=0,0,M8/TrAvia_act!M26*1000000)</f>
        <v>3778.4207851386532</v>
      </c>
      <c r="N40" s="87">
        <f>IF(N8=0,0,N8/TrAvia_act!N26*1000000)</f>
        <v>4114.1905049192792</v>
      </c>
      <c r="O40" s="87">
        <f>IF(O8=0,0,O8/TrAvia_act!O26*1000000)</f>
        <v>4443.6513988709021</v>
      </c>
      <c r="P40" s="87">
        <f>IF(P8=0,0,P8/TrAvia_act!P26*1000000)</f>
        <v>4074.7104616346355</v>
      </c>
      <c r="Q40" s="87">
        <f>IF(Q8=0,0,Q8/TrAvia_act!Q26*1000000)</f>
        <v>3796.9576272730328</v>
      </c>
      <c r="R40" s="87">
        <f>IF(R8=0,0,R8/TrAvia_act!R26*1000000)</f>
        <v>4550.3321379865929</v>
      </c>
      <c r="S40" s="87">
        <f>IF(S8=0,0,S8/TrAvia_act!S26*1000000)</f>
        <v>4775.8331123886201</v>
      </c>
      <c r="T40" s="87">
        <f>IF(T8=0,0,T8/TrAvia_act!T26*1000000)</f>
        <v>4721.3549167010569</v>
      </c>
      <c r="U40" s="87">
        <f>IF(U8=0,0,U8/TrAvia_act!U26*1000000)</f>
        <v>4735.3965932907986</v>
      </c>
      <c r="V40" s="87">
        <f>IF(V8=0,0,V8/TrAvia_act!V26*1000000)</f>
        <v>4480.4103254954935</v>
      </c>
      <c r="W40" s="87">
        <f>IF(W8=0,0,W8/TrAvia_act!W26*1000000)</f>
        <v>5559.5202330359925</v>
      </c>
      <c r="X40" s="87">
        <f>IF(X8=0,0,X8/TrAvia_act!X26*1000000)</f>
        <v>4309.990358457233</v>
      </c>
      <c r="Y40" s="87">
        <f>IF(Y8=0,0,Y8/TrAvia_act!Y26*1000000)</f>
        <v>4781.313757217802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4337.6563416908766</v>
      </c>
      <c r="C41" s="87">
        <f>IF(C9=0,0,C9/TrAvia_act!C27*1000000)</f>
        <v>4336.1957753216348</v>
      </c>
      <c r="D41" s="87">
        <f>IF(D9=0,0,D9/TrAvia_act!D27*1000000)</f>
        <v>4328.5930682666058</v>
      </c>
      <c r="E41" s="87">
        <f>IF(E9=0,0,E9/TrAvia_act!E27*1000000)</f>
        <v>4339.9040105724289</v>
      </c>
      <c r="F41" s="87">
        <f>IF(F9=0,0,F9/TrAvia_act!F27*1000000)</f>
        <v>4336.0873276467992</v>
      </c>
      <c r="G41" s="87">
        <f>IF(G9=0,0,G9/TrAvia_act!G27*1000000)</f>
        <v>3072.1660393163006</v>
      </c>
      <c r="H41" s="87">
        <f>IF(H9=0,0,H9/TrAvia_act!H27*1000000)</f>
        <v>2072.3084616155561</v>
      </c>
      <c r="I41" s="87">
        <f>IF(I9=0,0,I9/TrAvia_act!I27*1000000)</f>
        <v>1758.7445757434275</v>
      </c>
      <c r="J41" s="87">
        <f>IF(J9=0,0,J9/TrAvia_act!J27*1000000)</f>
        <v>1812.5768126317478</v>
      </c>
      <c r="K41" s="87">
        <f>IF(K9=0,0,K9/TrAvia_act!K27*1000000)</f>
        <v>1833.5051701036666</v>
      </c>
      <c r="L41" s="87">
        <f>IF(L9=0,0,L9/TrAvia_act!L27*1000000)</f>
        <v>1570.0398682640207</v>
      </c>
      <c r="M41" s="87">
        <f>IF(M9=0,0,M9/TrAvia_act!M27*1000000)</f>
        <v>1441.2672814479865</v>
      </c>
      <c r="N41" s="87">
        <f>IF(N9=0,0,N9/TrAvia_act!N27*1000000)</f>
        <v>1528.8737803247195</v>
      </c>
      <c r="O41" s="87">
        <f>IF(O9=0,0,O9/TrAvia_act!O27*1000000)</f>
        <v>1451.4035284262141</v>
      </c>
      <c r="P41" s="87">
        <f>IF(P9=0,0,P9/TrAvia_act!P27*1000000)</f>
        <v>1393.0482601907552</v>
      </c>
      <c r="Q41" s="87">
        <f>IF(Q9=0,0,Q9/TrAvia_act!Q27*1000000)</f>
        <v>1458.5242696746955</v>
      </c>
      <c r="R41" s="87">
        <f>IF(R9=0,0,R9/TrAvia_act!R27*1000000)</f>
        <v>1434.3522123090479</v>
      </c>
      <c r="S41" s="87">
        <f>IF(S9=0,0,S9/TrAvia_act!S27*1000000)</f>
        <v>1369.9960555749794</v>
      </c>
      <c r="T41" s="87">
        <f>IF(T9=0,0,T9/TrAvia_act!T27*1000000)</f>
        <v>1228.3700276810785</v>
      </c>
      <c r="U41" s="87">
        <f>IF(U9=0,0,U9/TrAvia_act!U27*1000000)</f>
        <v>1115.5874269418416</v>
      </c>
      <c r="V41" s="87">
        <f>IF(V9=0,0,V9/TrAvia_act!V27*1000000)</f>
        <v>3605.6972153698621</v>
      </c>
      <c r="W41" s="87">
        <f>IF(W9=0,0,W9/TrAvia_act!W27*1000000)</f>
        <v>3848.0428324830041</v>
      </c>
      <c r="X41" s="87">
        <f>IF(X9=0,0,X9/TrAvia_act!X27*1000000)</f>
        <v>4255.1348955548629</v>
      </c>
      <c r="Y41" s="87">
        <f>IF(Y9=0,0,Y9/TrAvia_act!Y27*1000000)</f>
        <v>4084.6070981423118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3777.3400595969347</v>
      </c>
      <c r="C42" s="15">
        <f>IF(C10=0,0,C10/TrAvia_act!C28*1000000)</f>
        <v>3729.3997210095331</v>
      </c>
      <c r="D42" s="15">
        <f>IF(D10=0,0,D10/TrAvia_act!D28*1000000)</f>
        <v>3726.0189126572745</v>
      </c>
      <c r="E42" s="15">
        <f>IF(E10=0,0,E10/TrAvia_act!E28*1000000)</f>
        <v>3725.6209253444085</v>
      </c>
      <c r="F42" s="15">
        <f>IF(F10=0,0,F10/TrAvia_act!F28*1000000)</f>
        <v>3713.3635090032462</v>
      </c>
      <c r="G42" s="15">
        <f>IF(G10=0,0,G10/TrAvia_act!G28*1000000)</f>
        <v>3632.0212435722492</v>
      </c>
      <c r="H42" s="15">
        <f>IF(H10=0,0,H10/TrAvia_act!H28*1000000)</f>
        <v>3317.5239799225833</v>
      </c>
      <c r="I42" s="15">
        <f>IF(I10=0,0,I10/TrAvia_act!I28*1000000)</f>
        <v>3504.6296297754166</v>
      </c>
      <c r="J42" s="15">
        <f>IF(J10=0,0,J10/TrAvia_act!J28*1000000)</f>
        <v>4402.9863742421094</v>
      </c>
      <c r="K42" s="15">
        <f>IF(K10=0,0,K10/TrAvia_act!K28*1000000)</f>
        <v>5039.8736996215539</v>
      </c>
      <c r="L42" s="15">
        <f>IF(L10=0,0,L10/TrAvia_act!L28*1000000)</f>
        <v>4965.9699799088285</v>
      </c>
      <c r="M42" s="15">
        <f>IF(M10=0,0,M10/TrAvia_act!M28*1000000)</f>
        <v>4970.5579124465949</v>
      </c>
      <c r="N42" s="15">
        <f>IF(N10=0,0,N10/TrAvia_act!N28*1000000)</f>
        <v>7512.0778697616188</v>
      </c>
      <c r="O42" s="15">
        <f>IF(O10=0,0,O10/TrAvia_act!O28*1000000)</f>
        <v>7075.280758104881</v>
      </c>
      <c r="P42" s="15">
        <f>IF(P10=0,0,P10/TrAvia_act!P28*1000000)</f>
        <v>5339.8177887373922</v>
      </c>
      <c r="Q42" s="15">
        <f>IF(Q10=0,0,Q10/TrAvia_act!Q28*1000000)</f>
        <v>4024.5329251611265</v>
      </c>
      <c r="R42" s="15">
        <f>IF(R10=0,0,R10/TrAvia_act!R28*1000000)</f>
        <v>3912.2938861199514</v>
      </c>
      <c r="S42" s="15">
        <f>IF(S10=0,0,S10/TrAvia_act!S28*1000000)</f>
        <v>3738.5785157117443</v>
      </c>
      <c r="T42" s="15">
        <f>IF(T10=0,0,T10/TrAvia_act!T28*1000000)</f>
        <v>3489.0290385735075</v>
      </c>
      <c r="U42" s="15">
        <f>IF(U10=0,0,U10/TrAvia_act!U28*1000000)</f>
        <v>4352.495945065275</v>
      </c>
      <c r="V42" s="15">
        <f>IF(V10=0,0,V10/TrAvia_act!V28*1000000)</f>
        <v>3439.0646905897825</v>
      </c>
      <c r="W42" s="15">
        <f>IF(W10=0,0,W10/TrAvia_act!W28*1000000)</f>
        <v>3296.7116543839006</v>
      </c>
      <c r="X42" s="15">
        <f>IF(X10=0,0,X10/TrAvia_act!X28*1000000)</f>
        <v>2890.78287944152</v>
      </c>
      <c r="Y42" s="15">
        <f>IF(Y10=0,0,Y10/TrAvia_act!Y28*1000000)</f>
        <v>3021.4788259052434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3721.0080043626012</v>
      </c>
      <c r="C44" s="101">
        <f>IF(C12=0,0,C12/TrAvia_act!C30*1000000)</f>
        <v>3653.3608184891382</v>
      </c>
      <c r="D44" s="101">
        <f>IF(D12=0,0,D12/TrAvia_act!D30*1000000)</f>
        <v>3652.1021032953095</v>
      </c>
      <c r="E44" s="101">
        <f>IF(E12=0,0,E12/TrAvia_act!E30*1000000)</f>
        <v>3640.4204396459681</v>
      </c>
      <c r="F44" s="101">
        <f>IF(F12=0,0,F12/TrAvia_act!F30*1000000)</f>
        <v>3630.6771503152045</v>
      </c>
      <c r="G44" s="101">
        <f>IF(G12=0,0,G12/TrAvia_act!G30*1000000)</f>
        <v>3743.8289299875664</v>
      </c>
      <c r="H44" s="101">
        <f>IF(H12=0,0,H12/TrAvia_act!H30*1000000)</f>
        <v>3396.9111729672322</v>
      </c>
      <c r="I44" s="101">
        <f>IF(I12=0,0,I12/TrAvia_act!I30*1000000)</f>
        <v>3516.7589486868715</v>
      </c>
      <c r="J44" s="101">
        <f>IF(J12=0,0,J12/TrAvia_act!J30*1000000)</f>
        <v>4251.0748837855172</v>
      </c>
      <c r="K44" s="101">
        <f>IF(K12=0,0,K12/TrAvia_act!K30*1000000)</f>
        <v>4797.7932929054059</v>
      </c>
      <c r="L44" s="101">
        <f>IF(L12=0,0,L12/TrAvia_act!L30*1000000)</f>
        <v>4577.573706285335</v>
      </c>
      <c r="M44" s="101">
        <f>IF(M12=0,0,M12/TrAvia_act!M30*1000000)</f>
        <v>4461.5004855832385</v>
      </c>
      <c r="N44" s="101">
        <f>IF(N12=0,0,N12/TrAvia_act!N30*1000000)</f>
        <v>5062.8670498298889</v>
      </c>
      <c r="O44" s="101">
        <f>IF(O12=0,0,O12/TrAvia_act!O30*1000000)</f>
        <v>4781.7286533324695</v>
      </c>
      <c r="P44" s="101">
        <f>IF(P12=0,0,P12/TrAvia_act!P30*1000000)</f>
        <v>4099.5781125649191</v>
      </c>
      <c r="Q44" s="101">
        <f>IF(Q12=0,0,Q12/TrAvia_act!Q30*1000000)</f>
        <v>3481.2099679937232</v>
      </c>
      <c r="R44" s="101">
        <f>IF(R12=0,0,R12/TrAvia_act!R30*1000000)</f>
        <v>3729.6307297040539</v>
      </c>
      <c r="S44" s="101">
        <f>IF(S12=0,0,S12/TrAvia_act!S30*1000000)</f>
        <v>3824.5421563566547</v>
      </c>
      <c r="T44" s="101">
        <f>IF(T12=0,0,T12/TrAvia_act!T30*1000000)</f>
        <v>3826.3079420096719</v>
      </c>
      <c r="U44" s="101">
        <f>IF(U12=0,0,U12/TrAvia_act!U30*1000000)</f>
        <v>3745.5989009218697</v>
      </c>
      <c r="V44" s="101">
        <f>IF(V12=0,0,V12/TrAvia_act!V30*1000000)</f>
        <v>3483.6694342315618</v>
      </c>
      <c r="W44" s="101">
        <f>IF(W12=0,0,W12/TrAvia_act!W30*1000000)</f>
        <v>3503.6619290409189</v>
      </c>
      <c r="X44" s="101">
        <f>IF(X12=0,0,X12/TrAvia_act!X30*1000000)</f>
        <v>2727.6826778634772</v>
      </c>
      <c r="Y44" s="101">
        <f>IF(Y12=0,0,Y12/TrAvia_act!Y30*1000000)</f>
        <v>2948.8360144788858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4244.091374395698</v>
      </c>
      <c r="C45" s="88">
        <f>IF(C13=0,0,C13/TrAvia_act!C31*1000000)</f>
        <v>4242.6623130221978</v>
      </c>
      <c r="D45" s="88">
        <f>IF(D13=0,0,D13/TrAvia_act!D31*1000000)</f>
        <v>4235.2235993730355</v>
      </c>
      <c r="E45" s="88">
        <f>IF(E13=0,0,E13/TrAvia_act!E31*1000000)</f>
        <v>4246.2905601682078</v>
      </c>
      <c r="F45" s="88">
        <f>IF(F13=0,0,F13/TrAvia_act!F31*1000000)</f>
        <v>4242.5562046067098</v>
      </c>
      <c r="G45" s="88">
        <f>IF(G13=0,0,G13/TrAvia_act!G31*1000000)</f>
        <v>3005.8981996464727</v>
      </c>
      <c r="H45" s="88">
        <f>IF(H13=0,0,H13/TrAvia_act!H31*1000000)</f>
        <v>2878.5595007345232</v>
      </c>
      <c r="I45" s="88">
        <f>IF(I13=0,0,I13/TrAvia_act!I31*1000000)</f>
        <v>3456.1123541295979</v>
      </c>
      <c r="J45" s="88">
        <f>IF(J13=0,0,J13/TrAvia_act!J31*1000000)</f>
        <v>4986.3264975954226</v>
      </c>
      <c r="K45" s="88">
        <f>IF(K13=0,0,K13/TrAvia_act!K31*1000000)</f>
        <v>6705.3868978286564</v>
      </c>
      <c r="L45" s="88">
        <f>IF(L13=0,0,L13/TrAvia_act!L31*1000000)</f>
        <v>7112.3704394070837</v>
      </c>
      <c r="M45" s="88">
        <f>IF(M13=0,0,M13/TrAvia_act!M31*1000000)</f>
        <v>7676.6000236675955</v>
      </c>
      <c r="N45" s="88">
        <f>IF(N13=0,0,N13/TrAvia_act!N31*1000000)</f>
        <v>9210.3111560557445</v>
      </c>
      <c r="O45" s="88">
        <f>IF(O13=0,0,O13/TrAvia_act!O31*1000000)</f>
        <v>8183.6047535077223</v>
      </c>
      <c r="P45" s="88">
        <f>IF(P13=0,0,P13/TrAvia_act!P31*1000000)</f>
        <v>6515.2688251098107</v>
      </c>
      <c r="Q45" s="88">
        <f>IF(Q13=0,0,Q13/TrAvia_act!Q31*1000000)</f>
        <v>5604.5410649697806</v>
      </c>
      <c r="R45" s="88">
        <f>IF(R13=0,0,R13/TrAvia_act!R31*1000000)</f>
        <v>4492.6540413147659</v>
      </c>
      <c r="S45" s="88">
        <f>IF(S13=0,0,S13/TrAvia_act!S31*1000000)</f>
        <v>3474.4840320809899</v>
      </c>
      <c r="T45" s="88">
        <f>IF(T13=0,0,T13/TrAvia_act!T31*1000000)</f>
        <v>2508.1353469288824</v>
      </c>
      <c r="U45" s="88">
        <f>IF(U13=0,0,U13/TrAvia_act!U31*1000000)</f>
        <v>6565.1414185047697</v>
      </c>
      <c r="V45" s="88">
        <f>IF(V13=0,0,V13/TrAvia_act!V31*1000000)</f>
        <v>3281.9343436698773</v>
      </c>
      <c r="W45" s="88">
        <f>IF(W13=0,0,W13/TrAvia_act!W31*1000000)</f>
        <v>1977.0287435275543</v>
      </c>
      <c r="X45" s="88">
        <f>IF(X13=0,0,X13/TrAvia_act!X31*1000000)</f>
        <v>7131.3881204706295</v>
      </c>
      <c r="Y45" s="88">
        <f>IF(Y13=0,0,Y13/TrAvia_act!Y31*1000000)</f>
        <v>5363.1412177666516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0.99084781981393499</v>
      </c>
      <c r="C48" s="16">
        <f t="shared" si="36"/>
        <v>0.99138102255502836</v>
      </c>
      <c r="D48" s="16">
        <f t="shared" ref="D48:V48" si="37">IF(D6=0,0,D6/D$3)</f>
        <v>0.99050405680015896</v>
      </c>
      <c r="E48" s="16">
        <f t="shared" si="37"/>
        <v>0.99407603765124219</v>
      </c>
      <c r="F48" s="16">
        <f t="shared" si="37"/>
        <v>0.99433501278405478</v>
      </c>
      <c r="G48" s="16">
        <f t="shared" si="37"/>
        <v>0.99388766878526336</v>
      </c>
      <c r="H48" s="16">
        <f t="shared" si="37"/>
        <v>0.99442487127800927</v>
      </c>
      <c r="I48" s="16">
        <f t="shared" si="37"/>
        <v>0.99542875372653972</v>
      </c>
      <c r="J48" s="16">
        <f t="shared" si="37"/>
        <v>0.99450835000463123</v>
      </c>
      <c r="K48" s="16">
        <f t="shared" si="37"/>
        <v>0.99028263236040481</v>
      </c>
      <c r="L48" s="16">
        <f t="shared" si="37"/>
        <v>0.98953236037054837</v>
      </c>
      <c r="M48" s="16">
        <f t="shared" si="37"/>
        <v>0.98986066734154377</v>
      </c>
      <c r="N48" s="16">
        <f t="shared" si="37"/>
        <v>0.96923927273774457</v>
      </c>
      <c r="O48" s="16">
        <f t="shared" si="37"/>
        <v>0.95667761363227188</v>
      </c>
      <c r="P48" s="16">
        <f t="shared" si="37"/>
        <v>0.97452060119678752</v>
      </c>
      <c r="Q48" s="16">
        <f t="shared" si="37"/>
        <v>0.98725150338369394</v>
      </c>
      <c r="R48" s="16">
        <f t="shared" si="37"/>
        <v>0.98948773589207284</v>
      </c>
      <c r="S48" s="16">
        <f t="shared" si="37"/>
        <v>0.98944651388408411</v>
      </c>
      <c r="T48" s="16">
        <f t="shared" si="37"/>
        <v>0.99030231632348797</v>
      </c>
      <c r="U48" s="16">
        <f t="shared" si="37"/>
        <v>0.98762631421083502</v>
      </c>
      <c r="V48" s="16">
        <f t="shared" si="37"/>
        <v>0.97645173004585739</v>
      </c>
      <c r="W48" s="16">
        <f t="shared" ref="W48:Y48" si="38">IF(W6=0,0,W6/W$3)</f>
        <v>0.97855000095722433</v>
      </c>
      <c r="X48" s="16">
        <f t="shared" si="38"/>
        <v>0.98452680930753533</v>
      </c>
      <c r="Y48" s="16">
        <f t="shared" si="38"/>
        <v>0.98718604941572219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0.86796424009298212</v>
      </c>
      <c r="C50" s="103">
        <f t="shared" si="42"/>
        <v>0.86837718545316989</v>
      </c>
      <c r="D50" s="103">
        <f t="shared" ref="D50:V50" si="43">IF(D8=0,0,D8/D$3)</f>
        <v>0.86760234053257557</v>
      </c>
      <c r="E50" s="103">
        <f t="shared" si="43"/>
        <v>0.87072585417319182</v>
      </c>
      <c r="F50" s="103">
        <f t="shared" si="43"/>
        <v>0.87088491227201936</v>
      </c>
      <c r="G50" s="103">
        <f t="shared" si="43"/>
        <v>0.88756012960303043</v>
      </c>
      <c r="H50" s="103">
        <f t="shared" si="43"/>
        <v>0.9033456548371146</v>
      </c>
      <c r="I50" s="103">
        <f t="shared" si="43"/>
        <v>0.90840931670124103</v>
      </c>
      <c r="J50" s="103">
        <f t="shared" si="43"/>
        <v>0.90568528898848955</v>
      </c>
      <c r="K50" s="103">
        <f t="shared" si="43"/>
        <v>0.90075473240028048</v>
      </c>
      <c r="L50" s="103">
        <f t="shared" si="43"/>
        <v>0.90743673802208247</v>
      </c>
      <c r="M50" s="103">
        <f t="shared" si="43"/>
        <v>0.90752814604285592</v>
      </c>
      <c r="N50" s="103">
        <f t="shared" si="43"/>
        <v>0.88456811195939911</v>
      </c>
      <c r="O50" s="103">
        <f t="shared" si="43"/>
        <v>0.87473253722573252</v>
      </c>
      <c r="P50" s="103">
        <f t="shared" si="43"/>
        <v>0.89124147759818462</v>
      </c>
      <c r="Q50" s="103">
        <f t="shared" si="43"/>
        <v>0.90755371904985982</v>
      </c>
      <c r="R50" s="103">
        <f t="shared" si="43"/>
        <v>0.91284996110757965</v>
      </c>
      <c r="S50" s="103">
        <f t="shared" si="43"/>
        <v>0.91715233217239855</v>
      </c>
      <c r="T50" s="103">
        <f t="shared" si="43"/>
        <v>0.91958930678248374</v>
      </c>
      <c r="U50" s="103">
        <f t="shared" si="43"/>
        <v>0.91660895638061957</v>
      </c>
      <c r="V50" s="103">
        <f t="shared" si="43"/>
        <v>0.86863786506375973</v>
      </c>
      <c r="W50" s="103">
        <f t="shared" ref="W50:Y50" si="44">IF(W8=0,0,W8/W$3)</f>
        <v>0.88243459860549101</v>
      </c>
      <c r="X50" s="103">
        <f t="shared" si="44"/>
        <v>0.91025370282604012</v>
      </c>
      <c r="Y50" s="103">
        <f t="shared" si="44"/>
        <v>0.91072121035813658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0.122883579720953</v>
      </c>
      <c r="C51" s="103">
        <f t="shared" si="45"/>
        <v>0.12300383710185857</v>
      </c>
      <c r="D51" s="103">
        <f t="shared" ref="D51:V51" si="46">IF(D9=0,0,D9/D$3)</f>
        <v>0.12290171626758341</v>
      </c>
      <c r="E51" s="103">
        <f t="shared" si="46"/>
        <v>0.12335018347805039</v>
      </c>
      <c r="F51" s="103">
        <f t="shared" si="46"/>
        <v>0.12345010051203548</v>
      </c>
      <c r="G51" s="103">
        <f t="shared" si="46"/>
        <v>0.10632753918223288</v>
      </c>
      <c r="H51" s="103">
        <f t="shared" si="46"/>
        <v>9.1079216440894756E-2</v>
      </c>
      <c r="I51" s="103">
        <f t="shared" si="46"/>
        <v>8.7019437025298657E-2</v>
      </c>
      <c r="J51" s="103">
        <f t="shared" si="46"/>
        <v>8.8823061016141625E-2</v>
      </c>
      <c r="K51" s="103">
        <f t="shared" si="46"/>
        <v>8.9527899960124432E-2</v>
      </c>
      <c r="L51" s="103">
        <f t="shared" si="46"/>
        <v>8.2095622348465874E-2</v>
      </c>
      <c r="M51" s="103">
        <f t="shared" si="46"/>
        <v>8.233252129868783E-2</v>
      </c>
      <c r="N51" s="103">
        <f t="shared" si="46"/>
        <v>8.4671160778345481E-2</v>
      </c>
      <c r="O51" s="103">
        <f t="shared" si="46"/>
        <v>8.1945076406539336E-2</v>
      </c>
      <c r="P51" s="103">
        <f t="shared" si="46"/>
        <v>8.3279123598602886E-2</v>
      </c>
      <c r="Q51" s="103">
        <f t="shared" si="46"/>
        <v>7.9697784333834135E-2</v>
      </c>
      <c r="R51" s="103">
        <f t="shared" si="46"/>
        <v>7.6637774784493295E-2</v>
      </c>
      <c r="S51" s="103">
        <f t="shared" si="46"/>
        <v>7.2294181711685529E-2</v>
      </c>
      <c r="T51" s="103">
        <f t="shared" si="46"/>
        <v>7.0713009541004096E-2</v>
      </c>
      <c r="U51" s="103">
        <f t="shared" si="46"/>
        <v>7.1017357830215344E-2</v>
      </c>
      <c r="V51" s="103">
        <f t="shared" si="46"/>
        <v>0.10781386498209769</v>
      </c>
      <c r="W51" s="103">
        <f t="shared" ref="W51:Y51" si="47">IF(W9=0,0,W9/W$3)</f>
        <v>9.6115402351733437E-2</v>
      </c>
      <c r="X51" s="103">
        <f t="shared" si="47"/>
        <v>7.4273106481495266E-2</v>
      </c>
      <c r="Y51" s="103">
        <f t="shared" si="47"/>
        <v>7.6464839057585568E-2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9.1521801860650759E-3</v>
      </c>
      <c r="C52" s="17">
        <f t="shared" si="48"/>
        <v>8.6189774449715855E-3</v>
      </c>
      <c r="D52" s="17">
        <f t="shared" ref="D52:V52" si="49">IF(D10=0,0,D10/D$3)</f>
        <v>9.4959431998410219E-3</v>
      </c>
      <c r="E52" s="17">
        <f t="shared" si="49"/>
        <v>5.9239623487578738E-3</v>
      </c>
      <c r="F52" s="17">
        <f t="shared" si="49"/>
        <v>5.6649872159451869E-3</v>
      </c>
      <c r="G52" s="17">
        <f t="shared" si="49"/>
        <v>6.1123312147366247E-3</v>
      </c>
      <c r="H52" s="17">
        <f t="shared" si="49"/>
        <v>5.5751287219908173E-3</v>
      </c>
      <c r="I52" s="17">
        <f t="shared" si="49"/>
        <v>4.5712462734603743E-3</v>
      </c>
      <c r="J52" s="17">
        <f t="shared" si="49"/>
        <v>5.4916499953687357E-3</v>
      </c>
      <c r="K52" s="17">
        <f t="shared" si="49"/>
        <v>9.7173676395951591E-3</v>
      </c>
      <c r="L52" s="17">
        <f t="shared" si="49"/>
        <v>1.0467639629451537E-2</v>
      </c>
      <c r="M52" s="17">
        <f t="shared" si="49"/>
        <v>1.0139332658456296E-2</v>
      </c>
      <c r="N52" s="17">
        <f t="shared" si="49"/>
        <v>3.0760727262255479E-2</v>
      </c>
      <c r="O52" s="17">
        <f t="shared" si="49"/>
        <v>4.3322386367728047E-2</v>
      </c>
      <c r="P52" s="17">
        <f t="shared" si="49"/>
        <v>2.5479398803212368E-2</v>
      </c>
      <c r="Q52" s="17">
        <f t="shared" si="49"/>
        <v>1.27484966163061E-2</v>
      </c>
      <c r="R52" s="17">
        <f t="shared" si="49"/>
        <v>1.0512264107927202E-2</v>
      </c>
      <c r="S52" s="17">
        <f t="shared" si="49"/>
        <v>1.0553486115915828E-2</v>
      </c>
      <c r="T52" s="17">
        <f t="shared" si="49"/>
        <v>9.6976836765121765E-3</v>
      </c>
      <c r="U52" s="17">
        <f t="shared" si="49"/>
        <v>1.2373685789164987E-2</v>
      </c>
      <c r="V52" s="17">
        <f t="shared" si="49"/>
        <v>2.3548269954142553E-2</v>
      </c>
      <c r="W52" s="17">
        <f t="shared" ref="W52:Y52" si="50">IF(W10=0,0,W10/W$3)</f>
        <v>2.1449999042775645E-2</v>
      </c>
      <c r="X52" s="17">
        <f t="shared" si="50"/>
        <v>1.5473190692464524E-2</v>
      </c>
      <c r="Y52" s="17">
        <f t="shared" si="50"/>
        <v>1.2813950584277603E-2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8.0447716002011206E-3</v>
      </c>
      <c r="C54" s="104">
        <f t="shared" si="54"/>
        <v>7.3537937859857348E-3</v>
      </c>
      <c r="D54" s="104">
        <f t="shared" ref="D54:V54" si="55">IF(D12=0,0,D12/D$3)</f>
        <v>8.1277306870435658E-3</v>
      </c>
      <c r="E54" s="104">
        <f t="shared" si="55"/>
        <v>4.9744822438829162E-3</v>
      </c>
      <c r="F54" s="104">
        <f t="shared" si="55"/>
        <v>4.7903512065860824E-3</v>
      </c>
      <c r="G54" s="104">
        <f t="shared" si="55"/>
        <v>5.3458723836941942E-3</v>
      </c>
      <c r="H54" s="104">
        <f t="shared" si="55"/>
        <v>4.8342587688156111E-3</v>
      </c>
      <c r="I54" s="104">
        <f t="shared" si="55"/>
        <v>3.6696536723336355E-3</v>
      </c>
      <c r="J54" s="104">
        <f t="shared" si="55"/>
        <v>4.2066862953242697E-3</v>
      </c>
      <c r="K54" s="104">
        <f t="shared" si="55"/>
        <v>8.0766773612137403E-3</v>
      </c>
      <c r="L54" s="104">
        <f t="shared" si="55"/>
        <v>8.1704811552152559E-3</v>
      </c>
      <c r="M54" s="104">
        <f t="shared" si="55"/>
        <v>7.6599389109112013E-3</v>
      </c>
      <c r="N54" s="104">
        <f t="shared" si="55"/>
        <v>8.4888693223195508E-3</v>
      </c>
      <c r="O54" s="104">
        <f t="shared" si="55"/>
        <v>9.5389783869235349E-3</v>
      </c>
      <c r="P54" s="104">
        <f t="shared" si="55"/>
        <v>9.5184255652223607E-3</v>
      </c>
      <c r="Q54" s="104">
        <f t="shared" si="55"/>
        <v>8.205693871951969E-3</v>
      </c>
      <c r="R54" s="104">
        <f t="shared" si="55"/>
        <v>7.6223767124013967E-3</v>
      </c>
      <c r="S54" s="104">
        <f t="shared" si="55"/>
        <v>8.1449431617879597E-3</v>
      </c>
      <c r="T54" s="104">
        <f t="shared" si="55"/>
        <v>7.9139447192467099E-3</v>
      </c>
      <c r="U54" s="104">
        <f t="shared" si="55"/>
        <v>8.3563219296691783E-3</v>
      </c>
      <c r="V54" s="104">
        <f t="shared" si="55"/>
        <v>1.8579508475249928E-2</v>
      </c>
      <c r="W54" s="104">
        <f t="shared" ref="W54:Y54" si="56">IF(W12=0,0,W12/W$3)</f>
        <v>1.9706223406057079E-2</v>
      </c>
      <c r="X54" s="104">
        <f t="shared" si="56"/>
        <v>1.4059433872536572E-2</v>
      </c>
      <c r="Y54" s="104">
        <f t="shared" si="56"/>
        <v>1.2129592824671558E-2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1.1074085858639546E-3</v>
      </c>
      <c r="C55" s="105">
        <f t="shared" si="57"/>
        <v>1.2651836589858507E-3</v>
      </c>
      <c r="D55" s="105">
        <f t="shared" ref="D55:V55" si="58">IF(D13=0,0,D13/D$3)</f>
        <v>1.3682125127974555E-3</v>
      </c>
      <c r="E55" s="105">
        <f t="shared" si="58"/>
        <v>9.4948010487495708E-4</v>
      </c>
      <c r="F55" s="105">
        <f t="shared" si="58"/>
        <v>8.7463600935910348E-4</v>
      </c>
      <c r="G55" s="105">
        <f t="shared" si="58"/>
        <v>7.6645883104243043E-4</v>
      </c>
      <c r="H55" s="105">
        <f t="shared" si="58"/>
        <v>7.4086995317520523E-4</v>
      </c>
      <c r="I55" s="105">
        <f t="shared" si="58"/>
        <v>9.0159260112673866E-4</v>
      </c>
      <c r="J55" s="105">
        <f t="shared" si="58"/>
        <v>1.284963700044466E-3</v>
      </c>
      <c r="K55" s="105">
        <f t="shared" si="58"/>
        <v>1.6406902783814201E-3</v>
      </c>
      <c r="L55" s="105">
        <f t="shared" si="58"/>
        <v>2.2971584742362819E-3</v>
      </c>
      <c r="M55" s="105">
        <f t="shared" si="58"/>
        <v>2.4793937475450925E-3</v>
      </c>
      <c r="N55" s="105">
        <f t="shared" si="58"/>
        <v>2.227185793993593E-2</v>
      </c>
      <c r="O55" s="105">
        <f t="shared" si="58"/>
        <v>3.3783407980804508E-2</v>
      </c>
      <c r="P55" s="105">
        <f t="shared" si="58"/>
        <v>1.5960973237990006E-2</v>
      </c>
      <c r="Q55" s="105">
        <f t="shared" si="58"/>
        <v>4.5428027443541307E-3</v>
      </c>
      <c r="R55" s="105">
        <f t="shared" si="58"/>
        <v>2.8898873955258055E-3</v>
      </c>
      <c r="S55" s="105">
        <f t="shared" si="58"/>
        <v>2.4085429541278697E-3</v>
      </c>
      <c r="T55" s="105">
        <f t="shared" si="58"/>
        <v>1.7837389572654665E-3</v>
      </c>
      <c r="U55" s="105">
        <f t="shared" si="58"/>
        <v>4.0173638594958091E-3</v>
      </c>
      <c r="V55" s="105">
        <f t="shared" si="58"/>
        <v>4.9687614788926247E-3</v>
      </c>
      <c r="W55" s="105">
        <f t="shared" ref="W55:Y55" si="59">IF(W13=0,0,W13/W$3)</f>
        <v>1.7437756367185678E-3</v>
      </c>
      <c r="X55" s="105">
        <f t="shared" si="59"/>
        <v>1.4137568199279536E-3</v>
      </c>
      <c r="Y55" s="105">
        <f t="shared" si="59"/>
        <v>6.8435775960604497E-4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391.95286043480519</v>
      </c>
      <c r="C57" s="62">
        <v>392.04576712418429</v>
      </c>
      <c r="D57" s="62">
        <v>392.09931395939913</v>
      </c>
      <c r="E57" s="62">
        <v>391.90478250381852</v>
      </c>
      <c r="F57" s="62">
        <v>391.89331537946055</v>
      </c>
      <c r="G57" s="62">
        <v>401.55877450232043</v>
      </c>
      <c r="H57" s="62">
        <v>389.35417929061276</v>
      </c>
      <c r="I57" s="62">
        <v>387.13311517684991</v>
      </c>
      <c r="J57" s="62">
        <v>385.78070517386249</v>
      </c>
      <c r="K57" s="62">
        <v>379.59069110325322</v>
      </c>
      <c r="L57" s="62">
        <v>372.11337852546791</v>
      </c>
      <c r="M57" s="62">
        <v>373.14852353231214</v>
      </c>
      <c r="N57" s="62">
        <v>381.23022877870397</v>
      </c>
      <c r="O57" s="62">
        <v>387.45980555394686</v>
      </c>
      <c r="P57" s="62">
        <v>371.03479246843722</v>
      </c>
      <c r="Q57" s="62">
        <v>365.26726591173093</v>
      </c>
      <c r="R57" s="62">
        <v>367.99924739232426</v>
      </c>
      <c r="S57" s="62">
        <v>369.37686635131257</v>
      </c>
      <c r="T57" s="62">
        <v>367.52395175734165</v>
      </c>
      <c r="U57" s="62">
        <v>369.09683321467111</v>
      </c>
      <c r="V57" s="62">
        <v>365.98692020276314</v>
      </c>
      <c r="W57" s="62">
        <v>368.16162148234179</v>
      </c>
      <c r="X57" s="62">
        <v>371.05599723509113</v>
      </c>
      <c r="Y57" s="62">
        <v>377.50667492307781</v>
      </c>
      <c r="DA57" s="172" t="s">
        <v>314</v>
      </c>
    </row>
    <row r="58" spans="1:105" ht="11.45" customHeight="1" x14ac:dyDescent="0.25">
      <c r="A58" s="10" t="s">
        <v>33</v>
      </c>
      <c r="B58" s="14">
        <v>391.4245028910085</v>
      </c>
      <c r="C58" s="14">
        <v>391.44435046416442</v>
      </c>
      <c r="D58" s="14">
        <v>391.45092368771662</v>
      </c>
      <c r="E58" s="14">
        <v>391.45753009499936</v>
      </c>
      <c r="F58" s="14">
        <v>391.48007313670774</v>
      </c>
      <c r="G58" s="14">
        <v>401.15822650148795</v>
      </c>
      <c r="H58" s="14">
        <v>388.8626614030706</v>
      </c>
      <c r="I58" s="14">
        <v>386.36307333949929</v>
      </c>
      <c r="J58" s="14">
        <v>384.61824874116178</v>
      </c>
      <c r="K58" s="14">
        <v>378.62357357151819</v>
      </c>
      <c r="L58" s="14">
        <v>370.82258644091377</v>
      </c>
      <c r="M58" s="14">
        <v>371.78641490305887</v>
      </c>
      <c r="N58" s="14">
        <v>367.77413763409038</v>
      </c>
      <c r="O58" s="14">
        <v>363.89629091981692</v>
      </c>
      <c r="P58" s="14">
        <v>361.99535476927332</v>
      </c>
      <c r="Q58" s="14">
        <v>363.2822679997746</v>
      </c>
      <c r="R58" s="14">
        <v>366.68622339783082</v>
      </c>
      <c r="S58" s="14">
        <v>368.19542403114389</v>
      </c>
      <c r="T58" s="14">
        <v>366.55404058510078</v>
      </c>
      <c r="U58" s="14">
        <v>366.0147032874188</v>
      </c>
      <c r="V58" s="14">
        <v>365.12662552336769</v>
      </c>
      <c r="W58" s="14">
        <v>368.12099376056528</v>
      </c>
      <c r="X58" s="14">
        <v>370.42434281474317</v>
      </c>
      <c r="Y58" s="14">
        <v>377.19134518965637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342.9108505535433</v>
      </c>
      <c r="C60" s="87">
        <v>342.91548268605663</v>
      </c>
      <c r="D60" s="87">
        <v>342.91846061250135</v>
      </c>
      <c r="E60" s="87">
        <v>342.9195786300898</v>
      </c>
      <c r="F60" s="87">
        <v>342.91734069655911</v>
      </c>
      <c r="G60" s="87">
        <v>330.89801709442025</v>
      </c>
      <c r="H60" s="87">
        <v>332.97458332200864</v>
      </c>
      <c r="I60" s="87">
        <v>335.92075638108315</v>
      </c>
      <c r="J60" s="87">
        <v>344.10104644802192</v>
      </c>
      <c r="K60" s="87">
        <v>359.53252530810198</v>
      </c>
      <c r="L60" s="87">
        <v>354.18477600186276</v>
      </c>
      <c r="M60" s="87">
        <v>360.43817023052571</v>
      </c>
      <c r="N60" s="87">
        <v>356.53493661607445</v>
      </c>
      <c r="O60" s="87">
        <v>351.78106835044144</v>
      </c>
      <c r="P60" s="87">
        <v>350.07238367136205</v>
      </c>
      <c r="Q60" s="87">
        <v>353.52487340078875</v>
      </c>
      <c r="R60" s="87">
        <v>356.1770839821661</v>
      </c>
      <c r="S60" s="87">
        <v>358.86816581782659</v>
      </c>
      <c r="T60" s="87">
        <v>357.65722990007197</v>
      </c>
      <c r="U60" s="87">
        <v>356.90367862689845</v>
      </c>
      <c r="V60" s="87">
        <v>352.60947767621883</v>
      </c>
      <c r="W60" s="87">
        <v>348.46526643987443</v>
      </c>
      <c r="X60" s="87">
        <v>355.10451381715075</v>
      </c>
      <c r="Y60" s="87">
        <v>360.57767933656561</v>
      </c>
      <c r="DA60" s="171" t="s">
        <v>317</v>
      </c>
    </row>
    <row r="61" spans="1:105" ht="11.45" customHeight="1" x14ac:dyDescent="0.25">
      <c r="A61" s="83" t="s">
        <v>182</v>
      </c>
      <c r="B61" s="87">
        <v>508.78672424841085</v>
      </c>
      <c r="C61" s="87">
        <v>508.78672424841085</v>
      </c>
      <c r="D61" s="87">
        <v>508.78672424841085</v>
      </c>
      <c r="E61" s="87">
        <v>508.78672424841091</v>
      </c>
      <c r="F61" s="87">
        <v>508.78672424841085</v>
      </c>
      <c r="G61" s="87">
        <v>553.2303853458277</v>
      </c>
      <c r="H61" s="87">
        <v>496.50538120130636</v>
      </c>
      <c r="I61" s="87">
        <v>475.27315279229794</v>
      </c>
      <c r="J61" s="87">
        <v>458.90153616986424</v>
      </c>
      <c r="K61" s="87">
        <v>420.52996455682438</v>
      </c>
      <c r="L61" s="87">
        <v>413.04215644283545</v>
      </c>
      <c r="M61" s="87">
        <v>402.84587080780079</v>
      </c>
      <c r="N61" s="87">
        <v>400.33448395620758</v>
      </c>
      <c r="O61" s="87">
        <v>395.60806330849408</v>
      </c>
      <c r="P61" s="87">
        <v>397.93599271260274</v>
      </c>
      <c r="Q61" s="87">
        <v>399.8801401018606</v>
      </c>
      <c r="R61" s="87">
        <v>401.68530212922968</v>
      </c>
      <c r="S61" s="87">
        <v>397.79612221568721</v>
      </c>
      <c r="T61" s="87">
        <v>392.85473890184522</v>
      </c>
      <c r="U61" s="87">
        <v>390.39977530355156</v>
      </c>
      <c r="V61" s="87">
        <v>430.36472334010836</v>
      </c>
      <c r="W61" s="87">
        <v>452.49178941796572</v>
      </c>
      <c r="X61" s="87">
        <v>451.43683922767815</v>
      </c>
      <c r="Y61" s="87">
        <v>445.83163180701325</v>
      </c>
      <c r="DA61" s="171" t="s">
        <v>318</v>
      </c>
    </row>
    <row r="62" spans="1:105" ht="11.45" customHeight="1" x14ac:dyDescent="0.25">
      <c r="A62" s="12" t="s">
        <v>34</v>
      </c>
      <c r="B62" s="15">
        <v>460.15541812288802</v>
      </c>
      <c r="C62" s="15">
        <v>470.33501022495602</v>
      </c>
      <c r="D62" s="15">
        <v>469.0708190800683</v>
      </c>
      <c r="E62" s="15">
        <v>474.65446565452953</v>
      </c>
      <c r="F62" s="15">
        <v>472.79532603978259</v>
      </c>
      <c r="G62" s="15">
        <v>474.1083282155422</v>
      </c>
      <c r="H62" s="15">
        <v>475.95106092242207</v>
      </c>
      <c r="I62" s="15">
        <v>528.08966916694794</v>
      </c>
      <c r="J62" s="15">
        <v>571.29625977999228</v>
      </c>
      <c r="K62" s="15">
        <v>480.96482231193477</v>
      </c>
      <c r="L62" s="15">
        <v>478.69195928507401</v>
      </c>
      <c r="M62" s="15">
        <v>491.79216820541853</v>
      </c>
      <c r="N62" s="15">
        <v>654.26623588749567</v>
      </c>
      <c r="O62" s="15">
        <v>700.87918304481639</v>
      </c>
      <c r="P62" s="15">
        <v>598.68704987996261</v>
      </c>
      <c r="Q62" s="15">
        <v>489.78526335880861</v>
      </c>
      <c r="R62" s="15">
        <v>466.01128079149453</v>
      </c>
      <c r="S62" s="15">
        <v>460.51290942517409</v>
      </c>
      <c r="T62" s="15">
        <v>456.29714580930863</v>
      </c>
      <c r="U62" s="15">
        <v>558.24073574191391</v>
      </c>
      <c r="V62" s="15">
        <v>399.88884792724104</v>
      </c>
      <c r="W62" s="15">
        <v>369.93901061001043</v>
      </c>
      <c r="X62" s="15">
        <v>411.28159121942565</v>
      </c>
      <c r="Y62" s="15">
        <v>402.4116216910503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405.22882261672646</v>
      </c>
      <c r="C64" s="101">
        <v>408.28696555277929</v>
      </c>
      <c r="D64" s="101">
        <v>407.53091986085553</v>
      </c>
      <c r="E64" s="101">
        <v>408.89623739367198</v>
      </c>
      <c r="F64" s="101">
        <v>408.5987116316536</v>
      </c>
      <c r="G64" s="101">
        <v>374.96458081464681</v>
      </c>
      <c r="H64" s="101">
        <v>356.34355106764019</v>
      </c>
      <c r="I64" s="101">
        <v>337.04038382221472</v>
      </c>
      <c r="J64" s="101">
        <v>324.49721094762947</v>
      </c>
      <c r="K64" s="101">
        <v>319.14365383746497</v>
      </c>
      <c r="L64" s="101">
        <v>308.04574462583327</v>
      </c>
      <c r="M64" s="101">
        <v>319.46447944376536</v>
      </c>
      <c r="N64" s="101">
        <v>327.14511174490968</v>
      </c>
      <c r="O64" s="101">
        <v>330.80299553854258</v>
      </c>
      <c r="P64" s="101">
        <v>335.68344219387939</v>
      </c>
      <c r="Q64" s="101">
        <v>347.99279894738663</v>
      </c>
      <c r="R64" s="101">
        <v>365.1183403651246</v>
      </c>
      <c r="S64" s="101">
        <v>380.04751232325754</v>
      </c>
      <c r="T64" s="101">
        <v>384.37663384677768</v>
      </c>
      <c r="U64" s="101">
        <v>367.85395026561901</v>
      </c>
      <c r="V64" s="101">
        <v>372.89492134283984</v>
      </c>
      <c r="W64" s="101">
        <v>363.89456704807372</v>
      </c>
      <c r="X64" s="101">
        <v>371.16401026651789</v>
      </c>
      <c r="Y64" s="101">
        <v>380.49247178005908</v>
      </c>
      <c r="DA64" s="175" t="s">
        <v>321</v>
      </c>
    </row>
    <row r="65" spans="1:105" ht="11.45" customHeight="1" x14ac:dyDescent="0.25">
      <c r="A65" s="85" t="s">
        <v>182</v>
      </c>
      <c r="B65" s="88">
        <v>567.21063594056977</v>
      </c>
      <c r="C65" s="88">
        <v>567.21063594056966</v>
      </c>
      <c r="D65" s="88">
        <v>567.21063594056977</v>
      </c>
      <c r="E65" s="88">
        <v>567.21063594056977</v>
      </c>
      <c r="F65" s="88">
        <v>567.21063594056977</v>
      </c>
      <c r="G65" s="88">
        <v>615.60989919666281</v>
      </c>
      <c r="H65" s="88">
        <v>639.36647989801179</v>
      </c>
      <c r="I65" s="88">
        <v>712.53778671425903</v>
      </c>
      <c r="J65" s="88">
        <v>799.29610803285721</v>
      </c>
      <c r="K65" s="88">
        <v>752.75414751235803</v>
      </c>
      <c r="L65" s="88">
        <v>715.27287814242538</v>
      </c>
      <c r="M65" s="88">
        <v>707.54517966025981</v>
      </c>
      <c r="N65" s="88">
        <v>706.51287546663707</v>
      </c>
      <c r="O65" s="88">
        <v>744.06038258371836</v>
      </c>
      <c r="P65" s="88">
        <v>664.34939911819924</v>
      </c>
      <c r="Q65" s="88">
        <v>604.17001579860175</v>
      </c>
      <c r="R65" s="88">
        <v>559.80213645025719</v>
      </c>
      <c r="S65" s="88">
        <v>539.56786982136794</v>
      </c>
      <c r="T65" s="88">
        <v>535.59062133365512</v>
      </c>
      <c r="U65" s="88">
        <v>687.33778576755151</v>
      </c>
      <c r="V65" s="88">
        <v>462.12340079913952</v>
      </c>
      <c r="W65" s="88">
        <v>395.60857468840027</v>
      </c>
      <c r="X65" s="88">
        <v>634.34845081486333</v>
      </c>
      <c r="Y65" s="88">
        <v>560.55326823079633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0.83734463247685675</v>
      </c>
      <c r="C67" s="59">
        <f t="shared" ref="C67:W67" si="61">IF(C3=0,0,C17/C57)</f>
        <v>0.83638557189790974</v>
      </c>
      <c r="D67" s="59">
        <f t="shared" si="61"/>
        <v>0.83496101632588082</v>
      </c>
      <c r="E67" s="59">
        <f t="shared" si="61"/>
        <v>0.83711929398293727</v>
      </c>
      <c r="F67" s="59">
        <f t="shared" si="61"/>
        <v>0.83639303645032237</v>
      </c>
      <c r="G67" s="59">
        <f t="shared" si="61"/>
        <v>0.67141493934004493</v>
      </c>
      <c r="H67" s="59">
        <f t="shared" si="61"/>
        <v>0.66702166404410856</v>
      </c>
      <c r="I67" s="59">
        <f t="shared" si="61"/>
        <v>0.68093569504768248</v>
      </c>
      <c r="J67" s="59">
        <f t="shared" si="61"/>
        <v>0.72631392787613946</v>
      </c>
      <c r="K67" s="59">
        <f t="shared" si="61"/>
        <v>0.81804014461338992</v>
      </c>
      <c r="L67" s="59">
        <f t="shared" si="61"/>
        <v>0.83807376593441629</v>
      </c>
      <c r="M67" s="59">
        <f t="shared" si="61"/>
        <v>0.86643821502465856</v>
      </c>
      <c r="N67" s="59">
        <f t="shared" si="61"/>
        <v>0.91827090341260498</v>
      </c>
      <c r="O67" s="59">
        <f t="shared" si="61"/>
        <v>0.89287452822120683</v>
      </c>
      <c r="P67" s="59">
        <f t="shared" si="61"/>
        <v>0.87312144307713746</v>
      </c>
      <c r="Q67" s="59">
        <f t="shared" si="61"/>
        <v>0.87786508322872803</v>
      </c>
      <c r="R67" s="59">
        <f t="shared" si="61"/>
        <v>1.0180165853001375</v>
      </c>
      <c r="S67" s="59">
        <f t="shared" si="61"/>
        <v>1.0461479774299436</v>
      </c>
      <c r="T67" s="59">
        <f t="shared" si="61"/>
        <v>0.98684112711644933</v>
      </c>
      <c r="U67" s="59">
        <f t="shared" si="61"/>
        <v>0.94779130053912242</v>
      </c>
      <c r="V67" s="59">
        <f t="shared" si="61"/>
        <v>1.0989518637527889</v>
      </c>
      <c r="W67" s="59">
        <f t="shared" si="61"/>
        <v>1.0786907955171738</v>
      </c>
      <c r="X67" s="59">
        <f t="shared" ref="X67:Y67" si="62">IF(X3=0,0,X17/X57)</f>
        <v>0.88637327662475085</v>
      </c>
      <c r="Y67" s="59">
        <f t="shared" si="62"/>
        <v>0.92762609323870859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0.8372371562737283</v>
      </c>
      <c r="C68" s="23">
        <f t="shared" ref="C68:W68" si="64">IF(C6=0,0,C18/C58)</f>
        <v>0.8368302427240174</v>
      </c>
      <c r="D68" s="23">
        <f t="shared" si="64"/>
        <v>0.83538042046427552</v>
      </c>
      <c r="E68" s="23">
        <f t="shared" si="64"/>
        <v>0.83761386777570424</v>
      </c>
      <c r="F68" s="23">
        <f t="shared" si="64"/>
        <v>0.83678529030170135</v>
      </c>
      <c r="G68" s="23">
        <f t="shared" si="64"/>
        <v>0.67166524523050264</v>
      </c>
      <c r="H68" s="23">
        <f t="shared" si="64"/>
        <v>0.66791095974021242</v>
      </c>
      <c r="I68" s="23">
        <f t="shared" si="64"/>
        <v>0.68288421562545587</v>
      </c>
      <c r="J68" s="23">
        <f t="shared" si="64"/>
        <v>0.72904822800424196</v>
      </c>
      <c r="K68" s="23">
        <f t="shared" si="64"/>
        <v>0.81990823627345666</v>
      </c>
      <c r="L68" s="23">
        <f t="shared" si="64"/>
        <v>0.84226659065612319</v>
      </c>
      <c r="M68" s="23">
        <f t="shared" si="64"/>
        <v>0.87067778856803379</v>
      </c>
      <c r="N68" s="23">
        <f t="shared" si="64"/>
        <v>0.96805647539964568</v>
      </c>
      <c r="O68" s="23">
        <f t="shared" si="64"/>
        <v>0.97788341828574199</v>
      </c>
      <c r="P68" s="23">
        <f t="shared" si="64"/>
        <v>0.90675169452584969</v>
      </c>
      <c r="Q68" s="23">
        <f t="shared" si="64"/>
        <v>0.88530071347262507</v>
      </c>
      <c r="R68" s="23">
        <f t="shared" si="64"/>
        <v>1.0244647777807752</v>
      </c>
      <c r="S68" s="23">
        <f t="shared" si="64"/>
        <v>1.0518905320832292</v>
      </c>
      <c r="T68" s="23">
        <f t="shared" si="64"/>
        <v>0.99056258147419829</v>
      </c>
      <c r="U68" s="23">
        <f t="shared" si="64"/>
        <v>0.95932776653010676</v>
      </c>
      <c r="V68" s="23">
        <f t="shared" si="64"/>
        <v>1.1028962256397243</v>
      </c>
      <c r="W68" s="23">
        <f t="shared" si="64"/>
        <v>1.0797999614786551</v>
      </c>
      <c r="X68" s="23">
        <f t="shared" ref="X68:Y68" si="65">IF(X6=0,0,X18/X58)</f>
        <v>0.88787287097788603</v>
      </c>
      <c r="Y68" s="23">
        <f t="shared" si="65"/>
        <v>0.92810926396469617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1.1832187745114975</v>
      </c>
      <c r="C70" s="91">
        <f t="shared" ref="C70:W70" si="68">IF(C8=0,0,C20/C60)</f>
        <v>1.1827809797283741</v>
      </c>
      <c r="D70" s="91">
        <f t="shared" si="68"/>
        <v>1.1807772110552142</v>
      </c>
      <c r="E70" s="91">
        <f t="shared" si="68"/>
        <v>1.1840017579803686</v>
      </c>
      <c r="F70" s="91">
        <f t="shared" si="68"/>
        <v>1.1830575712887303</v>
      </c>
      <c r="G70" s="91">
        <f t="shared" si="68"/>
        <v>1.0631336878263851</v>
      </c>
      <c r="H70" s="91">
        <f t="shared" si="68"/>
        <v>1.0764667138201078</v>
      </c>
      <c r="I70" s="91">
        <f t="shared" si="68"/>
        <v>1.1234162158463095</v>
      </c>
      <c r="J70" s="91">
        <f t="shared" si="68"/>
        <v>1.14688971082863</v>
      </c>
      <c r="K70" s="91">
        <f t="shared" si="68"/>
        <v>1.1431769171578501</v>
      </c>
      <c r="L70" s="91">
        <f t="shared" si="68"/>
        <v>1.1273514895608627</v>
      </c>
      <c r="M70" s="91">
        <f t="shared" si="68"/>
        <v>1.1242350538413433</v>
      </c>
      <c r="N70" s="91">
        <f t="shared" si="68"/>
        <v>1.22591587942802</v>
      </c>
      <c r="O70" s="91">
        <f t="shared" si="68"/>
        <v>1.27827146802644</v>
      </c>
      <c r="P70" s="91">
        <f t="shared" si="68"/>
        <v>1.1419775024216496</v>
      </c>
      <c r="Q70" s="91">
        <f t="shared" si="68"/>
        <v>1.0592606156953805</v>
      </c>
      <c r="R70" s="91">
        <f t="shared" si="68"/>
        <v>1.2651669992130117</v>
      </c>
      <c r="S70" s="91">
        <f t="shared" si="68"/>
        <v>1.3155967751859325</v>
      </c>
      <c r="T70" s="91">
        <f t="shared" si="68"/>
        <v>1.261605831376007</v>
      </c>
      <c r="U70" s="91">
        <f t="shared" si="68"/>
        <v>1.2542269403329531</v>
      </c>
      <c r="V70" s="91">
        <f t="shared" si="68"/>
        <v>1.2108784732465683</v>
      </c>
      <c r="W70" s="91">
        <f t="shared" si="68"/>
        <v>1.2683112403187464</v>
      </c>
      <c r="X70" s="91">
        <f t="shared" ref="X70:Y70" si="69">IF(X8=0,0,X20/X60)</f>
        <v>1.0182374099305882</v>
      </c>
      <c r="Y70" s="91">
        <f t="shared" si="69"/>
        <v>1.1124586146888895</v>
      </c>
      <c r="DA70" s="171"/>
    </row>
    <row r="71" spans="1:105" ht="11.45" customHeight="1" x14ac:dyDescent="0.25">
      <c r="A71" s="83" t="s">
        <v>182</v>
      </c>
      <c r="B71" s="91">
        <f t="shared" si="63"/>
        <v>0.27312841207765309</v>
      </c>
      <c r="C71" s="91">
        <f t="shared" ref="C71:W71" si="70">IF(C9=0,0,C21/C61)</f>
        <v>0.2730364448627009</v>
      </c>
      <c r="D71" s="91">
        <f t="shared" si="70"/>
        <v>0.27255772660061234</v>
      </c>
      <c r="E71" s="91">
        <f t="shared" si="70"/>
        <v>0.27326994063227689</v>
      </c>
      <c r="F71" s="91">
        <f t="shared" si="70"/>
        <v>0.27302961625783034</v>
      </c>
      <c r="G71" s="91">
        <f t="shared" si="70"/>
        <v>0.16487859156273624</v>
      </c>
      <c r="H71" s="91">
        <f t="shared" si="70"/>
        <v>0.14019048648264384</v>
      </c>
      <c r="I71" s="91">
        <f t="shared" si="70"/>
        <v>0.13406793077951748</v>
      </c>
      <c r="J71" s="91">
        <f t="shared" si="70"/>
        <v>0.15462803115121085</v>
      </c>
      <c r="K71" s="91">
        <f t="shared" si="70"/>
        <v>0.21323427568054709</v>
      </c>
      <c r="L71" s="91">
        <f t="shared" si="70"/>
        <v>0.22193005915383651</v>
      </c>
      <c r="M71" s="91">
        <f t="shared" si="70"/>
        <v>0.24976147311649974</v>
      </c>
      <c r="N71" s="91">
        <f t="shared" si="70"/>
        <v>0.30275935628185102</v>
      </c>
      <c r="O71" s="91">
        <f t="shared" si="70"/>
        <v>0.2787193534815241</v>
      </c>
      <c r="P71" s="91">
        <f t="shared" si="70"/>
        <v>0.282972495089855</v>
      </c>
      <c r="Q71" s="91">
        <f t="shared" si="70"/>
        <v>0.30845288624036366</v>
      </c>
      <c r="R71" s="91">
        <f t="shared" si="70"/>
        <v>0.31366122365718818</v>
      </c>
      <c r="S71" s="91">
        <f t="shared" si="70"/>
        <v>0.29689782537057718</v>
      </c>
      <c r="T71" s="91">
        <f t="shared" si="70"/>
        <v>0.26109408853043992</v>
      </c>
      <c r="U71" s="91">
        <f t="shared" si="70"/>
        <v>0.23776877741102906</v>
      </c>
      <c r="V71" s="91">
        <f t="shared" si="70"/>
        <v>0.64178511528087367</v>
      </c>
      <c r="W71" s="91">
        <f t="shared" si="70"/>
        <v>0.45665489868531456</v>
      </c>
      <c r="X71" s="91">
        <f t="shared" ref="X71:Y71" si="71">IF(X9=0,0,X21/X61)</f>
        <v>0.34560138732212448</v>
      </c>
      <c r="Y71" s="91">
        <f t="shared" si="71"/>
        <v>0.31210574921781348</v>
      </c>
      <c r="DA71" s="171"/>
    </row>
    <row r="72" spans="1:105" ht="11.45" customHeight="1" x14ac:dyDescent="0.25">
      <c r="A72" s="12" t="s">
        <v>34</v>
      </c>
      <c r="B72" s="24">
        <f t="shared" si="63"/>
        <v>0.84914589667540363</v>
      </c>
      <c r="C72" s="24">
        <f t="shared" ref="C72:W72" si="72">IF(C10=0,0,C22/C62)</f>
        <v>0.78820987573077417</v>
      </c>
      <c r="D72" s="24">
        <f t="shared" si="72"/>
        <v>0.79341158289175062</v>
      </c>
      <c r="E72" s="24">
        <f t="shared" si="72"/>
        <v>0.76165320709978723</v>
      </c>
      <c r="F72" s="24">
        <f t="shared" si="72"/>
        <v>0.77280750462227887</v>
      </c>
      <c r="G72" s="24">
        <f t="shared" si="72"/>
        <v>0.63305398833860138</v>
      </c>
      <c r="H72" s="24">
        <f t="shared" si="72"/>
        <v>0.53901191056170472</v>
      </c>
      <c r="I72" s="24">
        <f t="shared" si="72"/>
        <v>0.41998173649470805</v>
      </c>
      <c r="J72" s="24">
        <f t="shared" si="72"/>
        <v>0.43253656228005194</v>
      </c>
      <c r="K72" s="24">
        <f t="shared" si="72"/>
        <v>0.6638912525733498</v>
      </c>
      <c r="L72" s="24">
        <f t="shared" si="72"/>
        <v>0.5698912920257343</v>
      </c>
      <c r="M72" s="24">
        <f t="shared" si="72"/>
        <v>0.58726945547955756</v>
      </c>
      <c r="N72" s="24">
        <f t="shared" si="72"/>
        <v>0.35042410398532942</v>
      </c>
      <c r="O72" s="24">
        <f t="shared" si="72"/>
        <v>0.30581169140159326</v>
      </c>
      <c r="P72" s="24">
        <f t="shared" si="72"/>
        <v>0.36101081007019786</v>
      </c>
      <c r="Q72" s="24">
        <f t="shared" si="72"/>
        <v>0.53190312648445415</v>
      </c>
      <c r="R72" s="24">
        <f t="shared" si="72"/>
        <v>0.63927508660612553</v>
      </c>
      <c r="S72" s="24">
        <f t="shared" si="72"/>
        <v>0.69197178907646584</v>
      </c>
      <c r="T72" s="24">
        <f t="shared" si="72"/>
        <v>0.71321797604704562</v>
      </c>
      <c r="U72" s="24">
        <f t="shared" si="72"/>
        <v>0.48360619551680439</v>
      </c>
      <c r="V72" s="24">
        <f t="shared" si="72"/>
        <v>0.95702711922990658</v>
      </c>
      <c r="W72" s="24">
        <f t="shared" si="72"/>
        <v>1.0304052616075581</v>
      </c>
      <c r="X72" s="24">
        <f t="shared" ref="X72:Y72" si="73">IF(X10=0,0,X22/X62)</f>
        <v>0.80036168775175731</v>
      </c>
      <c r="Y72" s="24">
        <f t="shared" si="73"/>
        <v>0.89185662265963073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1.2824312764915828</v>
      </c>
      <c r="C74" s="93">
        <f t="shared" ref="C74:W74" si="76">IF(C12=0,0,C24/C64)</f>
        <v>1.2709060090289921</v>
      </c>
      <c r="D74" s="93">
        <f t="shared" si="76"/>
        <v>1.2717802988334783</v>
      </c>
      <c r="E74" s="93">
        <f t="shared" si="76"/>
        <v>1.2699083135850151</v>
      </c>
      <c r="F74" s="93">
        <f t="shared" si="76"/>
        <v>1.2703089106801573</v>
      </c>
      <c r="G74" s="93">
        <f t="shared" si="76"/>
        <v>1.1905727833395341</v>
      </c>
      <c r="H74" s="93">
        <f t="shared" si="76"/>
        <v>1.0811733727156263</v>
      </c>
      <c r="I74" s="93">
        <f t="shared" si="76"/>
        <v>1.0754229642147883</v>
      </c>
      <c r="J74" s="93">
        <f t="shared" si="76"/>
        <v>1.2147465005793427</v>
      </c>
      <c r="K74" s="93">
        <f t="shared" si="76"/>
        <v>1.3267085745026141</v>
      </c>
      <c r="L74" s="93">
        <f t="shared" si="76"/>
        <v>1.189840651677972</v>
      </c>
      <c r="M74" s="93">
        <f t="shared" si="76"/>
        <v>1.2285067804477507</v>
      </c>
      <c r="N74" s="93">
        <f t="shared" si="76"/>
        <v>1.4043111878475436</v>
      </c>
      <c r="O74" s="93">
        <f t="shared" si="76"/>
        <v>1.3653475919505187</v>
      </c>
      <c r="P74" s="93">
        <f t="shared" si="76"/>
        <v>1.2039387643264154</v>
      </c>
      <c r="Q74" s="93">
        <f t="shared" si="76"/>
        <v>1.0791869976174671</v>
      </c>
      <c r="R74" s="93">
        <f t="shared" si="76"/>
        <v>1.2280442441971491</v>
      </c>
      <c r="S74" s="93">
        <f t="shared" si="76"/>
        <v>1.3057841955238734</v>
      </c>
      <c r="T74" s="93">
        <f t="shared" si="76"/>
        <v>1.3176272378598366</v>
      </c>
      <c r="U74" s="93">
        <f t="shared" si="76"/>
        <v>1.2265538131252338</v>
      </c>
      <c r="V74" s="93">
        <f t="shared" si="76"/>
        <v>1.1609785660961831</v>
      </c>
      <c r="W74" s="93">
        <f t="shared" si="76"/>
        <v>1.1889713358246683</v>
      </c>
      <c r="X74" s="93">
        <f t="shared" ref="X74:Y74" si="77">IF(X12=0,0,X24/X64)</f>
        <v>0.95076419164919657</v>
      </c>
      <c r="Y74" s="93">
        <f t="shared" si="77"/>
        <v>1.0166128055382011</v>
      </c>
      <c r="DA74" s="175"/>
    </row>
    <row r="75" spans="1:105" ht="11.45" customHeight="1" x14ac:dyDescent="0.25">
      <c r="A75" s="85" t="s">
        <v>182</v>
      </c>
      <c r="B75" s="94">
        <f t="shared" si="63"/>
        <v>0.24581557086988781</v>
      </c>
      <c r="C75" s="94">
        <f t="shared" ref="C75:W75" si="78">IF(C13=0,0,C25/C65)</f>
        <v>0.24573280037643097</v>
      </c>
      <c r="D75" s="94">
        <f t="shared" si="78"/>
        <v>0.24530195394055115</v>
      </c>
      <c r="E75" s="94">
        <f t="shared" si="78"/>
        <v>0.24594294656904925</v>
      </c>
      <c r="F75" s="94">
        <f t="shared" si="78"/>
        <v>0.24572665463204735</v>
      </c>
      <c r="G75" s="94">
        <f t="shared" si="78"/>
        <v>0.14839073240646261</v>
      </c>
      <c r="H75" s="94">
        <f t="shared" si="78"/>
        <v>0.12617143783437948</v>
      </c>
      <c r="I75" s="94">
        <f t="shared" si="78"/>
        <v>0.12066113770156577</v>
      </c>
      <c r="J75" s="94">
        <f t="shared" si="78"/>
        <v>0.13916522803608977</v>
      </c>
      <c r="K75" s="94">
        <f t="shared" si="78"/>
        <v>0.19191084811249234</v>
      </c>
      <c r="L75" s="94">
        <f t="shared" si="78"/>
        <v>0.19973705323845289</v>
      </c>
      <c r="M75" s="94">
        <f t="shared" si="78"/>
        <v>0.22478532580484978</v>
      </c>
      <c r="N75" s="94">
        <f t="shared" si="78"/>
        <v>0.27248342065366588</v>
      </c>
      <c r="O75" s="94">
        <f t="shared" si="78"/>
        <v>0.25084741813337164</v>
      </c>
      <c r="P75" s="94">
        <f t="shared" si="78"/>
        <v>0.2546752455808694</v>
      </c>
      <c r="Q75" s="94">
        <f t="shared" si="78"/>
        <v>0.27760759761632736</v>
      </c>
      <c r="R75" s="94">
        <f t="shared" si="78"/>
        <v>0.28229510129146945</v>
      </c>
      <c r="S75" s="94">
        <f t="shared" si="78"/>
        <v>0.2672080428335194</v>
      </c>
      <c r="T75" s="94">
        <f t="shared" si="78"/>
        <v>0.23498467967739592</v>
      </c>
      <c r="U75" s="94">
        <f t="shared" si="78"/>
        <v>0.21399189966992616</v>
      </c>
      <c r="V75" s="94">
        <f t="shared" si="78"/>
        <v>0.57760660375278627</v>
      </c>
      <c r="W75" s="94">
        <f t="shared" si="78"/>
        <v>0.41098940881678309</v>
      </c>
      <c r="X75" s="94">
        <f t="shared" ref="X75:Y75" si="79">IF(X13=0,0,X25/X65)</f>
        <v>0.31104124858991206</v>
      </c>
      <c r="Y75" s="94">
        <f t="shared" si="79"/>
        <v>0.28089517429603217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80.758080000000007</v>
      </c>
      <c r="C3" s="79">
        <f t="shared" si="0"/>
        <v>80.758079999999993</v>
      </c>
      <c r="D3" s="79">
        <f t="shared" ref="D3" si="1">SUM(D4:D5)</f>
        <v>83.864160000000027</v>
      </c>
      <c r="E3" s="79">
        <f t="shared" ref="E3" si="2">SUM(E4:E5)</f>
        <v>121.16507472000004</v>
      </c>
      <c r="F3" s="79">
        <f t="shared" ref="F3" si="3">SUM(F4:F5)</f>
        <v>146.01966804</v>
      </c>
      <c r="G3" s="79">
        <f t="shared" ref="G3" si="4">SUM(G4:G5)</f>
        <v>177.08745672000001</v>
      </c>
      <c r="H3" s="79">
        <f t="shared" ref="H3" si="5">SUM(H4:H5)</f>
        <v>198.83519352000005</v>
      </c>
      <c r="I3" s="79">
        <f t="shared" ref="I3" si="6">SUM(I4:I5)</f>
        <v>242.33040828000003</v>
      </c>
      <c r="J3" s="79">
        <f t="shared" ref="J3" si="7">SUM(J4:J5)</f>
        <v>292.03907723999993</v>
      </c>
      <c r="K3" s="79">
        <f t="shared" ref="K3" si="8">SUM(K4:K5)</f>
        <v>307.57310100000012</v>
      </c>
      <c r="L3" s="79">
        <f t="shared" ref="L3" si="9">SUM(L4:L5)</f>
        <v>354.17517227999991</v>
      </c>
      <c r="M3" s="79">
        <f t="shared" ref="M3" si="10">SUM(M4:M5)</f>
        <v>354.17517228000003</v>
      </c>
      <c r="N3" s="79">
        <f t="shared" ref="N3" si="11">SUM(N4:N5)</f>
        <v>357.28176996000008</v>
      </c>
      <c r="O3" s="79">
        <f t="shared" ref="O3" si="12">SUM(O4:O5)</f>
        <v>369.70919603999988</v>
      </c>
      <c r="P3" s="79">
        <f t="shared" ref="P3" si="13">SUM(P4:P5)</f>
        <v>329.32057895999998</v>
      </c>
      <c r="Q3" s="79">
        <f t="shared" ref="Q3" si="14">SUM(Q4:Q5)</f>
        <v>323.10712475999998</v>
      </c>
      <c r="R3" s="79">
        <f t="shared" ref="R3" si="15">SUM(R4:R5)</f>
        <v>369.70919603999999</v>
      </c>
      <c r="S3" s="79">
        <f t="shared" ref="S3" si="16">SUM(S4:S5)</f>
        <v>421.2292330799998</v>
      </c>
      <c r="T3" s="79">
        <f t="shared" ref="T3" si="17">SUM(T4:T5)</f>
        <v>461.37841740000022</v>
      </c>
      <c r="U3" s="79">
        <f t="shared" ref="U3" si="18">SUM(U4:U5)</f>
        <v>472.26436919999998</v>
      </c>
      <c r="V3" s="79">
        <f t="shared" ref="V3:W3" si="19">SUM(V4:V5)</f>
        <v>174.97480464000006</v>
      </c>
      <c r="W3" s="79">
        <f t="shared" si="19"/>
        <v>235.49547924000004</v>
      </c>
      <c r="X3" s="79">
        <f t="shared" ref="X3:Y3" si="20">SUM(X4:X5)</f>
        <v>318.88182060000003</v>
      </c>
      <c r="Y3" s="79">
        <f t="shared" si="20"/>
        <v>401.04739619999987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80.758080000000007</v>
      </c>
      <c r="C5" s="96">
        <f t="shared" si="24"/>
        <v>80.758079999999993</v>
      </c>
      <c r="D5" s="96">
        <f t="shared" ref="D5:V5" si="25">SUM(D8:D9,D12:D13)</f>
        <v>83.864160000000027</v>
      </c>
      <c r="E5" s="96">
        <f t="shared" si="25"/>
        <v>121.16507472000004</v>
      </c>
      <c r="F5" s="96">
        <f t="shared" si="25"/>
        <v>146.01966804</v>
      </c>
      <c r="G5" s="96">
        <f t="shared" si="25"/>
        <v>177.08745672000001</v>
      </c>
      <c r="H5" s="96">
        <f t="shared" si="25"/>
        <v>198.83519352000005</v>
      </c>
      <c r="I5" s="96">
        <f t="shared" si="25"/>
        <v>242.33040828000003</v>
      </c>
      <c r="J5" s="96">
        <f t="shared" si="25"/>
        <v>292.03907723999993</v>
      </c>
      <c r="K5" s="96">
        <f t="shared" si="25"/>
        <v>307.57310100000012</v>
      </c>
      <c r="L5" s="96">
        <f t="shared" si="25"/>
        <v>354.17517227999991</v>
      </c>
      <c r="M5" s="96">
        <f t="shared" si="25"/>
        <v>354.17517228000003</v>
      </c>
      <c r="N5" s="96">
        <f t="shared" si="25"/>
        <v>357.28176996000008</v>
      </c>
      <c r="O5" s="96">
        <f t="shared" si="25"/>
        <v>369.70919603999988</v>
      </c>
      <c r="P5" s="96">
        <f t="shared" si="25"/>
        <v>329.32057895999998</v>
      </c>
      <c r="Q5" s="96">
        <f t="shared" si="25"/>
        <v>323.10712475999998</v>
      </c>
      <c r="R5" s="96">
        <f t="shared" si="25"/>
        <v>369.70919603999999</v>
      </c>
      <c r="S5" s="96">
        <f t="shared" si="25"/>
        <v>421.2292330799998</v>
      </c>
      <c r="T5" s="96">
        <f t="shared" si="25"/>
        <v>461.37841740000022</v>
      </c>
      <c r="U5" s="96">
        <f t="shared" si="25"/>
        <v>472.26436919999998</v>
      </c>
      <c r="V5" s="96">
        <f t="shared" si="25"/>
        <v>174.97480464000006</v>
      </c>
      <c r="W5" s="96">
        <f t="shared" ref="W5:Y5" si="26">SUM(W8:W9,W12:W13)</f>
        <v>235.49547924000004</v>
      </c>
      <c r="X5" s="96">
        <f t="shared" si="26"/>
        <v>318.88182060000003</v>
      </c>
      <c r="Y5" s="96">
        <f t="shared" si="26"/>
        <v>401.04739619999987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80.018967500359352</v>
      </c>
      <c r="C6" s="21">
        <f t="shared" si="27"/>
        <v>80.062027929980786</v>
      </c>
      <c r="D6" s="21">
        <f t="shared" ref="D6:V6" si="28">SUM(D7:D9)</f>
        <v>83.06779070013765</v>
      </c>
      <c r="E6" s="21">
        <f t="shared" si="28"/>
        <v>120.44729737937432</v>
      </c>
      <c r="F6" s="21">
        <f t="shared" si="28"/>
        <v>145.19246848727684</v>
      </c>
      <c r="G6" s="21">
        <f t="shared" si="28"/>
        <v>176.00503953055204</v>
      </c>
      <c r="H6" s="21">
        <f t="shared" si="28"/>
        <v>197.7266617216641</v>
      </c>
      <c r="I6" s="21">
        <f t="shared" si="28"/>
        <v>241.22265630420395</v>
      </c>
      <c r="J6" s="21">
        <f t="shared" si="28"/>
        <v>290.43530084282742</v>
      </c>
      <c r="K6" s="21">
        <f t="shared" si="28"/>
        <v>304.58430010153279</v>
      </c>
      <c r="L6" s="21">
        <f t="shared" si="28"/>
        <v>350.46779421087399</v>
      </c>
      <c r="M6" s="21">
        <f t="shared" si="28"/>
        <v>350.58407238888702</v>
      </c>
      <c r="N6" s="21">
        <f t="shared" si="28"/>
        <v>346.29152287848461</v>
      </c>
      <c r="O6" s="21">
        <f t="shared" si="28"/>
        <v>353.69251140545293</v>
      </c>
      <c r="P6" s="21">
        <f t="shared" si="28"/>
        <v>320.92968859457335</v>
      </c>
      <c r="Q6" s="21">
        <f t="shared" si="28"/>
        <v>318.98799467329275</v>
      </c>
      <c r="R6" s="21">
        <f t="shared" si="28"/>
        <v>365.82271532809807</v>
      </c>
      <c r="S6" s="21">
        <f t="shared" si="28"/>
        <v>416.78379621707211</v>
      </c>
      <c r="T6" s="21">
        <f t="shared" si="28"/>
        <v>456.90411545288521</v>
      </c>
      <c r="U6" s="21">
        <f t="shared" si="28"/>
        <v>466.42071828610096</v>
      </c>
      <c r="V6" s="21">
        <f t="shared" si="28"/>
        <v>170.85445070516397</v>
      </c>
      <c r="W6" s="21">
        <f t="shared" ref="W6:Y6" si="29">SUM(W7:W9)</f>
        <v>230.44410143572404</v>
      </c>
      <c r="X6" s="21">
        <f t="shared" si="29"/>
        <v>313.94770138149596</v>
      </c>
      <c r="Y6" s="21">
        <f t="shared" si="29"/>
        <v>395.90839468313987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70.095125538568254</v>
      </c>
      <c r="C8" s="96">
        <v>70.128474213001923</v>
      </c>
      <c r="D8" s="96">
        <v>72.760741502798425</v>
      </c>
      <c r="E8" s="96">
        <v>105.50156318153063</v>
      </c>
      <c r="F8" s="96">
        <v>127.16632579100478</v>
      </c>
      <c r="G8" s="96">
        <v>157.17576603747426</v>
      </c>
      <c r="H8" s="96">
        <v>179.61690809498882</v>
      </c>
      <c r="I8" s="96">
        <v>220.13520060156759</v>
      </c>
      <c r="J8" s="96">
        <v>264.4954960660412</v>
      </c>
      <c r="K8" s="96">
        <v>277.04792628477952</v>
      </c>
      <c r="L8" s="96">
        <v>321.39156302217225</v>
      </c>
      <c r="M8" s="96">
        <v>321.42393747367748</v>
      </c>
      <c r="N8" s="96">
        <v>316.04006069102962</v>
      </c>
      <c r="O8" s="96">
        <v>323.39666308775492</v>
      </c>
      <c r="P8" s="96">
        <v>293.50415939580006</v>
      </c>
      <c r="Q8" s="96">
        <v>293.23707272744502</v>
      </c>
      <c r="R8" s="96">
        <v>337.48902522622848</v>
      </c>
      <c r="S8" s="96">
        <v>386.33137349851268</v>
      </c>
      <c r="T8" s="96">
        <v>424.27865902126564</v>
      </c>
      <c r="U8" s="96">
        <v>432.88175058816364</v>
      </c>
      <c r="V8" s="96">
        <v>151.98974074243807</v>
      </c>
      <c r="W8" s="96">
        <v>207.80935869655715</v>
      </c>
      <c r="X8" s="96">
        <v>290.26335796505907</v>
      </c>
      <c r="Y8" s="96">
        <v>365.24237007824314</v>
      </c>
      <c r="DA8" s="171" t="s">
        <v>329</v>
      </c>
    </row>
    <row r="9" spans="1:105" ht="11.45" customHeight="1" x14ac:dyDescent="0.25">
      <c r="A9" s="83" t="s">
        <v>182</v>
      </c>
      <c r="B9" s="96">
        <v>9.9238419617910978</v>
      </c>
      <c r="C9" s="96">
        <v>9.9335537169788619</v>
      </c>
      <c r="D9" s="96">
        <v>10.307049197339222</v>
      </c>
      <c r="E9" s="96">
        <v>14.945734197843688</v>
      </c>
      <c r="F9" s="96">
        <v>18.026142696272053</v>
      </c>
      <c r="G9" s="96">
        <v>18.829273493077771</v>
      </c>
      <c r="H9" s="96">
        <v>18.109753626675275</v>
      </c>
      <c r="I9" s="96">
        <v>21.087455702636376</v>
      </c>
      <c r="J9" s="96">
        <v>25.939804776786215</v>
      </c>
      <c r="K9" s="96">
        <v>27.536373816753255</v>
      </c>
      <c r="L9" s="96">
        <v>29.076231188701716</v>
      </c>
      <c r="M9" s="96">
        <v>29.160134915209529</v>
      </c>
      <c r="N9" s="96">
        <v>30.251462187455012</v>
      </c>
      <c r="O9" s="96">
        <v>30.295848317698024</v>
      </c>
      <c r="P9" s="96">
        <v>27.425529198773308</v>
      </c>
      <c r="Q9" s="96">
        <v>25.750921945847718</v>
      </c>
      <c r="R9" s="96">
        <v>28.333690101869596</v>
      </c>
      <c r="S9" s="96">
        <v>30.452422718559454</v>
      </c>
      <c r="T9" s="96">
        <v>32.625456431619583</v>
      </c>
      <c r="U9" s="96">
        <v>33.538967697937331</v>
      </c>
      <c r="V9" s="96">
        <v>18.864709962725883</v>
      </c>
      <c r="W9" s="96">
        <v>22.634742739166892</v>
      </c>
      <c r="X9" s="96">
        <v>23.684343416436878</v>
      </c>
      <c r="Y9" s="96">
        <v>30.666024604896752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0.73911249964065806</v>
      </c>
      <c r="C10" s="22">
        <f t="shared" si="30"/>
        <v>0.69605207001921077</v>
      </c>
      <c r="D10" s="22">
        <f t="shared" ref="D10:V10" si="31">SUM(D11:D13)</f>
        <v>0.7963692998623797</v>
      </c>
      <c r="E10" s="22">
        <f t="shared" si="31"/>
        <v>0.71777734062571452</v>
      </c>
      <c r="F10" s="22">
        <f t="shared" si="31"/>
        <v>0.82719955272315993</v>
      </c>
      <c r="G10" s="22">
        <f t="shared" si="31"/>
        <v>1.082417189447977</v>
      </c>
      <c r="H10" s="22">
        <f t="shared" si="31"/>
        <v>1.1085317983359542</v>
      </c>
      <c r="I10" s="22">
        <f t="shared" si="31"/>
        <v>1.107751975796081</v>
      </c>
      <c r="J10" s="22">
        <f t="shared" si="31"/>
        <v>1.6037763971725356</v>
      </c>
      <c r="K10" s="22">
        <f t="shared" si="31"/>
        <v>2.9888008984673338</v>
      </c>
      <c r="L10" s="22">
        <f t="shared" si="31"/>
        <v>3.7073780691259541</v>
      </c>
      <c r="M10" s="22">
        <f t="shared" si="31"/>
        <v>3.5910998911129877</v>
      </c>
      <c r="N10" s="22">
        <f t="shared" si="31"/>
        <v>10.990247081515468</v>
      </c>
      <c r="O10" s="22">
        <f t="shared" si="31"/>
        <v>16.016684634546987</v>
      </c>
      <c r="P10" s="22">
        <f t="shared" si="31"/>
        <v>8.39089036542663</v>
      </c>
      <c r="Q10" s="22">
        <f t="shared" si="31"/>
        <v>4.1191300867072522</v>
      </c>
      <c r="R10" s="22">
        <f t="shared" si="31"/>
        <v>3.8864807119019122</v>
      </c>
      <c r="S10" s="22">
        <f t="shared" si="31"/>
        <v>4.4454368629276511</v>
      </c>
      <c r="T10" s="22">
        <f t="shared" si="31"/>
        <v>4.4743019471150038</v>
      </c>
      <c r="U10" s="22">
        <f t="shared" si="31"/>
        <v>5.8436509138990065</v>
      </c>
      <c r="V10" s="22">
        <f t="shared" si="31"/>
        <v>4.1203539348360749</v>
      </c>
      <c r="W10" s="22">
        <f t="shared" ref="W10:Y10" si="32">SUM(W11:W13)</f>
        <v>5.0513778042759929</v>
      </c>
      <c r="X10" s="22">
        <f t="shared" si="32"/>
        <v>4.9341192185040637</v>
      </c>
      <c r="Y10" s="22">
        <f t="shared" si="32"/>
        <v>5.1390015168600014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0.64968030847076996</v>
      </c>
      <c r="C12" s="97">
        <v>0.59387826687213874</v>
      </c>
      <c r="D12" s="97">
        <v>0.68162530677513178</v>
      </c>
      <c r="E12" s="97">
        <v>0.60273351277338694</v>
      </c>
      <c r="F12" s="97">
        <v>0.69948549298071327</v>
      </c>
      <c r="G12" s="97">
        <v>0.94668694437808887</v>
      </c>
      <c r="H12" s="97">
        <v>0.96122077782320892</v>
      </c>
      <c r="I12" s="97">
        <v>0.88926867266281118</v>
      </c>
      <c r="J12" s="97">
        <v>1.2285167839246536</v>
      </c>
      <c r="K12" s="97">
        <v>2.4841687017650069</v>
      </c>
      <c r="L12" s="97">
        <v>2.8937815707588572</v>
      </c>
      <c r="M12" s="97">
        <v>2.71296018342625</v>
      </c>
      <c r="N12" s="97">
        <v>3.0329182564374766</v>
      </c>
      <c r="O12" s="97">
        <v>3.5266480304724359</v>
      </c>
      <c r="P12" s="97">
        <v>3.134613417926694</v>
      </c>
      <c r="Q12" s="97">
        <v>2.6513181536271522</v>
      </c>
      <c r="R12" s="97">
        <v>2.8180627662559377</v>
      </c>
      <c r="S12" s="97">
        <v>3.4308881615201314</v>
      </c>
      <c r="T12" s="97">
        <v>3.6513232899571366</v>
      </c>
      <c r="U12" s="97">
        <v>3.9463931049473411</v>
      </c>
      <c r="V12" s="97">
        <v>3.2509458657640806</v>
      </c>
      <c r="W12" s="97">
        <v>4.6407265250199172</v>
      </c>
      <c r="X12" s="97">
        <v>4.4832978698797712</v>
      </c>
      <c r="Y12" s="97">
        <v>4.8645416193007316</v>
      </c>
      <c r="DA12" s="175" t="s">
        <v>333</v>
      </c>
    </row>
    <row r="13" spans="1:105" ht="11.45" customHeight="1" x14ac:dyDescent="0.25">
      <c r="A13" s="85" t="s">
        <v>182</v>
      </c>
      <c r="B13" s="98">
        <v>8.9432191169888112E-2</v>
      </c>
      <c r="C13" s="98">
        <v>0.10217380314707204</v>
      </c>
      <c r="D13" s="98">
        <v>0.11474399308724789</v>
      </c>
      <c r="E13" s="98">
        <v>0.11504382785232763</v>
      </c>
      <c r="F13" s="98">
        <v>0.12771405974244662</v>
      </c>
      <c r="G13" s="98">
        <v>0.13573024506988821</v>
      </c>
      <c r="H13" s="98">
        <v>0.14731102051274528</v>
      </c>
      <c r="I13" s="98">
        <v>0.2184833031332698</v>
      </c>
      <c r="J13" s="98">
        <v>0.37525961324788198</v>
      </c>
      <c r="K13" s="98">
        <v>0.50463219670232673</v>
      </c>
      <c r="L13" s="98">
        <v>0.81359649836709702</v>
      </c>
      <c r="M13" s="98">
        <v>0.87813970768673788</v>
      </c>
      <c r="N13" s="98">
        <v>7.9573288250779912</v>
      </c>
      <c r="O13" s="98">
        <v>12.490036604074552</v>
      </c>
      <c r="P13" s="98">
        <v>5.256276947499936</v>
      </c>
      <c r="Q13" s="98">
        <v>1.4678119330801003</v>
      </c>
      <c r="R13" s="98">
        <v>1.0684179456459748</v>
      </c>
      <c r="S13" s="98">
        <v>1.0145487014075198</v>
      </c>
      <c r="T13" s="98">
        <v>0.82297865715786755</v>
      </c>
      <c r="U13" s="98">
        <v>1.8972578089516658</v>
      </c>
      <c r="V13" s="98">
        <v>0.86940806907199464</v>
      </c>
      <c r="W13" s="98">
        <v>0.41065127925607531</v>
      </c>
      <c r="X13" s="98">
        <v>0.45082134862429235</v>
      </c>
      <c r="Y13" s="98">
        <v>0.27445989755926986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3.0103092000000014</v>
      </c>
      <c r="C19" s="98">
        <f>IF(C5=0,0,C5/TrAvia_ene!C5)</f>
        <v>3.0103092000000005</v>
      </c>
      <c r="D19" s="98">
        <f>IF(D5=0,0,D5/TrAvia_ene!D5)</f>
        <v>3.0103092000000005</v>
      </c>
      <c r="E19" s="98">
        <f>IF(E5=0,0,E5/TrAvia_ene!E5)</f>
        <v>3.0103092000000014</v>
      </c>
      <c r="F19" s="98">
        <f>IF(F5=0,0,F5/TrAvia_ene!F5)</f>
        <v>3.0103092000000005</v>
      </c>
      <c r="G19" s="98">
        <f>IF(G5=0,0,G5/TrAvia_ene!G5)</f>
        <v>3.0103091999999996</v>
      </c>
      <c r="H19" s="98">
        <f>IF(H5=0,0,H5/TrAvia_ene!H5)</f>
        <v>3.0103092000000014</v>
      </c>
      <c r="I19" s="98">
        <f>IF(I5=0,0,I5/TrAvia_ene!I5)</f>
        <v>3.0103092000000009</v>
      </c>
      <c r="J19" s="98">
        <f>IF(J5=0,0,J5/TrAvia_ene!J5)</f>
        <v>3.0103091999999996</v>
      </c>
      <c r="K19" s="98">
        <f>IF(K5=0,0,K5/TrAvia_ene!K5)</f>
        <v>3.0103092000000014</v>
      </c>
      <c r="L19" s="98">
        <f>IF(L5=0,0,L5/TrAvia_ene!L5)</f>
        <v>3.0103091999999996</v>
      </c>
      <c r="M19" s="98">
        <f>IF(M5=0,0,M5/TrAvia_ene!M5)</f>
        <v>3.0103092000000014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3.0103091999999991</v>
      </c>
      <c r="Q19" s="98">
        <f>IF(Q5=0,0,Q5/TrAvia_ene!Q5)</f>
        <v>3.0103091999999996</v>
      </c>
      <c r="R19" s="98">
        <f>IF(R5=0,0,R5/TrAvia_ene!R5)</f>
        <v>3.0103092000000009</v>
      </c>
      <c r="S19" s="98">
        <f>IF(S5=0,0,S5/TrAvia_ene!S5)</f>
        <v>3.0103073913681797</v>
      </c>
      <c r="T19" s="98">
        <f>IF(T5=0,0,T5/TrAvia_ene!T5)</f>
        <v>3.0103092000000005</v>
      </c>
      <c r="U19" s="98">
        <f>IF(U5=0,0,U5/TrAvia_ene!U5)</f>
        <v>3.0103086768054648</v>
      </c>
      <c r="V19" s="98">
        <f>IF(V5=0,0,V5/TrAvia_ene!V5)</f>
        <v>3.0103092000000009</v>
      </c>
      <c r="W19" s="98">
        <f>IF(W5=0,0,W5/TrAvia_ene!W5)</f>
        <v>3.0103092000000014</v>
      </c>
      <c r="X19" s="98">
        <f>IF(X5=0,0,X5/TrAvia_ene!X5)</f>
        <v>3.0103091999999996</v>
      </c>
      <c r="Y19" s="98">
        <f>IF(Y5=0,0,Y5/TrAvia_ene!Y5)</f>
        <v>3.0103066842514914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9879.8234716949519</v>
      </c>
      <c r="C21" s="54">
        <f>IF(C3=0,0,C3/TrAvia_act!C13*1000)</f>
        <v>9870.8467079044694</v>
      </c>
      <c r="D21" s="54">
        <f>IF(D3=0,0,D3/TrAvia_act!D13*1000)</f>
        <v>9855.3802972831272</v>
      </c>
      <c r="E21" s="54">
        <f>IF(E3=0,0,E3/TrAvia_act!E13*1000)</f>
        <v>9875.9531463293733</v>
      </c>
      <c r="F21" s="54">
        <f>IF(F3=0,0,F3/TrAvia_act!F13*1000)</f>
        <v>9867.0963704351343</v>
      </c>
      <c r="G21" s="54">
        <f>IF(G3=0,0,G3/TrAvia_act!G13*1000)</f>
        <v>8116.1717047767543</v>
      </c>
      <c r="H21" s="54">
        <f>IF(H3=0,0,H3/TrAvia_act!H13*1000)</f>
        <v>7818.0039605694765</v>
      </c>
      <c r="I21" s="54">
        <f>IF(I3=0,0,I3/TrAvia_act!I13*1000)</f>
        <v>7935.559072097788</v>
      </c>
      <c r="J21" s="54">
        <f>IF(J3=0,0,J3/TrAvia_act!J13*1000)</f>
        <v>8434.8231400415698</v>
      </c>
      <c r="K21" s="54">
        <f>IF(K3=0,0,K3/TrAvia_act!K13*1000)</f>
        <v>9347.6248868549865</v>
      </c>
      <c r="L21" s="54">
        <f>IF(L3=0,0,L3/TrAvia_act!L13*1000)</f>
        <v>9387.9039272719274</v>
      </c>
      <c r="M21" s="54">
        <f>IF(M3=0,0,M3/TrAvia_act!M13*1000)</f>
        <v>9732.6349090744934</v>
      </c>
      <c r="N21" s="54">
        <f>IF(N3=0,0,N3/TrAvia_act!N13*1000)</f>
        <v>10538.268484884731</v>
      </c>
      <c r="O21" s="54">
        <f>IF(O3=0,0,O3/TrAvia_act!O13*1000)</f>
        <v>10414.254718417136</v>
      </c>
      <c r="P21" s="54">
        <f>IF(P3=0,0,P3/TrAvia_act!P13*1000)</f>
        <v>9752.1505257753979</v>
      </c>
      <c r="Q21" s="54">
        <f>IF(Q3=0,0,Q3/TrAvia_act!Q13*1000)</f>
        <v>9652.7183680201997</v>
      </c>
      <c r="R21" s="54">
        <f>IF(R3=0,0,R3/TrAvia_act!R13*1000)</f>
        <v>11277.501404333671</v>
      </c>
      <c r="S21" s="54">
        <f>IF(S3=0,0,S3/TrAvia_act!S13*1000)</f>
        <v>11632.515965970733</v>
      </c>
      <c r="T21" s="54">
        <f>IF(T3=0,0,T3/TrAvia_act!T13*1000)</f>
        <v>10918.022729440107</v>
      </c>
      <c r="U21" s="54">
        <f>IF(U3=0,0,U3/TrAvia_act!U13*1000)</f>
        <v>10530.865538170699</v>
      </c>
      <c r="V21" s="54">
        <f>IF(V3=0,0,V3/TrAvia_act!V13*1000)</f>
        <v>12107.524051394636</v>
      </c>
      <c r="W21" s="54">
        <f>IF(W3=0,0,W3/TrAvia_act!W13*1000)</f>
        <v>11954.917759757856</v>
      </c>
      <c r="X21" s="54">
        <f>IF(X3=0,0,X3/TrAvia_act!X13*1000)</f>
        <v>9900.7299550433072</v>
      </c>
      <c r="Y21" s="54">
        <f>IF(Y3=0,0,Y3/TrAvia_act!Y13*1000)</f>
        <v>10541.643727490924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9865.238939865163</v>
      </c>
      <c r="C22" s="11">
        <f>IF(C6=0,0,C6/TrAvia_act!C14*1000)</f>
        <v>9860.9442255171016</v>
      </c>
      <c r="D22" s="11">
        <f>IF(D6=0,0,D6/TrAvia_act!D14*1000)</f>
        <v>9844.0252766352405</v>
      </c>
      <c r="E22" s="11">
        <f>IF(E6=0,0,E6/TrAvia_act!E14*1000)</f>
        <v>9870.5105378402768</v>
      </c>
      <c r="F22" s="11">
        <f>IF(F6=0,0,F6/TrAvia_act!F14*1000)</f>
        <v>9861.3143681741149</v>
      </c>
      <c r="G22" s="11">
        <f>IF(G6=0,0,G6/TrAvia_act!G14*1000)</f>
        <v>8111.0986822058849</v>
      </c>
      <c r="H22" s="11">
        <f>IF(H6=0,0,H6/TrAvia_act!H14*1000)</f>
        <v>7818.5446365426596</v>
      </c>
      <c r="I22" s="11">
        <f>IF(I6=0,0,I6/TrAvia_act!I14*1000)</f>
        <v>7942.4372500782692</v>
      </c>
      <c r="J22" s="11">
        <f>IF(J6=0,0,J6/TrAvia_act!J14*1000)</f>
        <v>8441.0651193968042</v>
      </c>
      <c r="K22" s="11">
        <f>IF(K6=0,0,K6/TrAvia_act!K14*1000)</f>
        <v>9345.1011211243749</v>
      </c>
      <c r="L22" s="11">
        <f>IF(L6=0,0,L6/TrAvia_act!L14*1000)</f>
        <v>9402.1431450808232</v>
      </c>
      <c r="M22" s="11">
        <f>IF(M6=0,0,M6/TrAvia_act!M14*1000)</f>
        <v>9744.5567232663379</v>
      </c>
      <c r="N22" s="11">
        <f>IF(N6=0,0,N6/TrAvia_act!N14*1000)</f>
        <v>10717.487508988896</v>
      </c>
      <c r="O22" s="11">
        <f>IF(O6=0,0,O6/TrAvia_act!O14*1000)</f>
        <v>10712.129563348115</v>
      </c>
      <c r="P22" s="11">
        <f>IF(P6=0,0,P6/TrAvia_act!P14*1000)</f>
        <v>9881.0359483354587</v>
      </c>
      <c r="Q22" s="11">
        <f>IF(Q6=0,0,Q6/TrAvia_act!Q14*1000)</f>
        <v>9681.5773673156818</v>
      </c>
      <c r="R22" s="11">
        <f>IF(R6=0,0,R6/TrAvia_act!R14*1000)</f>
        <v>11308.440854908948</v>
      </c>
      <c r="S22" s="11">
        <f>IF(S6=0,0,S6/TrAvia_act!S14*1000)</f>
        <v>11658.959073596468</v>
      </c>
      <c r="T22" s="11">
        <f>IF(T6=0,0,T6/TrAvia_act!T14*1000)</f>
        <v>10930.273661286454</v>
      </c>
      <c r="U22" s="11">
        <f>IF(U6=0,0,U6/TrAvia_act!U14*1000)</f>
        <v>10570.03869234201</v>
      </c>
      <c r="V22" s="11">
        <f>IF(V6=0,0,V6/TrAvia_act!V14*1000)</f>
        <v>12122.418131260783</v>
      </c>
      <c r="W22" s="11">
        <f>IF(W6=0,0,W6/TrAvia_act!W14*1000)</f>
        <v>11965.889810784354</v>
      </c>
      <c r="X22" s="11">
        <f>IF(X6=0,0,X6/TrAvia_act!X14*1000)</f>
        <v>9900.5976415530622</v>
      </c>
      <c r="Y22" s="11">
        <f>IF(Y6=0,0,Y6/TrAvia_act!Y14*1000)</f>
        <v>10538.324555134648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12213.985090011893</v>
      </c>
      <c r="C24" s="84">
        <f>IF(C8=0,0,C8/TrAvia_act!C16*1000)</f>
        <v>12209.630804692319</v>
      </c>
      <c r="D24" s="84">
        <f>IF(D8=0,0,D8/TrAvia_act!D16*1000)</f>
        <v>12189.052119253991</v>
      </c>
      <c r="E24" s="84">
        <f>IF(E8=0,0,E8/TrAvia_act!E16*1000)</f>
        <v>12222.378662462956</v>
      </c>
      <c r="F24" s="84">
        <f>IF(F8=0,0,F8/TrAvia_act!F16*1000)</f>
        <v>12212.55217917825</v>
      </c>
      <c r="G24" s="84">
        <f>IF(G8=0,0,G8/TrAvia_act!G16*1000)</f>
        <v>10589.93149022159</v>
      </c>
      <c r="H24" s="84">
        <f>IF(H8=0,0,H8/TrAvia_act!H16*1000)</f>
        <v>10790.033554660888</v>
      </c>
      <c r="I24" s="84">
        <f>IF(I8=0,0,I8/TrAvia_act!I16*1000)</f>
        <v>11360.269486558553</v>
      </c>
      <c r="J24" s="84">
        <f>IF(J8=0,0,J8/TrAvia_act!J16*1000)</f>
        <v>11880.063329940023</v>
      </c>
      <c r="K24" s="84">
        <f>IF(K8=0,0,K8/TrAvia_act!K16*1000)</f>
        <v>12372.650286086571</v>
      </c>
      <c r="L24" s="84">
        <f>IF(L8=0,0,L8/TrAvia_act!L16*1000)</f>
        <v>12019.885724596981</v>
      </c>
      <c r="M24" s="84">
        <f>IF(M8=0,0,M8/TrAvia_act!M16*1000)</f>
        <v>12198.291425701185</v>
      </c>
      <c r="N24" s="84">
        <f>IF(N8=0,0,N8/TrAvia_act!N16*1000)</f>
        <v>13157.514852142524</v>
      </c>
      <c r="O24" s="84">
        <f>IF(O8=0,0,O8/TrAvia_act!O16*1000)</f>
        <v>13536.508635097909</v>
      </c>
      <c r="P24" s="84">
        <f>IF(P8=0,0,P8/TrAvia_act!P16*1000)</f>
        <v>12034.457173431107</v>
      </c>
      <c r="Q24" s="84">
        <f>IF(Q8=0,0,Q8/TrAvia_act!Q16*1000)</f>
        <v>11272.854625993634</v>
      </c>
      <c r="R24" s="84">
        <f>IF(R8=0,0,R8/TrAvia_act!R16*1000)</f>
        <v>13565.160452996661</v>
      </c>
      <c r="S24" s="84">
        <f>IF(S8=0,0,S8/TrAvia_act!S16*1000)</f>
        <v>14212.437904132648</v>
      </c>
      <c r="T24" s="84">
        <f>IF(T8=0,0,T8/TrAvia_act!T16*1000)</f>
        <v>13583.190830764914</v>
      </c>
      <c r="U24" s="84">
        <f>IF(U8=0,0,U8/TrAvia_act!U16*1000)</f>
        <v>13475.291841340575</v>
      </c>
      <c r="V24" s="84">
        <f>IF(V8=0,0,V8/TrAvia_act!V16*1000)</f>
        <v>12853.033684686314</v>
      </c>
      <c r="W24" s="84">
        <f>IF(W8=0,0,W8/TrAvia_act!W16*1000)</f>
        <v>13304.435217804403</v>
      </c>
      <c r="X24" s="84">
        <f>IF(X8=0,0,X8/TrAvia_act!X16*1000)</f>
        <v>10884.697089681122</v>
      </c>
      <c r="Y24" s="84">
        <f>IF(Y8=0,0,Y8/TrAvia_act!Y16*1000)</f>
        <v>12075.175339463212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4183.2493904411604</v>
      </c>
      <c r="C25" s="84">
        <f>IF(C9=0,0,C9/TrAvia_act!C17*1000)</f>
        <v>4181.8408156504138</v>
      </c>
      <c r="D25" s="84">
        <f>IF(D9=0,0,D9/TrAvia_act!D17*1000)</f>
        <v>4174.5087411040795</v>
      </c>
      <c r="E25" s="84">
        <f>IF(E9=0,0,E9/TrAvia_act!E17*1000)</f>
        <v>4185.4170493652427</v>
      </c>
      <c r="F25" s="84">
        <f>IF(F9=0,0,F9/TrAvia_act!F17*1000)</f>
        <v>4181.7362283724187</v>
      </c>
      <c r="G25" s="84">
        <f>IF(G9=0,0,G9/TrAvia_act!G17*1000)</f>
        <v>2745.8790264385871</v>
      </c>
      <c r="H25" s="84">
        <f>IF(H9=0,0,H9/TrAvia_act!H17*1000)</f>
        <v>2095.3356807322784</v>
      </c>
      <c r="I25" s="84">
        <f>IF(I9=0,0,I9/TrAvia_act!I17*1000)</f>
        <v>1918.1355521147775</v>
      </c>
      <c r="J25" s="84">
        <f>IF(J9=0,0,J9/TrAvia_act!J17*1000)</f>
        <v>2136.0865403642551</v>
      </c>
      <c r="K25" s="84">
        <f>IF(K9=0,0,K9/TrAvia_act!K17*1000)</f>
        <v>2699.3864760428451</v>
      </c>
      <c r="L25" s="84">
        <f>IF(L9=0,0,L9/TrAvia_act!L17*1000)</f>
        <v>2759.4441861187356</v>
      </c>
      <c r="M25" s="84">
        <f>IF(M9=0,0,M9/TrAvia_act!M17*1000)</f>
        <v>3028.8339845180344</v>
      </c>
      <c r="N25" s="84">
        <f>IF(N9=0,0,N9/TrAvia_act!N17*1000)</f>
        <v>3648.6455867592149</v>
      </c>
      <c r="O25" s="84">
        <f>IF(O9=0,0,O9/TrAvia_act!O17*1000)</f>
        <v>3319.2760066106694</v>
      </c>
      <c r="P25" s="84">
        <f>IF(P9=0,0,P9/TrAvia_act!P17*1000)</f>
        <v>3389.7568908694807</v>
      </c>
      <c r="Q25" s="84">
        <f>IF(Q9=0,0,Q9/TrAvia_act!Q17*1000)</f>
        <v>3713.0412994900221</v>
      </c>
      <c r="R25" s="84">
        <f>IF(R9=0,0,R9/TrAvia_act!R17*1000)</f>
        <v>3792.7819827436279</v>
      </c>
      <c r="S25" s="84">
        <f>IF(S9=0,0,S9/TrAvia_act!S17*1000)</f>
        <v>3555.3176331349991</v>
      </c>
      <c r="T25" s="84">
        <f>IF(T9=0,0,T9/TrAvia_act!T17*1000)</f>
        <v>3087.7358571296149</v>
      </c>
      <c r="U25" s="84">
        <f>IF(U9=0,0,U9/TrAvia_act!U17*1000)</f>
        <v>2794.3153348573746</v>
      </c>
      <c r="V25" s="84">
        <f>IF(V9=0,0,V9/TrAvia_act!V17*1000)</f>
        <v>8314.524390382463</v>
      </c>
      <c r="W25" s="84">
        <f>IF(W9=0,0,W9/TrAvia_act!W17*1000)</f>
        <v>6220.2799347784421</v>
      </c>
      <c r="X25" s="84">
        <f>IF(X9=0,0,X9/TrAvia_act!X17*1000)</f>
        <v>4696.6000627305384</v>
      </c>
      <c r="Y25" s="84">
        <f>IF(Y9=0,0,Y9/TrAvia_act!Y17*1000)</f>
        <v>4188.7398664069906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11762.454627724579</v>
      </c>
      <c r="C26" s="13">
        <f>IF(C10=0,0,C10/TrAvia_act!C18*1000)</f>
        <v>11159.899543421756</v>
      </c>
      <c r="D26" s="13">
        <f>IF(D10=0,0,D10/TrAvia_act!D18*1000)</f>
        <v>11203.353991700378</v>
      </c>
      <c r="E26" s="13">
        <f>IF(E10=0,0,E10/TrAvia_act!E18*1000)</f>
        <v>10882.932916824177</v>
      </c>
      <c r="F26" s="13">
        <f>IF(F10=0,0,F10/TrAvia_act!F18*1000)</f>
        <v>10999.061015295567</v>
      </c>
      <c r="G26" s="13">
        <f>IF(G10=0,0,G10/TrAvia_act!G18*1000)</f>
        <v>9035.026680281715</v>
      </c>
      <c r="H26" s="13">
        <f>IF(H10=0,0,H10/TrAvia_act!H18*1000)</f>
        <v>7722.7462813729053</v>
      </c>
      <c r="I26" s="13">
        <f>IF(I10=0,0,I10/TrAvia_act!I18*1000)</f>
        <v>6676.5050586240286</v>
      </c>
      <c r="J26" s="13">
        <f>IF(J10=0,0,J10/TrAvia_act!J18*1000)</f>
        <v>7438.6703128461595</v>
      </c>
      <c r="K26" s="13">
        <f>IF(K10=0,0,K10/TrAvia_act!K18*1000)</f>
        <v>9612.1682850666202</v>
      </c>
      <c r="L26" s="13">
        <f>IF(L10=0,0,L10/TrAvia_act!L18*1000)</f>
        <v>8212.195117651323</v>
      </c>
      <c r="M26" s="13">
        <f>IF(M10=0,0,M10/TrAvia_act!M18*1000)</f>
        <v>8694.2100313085502</v>
      </c>
      <c r="N26" s="13">
        <f>IF(N10=0,0,N10/TrAvia_act!N18*1000)</f>
        <v>6901.7557551888794</v>
      </c>
      <c r="O26" s="13">
        <f>IF(O10=0,0,O10/TrAvia_act!O18*1000)</f>
        <v>6452.2078880503377</v>
      </c>
      <c r="P26" s="13">
        <f>IF(P10=0,0,P10/TrAvia_act!P18*1000)</f>
        <v>6506.2564370369155</v>
      </c>
      <c r="Q26" s="13">
        <f>IF(Q10=0,0,Q10/TrAvia_act!Q18*1000)</f>
        <v>7842.4067405089618</v>
      </c>
      <c r="R26" s="13">
        <f>IF(R10=0,0,R10/TrAvia_act!R18*1000)</f>
        <v>8967.9941326818025</v>
      </c>
      <c r="S26" s="13">
        <f>IF(S10=0,0,S10/TrAvia_act!S18*1000)</f>
        <v>9592.703988318015</v>
      </c>
      <c r="T26" s="13">
        <f>IF(T10=0,0,T10/TrAvia_act!T18*1000)</f>
        <v>9796.7299953842776</v>
      </c>
      <c r="U26" s="13">
        <f>IF(U10=0,0,U10/TrAvia_act!U18*1000)</f>
        <v>8126.890550371153</v>
      </c>
      <c r="V26" s="13">
        <f>IF(V10=0,0,V10/TrAvia_act!V18*1000)</f>
        <v>11520.587933761477</v>
      </c>
      <c r="W26" s="13">
        <f>IF(W10=0,0,W10/TrAvia_act!W18*1000)</f>
        <v>11474.910431016617</v>
      </c>
      <c r="X26" s="13">
        <f>IF(X10=0,0,X10/TrAvia_act!X18*1000)</f>
        <v>9909.156063633287</v>
      </c>
      <c r="Y26" s="13">
        <f>IF(Y10=0,0,Y10/TrAvia_act!Y18*1000)</f>
        <v>10803.794111946627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15643.918144147921</v>
      </c>
      <c r="C28" s="102">
        <f>IF(C12=0,0,C12/TrAvia_act!C20*1000)</f>
        <v>15620.324595024853</v>
      </c>
      <c r="D28" s="102">
        <f>IF(D12=0,0,D12/TrAvia_act!D20*1000)</f>
        <v>15602.125382886368</v>
      </c>
      <c r="E28" s="102">
        <f>IF(E12=0,0,E12/TrAvia_act!E20*1000)</f>
        <v>15631.353565102729</v>
      </c>
      <c r="F28" s="102">
        <f>IF(F12=0,0,F12/TrAvia_act!F20*1000)</f>
        <v>15624.907078810051</v>
      </c>
      <c r="G28" s="102">
        <f>IF(G12=0,0,G12/TrAvia_act!G20*1000)</f>
        <v>13438.70134024586</v>
      </c>
      <c r="H28" s="102">
        <f>IF(H12=0,0,H12/TrAvia_act!H20*1000)</f>
        <v>11597.792936732718</v>
      </c>
      <c r="I28" s="102">
        <f>IF(I12=0,0,I12/TrAvia_act!I20*1000)</f>
        <v>10911.195885083307</v>
      </c>
      <c r="J28" s="102">
        <f>IF(J12=0,0,J12/TrAvia_act!J20*1000)</f>
        <v>11866.092538821002</v>
      </c>
      <c r="K28" s="102">
        <f>IF(K12=0,0,K12/TrAvia_act!K20*1000)</f>
        <v>12745.968909175554</v>
      </c>
      <c r="L28" s="102">
        <f>IF(L12=0,0,L12/TrAvia_act!L20*1000)</f>
        <v>11033.546317300805</v>
      </c>
      <c r="M28" s="102">
        <f>IF(M12=0,0,M12/TrAvia_act!M20*1000)</f>
        <v>11814.388300728198</v>
      </c>
      <c r="N28" s="102">
        <f>IF(N12=0,0,N12/TrAvia_act!N20*1000)</f>
        <v>13829.768074904794</v>
      </c>
      <c r="O28" s="102">
        <f>IF(O12=0,0,O12/TrAvia_act!O20*1000)</f>
        <v>13596.394844432738</v>
      </c>
      <c r="P28" s="102">
        <f>IF(P12=0,0,P12/TrAvia_act!P20*1000)</f>
        <v>12165.933096870269</v>
      </c>
      <c r="Q28" s="102">
        <f>IF(Q12=0,0,Q12/TrAvia_act!Q20*1000)</f>
        <v>11305.195245492348</v>
      </c>
      <c r="R28" s="102">
        <f>IF(R12=0,0,R12/TrAvia_act!R20*1000)</f>
        <v>13497.668833244659</v>
      </c>
      <c r="S28" s="102">
        <f>IF(S12=0,0,S12/TrAvia_act!S20*1000)</f>
        <v>14938.952518221962</v>
      </c>
      <c r="T28" s="102">
        <f>IF(T12=0,0,T12/TrAvia_act!T20*1000)</f>
        <v>15246.166172995403</v>
      </c>
      <c r="U28" s="102">
        <f>IF(U12=0,0,U12/TrAvia_act!U20*1000)</f>
        <v>13582.291954787363</v>
      </c>
      <c r="V28" s="102">
        <f>IF(V12=0,0,V12/TrAvia_act!V20*1000)</f>
        <v>13032.321231613569</v>
      </c>
      <c r="W28" s="102">
        <f>IF(W12=0,0,W12/TrAvia_act!W20*1000)</f>
        <v>13024.410090790601</v>
      </c>
      <c r="X28" s="102">
        <f>IF(X12=0,0,X12/TrAvia_act!X20*1000)</f>
        <v>10623.063584908617</v>
      </c>
      <c r="Y28" s="102">
        <f>IF(Y12=0,0,Y12/TrAvia_act!Y20*1000)</f>
        <v>11644.273224743067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4197.2502240496278</v>
      </c>
      <c r="C29" s="86">
        <f>IF(C13=0,0,C13/TrAvia_act!C21*1000)</f>
        <v>4195.8369349281238</v>
      </c>
      <c r="D29" s="86">
        <f>IF(D13=0,0,D13/TrAvia_act!D21*1000)</f>
        <v>4188.4803208083276</v>
      </c>
      <c r="E29" s="86">
        <f>IF(E13=0,0,E13/TrAvia_act!E21*1000)</f>
        <v>4199.4251378679519</v>
      </c>
      <c r="F29" s="86">
        <f>IF(F13=0,0,F13/TrAvia_act!F21*1000)</f>
        <v>4195.7319976090621</v>
      </c>
      <c r="G29" s="86">
        <f>IF(G13=0,0,G13/TrAvia_act!G21*1000)</f>
        <v>2749.9416516210949</v>
      </c>
      <c r="H29" s="86">
        <f>IF(H13=0,0,H13/TrAvia_act!H21*1000)</f>
        <v>2428.4100519470439</v>
      </c>
      <c r="I29" s="86">
        <f>IF(I13=0,0,I13/TrAvia_act!I21*1000)</f>
        <v>2588.1319986260155</v>
      </c>
      <c r="J29" s="86">
        <f>IF(J13=0,0,J13/TrAvia_act!J21*1000)</f>
        <v>3348.4941130209654</v>
      </c>
      <c r="K29" s="86">
        <f>IF(K13=0,0,K13/TrAvia_act!K21*1000)</f>
        <v>4348.7434503015138</v>
      </c>
      <c r="L29" s="86">
        <f>IF(L13=0,0,L13/TrAvia_act!L21*1000)</f>
        <v>4300.7233011493508</v>
      </c>
      <c r="M29" s="86">
        <f>IF(M13=0,0,M13/TrAvia_act!M21*1000)</f>
        <v>4787.7695588530105</v>
      </c>
      <c r="N29" s="86">
        <f>IF(N13=0,0,N13/TrAvia_act!N21*1000)</f>
        <v>5795.2379061297779</v>
      </c>
      <c r="O29" s="86">
        <f>IF(O13=0,0,O13/TrAvia_act!O21*1000)</f>
        <v>5618.6104480595832</v>
      </c>
      <c r="P29" s="86">
        <f>IF(P13=0,0,P13/TrAvia_act!P21*1000)</f>
        <v>5093.2428716220875</v>
      </c>
      <c r="Q29" s="86">
        <f>IF(Q13=0,0,Q13/TrAvia_act!Q21*1000)</f>
        <v>5048.9564147949013</v>
      </c>
      <c r="R29" s="86">
        <f>IF(R13=0,0,R13/TrAvia_act!R21*1000)</f>
        <v>4757.1735913607436</v>
      </c>
      <c r="S29" s="86">
        <f>IF(S13=0,0,S13/TrAvia_act!S21*1000)</f>
        <v>4340.1671088386847</v>
      </c>
      <c r="T29" s="86">
        <f>IF(T13=0,0,T13/TrAvia_act!T21*1000)</f>
        <v>3788.6424223145341</v>
      </c>
      <c r="U29" s="86">
        <f>IF(U13=0,0,U13/TrAvia_act!U21*1000)</f>
        <v>4427.7040429990711</v>
      </c>
      <c r="V29" s="86">
        <f>IF(V13=0,0,V13/TrAvia_act!V21*1000)</f>
        <v>8035.283728046119</v>
      </c>
      <c r="W29" s="86">
        <f>IF(W13=0,0,W13/TrAvia_act!W21*1000)</f>
        <v>4894.4898516131325</v>
      </c>
      <c r="X29" s="86">
        <f>IF(X13=0,0,X13/TrAvia_act!X21*1000)</f>
        <v>5939.5969568818909</v>
      </c>
      <c r="Y29" s="86">
        <f>IF(Y13=0,0,Y13/TrAvia_act!Y21*1000)</f>
        <v>4739.9298051814885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162.31944689319744</v>
      </c>
      <c r="C32" s="14">
        <f>IF(C6=0,0,C6/TrAvia_act!C4*1000)</f>
        <v>157.98099207157259</v>
      </c>
      <c r="D32" s="14">
        <f>IF(D6=0,0,D6/TrAvia_act!D4*1000)</f>
        <v>154.9035702233912</v>
      </c>
      <c r="E32" s="14">
        <f>IF(E6=0,0,E6/TrAvia_act!E4*1000)</f>
        <v>153.88115176007767</v>
      </c>
      <c r="F32" s="14">
        <f>IF(F6=0,0,F6/TrAvia_act!F4*1000)</f>
        <v>152.51348530285378</v>
      </c>
      <c r="G32" s="14">
        <f>IF(G6=0,0,G6/TrAvia_act!G4*1000)</f>
        <v>96.391105974661812</v>
      </c>
      <c r="H32" s="14">
        <f>IF(H6=0,0,H6/TrAvia_act!H4*1000)</f>
        <v>88.402215800917176</v>
      </c>
      <c r="I32" s="14">
        <f>IF(I6=0,0,I6/TrAvia_act!I4*1000)</f>
        <v>87.286242957786143</v>
      </c>
      <c r="J32" s="14">
        <f>IF(J6=0,0,J6/TrAvia_act!J4*1000)</f>
        <v>95.607486737287473</v>
      </c>
      <c r="K32" s="14">
        <f>IF(K6=0,0,K6/TrAvia_act!K4*1000)</f>
        <v>104.75648727401135</v>
      </c>
      <c r="L32" s="14">
        <f>IF(L6=0,0,L6/TrAvia_act!L4*1000)</f>
        <v>105.7546308119928</v>
      </c>
      <c r="M32" s="14">
        <f>IF(M6=0,0,M6/TrAvia_act!M4*1000)</f>
        <v>105.03661610588973</v>
      </c>
      <c r="N32" s="14">
        <f>IF(N6=0,0,N6/TrAvia_act!N4*1000)</f>
        <v>114.26258224162596</v>
      </c>
      <c r="O32" s="14">
        <f>IF(O6=0,0,O6/TrAvia_act!O4*1000)</f>
        <v>114.40515666079655</v>
      </c>
      <c r="P32" s="14">
        <f>IF(P6=0,0,P6/TrAvia_act!P4*1000)</f>
        <v>105.85522961573896</v>
      </c>
      <c r="Q32" s="14">
        <f>IF(Q6=0,0,Q6/TrAvia_act!Q4*1000)</f>
        <v>100.68122008594003</v>
      </c>
      <c r="R32" s="14">
        <f>IF(R6=0,0,R6/TrAvia_act!R4*1000)</f>
        <v>110.98495753604581</v>
      </c>
      <c r="S32" s="14">
        <f>IF(S6=0,0,S6/TrAvia_act!S4*1000)</f>
        <v>111.43650073205342</v>
      </c>
      <c r="T32" s="14">
        <f>IF(T6=0,0,T6/TrAvia_act!T4*1000)</f>
        <v>104.91967686670216</v>
      </c>
      <c r="U32" s="14">
        <f>IF(U6=0,0,U6/TrAvia_act!U4*1000)</f>
        <v>97.627478376802401</v>
      </c>
      <c r="V32" s="14">
        <f>IF(V6=0,0,V6/TrAvia_act!V4*1000)</f>
        <v>137.30382883955576</v>
      </c>
      <c r="W32" s="14">
        <f>IF(W6=0,0,W6/TrAvia_act!W4*1000)</f>
        <v>139.05878329109274</v>
      </c>
      <c r="X32" s="14">
        <f>IF(X6=0,0,X6/TrAvia_act!X4*1000)</f>
        <v>82.235849074335945</v>
      </c>
      <c r="Y32" s="14">
        <f>IF(Y6=0,0,Y6/TrAvia_act!Y4*1000)</f>
        <v>78.893542275307851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194.48622517474169</v>
      </c>
      <c r="C34" s="87">
        <f>IF(C8=0,0,C8/TrAvia_act!C6*1000)</f>
        <v>189.04852153603034</v>
      </c>
      <c r="D34" s="87">
        <f>IF(D8=0,0,D8/TrAvia_act!D6*1000)</f>
        <v>185.84857471993891</v>
      </c>
      <c r="E34" s="87">
        <f>IF(E8=0,0,E8/TrAvia_act!E6*1000)</f>
        <v>185.81970954245841</v>
      </c>
      <c r="F34" s="87">
        <f>IF(F8=0,0,F8/TrAvia_act!F6*1000)</f>
        <v>185.22727773113661</v>
      </c>
      <c r="G34" s="87">
        <f>IF(G8=0,0,G8/TrAvia_act!G6*1000)</f>
        <v>119.82298260426317</v>
      </c>
      <c r="H34" s="87">
        <f>IF(H8=0,0,H8/TrAvia_act!H6*1000)</f>
        <v>111.84301564077673</v>
      </c>
      <c r="I34" s="87">
        <f>IF(I8=0,0,I8/TrAvia_act!I6*1000)</f>
        <v>119.24011112497978</v>
      </c>
      <c r="J34" s="87">
        <f>IF(J8=0,0,J8/TrAvia_act!J6*1000)</f>
        <v>134.71035693165331</v>
      </c>
      <c r="K34" s="87">
        <f>IF(K8=0,0,K8/TrAvia_act!K6*1000)</f>
        <v>136.33529468550825</v>
      </c>
      <c r="L34" s="87">
        <f>IF(L8=0,0,L8/TrAvia_act!L6*1000)</f>
        <v>136.46969523075185</v>
      </c>
      <c r="M34" s="87">
        <f>IF(M8=0,0,M8/TrAvia_act!M6*1000)</f>
        <v>133.10888512728468</v>
      </c>
      <c r="N34" s="87">
        <f>IF(N8=0,0,N8/TrAvia_act!N6*1000)</f>
        <v>144.58631983232956</v>
      </c>
      <c r="O34" s="87">
        <f>IF(O8=0,0,O8/TrAvia_act!O6*1000)</f>
        <v>147.20809548709286</v>
      </c>
      <c r="P34" s="87">
        <f>IF(P8=0,0,P8/TrAvia_act!P6*1000)</f>
        <v>128.94445098383244</v>
      </c>
      <c r="Q34" s="87">
        <f>IF(Q8=0,0,Q8/TrAvia_act!Q6*1000)</f>
        <v>117.99188070188755</v>
      </c>
      <c r="R34" s="87">
        <f>IF(R8=0,0,R8/TrAvia_act!R6*1000)</f>
        <v>131.67613582372576</v>
      </c>
      <c r="S34" s="87">
        <f>IF(S8=0,0,S8/TrAvia_act!S6*1000)</f>
        <v>133.88487759479287</v>
      </c>
      <c r="T34" s="87">
        <f>IF(T8=0,0,T8/TrAvia_act!T6*1000)</f>
        <v>127.61567807896634</v>
      </c>
      <c r="U34" s="87">
        <f>IF(U8=0,0,U8/TrAvia_act!U6*1000)</f>
        <v>121.94052012498122</v>
      </c>
      <c r="V34" s="87">
        <f>IF(V8=0,0,V8/TrAvia_act!V6*1000)</f>
        <v>148.91567252689157</v>
      </c>
      <c r="W34" s="87">
        <f>IF(W8=0,0,W8/TrAvia_act!W6*1000)</f>
        <v>162.73307306599187</v>
      </c>
      <c r="X34" s="87">
        <f>IF(X8=0,0,X8/TrAvia_act!X6*1000)</f>
        <v>93.790171137900543</v>
      </c>
      <c r="Y34" s="87">
        <f>IF(Y8=0,0,Y8/TrAvia_act!Y6*1000)</f>
        <v>94.279569365079837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74.862805481349369</v>
      </c>
      <c r="C35" s="87">
        <f>IF(C9=0,0,C9/TrAvia_act!C7*1000)</f>
        <v>73.133452306805012</v>
      </c>
      <c r="D35" s="87">
        <f>IF(D9=0,0,D9/TrAvia_act!D7*1000)</f>
        <v>71.20619293795481</v>
      </c>
      <c r="E35" s="87">
        <f>IF(E9=0,0,E9/TrAvia_act!E7*1000)</f>
        <v>69.525930008313736</v>
      </c>
      <c r="F35" s="87">
        <f>IF(F9=0,0,F9/TrAvia_act!F7*1000)</f>
        <v>67.906465760112667</v>
      </c>
      <c r="G35" s="87">
        <f>IF(G9=0,0,G9/TrAvia_act!G7*1000)</f>
        <v>36.617593992860719</v>
      </c>
      <c r="H35" s="87">
        <f>IF(H9=0,0,H9/TrAvia_act!H7*1000)</f>
        <v>28.713851298722052</v>
      </c>
      <c r="I35" s="87">
        <f>IF(I9=0,0,I9/TrAvia_act!I7*1000)</f>
        <v>22.985330719822926</v>
      </c>
      <c r="J35" s="87">
        <f>IF(J9=0,0,J9/TrAvia_act!J7*1000)</f>
        <v>24.14465457660086</v>
      </c>
      <c r="K35" s="87">
        <f>IF(K9=0,0,K9/TrAvia_act!K7*1000)</f>
        <v>31.454367438123992</v>
      </c>
      <c r="L35" s="87">
        <f>IF(L9=0,0,L9/TrAvia_act!L7*1000)</f>
        <v>30.3214942247529</v>
      </c>
      <c r="M35" s="87">
        <f>IF(M9=0,0,M9/TrAvia_act!M7*1000)</f>
        <v>31.593204744639372</v>
      </c>
      <c r="N35" s="87">
        <f>IF(N9=0,0,N9/TrAvia_act!N7*1000)</f>
        <v>35.807261648227851</v>
      </c>
      <c r="O35" s="87">
        <f>IF(O9=0,0,O9/TrAvia_act!O7*1000)</f>
        <v>33.861042932678423</v>
      </c>
      <c r="P35" s="87">
        <f>IF(P9=0,0,P9/TrAvia_act!P7*1000)</f>
        <v>36.297654331030408</v>
      </c>
      <c r="Q35" s="87">
        <f>IF(Q9=0,0,Q9/TrAvia_act!Q7*1000)</f>
        <v>37.699028426800666</v>
      </c>
      <c r="R35" s="87">
        <f>IF(R9=0,0,R9/TrAvia_act!R7*1000)</f>
        <v>38.647915859506391</v>
      </c>
      <c r="S35" s="87">
        <f>IF(S9=0,0,S9/TrAvia_act!S7*1000)</f>
        <v>35.635529880279357</v>
      </c>
      <c r="T35" s="87">
        <f>IF(T9=0,0,T9/TrAvia_act!T7*1000)</f>
        <v>31.670903419150701</v>
      </c>
      <c r="U35" s="87">
        <f>IF(U9=0,0,U9/TrAvia_act!U7*1000)</f>
        <v>27.320452500258309</v>
      </c>
      <c r="V35" s="87">
        <f>IF(V9=0,0,V9/TrAvia_act!V7*1000)</f>
        <v>84.326579891536639</v>
      </c>
      <c r="W35" s="87">
        <f>IF(W9=0,0,W9/TrAvia_act!W7*1000)</f>
        <v>59.537665631920348</v>
      </c>
      <c r="X35" s="87">
        <f>IF(X9=0,0,X9/TrAvia_act!X7*1000)</f>
        <v>32.765961530429365</v>
      </c>
      <c r="Y35" s="87">
        <f>IF(Y9=0,0,Y9/TrAvia_act!Y7*1000)</f>
        <v>26.800673166377717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259.00127837759101</v>
      </c>
      <c r="C36" s="15">
        <f>IF(C10=0,0,C10/TrAvia_act!C8*1000)</f>
        <v>219.21947033009272</v>
      </c>
      <c r="D36" s="15">
        <f>IF(D10=0,0,D10/TrAvia_act!D8*1000)</f>
        <v>234.71940454172596</v>
      </c>
      <c r="E36" s="15">
        <f>IF(E10=0,0,E10/TrAvia_act!E8*1000)</f>
        <v>233.198845536184</v>
      </c>
      <c r="F36" s="15">
        <f>IF(F10=0,0,F10/TrAvia_act!F8*1000)</f>
        <v>251.3102127125959</v>
      </c>
      <c r="G36" s="15">
        <f>IF(G10=0,0,G10/TrAvia_act!G8*1000)</f>
        <v>216.31900721492781</v>
      </c>
      <c r="H36" s="15">
        <f>IF(H10=0,0,H10/TrAvia_act!H8*1000)</f>
        <v>193.71919462468492</v>
      </c>
      <c r="I36" s="15">
        <f>IF(I10=0,0,I10/TrAvia_act!I8*1000)</f>
        <v>154.82206833189602</v>
      </c>
      <c r="J36" s="15">
        <f>IF(J10=0,0,J10/TrAvia_act!J8*1000)</f>
        <v>174.94967223561162</v>
      </c>
      <c r="K36" s="15">
        <f>IF(K10=0,0,K10/TrAvia_act!K8*1000)</f>
        <v>245.94619619426197</v>
      </c>
      <c r="L36" s="15">
        <f>IF(L10=0,0,L10/TrAvia_act!L8*1000)</f>
        <v>193.49732689312839</v>
      </c>
      <c r="M36" s="15">
        <f>IF(M10=0,0,M10/TrAvia_act!M8*1000)</f>
        <v>191.66981399806897</v>
      </c>
      <c r="N36" s="15">
        <f>IF(N10=0,0,N10/TrAvia_act!N8*1000)</f>
        <v>92.241424629668217</v>
      </c>
      <c r="O36" s="15">
        <f>IF(O10=0,0,O10/TrAvia_act!O8*1000)</f>
        <v>82.709413150156976</v>
      </c>
      <c r="P36" s="15">
        <f>IF(P10=0,0,P10/TrAvia_act!P8*1000)</f>
        <v>80.127615949253723</v>
      </c>
      <c r="Q36" s="15">
        <f>IF(Q10=0,0,Q10/TrAvia_act!Q8*1000)</f>
        <v>122.24435148346275</v>
      </c>
      <c r="R36" s="15">
        <f>IF(R10=0,0,R10/TrAvia_act!R8*1000)</f>
        <v>133.52843503939098</v>
      </c>
      <c r="S36" s="15">
        <f>IF(S10=0,0,S10/TrAvia_act!S8*1000)</f>
        <v>151.3304245611979</v>
      </c>
      <c r="T36" s="15">
        <f>IF(T10=0,0,T10/TrAvia_act!T8*1000)</f>
        <v>165.37775826983912</v>
      </c>
      <c r="U36" s="15">
        <f>IF(U10=0,0,U10/TrAvia_act!U8*1000)</f>
        <v>117.31595908160239</v>
      </c>
      <c r="V36" s="15">
        <f>IF(V10=0,0,V10/TrAvia_act!V8*1000)</f>
        <v>322.85830148054583</v>
      </c>
      <c r="W36" s="15">
        <f>IF(W10=0,0,W10/TrAvia_act!W8*1000)</f>
        <v>395.96954119662672</v>
      </c>
      <c r="X36" s="15">
        <f>IF(X10=0,0,X10/TrAvia_act!X8*1000)</f>
        <v>335.20036079375296</v>
      </c>
      <c r="Y36" s="15">
        <f>IF(Y10=0,0,Y10/TrAvia_act!Y8*1000)</f>
        <v>363.19904862014192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599.86410011524936</v>
      </c>
      <c r="C38" s="101">
        <f>IF(C12=0,0,C12/TrAvia_act!C10*1000)</f>
        <v>563.15352566932359</v>
      </c>
      <c r="D38" s="101">
        <f>IF(D12=0,0,D12/TrAvia_act!D10*1000)</f>
        <v>597.72050664466974</v>
      </c>
      <c r="E38" s="101">
        <f>IF(E12=0,0,E12/TrAvia_act!E10*1000)</f>
        <v>584.44248920582038</v>
      </c>
      <c r="F38" s="101">
        <f>IF(F12=0,0,F12/TrAvia_act!F10*1000)</f>
        <v>645.0540682008334</v>
      </c>
      <c r="G38" s="101">
        <f>IF(G12=0,0,G12/TrAvia_act!G10*1000)</f>
        <v>577.93178833494403</v>
      </c>
      <c r="H38" s="101">
        <f>IF(H12=0,0,H12/TrAvia_act!H10*1000)</f>
        <v>557.71340883531889</v>
      </c>
      <c r="I38" s="101">
        <f>IF(I12=0,0,I12/TrAvia_act!I10*1000)</f>
        <v>528.3941037093158</v>
      </c>
      <c r="J38" s="101">
        <f>IF(J12=0,0,J12/TrAvia_act!J10*1000)</f>
        <v>599.55645479244981</v>
      </c>
      <c r="K38" s="101">
        <f>IF(K12=0,0,K12/TrAvia_act!K10*1000)</f>
        <v>646.92690752343901</v>
      </c>
      <c r="L38" s="101">
        <f>IF(L12=0,0,L12/TrAvia_act!L10*1000)</f>
        <v>537.48957645797543</v>
      </c>
      <c r="M38" s="101">
        <f>IF(M12=0,0,M12/TrAvia_act!M10*1000)</f>
        <v>551.07882063441343</v>
      </c>
      <c r="N38" s="101">
        <f>IF(N12=0,0,N12/TrAvia_act!N10*1000)</f>
        <v>601.73691128657765</v>
      </c>
      <c r="O38" s="101">
        <f>IF(O12=0,0,O12/TrAvia_act!O10*1000)</f>
        <v>613.55244697171736</v>
      </c>
      <c r="P38" s="101">
        <f>IF(P12=0,0,P12/TrAvia_act!P10*1000)</f>
        <v>481.30631644129971</v>
      </c>
      <c r="Q38" s="101">
        <f>IF(Q12=0,0,Q12/TrAvia_act!Q10*1000)</f>
        <v>446.3944267321852</v>
      </c>
      <c r="R38" s="101">
        <f>IF(R12=0,0,R12/TrAvia_act!R10*1000)</f>
        <v>483.42115479262782</v>
      </c>
      <c r="S38" s="101">
        <f>IF(S12=0,0,S12/TrAvia_act!S10*1000)</f>
        <v>579.26970065402872</v>
      </c>
      <c r="T38" s="101">
        <f>IF(T12=0,0,T12/TrAvia_act!T10*1000)</f>
        <v>594.15355080869449</v>
      </c>
      <c r="U38" s="101">
        <f>IF(U12=0,0,U12/TrAvia_act!U10*1000)</f>
        <v>498.9178003693865</v>
      </c>
      <c r="V38" s="101">
        <f>IF(V12=0,0,V12/TrAvia_act!V10*1000)</f>
        <v>559.89067591832361</v>
      </c>
      <c r="W38" s="101">
        <f>IF(W12=0,0,W12/TrAvia_act!W10*1000)</f>
        <v>595.56375119626421</v>
      </c>
      <c r="X38" s="101">
        <f>IF(X12=0,0,X12/TrAvia_act!X10*1000)</f>
        <v>476.82775043796454</v>
      </c>
      <c r="Y38" s="101">
        <f>IF(Y12=0,0,Y12/TrAvia_act!Y10*1000)</f>
        <v>501.50385481847138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50.507933630673143</v>
      </c>
      <c r="C39" s="88">
        <f>IF(C13=0,0,C13/TrAvia_act!C11*1000)</f>
        <v>48.182016871247036</v>
      </c>
      <c r="D39" s="88">
        <f>IF(D13=0,0,D13/TrAvia_act!D11*1000)</f>
        <v>50.941135569128079</v>
      </c>
      <c r="E39" s="88">
        <f>IF(E13=0,0,E13/TrAvia_act!E11*1000)</f>
        <v>56.21035395782512</v>
      </c>
      <c r="F39" s="88">
        <f>IF(F13=0,0,F13/TrAvia_act!F11*1000)</f>
        <v>57.863395620435504</v>
      </c>
      <c r="G39" s="88">
        <f>IF(G13=0,0,G13/TrAvia_act!G11*1000)</f>
        <v>40.327006453138175</v>
      </c>
      <c r="H39" s="88">
        <f>IF(H13=0,0,H13/TrAvia_act!H11*1000)</f>
        <v>36.838243038412671</v>
      </c>
      <c r="I39" s="88">
        <f>IF(I13=0,0,I13/TrAvia_act!I11*1000)</f>
        <v>39.927243701429056</v>
      </c>
      <c r="J39" s="88">
        <f>IF(J13=0,0,J13/TrAvia_act!J11*1000)</f>
        <v>52.719587292333273</v>
      </c>
      <c r="K39" s="88">
        <f>IF(K13=0,0,K13/TrAvia_act!K11*1000)</f>
        <v>60.709076113499329</v>
      </c>
      <c r="L39" s="88">
        <f>IF(L13=0,0,L13/TrAvia_act!L11*1000)</f>
        <v>59.059162779157454</v>
      </c>
      <c r="M39" s="88">
        <f>IF(M13=0,0,M13/TrAvia_act!M11*1000)</f>
        <v>63.574035216978906</v>
      </c>
      <c r="N39" s="88">
        <f>IF(N13=0,0,N13/TrAvia_act!N11*1000)</f>
        <v>69.736121041313879</v>
      </c>
      <c r="O39" s="88">
        <f>IF(O13=0,0,O13/TrAvia_act!O11*1000)</f>
        <v>66.470956054040272</v>
      </c>
      <c r="P39" s="88">
        <f>IF(P13=0,0,P13/TrAvia_act!P11*1000)</f>
        <v>53.522774590746359</v>
      </c>
      <c r="Q39" s="88">
        <f>IF(Q13=0,0,Q13/TrAvia_act!Q11*1000)</f>
        <v>52.881802523846524</v>
      </c>
      <c r="R39" s="88">
        <f>IF(R13=0,0,R13/TrAvia_act!R11*1000)</f>
        <v>45.900945194634431</v>
      </c>
      <c r="S39" s="88">
        <f>IF(S13=0,0,S13/TrAvia_act!S11*1000)</f>
        <v>43.258957570378683</v>
      </c>
      <c r="T39" s="88">
        <f>IF(T13=0,0,T13/TrAvia_act!T11*1000)</f>
        <v>39.358852493784362</v>
      </c>
      <c r="U39" s="88">
        <f>IF(U13=0,0,U13/TrAvia_act!U11*1000)</f>
        <v>45.279197659723771</v>
      </c>
      <c r="V39" s="88">
        <f>IF(V13=0,0,V13/TrAvia_act!V11*1000)</f>
        <v>124.99184401514189</v>
      </c>
      <c r="W39" s="88">
        <f>IF(W13=0,0,W13/TrAvia_act!W11*1000)</f>
        <v>82.712080454236116</v>
      </c>
      <c r="X39" s="88">
        <f>IF(X13=0,0,X13/TrAvia_act!X11*1000)</f>
        <v>84.779617335096532</v>
      </c>
      <c r="Y39" s="88">
        <f>IF(Y13=0,0,Y13/TrAvia_act!Y11*1000)</f>
        <v>61.68523109002907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12453.057825751735</v>
      </c>
      <c r="C41" s="54">
        <f>IF(C3=0,0,C3/TrAvia_act!C23*1000000)</f>
        <v>12447.299630086311</v>
      </c>
      <c r="D41" s="54">
        <f>IF(D3=0,0,D3/TrAvia_act!D23*1000000)</f>
        <v>12424.320000000005</v>
      </c>
      <c r="E41" s="54">
        <f>IF(E3=0,0,E3/TrAvia_act!E23*1000000)</f>
        <v>12461.696464054308</v>
      </c>
      <c r="F41" s="54">
        <f>IF(F3=0,0,F3/TrAvia_act!F23*1000000)</f>
        <v>12451.579094397544</v>
      </c>
      <c r="G41" s="54">
        <f>IF(G3=0,0,G3/TrAvia_act!G23*1000000)</f>
        <v>11612.292243934426</v>
      </c>
      <c r="H41" s="54">
        <f>IF(H3=0,0,H3/TrAvia_act!H23*1000000)</f>
        <v>11152.972488220779</v>
      </c>
      <c r="I41" s="54">
        <f>IF(I3=0,0,I3/TrAvia_act!I23*1000000)</f>
        <v>11220.039275858877</v>
      </c>
      <c r="J41" s="54">
        <f>IF(J3=0,0,J3/TrAvia_act!J23*1000000)</f>
        <v>11135.903803241179</v>
      </c>
      <c r="K41" s="54">
        <f>IF(K3=0,0,K3/TrAvia_act!K23*1000000)</f>
        <v>10615.852724950821</v>
      </c>
      <c r="L41" s="54">
        <f>IF(L3=0,0,L3/TrAvia_act!L23*1000000)</f>
        <v>10598.969723485752</v>
      </c>
      <c r="M41" s="54">
        <f>IF(M3=0,0,M3/TrAvia_act!M23*1000000)</f>
        <v>10056.080984667802</v>
      </c>
      <c r="N41" s="54">
        <f>IF(N3=0,0,N3/TrAvia_act!N23*1000000)</f>
        <v>10967.301162169631</v>
      </c>
      <c r="O41" s="54">
        <f>IF(O3=0,0,O3/TrAvia_act!O23*1000000)</f>
        <v>11603.452264139096</v>
      </c>
      <c r="P41" s="54">
        <f>IF(P3=0,0,P3/TrAvia_act!P23*1000000)</f>
        <v>10626.672441432718</v>
      </c>
      <c r="Q41" s="54">
        <f>IF(Q3=0,0,Q3/TrAvia_act!Q23*1000000)</f>
        <v>10141.46656497175</v>
      </c>
      <c r="R41" s="54">
        <f>IF(R3=0,0,R3/TrAvia_act!R23*1000000)</f>
        <v>11725.632605137964</v>
      </c>
      <c r="S41" s="54">
        <f>IF(S3=0,0,S3/TrAvia_act!S23*1000000)</f>
        <v>12156.336991140221</v>
      </c>
      <c r="T41" s="54">
        <f>IF(T3=0,0,T3/TrAvia_act!T23*1000000)</f>
        <v>11799.657742768733</v>
      </c>
      <c r="U41" s="54">
        <f>IF(U3=0,0,U3/TrAvia_act!U23*1000000)</f>
        <v>11575.107088235294</v>
      </c>
      <c r="V41" s="54">
        <f>IF(V3=0,0,V3/TrAvia_act!V23*1000000)</f>
        <v>13052.950737784413</v>
      </c>
      <c r="W41" s="54">
        <f>IF(W3=0,0,W3/TrAvia_act!W23*1000000)</f>
        <v>15826.309088709679</v>
      </c>
      <c r="X41" s="54">
        <f>IF(X3=0,0,X3/TrAvia_act!X23*1000000)</f>
        <v>12864.362619009198</v>
      </c>
      <c r="Y41" s="54">
        <f>IF(Y3=0,0,Y3/TrAvia_act!Y23*1000000)</f>
        <v>14104.00549323017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12464.013629339464</v>
      </c>
      <c r="C42" s="11">
        <f>IF(C6=0,0,C6/TrAvia_act!C24*1000000)</f>
        <v>12459.076864298286</v>
      </c>
      <c r="D42" s="11">
        <f>IF(D6=0,0,D6/TrAvia_act!D24*1000000)</f>
        <v>12437.159859280977</v>
      </c>
      <c r="E42" s="11">
        <f>IF(E6=0,0,E6/TrAvia_act!E24*1000000)</f>
        <v>12469.955210619559</v>
      </c>
      <c r="F42" s="11">
        <f>IF(F6=0,0,F6/TrAvia_act!F24*1000000)</f>
        <v>12459.664334272449</v>
      </c>
      <c r="G42" s="11">
        <f>IF(G6=0,0,G6/TrAvia_act!G24*1000000)</f>
        <v>11616.727577754078</v>
      </c>
      <c r="H42" s="11">
        <f>IF(H6=0,0,H6/TrAvia_act!H24*1000000)</f>
        <v>11160.278925419885</v>
      </c>
      <c r="I42" s="11">
        <f>IF(I6=0,0,I6/TrAvia_act!I24*1000000)</f>
        <v>11223.312534509094</v>
      </c>
      <c r="J42" s="11">
        <f>IF(J6=0,0,J6/TrAvia_act!J24*1000000)</f>
        <v>11126.084157325598</v>
      </c>
      <c r="K42" s="11">
        <f>IF(K6=0,0,K6/TrAvia_act!K24*1000000)</f>
        <v>10584.664307114706</v>
      </c>
      <c r="L42" s="11">
        <f>IF(L6=0,0,L6/TrAvia_act!L24*1000000)</f>
        <v>10566.443385518391</v>
      </c>
      <c r="M42" s="11">
        <f>IF(M6=0,0,M6/TrAvia_act!M24*1000000)</f>
        <v>10022.414876754918</v>
      </c>
      <c r="N42" s="11">
        <f>IF(N6=0,0,N6/TrAvia_act!N24*1000000)</f>
        <v>10790.923401529544</v>
      </c>
      <c r="O42" s="11">
        <f>IF(O6=0,0,O6/TrAvia_act!O24*1000000)</f>
        <v>11369.093905671903</v>
      </c>
      <c r="P42" s="11">
        <f>IF(P6=0,0,P6/TrAvia_act!P24*1000000)</f>
        <v>10533.33624112424</v>
      </c>
      <c r="Q42" s="11">
        <f>IF(Q6=0,0,Q6/TrAvia_act!Q24*1000000)</f>
        <v>10120.177495980101</v>
      </c>
      <c r="R42" s="11">
        <f>IF(R6=0,0,R6/TrAvia_act!R24*1000000)</f>
        <v>11725.087029746734</v>
      </c>
      <c r="S42" s="11">
        <f>IF(S6=0,0,S6/TrAvia_act!S24*1000000)</f>
        <v>12166.738563085944</v>
      </c>
      <c r="T42" s="11">
        <f>IF(T6=0,0,T6/TrAvia_act!T24*1000000)</f>
        <v>11813.939636790825</v>
      </c>
      <c r="U42" s="11">
        <f>IF(U6=0,0,U6/TrAvia_act!U24*1000000)</f>
        <v>11558.227642516254</v>
      </c>
      <c r="V42" s="11">
        <f>IF(V6=0,0,V6/TrAvia_act!V24*1000000)</f>
        <v>13135.577051215805</v>
      </c>
      <c r="W42" s="11">
        <f>IF(W6=0,0,W6/TrAvia_act!W24*1000000)</f>
        <v>16035.356025031246</v>
      </c>
      <c r="X42" s="11">
        <f>IF(X6=0,0,X6/TrAvia_act!X24*1000000)</f>
        <v>12961.79767067817</v>
      </c>
      <c r="Y42" s="11">
        <f>IF(Y6=0,0,Y6/TrAvia_act!Y24*1000000)</f>
        <v>14205.539816402579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12384.297798333613</v>
      </c>
      <c r="C44" s="84">
        <f>IF(C8=0,0,C8/TrAvia_act!C26*1000000)</f>
        <v>12379.254053486658</v>
      </c>
      <c r="D44" s="84">
        <f>IF(D8=0,0,D8/TrAvia_act!D26*1000000)</f>
        <v>12357.462891100276</v>
      </c>
      <c r="E44" s="84">
        <f>IF(E8=0,0,E8/TrAvia_act!E26*1000000)</f>
        <v>12390.083755904947</v>
      </c>
      <c r="F44" s="84">
        <f>IF(F8=0,0,F8/TrAvia_act!F26*1000000)</f>
        <v>12379.899317660122</v>
      </c>
      <c r="G44" s="84">
        <f>IF(G8=0,0,G8/TrAvia_act!G26*1000000)</f>
        <v>11984.427452342681</v>
      </c>
      <c r="H44" s="84">
        <f>IF(H8=0,0,H8/TrAvia_act!H26*1000000)</f>
        <v>12124.808160860593</v>
      </c>
      <c r="I44" s="84">
        <f>IF(I8=0,0,I8/TrAvia_act!I26*1000000)</f>
        <v>12571.970337039838</v>
      </c>
      <c r="J44" s="84">
        <f>IF(J8=0,0,J8/TrAvia_act!J26*1000000)</f>
        <v>12388.547825107316</v>
      </c>
      <c r="K44" s="84">
        <f>IF(K8=0,0,K8/TrAvia_act!K26*1000000)</f>
        <v>11647.030995282277</v>
      </c>
      <c r="L44" s="84">
        <f>IF(L8=0,0,L8/TrAvia_act!L26*1000000)</f>
        <v>11896.341539168354</v>
      </c>
      <c r="M44" s="84">
        <f>IF(M8=0,0,M8/TrAvia_act!M26*1000000)</f>
        <v>11374.214850974115</v>
      </c>
      <c r="N44" s="84">
        <f>IF(N8=0,0,N8/TrAvia_act!N26*1000000)</f>
        <v>12384.985527511153</v>
      </c>
      <c r="O44" s="84">
        <f>IF(O8=0,0,O8/TrAvia_act!O26*1000000)</f>
        <v>13376.764687613953</v>
      </c>
      <c r="P44" s="84">
        <f>IF(P8=0,0,P8/TrAvia_act!P26*1000000)</f>
        <v>12266.138389994987</v>
      </c>
      <c r="Q44" s="84">
        <f>IF(Q8=0,0,Q8/TrAvia_act!Q26*1000000)</f>
        <v>11430.01647739018</v>
      </c>
      <c r="R44" s="84">
        <f>IF(R8=0,0,R8/TrAvia_act!R26*1000000)</f>
        <v>13697.906698036712</v>
      </c>
      <c r="S44" s="84">
        <f>IF(S8=0,0,S8/TrAvia_act!S26*1000000)</f>
        <v>14376.72571816436</v>
      </c>
      <c r="T44" s="84">
        <f>IF(T8=0,0,T8/TrAvia_act!T26*1000000)</f>
        <v>14212.738142210426</v>
      </c>
      <c r="U44" s="84">
        <f>IF(U8=0,0,U8/TrAvia_act!U26*1000000)</f>
        <v>14255.005452898331</v>
      </c>
      <c r="V44" s="84">
        <f>IF(V8=0,0,V8/TrAvia_act!V26*1000000)</f>
        <v>13487.420422614081</v>
      </c>
      <c r="W44" s="84">
        <f>IF(W8=0,0,W8/TrAvia_act!W26*1000000)</f>
        <v>16735.874905094399</v>
      </c>
      <c r="X44" s="84">
        <f>IF(X8=0,0,X8/TrAvia_act!X26*1000000)</f>
        <v>12974.403627975107</v>
      </c>
      <c r="Y44" s="84">
        <f>IF(Y8=0,0,Y8/TrAvia_act!Y26*1000000)</f>
        <v>14393.220762856366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13057.686791830392</v>
      </c>
      <c r="C45" s="84">
        <f>IF(C9=0,0,C9/TrAvia_act!C27*1000000)</f>
        <v>13053.290035451855</v>
      </c>
      <c r="D45" s="84">
        <f>IF(D9=0,0,D9/TrAvia_act!D27*1000000)</f>
        <v>13030.403536459193</v>
      </c>
      <c r="E45" s="84">
        <f>IF(E9=0,0,E9/TrAvia_act!E27*1000000)</f>
        <v>13064.452970143084</v>
      </c>
      <c r="F45" s="84">
        <f>IF(F9=0,0,F9/TrAvia_act!F27*1000000)</f>
        <v>13052.963574418576</v>
      </c>
      <c r="G45" s="84">
        <f>IF(G9=0,0,G9/TrAvia_act!G27*1000000)</f>
        <v>9248.1696920814211</v>
      </c>
      <c r="H45" s="84">
        <f>IF(H9=0,0,H9/TrAvia_act!H27*1000000)</f>
        <v>6238.2892272391573</v>
      </c>
      <c r="I45" s="84">
        <f>IF(I9=0,0,I9/TrAvia_act!I27*1000000)</f>
        <v>5294.3649768105388</v>
      </c>
      <c r="J45" s="84">
        <f>IF(J9=0,0,J9/TrAvia_act!J27*1000000)</f>
        <v>5456.416654772027</v>
      </c>
      <c r="K45" s="84">
        <f>IF(K9=0,0,K9/TrAvia_act!K27*1000000)</f>
        <v>5519.4174818106339</v>
      </c>
      <c r="L45" s="84">
        <f>IF(L9=0,0,L9/TrAvia_act!L27*1000000)</f>
        <v>4726.3054598019689</v>
      </c>
      <c r="M45" s="84">
        <f>IF(M9=0,0,M9/TrAvia_act!M27*1000000)</f>
        <v>4338.6601570018638</v>
      </c>
      <c r="N45" s="84">
        <f>IF(N9=0,0,N9/TrAvia_act!N27*1000000)</f>
        <v>4602.3828065502839</v>
      </c>
      <c r="O45" s="84">
        <f>IF(O9=0,0,O9/TrAvia_act!O27*1000000)</f>
        <v>4369.1733945338947</v>
      </c>
      <c r="P45" s="84">
        <f>IF(P9=0,0,P9/TrAvia_act!P27*1000000)</f>
        <v>4193.5059936962243</v>
      </c>
      <c r="Q45" s="84">
        <f>IF(Q9=0,0,Q9/TrAvia_act!Q27*1000000)</f>
        <v>4390.6090274250155</v>
      </c>
      <c r="R45" s="84">
        <f>IF(R9=0,0,R9/TrAvia_act!R27*1000000)</f>
        <v>4317.8436607542817</v>
      </c>
      <c r="S45" s="84">
        <f>IF(S9=0,0,S9/TrAvia_act!S27*1000000)</f>
        <v>4124.1092522426134</v>
      </c>
      <c r="T45" s="84">
        <f>IF(T9=0,0,T9/TrAvia_act!T27*1000000)</f>
        <v>3697.773595332606</v>
      </c>
      <c r="U45" s="84">
        <f>IF(U9=0,0,U9/TrAvia_act!U27*1000000)</f>
        <v>3358.2625110581084</v>
      </c>
      <c r="V45" s="84">
        <f>IF(V9=0,0,V9/TrAvia_act!V27*1000000)</f>
        <v>10854.26349984228</v>
      </c>
      <c r="W45" s="84">
        <f>IF(W9=0,0,W9/TrAvia_act!W27*1000000)</f>
        <v>11583.798740617651</v>
      </c>
      <c r="X45" s="84">
        <f>IF(X9=0,0,X9/TrAvia_act!X27*1000000)</f>
        <v>12809.271723329843</v>
      </c>
      <c r="Y45" s="84">
        <f>IF(Y9=0,0,Y9/TrAvia_act!Y27*1000000)</f>
        <v>12295.92005007889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11370.961532933201</v>
      </c>
      <c r="C46" s="13">
        <f>IF(C10=0,0,C10/TrAvia_act!C28*1000000)</f>
        <v>11226.64629063243</v>
      </c>
      <c r="D46" s="13">
        <f>IF(D10=0,0,D10/TrAvia_act!D28*1000000)</f>
        <v>11216.469012146194</v>
      </c>
      <c r="E46" s="13">
        <f>IF(E10=0,0,E10/TrAvia_act!E28*1000000)</f>
        <v>11215.270947276789</v>
      </c>
      <c r="F46" s="13">
        <f>IF(F10=0,0,F10/TrAvia_act!F28*1000000)</f>
        <v>11178.372334096755</v>
      </c>
      <c r="G46" s="13">
        <f>IF(G10=0,0,G10/TrAvia_act!G28*1000000)</f>
        <v>10933.506964120979</v>
      </c>
      <c r="H46" s="13">
        <f>IF(H10=0,0,H10/TrAvia_act!H28*1000000)</f>
        <v>9986.7729579815696</v>
      </c>
      <c r="I46" s="13">
        <f>IF(I10=0,0,I10/TrAvia_act!I28*1000000)</f>
        <v>10550.018817105534</v>
      </c>
      <c r="J46" s="13">
        <f>IF(J10=0,0,J10/TrAvia_act!J28*1000000)</f>
        <v>13254.350389855666</v>
      </c>
      <c r="K46" s="13">
        <f>IF(K10=0,0,K10/TrAvia_act!K28*1000000)</f>
        <v>15171.5781648088</v>
      </c>
      <c r="L46" s="13">
        <f>IF(L10=0,0,L10/TrAvia_act!L28*1000000)</f>
        <v>14949.105117443363</v>
      </c>
      <c r="M46" s="13">
        <f>IF(M10=0,0,M10/TrAvia_act!M28*1000000)</f>
        <v>14962.916212970782</v>
      </c>
      <c r="N46" s="13">
        <f>IF(N10=0,0,N10/TrAvia_act!N28*1000000)</f>
        <v>22613.677122459812</v>
      </c>
      <c r="O46" s="13">
        <f>IF(O10=0,0,O10/TrAvia_act!O28*1000000)</f>
        <v>21298.7827587061</v>
      </c>
      <c r="P46" s="13">
        <f>IF(P10=0,0,P10/TrAvia_act!P28*1000000)</f>
        <v>16074.502615759826</v>
      </c>
      <c r="Q46" s="13">
        <f>IF(Q10=0,0,Q10/TrAvia_act!Q28*1000000)</f>
        <v>12115.088490315447</v>
      </c>
      <c r="R46" s="13">
        <f>IF(R10=0,0,R10/TrAvia_act!R28*1000000)</f>
        <v>11777.214278490643</v>
      </c>
      <c r="S46" s="13">
        <f>IF(S10=0,0,S10/TrAvia_act!S28*1000000)</f>
        <v>11254.270539057345</v>
      </c>
      <c r="T46" s="13">
        <f>IF(T10=0,0,T10/TrAvia_act!T28*1000000)</f>
        <v>10503.056213884985</v>
      </c>
      <c r="U46" s="13">
        <f>IF(U10=0,0,U10/TrAvia_act!U28*1000000)</f>
        <v>13102.356309190598</v>
      </c>
      <c r="V46" s="13">
        <f>IF(V10=0,0,V10/TrAvia_act!V28*1000000)</f>
        <v>10352.648077477575</v>
      </c>
      <c r="W46" s="13">
        <f>IF(W10=0,0,W10/TrAvia_act!W28*1000000)</f>
        <v>9924.1214229390825</v>
      </c>
      <c r="X46" s="13">
        <f>IF(X10=0,0,X10/TrAvia_act!X28*1000000)</f>
        <v>8702.1502971852969</v>
      </c>
      <c r="Y46" s="13">
        <f>IF(Y10=0,0,Y10/TrAvia_act!Y28*1000000)</f>
        <v>9095.5779059469041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11201.384628806378</v>
      </c>
      <c r="C48" s="102">
        <f>IF(C12=0,0,C12/TrAvia_act!C30*1000000)</f>
        <v>10997.745682817384</v>
      </c>
      <c r="D48" s="102">
        <f>IF(D12=0,0,D12/TrAvia_act!D30*1000000)</f>
        <v>10993.956560889221</v>
      </c>
      <c r="E48" s="102">
        <f>IF(E12=0,0,E12/TrAvia_act!E30*1000000)</f>
        <v>10958.791141334308</v>
      </c>
      <c r="F48" s="102">
        <f>IF(F12=0,0,F12/TrAvia_act!F30*1000000)</f>
        <v>10929.460827823645</v>
      </c>
      <c r="G48" s="102">
        <f>IF(G12=0,0,G12/TrAvia_act!G30*1000000)</f>
        <v>11270.082671167724</v>
      </c>
      <c r="H48" s="102">
        <f>IF(H12=0,0,H12/TrAvia_act!H30*1000000)</f>
        <v>10225.752955566053</v>
      </c>
      <c r="I48" s="102">
        <f>IF(I12=0,0,I12/TrAvia_act!I30*1000000)</f>
        <v>10586.531817414419</v>
      </c>
      <c r="J48" s="102">
        <f>IF(J12=0,0,J12/TrAvia_act!J30*1000000)</f>
        <v>12797.049832548475</v>
      </c>
      <c r="K48" s="102">
        <f>IF(K12=0,0,K12/TrAvia_act!K30*1000000)</f>
        <v>14442.841289331434</v>
      </c>
      <c r="L48" s="102">
        <f>IF(L12=0,0,L12/TrAvia_act!L30*1000000)</f>
        <v>13779.912241708844</v>
      </c>
      <c r="M48" s="102">
        <f>IF(M12=0,0,M12/TrAvia_act!M30*1000000)</f>
        <v>13430.495957555693</v>
      </c>
      <c r="N48" s="102">
        <f>IF(N12=0,0,N12/TrAvia_act!N30*1000000)</f>
        <v>15240.795258479782</v>
      </c>
      <c r="O48" s="102">
        <f>IF(O12=0,0,O12/TrAvia_act!O30*1000000)</f>
        <v>14394.481757030351</v>
      </c>
      <c r="P48" s="102">
        <f>IF(P12=0,0,P12/TrAvia_act!P30*1000000)</f>
        <v>12340.997708372812</v>
      </c>
      <c r="Q48" s="102">
        <f>IF(Q12=0,0,Q12/TrAvia_act!Q30*1000000)</f>
        <v>10479.51839378321</v>
      </c>
      <c r="R48" s="102">
        <f>IF(R12=0,0,R12/TrAvia_act!R30*1000000)</f>
        <v>11227.341698230828</v>
      </c>
      <c r="S48" s="102">
        <f>IF(S12=0,0,S12/TrAvia_act!S30*1000000)</f>
        <v>11513.047521879635</v>
      </c>
      <c r="T48" s="102">
        <f>IF(T12=0,0,T12/TrAvia_act!T30*1000000)</f>
        <v>11518.369999864784</v>
      </c>
      <c r="U48" s="102">
        <f>IF(U12=0,0,U12/TrAvia_act!U30*1000000)</f>
        <v>11275.408871278118</v>
      </c>
      <c r="V48" s="102">
        <f>IF(V12=0,0,V12/TrAvia_act!V30*1000000)</f>
        <v>10486.922147626066</v>
      </c>
      <c r="W48" s="102">
        <f>IF(W12=0,0,W12/TrAvia_act!W30*1000000)</f>
        <v>10547.10573868163</v>
      </c>
      <c r="X48" s="102">
        <f>IF(X12=0,0,X12/TrAvia_act!X30*1000000)</f>
        <v>8211.1682598530606</v>
      </c>
      <c r="Y48" s="102">
        <f>IF(Y12=0,0,Y12/TrAvia_act!Y30*1000000)</f>
        <v>8876.9007651473203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12776.027309984016</v>
      </c>
      <c r="C49" s="86">
        <f>IF(C13=0,0,C13/TrAvia_act!C31*1000000)</f>
        <v>12771.725393384006</v>
      </c>
      <c r="D49" s="86">
        <f>IF(D13=0,0,D13/TrAvia_act!D31*1000000)</f>
        <v>12749.332565249766</v>
      </c>
      <c r="E49" s="86">
        <f>IF(E13=0,0,E13/TrAvia_act!E31*1000000)</f>
        <v>12782.647539147514</v>
      </c>
      <c r="F49" s="86">
        <f>IF(F13=0,0,F13/TrAvia_act!F31*1000000)</f>
        <v>12771.405974244663</v>
      </c>
      <c r="G49" s="86">
        <f>IF(G13=0,0,G13/TrAvia_act!G31*1000000)</f>
        <v>9048.6830046592149</v>
      </c>
      <c r="H49" s="86">
        <f>IF(H13=0,0,H13/TrAvia_act!H31*1000000)</f>
        <v>8665.3541478085444</v>
      </c>
      <c r="I49" s="86">
        <f>IF(I13=0,0,I13/TrAvia_act!I31*1000000)</f>
        <v>10403.96681586999</v>
      </c>
      <c r="J49" s="86">
        <f>IF(J13=0,0,J13/TrAvia_act!J31*1000000)</f>
        <v>15010.38452991528</v>
      </c>
      <c r="K49" s="86">
        <f>IF(K13=0,0,K13/TrAvia_act!K31*1000000)</f>
        <v>20185.28786809307</v>
      </c>
      <c r="L49" s="86">
        <f>IF(L13=0,0,L13/TrAvia_act!L31*1000000)</f>
        <v>21410.434167555184</v>
      </c>
      <c r="M49" s="86">
        <f>IF(M13=0,0,M13/TrAvia_act!M31*1000000)</f>
        <v>23108.939675966787</v>
      </c>
      <c r="N49" s="86">
        <f>IF(N13=0,0,N13/TrAvia_act!N31*1000000)</f>
        <v>27725.884407937254</v>
      </c>
      <c r="O49" s="86">
        <f>IF(O13=0,0,O13/TrAvia_act!O31*1000000)</f>
        <v>24635.180678648034</v>
      </c>
      <c r="P49" s="86">
        <f>IF(P13=0,0,P13/TrAvia_act!P31*1000000)</f>
        <v>19612.973684701254</v>
      </c>
      <c r="Q49" s="86">
        <f>IF(Q13=0,0,Q13/TrAvia_act!Q31*1000000)</f>
        <v>16871.401529656323</v>
      </c>
      <c r="R49" s="86">
        <f>IF(R13=0,0,R13/TrAvia_act!R31*1000000)</f>
        <v>13524.277792987023</v>
      </c>
      <c r="S49" s="86">
        <f>IF(S13=0,0,S13/TrAvia_act!S31*1000000)</f>
        <v>10459.264962964122</v>
      </c>
      <c r="T49" s="86">
        <f>IF(T13=0,0,T13/TrAvia_act!T31*1000000)</f>
        <v>7550.2629097052077</v>
      </c>
      <c r="U49" s="86">
        <f>IF(U13=0,0,U13/TrAvia_act!U31*1000000)</f>
        <v>19763.102176579854</v>
      </c>
      <c r="V49" s="86">
        <f>IF(V13=0,0,V13/TrAvia_act!V31*1000000)</f>
        <v>9879.6371485453928</v>
      </c>
      <c r="W49" s="86">
        <f>IF(W13=0,0,W13/TrAvia_act!W31*1000000)</f>
        <v>5951.4678153054392</v>
      </c>
      <c r="X49" s="86">
        <f>IF(X13=0,0,X13/TrAvia_act!X31*1000000)</f>
        <v>21467.683267823446</v>
      </c>
      <c r="Y49" s="86">
        <f>IF(Y13=0,0,Y13/TrAvia_act!Y31*1000000)</f>
        <v>16144.699856427638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0.99084781981393499</v>
      </c>
      <c r="C52" s="16">
        <f t="shared" si="36"/>
        <v>0.99138102255502847</v>
      </c>
      <c r="D52" s="16">
        <f t="shared" ref="D52:V52" si="37">IF(D6=0,0,D6/D$3)</f>
        <v>0.99050405680015896</v>
      </c>
      <c r="E52" s="16">
        <f t="shared" si="37"/>
        <v>0.99407603765124208</v>
      </c>
      <c r="F52" s="16">
        <f t="shared" si="37"/>
        <v>0.99433501278405478</v>
      </c>
      <c r="G52" s="16">
        <f t="shared" si="37"/>
        <v>0.99388766878526347</v>
      </c>
      <c r="H52" s="16">
        <f t="shared" si="37"/>
        <v>0.99442487127800927</v>
      </c>
      <c r="I52" s="16">
        <f t="shared" si="37"/>
        <v>0.99542875372653961</v>
      </c>
      <c r="J52" s="16">
        <f t="shared" si="37"/>
        <v>0.99450835000463134</v>
      </c>
      <c r="K52" s="16">
        <f t="shared" si="37"/>
        <v>0.99028263236040481</v>
      </c>
      <c r="L52" s="16">
        <f t="shared" si="37"/>
        <v>0.98953236037054859</v>
      </c>
      <c r="M52" s="16">
        <f t="shared" si="37"/>
        <v>0.98986066734154365</v>
      </c>
      <c r="N52" s="16">
        <f t="shared" si="37"/>
        <v>0.96923927273774457</v>
      </c>
      <c r="O52" s="16">
        <f t="shared" si="37"/>
        <v>0.95667761363227211</v>
      </c>
      <c r="P52" s="16">
        <f t="shared" si="37"/>
        <v>0.97452060119678763</v>
      </c>
      <c r="Q52" s="16">
        <f t="shared" si="37"/>
        <v>0.98725150338369394</v>
      </c>
      <c r="R52" s="16">
        <f t="shared" si="37"/>
        <v>0.98948773589207273</v>
      </c>
      <c r="S52" s="16">
        <f t="shared" si="37"/>
        <v>0.98944651388408411</v>
      </c>
      <c r="T52" s="16">
        <f t="shared" si="37"/>
        <v>0.99030231632348786</v>
      </c>
      <c r="U52" s="16">
        <f t="shared" si="37"/>
        <v>0.98762631421083502</v>
      </c>
      <c r="V52" s="16">
        <f t="shared" si="37"/>
        <v>0.97645173004585739</v>
      </c>
      <c r="W52" s="16">
        <f t="shared" ref="W52:Y52" si="38">IF(W6=0,0,W6/W$3)</f>
        <v>0.97855000095722433</v>
      </c>
      <c r="X52" s="16">
        <f t="shared" si="38"/>
        <v>0.98452680930753544</v>
      </c>
      <c r="Y52" s="16">
        <f t="shared" si="38"/>
        <v>0.98718604941572241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0.86796424009298201</v>
      </c>
      <c r="C54" s="103">
        <f t="shared" si="42"/>
        <v>0.86837718545316989</v>
      </c>
      <c r="D54" s="103">
        <f t="shared" ref="D54:V54" si="43">IF(D8=0,0,D8/D$3)</f>
        <v>0.86760234053257557</v>
      </c>
      <c r="E54" s="103">
        <f t="shared" si="43"/>
        <v>0.8707258541731917</v>
      </c>
      <c r="F54" s="103">
        <f t="shared" si="43"/>
        <v>0.87088491227201925</v>
      </c>
      <c r="G54" s="103">
        <f t="shared" si="43"/>
        <v>0.88756012960303055</v>
      </c>
      <c r="H54" s="103">
        <f t="shared" si="43"/>
        <v>0.90334565483711449</v>
      </c>
      <c r="I54" s="103">
        <f t="shared" si="43"/>
        <v>0.90840931670124103</v>
      </c>
      <c r="J54" s="103">
        <f t="shared" si="43"/>
        <v>0.90568528898848966</v>
      </c>
      <c r="K54" s="103">
        <f t="shared" si="43"/>
        <v>0.90075473240028037</v>
      </c>
      <c r="L54" s="103">
        <f t="shared" si="43"/>
        <v>0.90743673802208258</v>
      </c>
      <c r="M54" s="103">
        <f t="shared" si="43"/>
        <v>0.90752814604285581</v>
      </c>
      <c r="N54" s="103">
        <f t="shared" si="43"/>
        <v>0.88456811195939911</v>
      </c>
      <c r="O54" s="103">
        <f t="shared" si="43"/>
        <v>0.87473253722573274</v>
      </c>
      <c r="P54" s="103">
        <f t="shared" si="43"/>
        <v>0.89124147759818473</v>
      </c>
      <c r="Q54" s="103">
        <f t="shared" si="43"/>
        <v>0.90755371904985982</v>
      </c>
      <c r="R54" s="103">
        <f t="shared" si="43"/>
        <v>0.91284996110757954</v>
      </c>
      <c r="S54" s="103">
        <f t="shared" si="43"/>
        <v>0.91715233217239855</v>
      </c>
      <c r="T54" s="103">
        <f t="shared" si="43"/>
        <v>0.91958930678248374</v>
      </c>
      <c r="U54" s="103">
        <f t="shared" si="43"/>
        <v>0.91660895638061968</v>
      </c>
      <c r="V54" s="103">
        <f t="shared" si="43"/>
        <v>0.86863786506375962</v>
      </c>
      <c r="W54" s="103">
        <f t="shared" ref="W54:Y54" si="44">IF(W8=0,0,W8/W$3)</f>
        <v>0.88243459860549089</v>
      </c>
      <c r="X54" s="103">
        <f t="shared" si="44"/>
        <v>0.91025370282604012</v>
      </c>
      <c r="Y54" s="103">
        <f t="shared" si="44"/>
        <v>0.91072121035813691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0.12288357972095296</v>
      </c>
      <c r="C55" s="103">
        <f t="shared" si="45"/>
        <v>0.12300383710185857</v>
      </c>
      <c r="D55" s="103">
        <f t="shared" ref="D55:V55" si="46">IF(D9=0,0,D9/D$3)</f>
        <v>0.12290171626758341</v>
      </c>
      <c r="E55" s="103">
        <f t="shared" si="46"/>
        <v>0.12335018347805038</v>
      </c>
      <c r="F55" s="103">
        <f t="shared" si="46"/>
        <v>0.12345010051203548</v>
      </c>
      <c r="G55" s="103">
        <f t="shared" si="46"/>
        <v>0.10632753918223288</v>
      </c>
      <c r="H55" s="103">
        <f t="shared" si="46"/>
        <v>9.1079216440894742E-2</v>
      </c>
      <c r="I55" s="103">
        <f t="shared" si="46"/>
        <v>8.7019437025298657E-2</v>
      </c>
      <c r="J55" s="103">
        <f t="shared" si="46"/>
        <v>8.8823061016141638E-2</v>
      </c>
      <c r="K55" s="103">
        <f t="shared" si="46"/>
        <v>8.9527899960124419E-2</v>
      </c>
      <c r="L55" s="103">
        <f t="shared" si="46"/>
        <v>8.2095622348465888E-2</v>
      </c>
      <c r="M55" s="103">
        <f t="shared" si="46"/>
        <v>8.2332521298687816E-2</v>
      </c>
      <c r="N55" s="103">
        <f t="shared" si="46"/>
        <v>8.4671160778345481E-2</v>
      </c>
      <c r="O55" s="103">
        <f t="shared" si="46"/>
        <v>8.1945076406539349E-2</v>
      </c>
      <c r="P55" s="103">
        <f t="shared" si="46"/>
        <v>8.3279123598602914E-2</v>
      </c>
      <c r="Q55" s="103">
        <f t="shared" si="46"/>
        <v>7.9697784333834135E-2</v>
      </c>
      <c r="R55" s="103">
        <f t="shared" si="46"/>
        <v>7.6637774784493282E-2</v>
      </c>
      <c r="S55" s="103">
        <f t="shared" si="46"/>
        <v>7.2294181711685557E-2</v>
      </c>
      <c r="T55" s="103">
        <f t="shared" si="46"/>
        <v>7.0713009541004096E-2</v>
      </c>
      <c r="U55" s="103">
        <f t="shared" si="46"/>
        <v>7.1017357830215344E-2</v>
      </c>
      <c r="V55" s="103">
        <f t="shared" si="46"/>
        <v>0.10781386498209766</v>
      </c>
      <c r="W55" s="103">
        <f t="shared" ref="W55:Y55" si="47">IF(W9=0,0,W9/W$3)</f>
        <v>9.6115402351733437E-2</v>
      </c>
      <c r="X55" s="103">
        <f t="shared" si="47"/>
        <v>7.427310648149528E-2</v>
      </c>
      <c r="Y55" s="103">
        <f t="shared" si="47"/>
        <v>7.6464839057585582E-2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9.1521801860650724E-3</v>
      </c>
      <c r="C56" s="17">
        <f t="shared" si="48"/>
        <v>8.6189774449715855E-3</v>
      </c>
      <c r="D56" s="17">
        <f t="shared" ref="D56:V56" si="49">IF(D10=0,0,D10/D$3)</f>
        <v>9.4959431998410219E-3</v>
      </c>
      <c r="E56" s="17">
        <f t="shared" si="49"/>
        <v>5.923962348757872E-3</v>
      </c>
      <c r="F56" s="17">
        <f t="shared" si="49"/>
        <v>5.6649872159451869E-3</v>
      </c>
      <c r="G56" s="17">
        <f t="shared" si="49"/>
        <v>6.1123312147366247E-3</v>
      </c>
      <c r="H56" s="17">
        <f t="shared" si="49"/>
        <v>5.5751287219908147E-3</v>
      </c>
      <c r="I56" s="17">
        <f t="shared" si="49"/>
        <v>4.5712462734603734E-3</v>
      </c>
      <c r="J56" s="17">
        <f t="shared" si="49"/>
        <v>5.4916499953687366E-3</v>
      </c>
      <c r="K56" s="17">
        <f t="shared" si="49"/>
        <v>9.7173676395951557E-3</v>
      </c>
      <c r="L56" s="17">
        <f t="shared" si="49"/>
        <v>1.0467639629451542E-2</v>
      </c>
      <c r="M56" s="17">
        <f t="shared" si="49"/>
        <v>1.0139332658456292E-2</v>
      </c>
      <c r="N56" s="17">
        <f t="shared" si="49"/>
        <v>3.076072726225549E-2</v>
      </c>
      <c r="O56" s="17">
        <f t="shared" si="49"/>
        <v>4.3322386367728047E-2</v>
      </c>
      <c r="P56" s="17">
        <f t="shared" si="49"/>
        <v>2.5479398803212375E-2</v>
      </c>
      <c r="Q56" s="17">
        <f t="shared" si="49"/>
        <v>1.27484966163061E-2</v>
      </c>
      <c r="R56" s="17">
        <f t="shared" si="49"/>
        <v>1.0512264107927199E-2</v>
      </c>
      <c r="S56" s="17">
        <f t="shared" si="49"/>
        <v>1.055348611591583E-2</v>
      </c>
      <c r="T56" s="17">
        <f t="shared" si="49"/>
        <v>9.6976836765121765E-3</v>
      </c>
      <c r="U56" s="17">
        <f t="shared" si="49"/>
        <v>1.2373685789164987E-2</v>
      </c>
      <c r="V56" s="17">
        <f t="shared" si="49"/>
        <v>2.3548269954142546E-2</v>
      </c>
      <c r="W56" s="17">
        <f t="shared" ref="W56:Y56" si="50">IF(W10=0,0,W10/W$3)</f>
        <v>2.1449999042775645E-2</v>
      </c>
      <c r="X56" s="17">
        <f t="shared" si="50"/>
        <v>1.5473190692464528E-2</v>
      </c>
      <c r="Y56" s="17">
        <f t="shared" si="50"/>
        <v>1.2813950584277608E-2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8.0447716002011189E-3</v>
      </c>
      <c r="C58" s="104">
        <f t="shared" si="54"/>
        <v>7.3537937859857339E-3</v>
      </c>
      <c r="D58" s="104">
        <f t="shared" ref="D58:V58" si="55">IF(D12=0,0,D12/D$3)</f>
        <v>8.1277306870435658E-3</v>
      </c>
      <c r="E58" s="104">
        <f t="shared" si="55"/>
        <v>4.9744822438829162E-3</v>
      </c>
      <c r="F58" s="104">
        <f t="shared" si="55"/>
        <v>4.7903512065860824E-3</v>
      </c>
      <c r="G58" s="104">
        <f t="shared" si="55"/>
        <v>5.3458723836941942E-3</v>
      </c>
      <c r="H58" s="104">
        <f t="shared" si="55"/>
        <v>4.8342587688156094E-3</v>
      </c>
      <c r="I58" s="104">
        <f t="shared" si="55"/>
        <v>3.6696536723336347E-3</v>
      </c>
      <c r="J58" s="104">
        <f t="shared" si="55"/>
        <v>4.2066862953242697E-3</v>
      </c>
      <c r="K58" s="104">
        <f t="shared" si="55"/>
        <v>8.0766773612137369E-3</v>
      </c>
      <c r="L58" s="104">
        <f t="shared" si="55"/>
        <v>8.1704811552152593E-3</v>
      </c>
      <c r="M58" s="104">
        <f t="shared" si="55"/>
        <v>7.6599389109111996E-3</v>
      </c>
      <c r="N58" s="104">
        <f t="shared" si="55"/>
        <v>8.4888693223195543E-3</v>
      </c>
      <c r="O58" s="104">
        <f t="shared" si="55"/>
        <v>9.5389783869235367E-3</v>
      </c>
      <c r="P58" s="104">
        <f t="shared" si="55"/>
        <v>9.5184255652223642E-3</v>
      </c>
      <c r="Q58" s="104">
        <f t="shared" si="55"/>
        <v>8.205693871951969E-3</v>
      </c>
      <c r="R58" s="104">
        <f t="shared" si="55"/>
        <v>7.6223767124013941E-3</v>
      </c>
      <c r="S58" s="104">
        <f t="shared" si="55"/>
        <v>8.1449431617879615E-3</v>
      </c>
      <c r="T58" s="104">
        <f t="shared" si="55"/>
        <v>7.9139447192467117E-3</v>
      </c>
      <c r="U58" s="104">
        <f t="shared" si="55"/>
        <v>8.3563219296691783E-3</v>
      </c>
      <c r="V58" s="104">
        <f t="shared" si="55"/>
        <v>1.8579508475249924E-2</v>
      </c>
      <c r="W58" s="104">
        <f t="shared" ref="W58:Y58" si="56">IF(W12=0,0,W12/W$3)</f>
        <v>1.9706223406057079E-2</v>
      </c>
      <c r="X58" s="104">
        <f t="shared" si="56"/>
        <v>1.4059433872536574E-2</v>
      </c>
      <c r="Y58" s="104">
        <f t="shared" si="56"/>
        <v>1.2129592824671562E-2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1.1074085858639544E-3</v>
      </c>
      <c r="C59" s="105">
        <f t="shared" si="57"/>
        <v>1.2651836589858507E-3</v>
      </c>
      <c r="D59" s="105">
        <f t="shared" ref="D59:V59" si="58">IF(D13=0,0,D13/D$3)</f>
        <v>1.3682125127974555E-3</v>
      </c>
      <c r="E59" s="105">
        <f t="shared" si="58"/>
        <v>9.4948010487495697E-4</v>
      </c>
      <c r="F59" s="105">
        <f t="shared" si="58"/>
        <v>8.7463600935910348E-4</v>
      </c>
      <c r="G59" s="105">
        <f t="shared" si="58"/>
        <v>7.6645883104243054E-4</v>
      </c>
      <c r="H59" s="105">
        <f t="shared" si="58"/>
        <v>7.4086995317520512E-4</v>
      </c>
      <c r="I59" s="105">
        <f t="shared" si="58"/>
        <v>9.0159260112673866E-4</v>
      </c>
      <c r="J59" s="105">
        <f t="shared" si="58"/>
        <v>1.2849637000444663E-3</v>
      </c>
      <c r="K59" s="105">
        <f t="shared" si="58"/>
        <v>1.6406902783814197E-3</v>
      </c>
      <c r="L59" s="105">
        <f t="shared" si="58"/>
        <v>2.2971584742362823E-3</v>
      </c>
      <c r="M59" s="105">
        <f t="shared" si="58"/>
        <v>2.4793937475450921E-3</v>
      </c>
      <c r="N59" s="105">
        <f t="shared" si="58"/>
        <v>2.2271857939935934E-2</v>
      </c>
      <c r="O59" s="105">
        <f t="shared" si="58"/>
        <v>3.3783407980804515E-2</v>
      </c>
      <c r="P59" s="105">
        <f t="shared" si="58"/>
        <v>1.5960973237990013E-2</v>
      </c>
      <c r="Q59" s="105">
        <f t="shared" si="58"/>
        <v>4.5428027443541307E-3</v>
      </c>
      <c r="R59" s="105">
        <f t="shared" si="58"/>
        <v>2.8898873955258051E-3</v>
      </c>
      <c r="S59" s="105">
        <f t="shared" si="58"/>
        <v>2.4085429541278701E-3</v>
      </c>
      <c r="T59" s="105">
        <f t="shared" si="58"/>
        <v>1.7837389572654665E-3</v>
      </c>
      <c r="U59" s="105">
        <f t="shared" si="58"/>
        <v>4.01736385949581E-3</v>
      </c>
      <c r="V59" s="105">
        <f t="shared" si="58"/>
        <v>4.9687614788926238E-3</v>
      </c>
      <c r="W59" s="105">
        <f t="shared" ref="W59:Y59" si="59">IF(W13=0,0,W13/W$3)</f>
        <v>1.7437756367185678E-3</v>
      </c>
      <c r="X59" s="105">
        <f t="shared" si="59"/>
        <v>1.413756819927954E-3</v>
      </c>
      <c r="Y59" s="105">
        <f t="shared" si="59"/>
        <v>6.8435775960604519E-4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363012</v>
      </c>
      <c r="C4" s="11">
        <f t="shared" si="0"/>
        <v>372577</v>
      </c>
      <c r="D4" s="11">
        <f t="shared" ref="D4" si="1">SUM(D5:D7)</f>
        <v>397193</v>
      </c>
      <c r="E4" s="11">
        <f t="shared" ref="E4" si="2">SUM(E5:E7)</f>
        <v>590589</v>
      </c>
      <c r="F4" s="11">
        <f t="shared" ref="F4" si="3">SUM(F5:F7)</f>
        <v>731592</v>
      </c>
      <c r="G4" s="11">
        <f t="shared" ref="G4" si="4">SUM(G5:G7)</f>
        <v>1304276</v>
      </c>
      <c r="H4" s="11">
        <f t="shared" ref="H4" si="5">SUM(H5:H7)</f>
        <v>1740797</v>
      </c>
      <c r="I4" s="11">
        <f t="shared" ref="I4" si="6">SUM(I5:I7)</f>
        <v>2196992</v>
      </c>
      <c r="J4" s="11">
        <f t="shared" ref="J4" si="7">SUM(J5:J7)</f>
        <v>2664810</v>
      </c>
      <c r="K4" s="11">
        <f t="shared" ref="K4" si="8">SUM(K5:K7)</f>
        <v>2917837</v>
      </c>
      <c r="L4" s="11">
        <f t="shared" ref="L4" si="9">SUM(L5:L7)</f>
        <v>3369705</v>
      </c>
      <c r="M4" s="11">
        <f t="shared" ref="M4" si="10">SUM(M5:M7)</f>
        <v>3455076</v>
      </c>
      <c r="N4" s="11">
        <f t="shared" ref="N4" si="11">SUM(N5:N7)</f>
        <v>3228816</v>
      </c>
      <c r="O4" s="11">
        <f t="shared" ref="O4" si="12">SUM(O5:O7)</f>
        <v>3199882</v>
      </c>
      <c r="P4" s="11">
        <f t="shared" ref="P4" si="13">SUM(P5:P7)</f>
        <v>3178844</v>
      </c>
      <c r="Q4" s="11">
        <f t="shared" ref="Q4" si="14">SUM(Q5:Q7)</f>
        <v>3415922</v>
      </c>
      <c r="R4" s="11">
        <f t="shared" ref="R4" si="15">SUM(R5:R7)</f>
        <v>3448446</v>
      </c>
      <c r="S4" s="11">
        <f t="shared" ref="S4" si="16">SUM(S5:S7)</f>
        <v>3896650</v>
      </c>
      <c r="T4" s="11">
        <f t="shared" ref="T4" si="17">SUM(T5:T7)</f>
        <v>4522028</v>
      </c>
      <c r="U4" s="11">
        <f t="shared" ref="U4" si="18">SUM(U5:U7)</f>
        <v>4983777</v>
      </c>
      <c r="V4" s="11">
        <f t="shared" ref="V4:W4" si="19">SUM(V5:V7)</f>
        <v>1807562</v>
      </c>
      <c r="W4" s="11">
        <f t="shared" si="19"/>
        <v>2291103</v>
      </c>
      <c r="X4" s="11">
        <f t="shared" ref="X4:Y4" si="20">SUM(X5:X7)</f>
        <v>3786159</v>
      </c>
      <c r="Y4" s="11">
        <f t="shared" si="20"/>
        <v>4330835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309384</v>
      </c>
      <c r="C6" s="84">
        <v>317830</v>
      </c>
      <c r="D6" s="84">
        <v>339448</v>
      </c>
      <c r="E6" s="84">
        <v>505527</v>
      </c>
      <c r="F6" s="84">
        <v>627726</v>
      </c>
      <c r="G6" s="84">
        <v>1117961</v>
      </c>
      <c r="H6" s="84">
        <v>1483709</v>
      </c>
      <c r="I6" s="84">
        <v>1829578</v>
      </c>
      <c r="J6" s="84">
        <v>2195696</v>
      </c>
      <c r="K6" s="84">
        <v>2466704</v>
      </c>
      <c r="L6" s="84">
        <v>2786364</v>
      </c>
      <c r="M6" s="84">
        <v>2761889</v>
      </c>
      <c r="N6" s="84">
        <v>2533694</v>
      </c>
      <c r="O6" s="84">
        <v>2473561</v>
      </c>
      <c r="P6" s="84">
        <v>2481669</v>
      </c>
      <c r="Q6" s="84">
        <v>2766608</v>
      </c>
      <c r="R6" s="84">
        <v>2726106</v>
      </c>
      <c r="S6" s="84">
        <v>3073188</v>
      </c>
      <c r="T6" s="84">
        <v>3516619</v>
      </c>
      <c r="U6" s="84">
        <v>3795969</v>
      </c>
      <c r="V6" s="84">
        <v>1562282</v>
      </c>
      <c r="W6" s="84">
        <v>1924812</v>
      </c>
      <c r="X6" s="84">
        <v>3450011</v>
      </c>
      <c r="Y6" s="84">
        <v>3878383</v>
      </c>
      <c r="DA6" s="171" t="s">
        <v>364</v>
      </c>
    </row>
    <row r="7" spans="1:105" ht="11.45" customHeight="1" x14ac:dyDescent="0.25">
      <c r="A7" s="85" t="s">
        <v>182</v>
      </c>
      <c r="B7" s="86">
        <v>53628</v>
      </c>
      <c r="C7" s="86">
        <v>54747</v>
      </c>
      <c r="D7" s="86">
        <v>57745</v>
      </c>
      <c r="E7" s="86">
        <v>85062</v>
      </c>
      <c r="F7" s="86">
        <v>103866</v>
      </c>
      <c r="G7" s="86">
        <v>186315</v>
      </c>
      <c r="H7" s="86">
        <v>257088</v>
      </c>
      <c r="I7" s="86">
        <v>367414</v>
      </c>
      <c r="J7" s="86">
        <v>469114</v>
      </c>
      <c r="K7" s="86">
        <v>451133</v>
      </c>
      <c r="L7" s="86">
        <v>583341</v>
      </c>
      <c r="M7" s="86">
        <v>693187</v>
      </c>
      <c r="N7" s="86">
        <v>695122</v>
      </c>
      <c r="O7" s="86">
        <v>726321</v>
      </c>
      <c r="P7" s="86">
        <v>697175</v>
      </c>
      <c r="Q7" s="86">
        <v>649314</v>
      </c>
      <c r="R7" s="86">
        <v>722340</v>
      </c>
      <c r="S7" s="86">
        <v>823462</v>
      </c>
      <c r="T7" s="86">
        <v>1005409</v>
      </c>
      <c r="U7" s="86">
        <v>1187808</v>
      </c>
      <c r="V7" s="86">
        <v>245280</v>
      </c>
      <c r="W7" s="86">
        <v>366291</v>
      </c>
      <c r="X7" s="86">
        <v>336148</v>
      </c>
      <c r="Y7" s="86">
        <v>452452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56.543925233644863</v>
      </c>
      <c r="C12" s="14">
        <f>IF(C4=0,0,C4/TrAvia_act!C24)</f>
        <v>57.979614067849361</v>
      </c>
      <c r="D12" s="14">
        <f>IF(D4=0,0,D4/TrAvia_act!D24)</f>
        <v>59.468932474921395</v>
      </c>
      <c r="E12" s="14">
        <f>IF(E4=0,0,E4/TrAvia_act!E24)</f>
        <v>61.143907236773991</v>
      </c>
      <c r="F12" s="14">
        <f>IF(F4=0,0,F4/TrAvia_act!F24)</f>
        <v>62.781429674761867</v>
      </c>
      <c r="G12" s="14">
        <f>IF(G4=0,0,G4/TrAvia_act!G24)</f>
        <v>86.085142894858421</v>
      </c>
      <c r="H12" s="14">
        <f>IF(H4=0,0,H4/TrAvia_act!H24)</f>
        <v>98.255743071626128</v>
      </c>
      <c r="I12" s="14">
        <f>IF(I4=0,0,I4/TrAvia_act!I24)</f>
        <v>102.21895500860745</v>
      </c>
      <c r="J12" s="14">
        <f>IF(J4=0,0,J4/TrAvia_act!J24)</f>
        <v>102.08435488813974</v>
      </c>
      <c r="K12" s="14">
        <f>IF(K4=0,0,K4/TrAvia_act!K24)</f>
        <v>101.39828329163191</v>
      </c>
      <c r="L12" s="14">
        <f>IF(L4=0,0,L4/TrAvia_act!L24)</f>
        <v>101.59506150506512</v>
      </c>
      <c r="M12" s="14">
        <f>IF(M4=0,0,M4/TrAvia_act!M24)</f>
        <v>98.772898799313893</v>
      </c>
      <c r="N12" s="14">
        <f>IF(N4=0,0,N4/TrAvia_act!N24)</f>
        <v>100.61437786295222</v>
      </c>
      <c r="O12" s="14">
        <f>IF(O4=0,0,O4/TrAvia_act!O24)</f>
        <v>102.85702346512376</v>
      </c>
      <c r="P12" s="14">
        <f>IF(P4=0,0,P4/TrAvia_act!P24)</f>
        <v>104.33385847446502</v>
      </c>
      <c r="Q12" s="14">
        <f>IF(Q4=0,0,Q4/TrAvia_act!Q24)</f>
        <v>108.37315989847716</v>
      </c>
      <c r="R12" s="14">
        <f>IF(R4=0,0,R4/TrAvia_act!R24)</f>
        <v>110.52711538461539</v>
      </c>
      <c r="S12" s="14">
        <f>IF(S4=0,0,S4/TrAvia_act!S24)</f>
        <v>113.75087575899113</v>
      </c>
      <c r="T12" s="14">
        <f>IF(T4=0,0,T4/TrAvia_act!T24)</f>
        <v>116.92380090497737</v>
      </c>
      <c r="U12" s="14">
        <f>IF(U4=0,0,U4/TrAvia_act!U24)</f>
        <v>123.50143728007137</v>
      </c>
      <c r="V12" s="14">
        <f>IF(V4=0,0,V4/TrAvia_act!V24)</f>
        <v>138.96840162989159</v>
      </c>
      <c r="W12" s="14">
        <f>IF(W4=0,0,W4/TrAvia_act!W24)</f>
        <v>159.42544012246887</v>
      </c>
      <c r="X12" s="14">
        <f>IF(X4=0,0,X4/TrAvia_act!X24)</f>
        <v>156.3172040791049</v>
      </c>
      <c r="Y12" s="14">
        <f>IF(Y4=0,0,Y4/TrAvia_act!Y24)</f>
        <v>155.39415141729458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54.66148409893993</v>
      </c>
      <c r="C14" s="87">
        <f>IF(C6=0,0,C6/TrAvia_act!C26)</f>
        <v>56.104148278905562</v>
      </c>
      <c r="D14" s="87">
        <f>IF(D6=0,0,D6/TrAvia_act!D26)</f>
        <v>57.650815217391305</v>
      </c>
      <c r="E14" s="87">
        <f>IF(E6=0,0,E6/TrAvia_act!E26)</f>
        <v>59.368995889606573</v>
      </c>
      <c r="F14" s="87">
        <f>IF(F6=0,0,F6/TrAvia_act!F26)</f>
        <v>61.11039719626168</v>
      </c>
      <c r="G14" s="87">
        <f>IF(G6=0,0,G6/TrAvia_act!G26)</f>
        <v>85.24292794510103</v>
      </c>
      <c r="H14" s="87">
        <f>IF(H6=0,0,H6/TrAvia_act!H26)</f>
        <v>100.155866072634</v>
      </c>
      <c r="I14" s="87">
        <f>IF(I6=0,0,I6/TrAvia_act!I26)</f>
        <v>104.48760708166762</v>
      </c>
      <c r="J14" s="87">
        <f>IF(J6=0,0,J6/TrAvia_act!J26)</f>
        <v>102.84290398126464</v>
      </c>
      <c r="K14" s="87">
        <f>IF(K6=0,0,K6/TrAvia_act!K26)</f>
        <v>103.69966788581999</v>
      </c>
      <c r="L14" s="87">
        <f>IF(L6=0,0,L6/TrAvia_act!L26)</f>
        <v>103.13754811963281</v>
      </c>
      <c r="M14" s="87">
        <f>IF(M6=0,0,M6/TrAvia_act!M26)</f>
        <v>97.734845535935449</v>
      </c>
      <c r="N14" s="87">
        <f>IF(N6=0,0,N6/TrAvia_act!N26)</f>
        <v>99.29046163492437</v>
      </c>
      <c r="O14" s="87">
        <f>IF(O6=0,0,O6/TrAvia_act!O26)</f>
        <v>102.31473362011913</v>
      </c>
      <c r="P14" s="87">
        <f>IF(P6=0,0,P6/TrAvia_act!P26)</f>
        <v>103.71401705115346</v>
      </c>
      <c r="Q14" s="87">
        <f>IF(Q6=0,0,Q6/TrAvia_act!Q26)</f>
        <v>107.83893977782108</v>
      </c>
      <c r="R14" s="87">
        <f>IF(R6=0,0,R6/TrAvia_act!R26)</f>
        <v>110.64639987011932</v>
      </c>
      <c r="S14" s="87">
        <f>IF(S6=0,0,S6/TrAvia_act!S26)</f>
        <v>114.36394760345341</v>
      </c>
      <c r="T14" s="87">
        <f>IF(T6=0,0,T6/TrAvia_act!T26)</f>
        <v>117.80178882486936</v>
      </c>
      <c r="U14" s="87">
        <f>IF(U6=0,0,U6/TrAvia_act!U26)</f>
        <v>125.00309546547238</v>
      </c>
      <c r="V14" s="87">
        <f>IF(V6=0,0,V6/TrAvia_act!V26)</f>
        <v>138.6353713727926</v>
      </c>
      <c r="W14" s="87">
        <f>IF(W6=0,0,W6/TrAvia_act!W26)</f>
        <v>155.01425465088187</v>
      </c>
      <c r="X14" s="87">
        <f>IF(X6=0,0,X6/TrAvia_act!X26)</f>
        <v>154.21111210441623</v>
      </c>
      <c r="Y14" s="87">
        <f>IF(Y6=0,0,Y6/TrAvia_act!Y26)</f>
        <v>152.83665668348044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70.563157894736847</v>
      </c>
      <c r="C15" s="88">
        <f>IF(C7=0,0,C7/TrAvia_act!C27)</f>
        <v>71.940867279894874</v>
      </c>
      <c r="D15" s="88">
        <f>IF(D7=0,0,D7/TrAvia_act!D27)</f>
        <v>73.00252844500632</v>
      </c>
      <c r="E15" s="88">
        <f>IF(E7=0,0,E7/TrAvia_act!E27)</f>
        <v>74.354895104895107</v>
      </c>
      <c r="F15" s="88">
        <f>IF(F7=0,0,F7/TrAvia_act!F27)</f>
        <v>75.210716871832005</v>
      </c>
      <c r="G15" s="88">
        <f>IF(G7=0,0,G7/TrAvia_act!G27)</f>
        <v>91.510314341846765</v>
      </c>
      <c r="H15" s="88">
        <f>IF(H7=0,0,H7/TrAvia_act!H27)</f>
        <v>88.559421288322426</v>
      </c>
      <c r="I15" s="88">
        <f>IF(I7=0,0,I7/TrAvia_act!I27)</f>
        <v>92.245543560130557</v>
      </c>
      <c r="J15" s="88">
        <f>IF(J7=0,0,J7/TrAvia_act!J27)</f>
        <v>98.677745056794279</v>
      </c>
      <c r="K15" s="88">
        <f>IF(K7=0,0,K7/TrAvia_act!K27)</f>
        <v>90.425536179595113</v>
      </c>
      <c r="L15" s="88">
        <f>IF(L7=0,0,L7/TrAvia_act!L27)</f>
        <v>94.821358907672305</v>
      </c>
      <c r="M15" s="88">
        <f>IF(M7=0,0,M7/TrAvia_act!M27)</f>
        <v>103.13747954173486</v>
      </c>
      <c r="N15" s="88">
        <f>IF(N7=0,0,N7/TrAvia_act!N27)</f>
        <v>105.75414574775597</v>
      </c>
      <c r="O15" s="88">
        <f>IF(O7=0,0,O7/TrAvia_act!O27)</f>
        <v>104.74776463801558</v>
      </c>
      <c r="P15" s="88">
        <f>IF(P7=0,0,P7/TrAvia_act!P27)</f>
        <v>106.60168195718654</v>
      </c>
      <c r="Q15" s="88">
        <f>IF(Q7=0,0,Q7/TrAvia_act!Q27)</f>
        <v>110.70997442455243</v>
      </c>
      <c r="R15" s="88">
        <f>IF(R7=0,0,R7/TrAvia_act!R27)</f>
        <v>110.07924413288632</v>
      </c>
      <c r="S15" s="88">
        <f>IF(S7=0,0,S7/TrAvia_act!S27)</f>
        <v>111.51977248104009</v>
      </c>
      <c r="T15" s="88">
        <f>IF(T7=0,0,T7/TrAvia_act!T27)</f>
        <v>113.95319052476482</v>
      </c>
      <c r="U15" s="88">
        <f>IF(U7=0,0,U7/TrAvia_act!U27)</f>
        <v>118.93541604085311</v>
      </c>
      <c r="V15" s="88">
        <f>IF(V7=0,0,V7/TrAvia_act!V27)</f>
        <v>141.12773302646721</v>
      </c>
      <c r="W15" s="88">
        <f>IF(W7=0,0,W7/TrAvia_act!W27)</f>
        <v>187.45701125895599</v>
      </c>
      <c r="X15" s="88">
        <f>IF(X7=0,0,X7/TrAvia_act!X27)</f>
        <v>181.79989183342346</v>
      </c>
      <c r="Y15" s="88">
        <f>IF(Y7=0,0,Y7/TrAvia_act!Y27)</f>
        <v>181.41619887730553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0.734143774861437</v>
      </c>
      <c r="C18" s="25">
        <f>IF(TrAvia_act!C34=0,0,(TrAvia_act!C34/TrAvia_act!C24)/TrAvia_png!C12)</f>
        <v>0.73392882545084637</v>
      </c>
      <c r="D18" s="25">
        <f>IF(TrAvia_act!D34=0,0,(TrAvia_act!D34/TrAvia_act!D24)/TrAvia_png!D12)</f>
        <v>0.73360305946982951</v>
      </c>
      <c r="E18" s="25">
        <f>IF(TrAvia_act!E34=0,0,(TrAvia_act!E34/TrAvia_act!E24)/TrAvia_png!E12)</f>
        <v>0.73127504914585273</v>
      </c>
      <c r="F18" s="25">
        <f>IF(TrAvia_act!F34=0,0,(TrAvia_act!F34/TrAvia_act!F24)/TrAvia_png!F12)</f>
        <v>0.73052193025620826</v>
      </c>
      <c r="G18" s="25">
        <f>IF(TrAvia_act!G34=0,0,(TrAvia_act!G34/TrAvia_act!G24)/TrAvia_png!G12)</f>
        <v>0.73141190974916359</v>
      </c>
      <c r="H18" s="25">
        <f>IF(TrAvia_act!H34=0,0,(TrAvia_act!H34/TrAvia_act!H24)/TrAvia_png!H12)</f>
        <v>0.72549527601437724</v>
      </c>
      <c r="I18" s="25">
        <f>IF(TrAvia_act!I34=0,0,(TrAvia_act!I34/TrAvia_act!I24)/TrAvia_png!I12)</f>
        <v>0.72395165753903523</v>
      </c>
      <c r="J18" s="25">
        <f>IF(TrAvia_act!J34=0,0,(TrAvia_act!J34/TrAvia_act!J24)/TrAvia_png!J12)</f>
        <v>0.69550174308862556</v>
      </c>
      <c r="K18" s="25">
        <f>IF(TrAvia_act!K34=0,0,(TrAvia_act!K34/TrAvia_act!K24)/TrAvia_png!K12)</f>
        <v>0.70727768549099901</v>
      </c>
      <c r="L18" s="25">
        <f>IF(TrAvia_act!L34=0,0,(TrAvia_act!L34/TrAvia_act!L24)/TrAvia_png!L12)</f>
        <v>0.70026960817044814</v>
      </c>
      <c r="M18" s="25">
        <f>IF(TrAvia_act!M34=0,0,(TrAvia_act!M34/TrAvia_act!M24)/TrAvia_png!M12)</f>
        <v>0.7452895392170823</v>
      </c>
      <c r="N18" s="25">
        <f>IF(TrAvia_act!N34=0,0,(TrAvia_act!N34/TrAvia_act!N24)/TrAvia_png!N12)</f>
        <v>0.7436837528059822</v>
      </c>
      <c r="O18" s="25">
        <f>IF(TrAvia_act!O34=0,0,(TrAvia_act!O34/TrAvia_act!O24)/TrAvia_png!O12)</f>
        <v>0.75459688826025451</v>
      </c>
      <c r="P18" s="25">
        <f>IF(TrAvia_act!P34=0,0,(TrAvia_act!P34/TrAvia_act!P24)/TrAvia_png!P12)</f>
        <v>0.76090176177251845</v>
      </c>
      <c r="Q18" s="25">
        <f>IF(TrAvia_act!Q34=0,0,(TrAvia_act!Q34/TrAvia_act!Q24)/TrAvia_png!Q12)</f>
        <v>0.75833552405470617</v>
      </c>
      <c r="R18" s="25">
        <f>IF(TrAvia_act!R34=0,0,(TrAvia_act!R34/TrAvia_act!R24)/TrAvia_png!R12)</f>
        <v>0.78651717324267212</v>
      </c>
      <c r="S18" s="25">
        <f>IF(TrAvia_act!S34=0,0,(TrAvia_act!S34/TrAvia_act!S24)/TrAvia_png!S12)</f>
        <v>0.78346194808361025</v>
      </c>
      <c r="T18" s="25">
        <f>IF(TrAvia_act!T34=0,0,(TrAvia_act!T34/TrAvia_act!T24)/TrAvia_png!T12)</f>
        <v>0.77885121454356321</v>
      </c>
      <c r="U18" s="25">
        <f>IF(TrAvia_act!U34=0,0,(TrAvia_act!U34/TrAvia_act!U24)/TrAvia_png!U12)</f>
        <v>0.7797184745625656</v>
      </c>
      <c r="V18" s="25">
        <f>IF(TrAvia_act!V34=0,0,(TrAvia_act!V34/TrAvia_act!V24)/TrAvia_png!V12)</f>
        <v>0.5496895818787958</v>
      </c>
      <c r="W18" s="25">
        <f>IF(TrAvia_act!W34=0,0,(TrAvia_act!W34/TrAvia_act!W24)/TrAvia_png!W12)</f>
        <v>0.51214458712681188</v>
      </c>
      <c r="X18" s="25">
        <f>IF(TrAvia_act!X34=0,0,(TrAvia_act!X34/TrAvia_act!X24)/TrAvia_png!X12)</f>
        <v>0.7104067737250338</v>
      </c>
      <c r="Y18" s="25">
        <f>IF(TrAvia_act!Y34=0,0,(TrAvia_act!Y34/TrAvia_act!Y24)/TrAvia_png!Y12)</f>
        <v>0.76565073478901879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0.75386897835699329</v>
      </c>
      <c r="C20" s="89">
        <f>IF(TrAvia_act!C36=0,0,(TrAvia_act!C36/TrAvia_act!C26)/TrAvia_png!C14)</f>
        <v>0.75309756788220117</v>
      </c>
      <c r="D20" s="89">
        <f>IF(TrAvia_act!D36=0,0,(TrAvia_act!D36/TrAvia_act!D26)/TrAvia_png!D14)</f>
        <v>0.75138165492210884</v>
      </c>
      <c r="E20" s="89">
        <f>IF(TrAvia_act!E36=0,0,(TrAvia_act!E36/TrAvia_act!E26)/TrAvia_png!E14)</f>
        <v>0.74760398554379881</v>
      </c>
      <c r="F20" s="89">
        <f>IF(TrAvia_act!F36=0,0,(TrAvia_act!F36/TrAvia_act!F26)/TrAvia_png!F14)</f>
        <v>0.74526783978997202</v>
      </c>
      <c r="G20" s="89">
        <f>IF(TrAvia_act!G36=0,0,(TrAvia_act!G36/TrAvia_act!G26)/TrAvia_png!G14)</f>
        <v>0.74632478234929478</v>
      </c>
      <c r="H20" s="89">
        <f>IF(TrAvia_act!H36=0,0,(TrAvia_act!H36/TrAvia_act!H26)/TrAvia_png!H14)</f>
        <v>0.73935724592895236</v>
      </c>
      <c r="I20" s="89">
        <f>IF(TrAvia_act!I36=0,0,(TrAvia_act!I36/TrAvia_act!I26)/TrAvia_png!I14)</f>
        <v>0.72701901750021047</v>
      </c>
      <c r="J20" s="89">
        <f>IF(TrAvia_act!J36=0,0,(TrAvia_act!J36/TrAvia_act!J26)/TrAvia_png!J14)</f>
        <v>0.69404188922328047</v>
      </c>
      <c r="K20" s="89">
        <f>IF(TrAvia_act!K36=0,0,(TrAvia_act!K36/TrAvia_act!K26)/TrAvia_png!K14)</f>
        <v>0.70066007109081585</v>
      </c>
      <c r="L20" s="89">
        <f>IF(TrAvia_act!L36=0,0,(TrAvia_act!L36/TrAvia_act!L26)/TrAvia_png!L14)</f>
        <v>0.68947129664322382</v>
      </c>
      <c r="M20" s="89">
        <f>IF(TrAvia_act!M36=0,0,(TrAvia_act!M36/TrAvia_act!M26)/TrAvia_png!M14)</f>
        <v>0.74806011392927096</v>
      </c>
      <c r="N20" s="89">
        <f>IF(TrAvia_act!N36=0,0,(TrAvia_act!N36/TrAvia_act!N26)/TrAvia_png!N14)</f>
        <v>0.74137879317707667</v>
      </c>
      <c r="O20" s="89">
        <f>IF(TrAvia_act!O36=0,0,(TrAvia_act!O36/TrAvia_act!O26)/TrAvia_png!O14)</f>
        <v>0.76335695784336832</v>
      </c>
      <c r="P20" s="89">
        <f>IF(TrAvia_act!P36=0,0,(TrAvia_act!P36/TrAvia_act!P26)/TrAvia_png!P14)</f>
        <v>0.78017092529261567</v>
      </c>
      <c r="Q20" s="89">
        <f>IF(TrAvia_act!Q36=0,0,(TrAvia_act!Q36/TrAvia_act!Q26)/TrAvia_png!Q14)</f>
        <v>0.77220842273281942</v>
      </c>
      <c r="R20" s="89">
        <f>IF(TrAvia_act!R36=0,0,(TrAvia_act!R36/TrAvia_act!R26)/TrAvia_png!R14)</f>
        <v>0.80876532313857208</v>
      </c>
      <c r="S20" s="89">
        <f>IF(TrAvia_act!S36=0,0,(TrAvia_act!S36/TrAvia_act!S26)/TrAvia_png!S14)</f>
        <v>0.79925569148389231</v>
      </c>
      <c r="T20" s="89">
        <f>IF(TrAvia_act!T36=0,0,(TrAvia_act!T36/TrAvia_act!T26)/TrAvia_png!T14)</f>
        <v>0.79131404340362144</v>
      </c>
      <c r="U20" s="89">
        <f>IF(TrAvia_act!U36=0,0,(TrAvia_act!U36/TrAvia_act!U26)/TrAvia_png!U14)</f>
        <v>0.78632069966851681</v>
      </c>
      <c r="V20" s="89">
        <f>IF(TrAvia_act!V36=0,0,(TrAvia_act!V36/TrAvia_act!V26)/TrAvia_png!V14)</f>
        <v>0.53959144379823876</v>
      </c>
      <c r="W20" s="89">
        <f>IF(TrAvia_act!W36=0,0,(TrAvia_act!W36/TrAvia_act!W26)/TrAvia_png!W14)</f>
        <v>0.5046456485100882</v>
      </c>
      <c r="X20" s="89">
        <f>IF(TrAvia_act!X36=0,0,(TrAvia_act!X36/TrAvia_act!X26)/TrAvia_png!X14)</f>
        <v>0.70796585865958106</v>
      </c>
      <c r="Y20" s="89">
        <f>IF(TrAvia_act!Y36=0,0,(TrAvia_act!Y36/TrAvia_act!Y26)/TrAvia_png!Y14)</f>
        <v>0.76631085686998945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0.62034757962258524</v>
      </c>
      <c r="C21" s="90">
        <f>IF(TrAvia_act!C37=0,0,(TrAvia_act!C37/TrAvia_act!C27)/TrAvia_png!C15)</f>
        <v>0.62264598973459739</v>
      </c>
      <c r="D21" s="90">
        <f>IF(TrAvia_act!D37=0,0,(TrAvia_act!D37/TrAvia_act!D27)/TrAvia_png!D15)</f>
        <v>0.62909342800242452</v>
      </c>
      <c r="E21" s="90">
        <f>IF(TrAvia_act!E37=0,0,(TrAvia_act!E37/TrAvia_act!E27)/TrAvia_png!E15)</f>
        <v>0.63423150172815113</v>
      </c>
      <c r="F21" s="90">
        <f>IF(TrAvia_act!F37=0,0,(TrAvia_act!F37/TrAvia_act!F27)/TrAvia_png!F15)</f>
        <v>0.64140334661968301</v>
      </c>
      <c r="G21" s="90">
        <f>IF(TrAvia_act!G37=0,0,(TrAvia_act!G37/TrAvia_act!G27)/TrAvia_png!G15)</f>
        <v>0.64192899122453906</v>
      </c>
      <c r="H21" s="90">
        <f>IF(TrAvia_act!H37=0,0,(TrAvia_act!H37/TrAvia_act!H27)/TrAvia_png!H15)</f>
        <v>0.64549492780682094</v>
      </c>
      <c r="I21" s="90">
        <f>IF(TrAvia_act!I37=0,0,(TrAvia_act!I37/TrAvia_act!I27)/TrAvia_png!I15)</f>
        <v>0.70867740478043839</v>
      </c>
      <c r="J21" s="90">
        <f>IF(TrAvia_act!J37=0,0,(TrAvia_act!J37/TrAvia_act!J27)/TrAvia_png!J15)</f>
        <v>0.70233461376126061</v>
      </c>
      <c r="K21" s="90">
        <f>IF(TrAvia_act!K37=0,0,(TrAvia_act!K37/TrAvia_act!K27)/TrAvia_png!K15)</f>
        <v>0.74346146258420465</v>
      </c>
      <c r="L21" s="90">
        <f>IF(TrAvia_act!L37=0,0,(TrAvia_act!L37/TrAvia_act!L27)/TrAvia_png!L15)</f>
        <v>0.75184840427811528</v>
      </c>
      <c r="M21" s="90">
        <f>IF(TrAvia_act!M37=0,0,(TrAvia_act!M37/TrAvia_act!M27)/TrAvia_png!M15)</f>
        <v>0.73425064232306725</v>
      </c>
      <c r="N21" s="90">
        <f>IF(TrAvia_act!N37=0,0,(TrAvia_act!N37/TrAvia_act!N27)/TrAvia_png!N15)</f>
        <v>0.75208524546770206</v>
      </c>
      <c r="O21" s="90">
        <f>IF(TrAvia_act!O37=0,0,(TrAvia_act!O37/TrAvia_act!O27)/TrAvia_png!O15)</f>
        <v>0.72476356872512293</v>
      </c>
      <c r="P21" s="90">
        <f>IF(TrAvia_act!P37=0,0,(TrAvia_act!P37/TrAvia_act!P27)/TrAvia_png!P15)</f>
        <v>0.69231111270484458</v>
      </c>
      <c r="Q21" s="90">
        <f>IF(TrAvia_act!Q37=0,0,(TrAvia_act!Q37/TrAvia_act!Q27)/TrAvia_png!Q15)</f>
        <v>0.69922564429536405</v>
      </c>
      <c r="R21" s="90">
        <f>IF(TrAvia_act!R37=0,0,(TrAvia_act!R37/TrAvia_act!R27)/TrAvia_png!R15)</f>
        <v>0.70255281446410278</v>
      </c>
      <c r="S21" s="90">
        <f>IF(TrAvia_act!S37=0,0,(TrAvia_act!S37/TrAvia_act!S27)/TrAvia_png!S15)</f>
        <v>0.72451916421158469</v>
      </c>
      <c r="T21" s="90">
        <f>IF(TrAvia_act!T37=0,0,(TrAvia_act!T37/TrAvia_act!T27)/TrAvia_png!T15)</f>
        <v>0.73525997877480709</v>
      </c>
      <c r="U21" s="90">
        <f>IF(TrAvia_act!U37=0,0,(TrAvia_act!U37/TrAvia_act!U27)/TrAvia_png!U15)</f>
        <v>0.75861923812602705</v>
      </c>
      <c r="V21" s="90">
        <f>IF(TrAvia_act!V37=0,0,(TrAvia_act!V37/TrAvia_act!V27)/TrAvia_png!V15)</f>
        <v>0.61400848010437048</v>
      </c>
      <c r="W21" s="90">
        <f>IF(TrAvia_act!W37=0,0,(TrAvia_act!W37/TrAvia_act!W27)/TrAvia_png!W15)</f>
        <v>0.55155054314738827</v>
      </c>
      <c r="X21" s="90">
        <f>IF(TrAvia_act!X37=0,0,(TrAvia_act!X37/TrAvia_act!X27)/TrAvia_png!X15)</f>
        <v>0.73545878601092385</v>
      </c>
      <c r="Y21" s="90">
        <f>IF(TrAvia_act!Y37=0,0,(TrAvia_act!Y37/TrAvia_act!Y27)/TrAvia_png!Y15)</f>
        <v>0.75999222016921131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5.7957620795191643E-2</v>
      </c>
      <c r="C24" s="23">
        <f>IF(TrAvia_ene!C6=0,0,TrAvia_ene!C6/(C12*TrAvia_act!C14))</f>
        <v>5.6497870170114893E-2</v>
      </c>
      <c r="D24" s="23">
        <f>IF(TrAvia_ene!D6=0,0,TrAvia_ene!D6/(D12*TrAvia_act!D14))</f>
        <v>5.4988449197280798E-2</v>
      </c>
      <c r="E24" s="23">
        <f>IF(TrAvia_ene!E6=0,0,TrAvia_ene!E6/(E12*TrAvia_act!E14))</f>
        <v>5.3625990007977839E-2</v>
      </c>
      <c r="F24" s="23">
        <f>IF(TrAvia_ene!F6=0,0,TrAvia_ene!F6/(F12*TrAvia_act!F14))</f>
        <v>5.217860892051656E-2</v>
      </c>
      <c r="G24" s="23">
        <f>IF(TrAvia_ene!G6=0,0,TrAvia_ene!G6/(G12*TrAvia_act!G14))</f>
        <v>3.1299714389560293E-2</v>
      </c>
      <c r="H24" s="23">
        <f>IF(TrAvia_ene!H6=0,0,TrAvia_ene!H6/(H12*TrAvia_act!H14))</f>
        <v>2.6433633827950824E-2</v>
      </c>
      <c r="I24" s="23">
        <f>IF(TrAvia_ene!I6=0,0,TrAvia_ene!I6/(I12*TrAvia_act!I14))</f>
        <v>2.5811381486131154E-2</v>
      </c>
      <c r="J24" s="23">
        <f>IF(TrAvia_ene!J6=0,0,TrAvia_ene!J6/(J12*TrAvia_act!J14))</f>
        <v>2.7467994778445377E-2</v>
      </c>
      <c r="K24" s="23">
        <f>IF(TrAvia_ene!K6=0,0,TrAvia_ene!K6/(K12*TrAvia_act!K14))</f>
        <v>3.0615566293733913E-2</v>
      </c>
      <c r="L24" s="23">
        <f>IF(TrAvia_ene!L6=0,0,TrAvia_ene!L6/(L12*TrAvia_act!L14))</f>
        <v>3.0742781292012151E-2</v>
      </c>
      <c r="M24" s="23">
        <f>IF(TrAvia_ene!M6=0,0,TrAvia_ene!M6/(M12*TrAvia_act!M14))</f>
        <v>3.2772772438838388E-2</v>
      </c>
      <c r="N24" s="23">
        <f>IF(TrAvia_ene!N6=0,0,TrAvia_ene!N6/(N12*TrAvia_act!N14))</f>
        <v>3.5385214616756686E-2</v>
      </c>
      <c r="O24" s="23">
        <f>IF(TrAvia_ene!O6=0,0,TrAvia_ene!O6/(O12*TrAvia_act!O14))</f>
        <v>3.4596387964389477E-2</v>
      </c>
      <c r="P24" s="23">
        <f>IF(TrAvia_ene!P6=0,0,TrAvia_ene!P6/(P12*TrAvia_act!P14))</f>
        <v>3.1460535069529623E-2</v>
      </c>
      <c r="Q24" s="23">
        <f>IF(TrAvia_ene!Q6=0,0,TrAvia_ene!Q6/(Q12*TrAvia_act!Q14))</f>
        <v>2.9676540884610039E-2</v>
      </c>
      <c r="R24" s="23">
        <f>IF(TrAvia_ene!R6=0,0,TrAvia_ene!R6/(R12*TrAvia_act!R14))</f>
        <v>3.3987779293914271E-2</v>
      </c>
      <c r="S24" s="23">
        <f>IF(TrAvia_ene!S6=0,0,TrAvia_ene!S6/(S12*TrAvia_act!S14))</f>
        <v>3.404820208288524E-2</v>
      </c>
      <c r="T24" s="23">
        <f>IF(TrAvia_ene!T6=0,0,TrAvia_ene!T6/(T12*TrAvia_act!T14))</f>
        <v>3.1053961116681319E-2</v>
      </c>
      <c r="U24" s="23">
        <f>IF(TrAvia_ene!U6=0,0,TrAvia_ene!U6/(U12*TrAvia_act!U14))</f>
        <v>2.8431091617632413E-2</v>
      </c>
      <c r="V24" s="23">
        <f>IF(TrAvia_ene!V6=0,0,TrAvia_ene!V6/(V12*TrAvia_act!V14))</f>
        <v>2.8977578532044707E-2</v>
      </c>
      <c r="W24" s="23">
        <f>IF(TrAvia_ene!W6=0,0,TrAvia_ene!W6/(W12*TrAvia_act!W14))</f>
        <v>2.4933099421070425E-2</v>
      </c>
      <c r="X24" s="23">
        <f>IF(TrAvia_ene!X6=0,0,TrAvia_ene!X6/(X12*TrAvia_act!X14))</f>
        <v>2.1039892996588327E-2</v>
      </c>
      <c r="Y24" s="23">
        <f>IF(TrAvia_ene!Y6=0,0,TrAvia_ene!Y6/(Y12*TrAvia_act!Y14))</f>
        <v>2.2528182596636907E-2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7.4227504621764806E-2</v>
      </c>
      <c r="C26" s="93">
        <f>IF(TrAvia_ene!C8=0,0,TrAvia_ene!C8/(C14*TrAvia_act!C16))</f>
        <v>7.2293034119179478E-2</v>
      </c>
      <c r="D26" s="93">
        <f>IF(TrAvia_ene!D8=0,0,TrAvia_ene!D8/(D14*TrAvia_act!D16))</f>
        <v>7.0234965804825064E-2</v>
      </c>
      <c r="E26" s="93">
        <f>IF(TrAvia_ene!E8=0,0,TrAvia_ene!E8/(E14*TrAvia_act!E16))</f>
        <v>6.8388790792231147E-2</v>
      </c>
      <c r="F26" s="93">
        <f>IF(TrAvia_ene!F8=0,0,TrAvia_ene!F8/(F14*TrAvia_act!F16))</f>
        <v>6.6386568382847733E-2</v>
      </c>
      <c r="G26" s="93">
        <f>IF(TrAvia_ene!G8=0,0,TrAvia_ene!G8/(G14*TrAvia_act!G16))</f>
        <v>4.1268975349437978E-2</v>
      </c>
      <c r="H26" s="93">
        <f>IF(TrAvia_ene!H8=0,0,TrAvia_ene!H8/(H14*TrAvia_act!H16))</f>
        <v>3.5787824472939107E-2</v>
      </c>
      <c r="I26" s="93">
        <f>IF(TrAvia_ene!I8=0,0,TrAvia_ene!I8/(I14*TrAvia_act!I16))</f>
        <v>3.6117089432712031E-2</v>
      </c>
      <c r="J26" s="93">
        <f>IF(TrAvia_ene!J8=0,0,TrAvia_ene!J8/(J14*TrAvia_act!J16))</f>
        <v>3.8373668418435099E-2</v>
      </c>
      <c r="K26" s="93">
        <f>IF(TrAvia_ene!K8=0,0,TrAvia_ene!K8/(K14*TrAvia_act!K16))</f>
        <v>3.9634580541978243E-2</v>
      </c>
      <c r="L26" s="93">
        <f>IF(TrAvia_ene!L8=0,0,TrAvia_ene!L8/(L14*TrAvia_act!L16))</f>
        <v>3.8714390838759265E-2</v>
      </c>
      <c r="M26" s="93">
        <f>IF(TrAvia_ene!M8=0,0,TrAvia_ene!M8/(M14*TrAvia_act!M16))</f>
        <v>4.1460875442484724E-2</v>
      </c>
      <c r="N26" s="93">
        <f>IF(TrAvia_ene!N8=0,0,TrAvia_ene!N8/(N14*TrAvia_act!N16))</f>
        <v>4.4020526561311647E-2</v>
      </c>
      <c r="O26" s="93">
        <f>IF(TrAvia_ene!O8=0,0,TrAvia_ene!O8/(O14*TrAvia_act!O16))</f>
        <v>4.3949848350658745E-2</v>
      </c>
      <c r="P26" s="93">
        <f>IF(TrAvia_ene!P8=0,0,TrAvia_ene!P8/(P14*TrAvia_act!P16))</f>
        <v>3.8545878150167495E-2</v>
      </c>
      <c r="Q26" s="93">
        <f>IF(TrAvia_ene!Q8=0,0,TrAvia_ene!Q8/(Q14*TrAvia_act!Q16))</f>
        <v>3.4725394726030881E-2</v>
      </c>
      <c r="R26" s="93">
        <f>IF(TrAvia_ene!R8=0,0,TrAvia_ene!R8/(R14*TrAvia_act!R16))</f>
        <v>4.0726448674255629E-2</v>
      </c>
      <c r="S26" s="93">
        <f>IF(TrAvia_ene!S8=0,0,TrAvia_ene!S8/(S14*TrAvia_act!S16))</f>
        <v>4.128274789043454E-2</v>
      </c>
      <c r="T26" s="93">
        <f>IF(TrAvia_ene!T8=0,0,TrAvia_ene!T8/(T14*TrAvia_act!T16))</f>
        <v>3.8303530988526173E-2</v>
      </c>
      <c r="U26" s="93">
        <f>IF(TrAvia_ene!U8=0,0,TrAvia_ene!U8/(U14*TrAvia_act!U16))</f>
        <v>3.5810169913867006E-2</v>
      </c>
      <c r="V26" s="93">
        <f>IF(TrAvia_ene!V8=0,0,TrAvia_ene!V8/(V14*TrAvia_act!V16))</f>
        <v>3.0797856402225692E-2</v>
      </c>
      <c r="W26" s="93">
        <f>IF(TrAvia_ene!W8=0,0,TrAvia_ene!W8/(W14*TrAvia_act!W16))</f>
        <v>2.8511082111882757E-2</v>
      </c>
      <c r="X26" s="93">
        <f>IF(TrAvia_ene!X8=0,0,TrAvia_ene!X8/(X14*TrAvia_act!X16))</f>
        <v>2.3447123587242557E-2</v>
      </c>
      <c r="Y26" s="93">
        <f>IF(TrAvia_ene!Y8=0,0,TrAvia_ene!Y8/(Y14*TrAvia_act!Y16))</f>
        <v>2.6245519520438895E-2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1.9693578664302415E-2</v>
      </c>
      <c r="C27" s="94">
        <f>IF(TrAvia_ene!C9=0,0,TrAvia_ene!C9/(C15*TrAvia_act!C17))</f>
        <v>1.9309931007872112E-2</v>
      </c>
      <c r="D27" s="94">
        <f>IF(TrAvia_ene!D9=0,0,TrAvia_ene!D9/(D15*TrAvia_act!D17))</f>
        <v>1.8995746563789783E-2</v>
      </c>
      <c r="E27" s="94">
        <f>IF(TrAvia_ene!E9=0,0,TrAvia_ene!E9/(E15*TrAvia_act!E17))</f>
        <v>1.8698986493587363E-2</v>
      </c>
      <c r="F27" s="94">
        <f>IF(TrAvia_ene!F9=0,0,TrAvia_ene!F9/(F15*TrAvia_act!F17))</f>
        <v>1.8469953466252405E-2</v>
      </c>
      <c r="G27" s="94">
        <f>IF(TrAvia_ene!G9=0,0,TrAvia_ene!G9/(G15*TrAvia_act!G17))</f>
        <v>9.9678213763732849E-3</v>
      </c>
      <c r="H27" s="94">
        <f>IF(TrAvia_ene!H9=0,0,TrAvia_ene!H9/(H15*TrAvia_act!H17))</f>
        <v>7.8597319087314252E-3</v>
      </c>
      <c r="I27" s="94">
        <f>IF(TrAvia_ene!I9=0,0,TrAvia_ene!I9/(I15*TrAvia_act!I17))</f>
        <v>6.9075302383995903E-3</v>
      </c>
      <c r="J27" s="94">
        <f>IF(TrAvia_ene!J9=0,0,TrAvia_ene!J9/(J15*TrAvia_act!J17))</f>
        <v>7.1909872879007911E-3</v>
      </c>
      <c r="K27" s="94">
        <f>IF(TrAvia_ene!K9=0,0,TrAvia_ene!K9/(K15*TrAvia_act!K17))</f>
        <v>9.91660167943525E-3</v>
      </c>
      <c r="L27" s="94">
        <f>IF(TrAvia_ene!L9=0,0,TrAvia_ene!L9/(L15*TrAvia_act!L17))</f>
        <v>9.6672807971084299E-3</v>
      </c>
      <c r="M27" s="94">
        <f>IF(TrAvia_ene!M9=0,0,TrAvia_ene!M9/(M15*TrAvia_act!M17))</f>
        <v>9.7554621829924765E-3</v>
      </c>
      <c r="N27" s="94">
        <f>IF(TrAvia_ene!N9=0,0,TrAvia_ene!N9/(N15*TrAvia_act!N17))</f>
        <v>1.1461017419506723E-2</v>
      </c>
      <c r="O27" s="94">
        <f>IF(TrAvia_ene!O9=0,0,TrAvia_ene!O9/(O15*TrAvia_act!O17))</f>
        <v>1.052658488880095E-2</v>
      </c>
      <c r="P27" s="94">
        <f>IF(TrAvia_ene!P9=0,0,TrAvia_ene!P9/(P15*TrAvia_act!P17))</f>
        <v>1.0563148599209534E-2</v>
      </c>
      <c r="Q27" s="94">
        <f>IF(TrAvia_ene!Q9=0,0,TrAvia_ene!Q9/(Q15*TrAvia_act!Q17))</f>
        <v>1.1141198794935822E-2</v>
      </c>
      <c r="R27" s="94">
        <f>IF(TrAvia_ene!R9=0,0,TrAvia_ene!R9/(R15*TrAvia_act!R17))</f>
        <v>1.1445673013421512E-2</v>
      </c>
      <c r="S27" s="94">
        <f>IF(TrAvia_ene!S9=0,0,TrAvia_ene!S9/(S15*TrAvia_act!S17))</f>
        <v>1.0590481041984309E-2</v>
      </c>
      <c r="T27" s="94">
        <f>IF(TrAvia_ene!T9=0,0,TrAvia_ene!T9/(T15*TrAvia_act!T17))</f>
        <v>9.0012442395063785E-3</v>
      </c>
      <c r="U27" s="94">
        <f>IF(TrAvia_ene!U9=0,0,TrAvia_ene!U9/(U15*TrAvia_act!U17))</f>
        <v>7.8046456106549041E-3</v>
      </c>
      <c r="V27" s="94">
        <f>IF(TrAvia_ene!V9=0,0,TrAvia_ene!V9/(V15*TrAvia_act!V17))</f>
        <v>1.9571041613050899E-2</v>
      </c>
      <c r="W27" s="94">
        <f>IF(TrAvia_ene!W9=0,0,TrAvia_ene!W9/(W15*TrAvia_act!W17))</f>
        <v>1.1022932184016973E-2</v>
      </c>
      <c r="X27" s="94">
        <f>IF(TrAvia_ene!X9=0,0,TrAvia_ene!X9/(X15*TrAvia_act!X17))</f>
        <v>8.5818091722713041E-3</v>
      </c>
      <c r="Y27" s="94">
        <f>IF(TrAvia_ene!Y9=0,0,TrAvia_ene!Y9/(Y15*TrAvia_act!Y17))</f>
        <v>7.6700215488604284E-3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6.3339999999999996</v>
      </c>
      <c r="J3" s="54">
        <f t="shared" si="0"/>
        <v>7.89</v>
      </c>
      <c r="K3" s="54">
        <f t="shared" si="0"/>
        <v>13.057</v>
      </c>
      <c r="L3" s="54">
        <f t="shared" si="0"/>
        <v>8.6120000000000001</v>
      </c>
      <c r="M3" s="54">
        <f t="shared" si="0"/>
        <v>10.279</v>
      </c>
      <c r="N3" s="54">
        <f t="shared" si="0"/>
        <v>12.779</v>
      </c>
      <c r="O3" s="54">
        <f t="shared" si="0"/>
        <v>22.446000000000002</v>
      </c>
      <c r="P3" s="54">
        <f t="shared" si="0"/>
        <v>8.1120000000000001</v>
      </c>
      <c r="Q3" s="54">
        <f t="shared" si="0"/>
        <v>7.3339999999999996</v>
      </c>
      <c r="R3" s="54">
        <f t="shared" ref="R3:V3" si="1">SUM(R4:R5)</f>
        <v>14.89</v>
      </c>
      <c r="S3" s="54">
        <f t="shared" si="1"/>
        <v>18.113</v>
      </c>
      <c r="T3" s="54">
        <f t="shared" si="1"/>
        <v>7.1120000000000001</v>
      </c>
      <c r="U3" s="54">
        <f t="shared" si="1"/>
        <v>4.0670000000000002</v>
      </c>
      <c r="V3" s="54">
        <f t="shared" si="1"/>
        <v>2</v>
      </c>
      <c r="W3" s="54">
        <f t="shared" ref="W3:Y3" si="2">SUM(W4:W5)</f>
        <v>2</v>
      </c>
      <c r="X3" s="54">
        <f t="shared" si="2"/>
        <v>1.383</v>
      </c>
      <c r="Y3" s="54">
        <f t="shared" si="2"/>
        <v>0.78700000000000003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6.3339999999999996</v>
      </c>
      <c r="J4" s="56">
        <v>7.89</v>
      </c>
      <c r="K4" s="56">
        <v>13.057</v>
      </c>
      <c r="L4" s="56">
        <v>8.6120000000000001</v>
      </c>
      <c r="M4" s="56">
        <v>10.279</v>
      </c>
      <c r="N4" s="56">
        <v>12.779</v>
      </c>
      <c r="O4" s="56">
        <v>22.446000000000002</v>
      </c>
      <c r="P4" s="56">
        <v>8.1120000000000001</v>
      </c>
      <c r="Q4" s="56">
        <v>7.3339999999999996</v>
      </c>
      <c r="R4" s="56">
        <v>14.89</v>
      </c>
      <c r="S4" s="56">
        <v>18.113</v>
      </c>
      <c r="T4" s="56">
        <v>7.1120000000000001</v>
      </c>
      <c r="U4" s="56">
        <v>4.0670000000000002</v>
      </c>
      <c r="V4" s="56">
        <v>2</v>
      </c>
      <c r="W4" s="56">
        <v>2</v>
      </c>
      <c r="X4" s="56">
        <v>1.383</v>
      </c>
      <c r="Y4" s="56">
        <v>0.78700000000000003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4.0000000000000001E-3</v>
      </c>
      <c r="J7" s="59">
        <f t="shared" si="3"/>
        <v>8.0000000000000002E-3</v>
      </c>
      <c r="K7" s="59">
        <f t="shared" si="3"/>
        <v>0.01</v>
      </c>
      <c r="L7" s="59">
        <f t="shared" si="3"/>
        <v>8.0000000000000002E-3</v>
      </c>
      <c r="M7" s="59">
        <f t="shared" si="3"/>
        <v>8.0000000000000002E-3</v>
      </c>
      <c r="N7" s="59">
        <f t="shared" si="3"/>
        <v>0.01</v>
      </c>
      <c r="O7" s="59">
        <f t="shared" si="3"/>
        <v>1.9E-2</v>
      </c>
      <c r="P7" s="59">
        <f t="shared" si="3"/>
        <v>6.0000000000000001E-3</v>
      </c>
      <c r="Q7" s="59">
        <f t="shared" si="3"/>
        <v>6.0000000000000001E-3</v>
      </c>
      <c r="R7" s="59">
        <f t="shared" ref="R7:V7" si="4">SUM(R8:R9)</f>
        <v>1.4999999999999999E-2</v>
      </c>
      <c r="S7" s="59">
        <f t="shared" si="4"/>
        <v>1.9E-2</v>
      </c>
      <c r="T7" s="59">
        <f t="shared" si="4"/>
        <v>4.0000000000000001E-3</v>
      </c>
      <c r="U7" s="59">
        <f t="shared" si="4"/>
        <v>3.0000000000000001E-3</v>
      </c>
      <c r="V7" s="59">
        <f t="shared" si="4"/>
        <v>1E-3</v>
      </c>
      <c r="W7" s="59">
        <f t="shared" ref="W7:Y7" si="5">SUM(W8:W9)</f>
        <v>1E-3</v>
      </c>
      <c r="X7" s="59">
        <f t="shared" si="5"/>
        <v>1E-3</v>
      </c>
      <c r="Y7" s="59">
        <f t="shared" si="5"/>
        <v>1E-3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4.0000000000000001E-3</v>
      </c>
      <c r="J8" s="60">
        <v>8.0000000000000002E-3</v>
      </c>
      <c r="K8" s="60">
        <v>0.01</v>
      </c>
      <c r="L8" s="60">
        <v>8.0000000000000002E-3</v>
      </c>
      <c r="M8" s="60">
        <v>8.0000000000000002E-3</v>
      </c>
      <c r="N8" s="60">
        <v>0.01</v>
      </c>
      <c r="O8" s="60">
        <v>1.9E-2</v>
      </c>
      <c r="P8" s="60">
        <v>6.0000000000000001E-3</v>
      </c>
      <c r="Q8" s="60">
        <v>6.0000000000000001E-3</v>
      </c>
      <c r="R8" s="60">
        <v>1.4999999999999999E-2</v>
      </c>
      <c r="S8" s="60">
        <v>1.9E-2</v>
      </c>
      <c r="T8" s="60">
        <v>4.0000000000000001E-3</v>
      </c>
      <c r="U8" s="60">
        <v>3.0000000000000001E-3</v>
      </c>
      <c r="V8" s="60">
        <v>1E-3</v>
      </c>
      <c r="W8" s="60">
        <v>1E-3</v>
      </c>
      <c r="X8" s="60">
        <v>1E-3</v>
      </c>
      <c r="Y8" s="60">
        <v>1E-3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0</v>
      </c>
      <c r="H13" s="62">
        <f t="shared" si="7"/>
        <v>0</v>
      </c>
      <c r="I13" s="62">
        <f t="shared" si="7"/>
        <v>1583.4999999999998</v>
      </c>
      <c r="J13" s="62">
        <f t="shared" si="7"/>
        <v>986.24999999999989</v>
      </c>
      <c r="K13" s="62">
        <f t="shared" si="7"/>
        <v>1305.7</v>
      </c>
      <c r="L13" s="62">
        <f t="shared" si="7"/>
        <v>1076.5</v>
      </c>
      <c r="M13" s="62">
        <f t="shared" si="7"/>
        <v>1284.875</v>
      </c>
      <c r="N13" s="62">
        <f t="shared" si="7"/>
        <v>1277.8999999999999</v>
      </c>
      <c r="O13" s="62">
        <f t="shared" si="7"/>
        <v>1181.3684210526317</v>
      </c>
      <c r="P13" s="62">
        <f t="shared" si="7"/>
        <v>1352</v>
      </c>
      <c r="Q13" s="62">
        <f t="shared" si="7"/>
        <v>1222.3333333333333</v>
      </c>
      <c r="R13" s="62">
        <f t="shared" si="7"/>
        <v>992.66666666666674</v>
      </c>
      <c r="S13" s="62">
        <f t="shared" si="7"/>
        <v>953.31578947368416</v>
      </c>
      <c r="T13" s="62">
        <f t="shared" si="7"/>
        <v>1778</v>
      </c>
      <c r="U13" s="62">
        <f t="shared" si="7"/>
        <v>1355.6666666666667</v>
      </c>
      <c r="V13" s="62">
        <f t="shared" si="7"/>
        <v>2000</v>
      </c>
      <c r="W13" s="62">
        <f t="shared" ref="W13:Y13" si="8">IF(W3=0,0,W3/W7)</f>
        <v>2000</v>
      </c>
      <c r="X13" s="62">
        <f t="shared" si="8"/>
        <v>1383</v>
      </c>
      <c r="Y13" s="62">
        <f t="shared" si="8"/>
        <v>787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1583.4999999999998</v>
      </c>
      <c r="J14" s="63">
        <f t="shared" si="9"/>
        <v>986.24999999999989</v>
      </c>
      <c r="K14" s="63">
        <f t="shared" si="9"/>
        <v>1305.7</v>
      </c>
      <c r="L14" s="63">
        <f t="shared" si="9"/>
        <v>1076.5</v>
      </c>
      <c r="M14" s="63">
        <f t="shared" si="9"/>
        <v>1284.875</v>
      </c>
      <c r="N14" s="63">
        <f t="shared" si="9"/>
        <v>1277.8999999999999</v>
      </c>
      <c r="O14" s="63">
        <f t="shared" si="9"/>
        <v>1181.3684210526317</v>
      </c>
      <c r="P14" s="63">
        <f t="shared" si="9"/>
        <v>1352</v>
      </c>
      <c r="Q14" s="63">
        <f t="shared" si="9"/>
        <v>1222.3333333333333</v>
      </c>
      <c r="R14" s="63">
        <f t="shared" si="9"/>
        <v>992.66666666666674</v>
      </c>
      <c r="S14" s="63">
        <f t="shared" si="9"/>
        <v>953.31578947368416</v>
      </c>
      <c r="T14" s="63">
        <f t="shared" si="9"/>
        <v>1778</v>
      </c>
      <c r="U14" s="63">
        <f t="shared" si="9"/>
        <v>1355.6666666666667</v>
      </c>
      <c r="V14" s="63">
        <f t="shared" si="9"/>
        <v>2000</v>
      </c>
      <c r="W14" s="63">
        <f t="shared" ref="W14:Y14" si="10">IF(W4=0,0,W4/W8)</f>
        <v>2000</v>
      </c>
      <c r="X14" s="63">
        <f t="shared" si="10"/>
        <v>1383</v>
      </c>
      <c r="Y14" s="63">
        <f t="shared" si="10"/>
        <v>787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0</v>
      </c>
      <c r="H17" s="65">
        <f t="shared" si="14"/>
        <v>0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:Y18" si="18">IF(W4=0,0,W4/W$3)</f>
        <v>1</v>
      </c>
      <c r="X18" s="66">
        <f t="shared" si="18"/>
        <v>1</v>
      </c>
      <c r="Y18" s="66">
        <f t="shared" si="18"/>
        <v>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0</v>
      </c>
      <c r="H21" s="65">
        <f t="shared" si="23"/>
        <v>0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:Y22" si="27">IF(W8=0,0,W8/W$7)</f>
        <v>1</v>
      </c>
      <c r="X22" s="66">
        <f t="shared" si="27"/>
        <v>1</v>
      </c>
      <c r="Y22" s="66">
        <f t="shared" si="27"/>
        <v>1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1.01487532244196</v>
      </c>
      <c r="J3" s="62">
        <f t="shared" si="0"/>
        <v>2.0297506448839209</v>
      </c>
      <c r="K3" s="62">
        <f t="shared" si="0"/>
        <v>4.0594153052450546</v>
      </c>
      <c r="L3" s="62">
        <f t="shared" si="0"/>
        <v>5.0742906276870174</v>
      </c>
      <c r="M3" s="62">
        <f t="shared" si="0"/>
        <v>5.0742906276870174</v>
      </c>
      <c r="N3" s="62">
        <f t="shared" si="0"/>
        <v>4.0594153052450546</v>
      </c>
      <c r="O3" s="62">
        <f t="shared" si="0"/>
        <v>8.1188306104901109</v>
      </c>
      <c r="P3" s="62">
        <f t="shared" si="0"/>
        <v>4.0594153052450546</v>
      </c>
      <c r="Q3" s="62">
        <f t="shared" si="0"/>
        <v>3.0445399828030948</v>
      </c>
      <c r="R3" s="62">
        <f t="shared" si="0"/>
        <v>4.0594153052450546</v>
      </c>
      <c r="S3" s="62">
        <f t="shared" si="0"/>
        <v>4.6037833190025799</v>
      </c>
      <c r="T3" s="62">
        <f t="shared" si="0"/>
        <v>5.4575236457437661</v>
      </c>
      <c r="U3" s="62">
        <f t="shared" si="0"/>
        <v>1.730352536543422</v>
      </c>
      <c r="V3" s="62">
        <f t="shared" si="0"/>
        <v>2.3674118658641441</v>
      </c>
      <c r="W3" s="62">
        <f t="shared" ref="W3:Y3" si="1">SUM(W4,W10)</f>
        <v>2.5564918314703355</v>
      </c>
      <c r="X3" s="62">
        <f t="shared" si="1"/>
        <v>1.7679277730008598</v>
      </c>
      <c r="Y3" s="62">
        <f t="shared" si="1"/>
        <v>1.0056749785038694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1.01487532244196</v>
      </c>
      <c r="J4" s="71">
        <f t="shared" si="2"/>
        <v>2.0297506448839209</v>
      </c>
      <c r="K4" s="71">
        <f t="shared" si="2"/>
        <v>4.0594153052450546</v>
      </c>
      <c r="L4" s="71">
        <f t="shared" si="2"/>
        <v>5.0742906276870174</v>
      </c>
      <c r="M4" s="71">
        <f t="shared" si="2"/>
        <v>5.0742906276870174</v>
      </c>
      <c r="N4" s="71">
        <f t="shared" si="2"/>
        <v>4.0594153052450546</v>
      </c>
      <c r="O4" s="71">
        <f t="shared" si="2"/>
        <v>8.1188306104901109</v>
      </c>
      <c r="P4" s="71">
        <f t="shared" si="2"/>
        <v>4.0594153052450546</v>
      </c>
      <c r="Q4" s="71">
        <f t="shared" si="2"/>
        <v>3.0445399828030948</v>
      </c>
      <c r="R4" s="71">
        <f t="shared" si="2"/>
        <v>4.0594153052450546</v>
      </c>
      <c r="S4" s="71">
        <f t="shared" si="2"/>
        <v>4.6037833190025799</v>
      </c>
      <c r="T4" s="71">
        <f t="shared" si="2"/>
        <v>5.4575236457437661</v>
      </c>
      <c r="U4" s="71">
        <f t="shared" si="2"/>
        <v>1.730352536543422</v>
      </c>
      <c r="V4" s="71">
        <f t="shared" si="2"/>
        <v>2.3674118658641441</v>
      </c>
      <c r="W4" s="71">
        <f t="shared" ref="W4:Y4" si="3">SUM(W5:W9)</f>
        <v>2.5564918314703355</v>
      </c>
      <c r="X4" s="71">
        <f t="shared" si="3"/>
        <v>1.7679277730008598</v>
      </c>
      <c r="Y4" s="71">
        <f t="shared" si="3"/>
        <v>1.0056749785038694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1.01487532244196</v>
      </c>
      <c r="J5" s="73">
        <v>2.0297506448839209</v>
      </c>
      <c r="K5" s="73">
        <v>4.0594153052450546</v>
      </c>
      <c r="L5" s="73">
        <v>5.0742906276870174</v>
      </c>
      <c r="M5" s="73">
        <v>5.0742906276870174</v>
      </c>
      <c r="N5" s="73">
        <v>4.0594153052450546</v>
      </c>
      <c r="O5" s="73">
        <v>8.1188306104901109</v>
      </c>
      <c r="P5" s="73">
        <v>4.0594153052450546</v>
      </c>
      <c r="Q5" s="73">
        <v>3.0445399828030948</v>
      </c>
      <c r="R5" s="73">
        <v>4.0594153052450546</v>
      </c>
      <c r="S5" s="73">
        <v>4.4724849527085127</v>
      </c>
      <c r="T5" s="73">
        <v>5.3797936371453137</v>
      </c>
      <c r="U5" s="73">
        <v>1.638950988822012</v>
      </c>
      <c r="V5" s="73">
        <v>2.2550300945829749</v>
      </c>
      <c r="W5" s="73">
        <v>2.3433361994840931</v>
      </c>
      <c r="X5" s="73">
        <v>1.617712811693895</v>
      </c>
      <c r="Y5" s="73">
        <v>0.88701633705932936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0.13129836629406721</v>
      </c>
      <c r="T6" s="73">
        <v>7.7730008598452471E-2</v>
      </c>
      <c r="U6" s="73">
        <v>9.140154772141007E-2</v>
      </c>
      <c r="V6" s="73">
        <v>0.11238177128116922</v>
      </c>
      <c r="W6" s="73">
        <v>0.21315563198624243</v>
      </c>
      <c r="X6" s="73">
        <v>0.15021496130696477</v>
      </c>
      <c r="Y6" s="73">
        <v>0.11865864144454008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0</v>
      </c>
      <c r="H19" s="62">
        <f>IF(H3=0,0,H3/TrNavi_act!H7*100)</f>
        <v>0</v>
      </c>
      <c r="I19" s="62">
        <f>IF(I3=0,0,I3/TrNavi_act!I7*100)</f>
        <v>25371.883061049</v>
      </c>
      <c r="J19" s="62">
        <f>IF(J3=0,0,J3/TrNavi_act!J7*100)</f>
        <v>25371.883061049011</v>
      </c>
      <c r="K19" s="62">
        <f>IF(K3=0,0,K3/TrNavi_act!K7*100)</f>
        <v>40594.153052450543</v>
      </c>
      <c r="L19" s="62">
        <f>IF(L3=0,0,L3/TrNavi_act!L7*100)</f>
        <v>63428.632846087712</v>
      </c>
      <c r="M19" s="62">
        <f>IF(M3=0,0,M3/TrNavi_act!M7*100)</f>
        <v>63428.632846087712</v>
      </c>
      <c r="N19" s="62">
        <f>IF(N3=0,0,N3/TrNavi_act!N7*100)</f>
        <v>40594.153052450543</v>
      </c>
      <c r="O19" s="62">
        <f>IF(O3=0,0,O3/TrNavi_act!O7*100)</f>
        <v>42730.68742363216</v>
      </c>
      <c r="P19" s="62">
        <f>IF(P3=0,0,P3/TrNavi_act!P7*100)</f>
        <v>67656.921754084236</v>
      </c>
      <c r="Q19" s="62">
        <f>IF(Q3=0,0,Q3/TrNavi_act!Q7*100)</f>
        <v>50742.333046718246</v>
      </c>
      <c r="R19" s="62">
        <f>IF(R3=0,0,R3/TrNavi_act!R7*100)</f>
        <v>27062.7687016337</v>
      </c>
      <c r="S19" s="62">
        <f>IF(S3=0,0,S3/TrNavi_act!S7*100)</f>
        <v>24230.438521066211</v>
      </c>
      <c r="T19" s="62">
        <f>IF(T3=0,0,T3/TrNavi_act!T7*100)</f>
        <v>136438.09114359415</v>
      </c>
      <c r="U19" s="62">
        <f>IF(U3=0,0,U3/TrNavi_act!U7*100)</f>
        <v>57678.417884780734</v>
      </c>
      <c r="V19" s="62">
        <f>IF(V3=0,0,V3/TrNavi_act!V7*100)</f>
        <v>236741.18658641441</v>
      </c>
      <c r="W19" s="62">
        <f>IF(W3=0,0,W3/TrNavi_act!W7*100)</f>
        <v>255649.18314703356</v>
      </c>
      <c r="X19" s="62">
        <f>IF(X3=0,0,X3/TrNavi_act!X7*100)</f>
        <v>176792.77730008599</v>
      </c>
      <c r="Y19" s="62">
        <f>IF(Y3=0,0,Y3/TrNavi_act!Y7*100)</f>
        <v>100567.49785038694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25371.883061049</v>
      </c>
      <c r="J20" s="63">
        <f>IF(J4=0,0,J4/TrNavi_act!J8*100)</f>
        <v>25371.883061049011</v>
      </c>
      <c r="K20" s="63">
        <f>IF(K4=0,0,K4/TrNavi_act!K8*100)</f>
        <v>40594.153052450543</v>
      </c>
      <c r="L20" s="63">
        <f>IF(L4=0,0,L4/TrNavi_act!L8*100)</f>
        <v>63428.632846087712</v>
      </c>
      <c r="M20" s="63">
        <f>IF(M4=0,0,M4/TrNavi_act!M8*100)</f>
        <v>63428.632846087712</v>
      </c>
      <c r="N20" s="63">
        <f>IF(N4=0,0,N4/TrNavi_act!N8*100)</f>
        <v>40594.153052450543</v>
      </c>
      <c r="O20" s="63">
        <f>IF(O4=0,0,O4/TrNavi_act!O8*100)</f>
        <v>42730.68742363216</v>
      </c>
      <c r="P20" s="63">
        <f>IF(P4=0,0,P4/TrNavi_act!P8*100)</f>
        <v>67656.921754084236</v>
      </c>
      <c r="Q20" s="63">
        <f>IF(Q4=0,0,Q4/TrNavi_act!Q8*100)</f>
        <v>50742.333046718246</v>
      </c>
      <c r="R20" s="63">
        <f>IF(R4=0,0,R4/TrNavi_act!R8*100)</f>
        <v>27062.7687016337</v>
      </c>
      <c r="S20" s="63">
        <f>IF(S4=0,0,S4/TrNavi_act!S8*100)</f>
        <v>24230.438521066211</v>
      </c>
      <c r="T20" s="63">
        <f>IF(T4=0,0,T4/TrNavi_act!T8*100)</f>
        <v>136438.09114359415</v>
      </c>
      <c r="U20" s="63">
        <f>IF(U4=0,0,U4/TrNavi_act!U8*100)</f>
        <v>57678.417884780734</v>
      </c>
      <c r="V20" s="63">
        <f>IF(V4=0,0,V4/TrNavi_act!V8*100)</f>
        <v>236741.18658641441</v>
      </c>
      <c r="W20" s="63">
        <f>IF(W4=0,0,W4/TrNavi_act!W8*100)</f>
        <v>255649.18314703356</v>
      </c>
      <c r="X20" s="63">
        <f>IF(X4=0,0,X4/TrNavi_act!X8*100)</f>
        <v>176792.77730008599</v>
      </c>
      <c r="Y20" s="63">
        <f>IF(Y4=0,0,Y4/TrNavi_act!Y8*100)</f>
        <v>100567.49785038694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0</v>
      </c>
      <c r="H23" s="62">
        <f>IF(H3=0,0,H3/TrNavi_act!H3*1000)</f>
        <v>0</v>
      </c>
      <c r="I23" s="62">
        <f>IF(I3=0,0,I3/TrNavi_act!I3*1000)</f>
        <v>160.22660600599306</v>
      </c>
      <c r="J23" s="62">
        <f>IF(J3=0,0,J3/TrNavi_act!J3*1000)</f>
        <v>257.25610201317124</v>
      </c>
      <c r="K23" s="62">
        <f>IF(K3=0,0,K3/TrNavi_act!K3*1000)</f>
        <v>310.89954087807723</v>
      </c>
      <c r="L23" s="62">
        <f>IF(L3=0,0,L3/TrNavi_act!L3*1000)</f>
        <v>589.21163814294209</v>
      </c>
      <c r="M23" s="62">
        <f>IF(M3=0,0,M3/TrNavi_act!M3*1000)</f>
        <v>493.65605873013106</v>
      </c>
      <c r="N23" s="62">
        <f>IF(N3=0,0,N3/TrNavi_act!N3*1000)</f>
        <v>317.66298655959423</v>
      </c>
      <c r="O23" s="62">
        <f>IF(O3=0,0,O3/TrNavi_act!O3*1000)</f>
        <v>361.70500804108133</v>
      </c>
      <c r="P23" s="62">
        <f>IF(P3=0,0,P3/TrNavi_act!P3*1000)</f>
        <v>500.42101889115565</v>
      </c>
      <c r="Q23" s="62">
        <f>IF(Q3=0,0,Q3/TrNavi_act!Q3*1000)</f>
        <v>415.12680430912121</v>
      </c>
      <c r="R23" s="62">
        <f>IF(R3=0,0,R3/TrNavi_act!R3*1000)</f>
        <v>272.62695132606143</v>
      </c>
      <c r="S23" s="62">
        <f>IF(S3=0,0,S3/TrNavi_act!S3*1000)</f>
        <v>254.17011643585158</v>
      </c>
      <c r="T23" s="62">
        <f>IF(T3=0,0,T3/TrNavi_act!T3*1000)</f>
        <v>767.36834164001209</v>
      </c>
      <c r="U23" s="62">
        <f>IF(U3=0,0,U3/TrNavi_act!U3*1000)</f>
        <v>425.46165147367151</v>
      </c>
      <c r="V23" s="62">
        <f>IF(V3=0,0,V3/TrNavi_act!V3*1000)</f>
        <v>1183.7059329320721</v>
      </c>
      <c r="W23" s="62">
        <f>IF(W3=0,0,W3/TrNavi_act!W3*1000)</f>
        <v>1278.2459157351677</v>
      </c>
      <c r="X23" s="62">
        <f>IF(X3=0,0,X3/TrNavi_act!X3*1000)</f>
        <v>1278.3281077374259</v>
      </c>
      <c r="Y23" s="62">
        <f>IF(Y3=0,0,Y3/TrNavi_act!Y3*1000)</f>
        <v>1277.858930754599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160.22660600599306</v>
      </c>
      <c r="J24" s="63">
        <f>IF(J4=0,0,J4/TrNavi_act!J4*1000)</f>
        <v>257.25610201317124</v>
      </c>
      <c r="K24" s="63">
        <f>IF(K4=0,0,K4/TrNavi_act!K4*1000)</f>
        <v>310.89954087807723</v>
      </c>
      <c r="L24" s="63">
        <f>IF(L4=0,0,L4/TrNavi_act!L4*1000)</f>
        <v>589.21163814294209</v>
      </c>
      <c r="M24" s="63">
        <f>IF(M4=0,0,M4/TrNavi_act!M4*1000)</f>
        <v>493.65605873013106</v>
      </c>
      <c r="N24" s="63">
        <f>IF(N4=0,0,N4/TrNavi_act!N4*1000)</f>
        <v>317.66298655959423</v>
      </c>
      <c r="O24" s="63">
        <f>IF(O4=0,0,O4/TrNavi_act!O4*1000)</f>
        <v>361.70500804108133</v>
      </c>
      <c r="P24" s="63">
        <f>IF(P4=0,0,P4/TrNavi_act!P4*1000)</f>
        <v>500.42101889115565</v>
      </c>
      <c r="Q24" s="63">
        <f>IF(Q4=0,0,Q4/TrNavi_act!Q4*1000)</f>
        <v>415.12680430912121</v>
      </c>
      <c r="R24" s="63">
        <f>IF(R4=0,0,R4/TrNavi_act!R4*1000)</f>
        <v>272.62695132606143</v>
      </c>
      <c r="S24" s="63">
        <f>IF(S4=0,0,S4/TrNavi_act!S4*1000)</f>
        <v>254.17011643585158</v>
      </c>
      <c r="T24" s="63">
        <f>IF(T4=0,0,T4/TrNavi_act!T4*1000)</f>
        <v>767.36834164001209</v>
      </c>
      <c r="U24" s="63">
        <f>IF(U4=0,0,U4/TrNavi_act!U4*1000)</f>
        <v>425.46165147367151</v>
      </c>
      <c r="V24" s="63">
        <f>IF(V4=0,0,V4/TrNavi_act!V4*1000)</f>
        <v>1183.7059329320721</v>
      </c>
      <c r="W24" s="63">
        <f>IF(W4=0,0,W4/TrNavi_act!W4*1000)</f>
        <v>1278.2459157351677</v>
      </c>
      <c r="X24" s="63">
        <f>IF(X4=0,0,X4/TrNavi_act!X4*1000)</f>
        <v>1278.3281077374259</v>
      </c>
      <c r="Y24" s="63">
        <f>IF(Y4=0,0,Y4/TrNavi_act!Y4*1000)</f>
        <v>1277.858930754599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1</v>
      </c>
      <c r="J28" s="77">
        <f t="shared" si="9"/>
        <v>1</v>
      </c>
      <c r="K28" s="77">
        <f t="shared" si="9"/>
        <v>1</v>
      </c>
      <c r="L28" s="77">
        <f t="shared" si="9"/>
        <v>1</v>
      </c>
      <c r="M28" s="77">
        <f t="shared" si="9"/>
        <v>1</v>
      </c>
      <c r="N28" s="77">
        <f t="shared" si="9"/>
        <v>1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1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1</v>
      </c>
      <c r="W28" s="77">
        <f t="shared" si="10"/>
        <v>1</v>
      </c>
      <c r="X28" s="77">
        <f t="shared" ref="X28:Y28" si="11">IF(X4=0,0,X4/X$3)</f>
        <v>1</v>
      </c>
      <c r="Y28" s="77">
        <f t="shared" si="11"/>
        <v>1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4">
        <f t="shared" si="1"/>
        <v>0</v>
      </c>
      <c r="I3" s="54">
        <f t="shared" si="1"/>
        <v>3.1485682799999988</v>
      </c>
      <c r="J3" s="54">
        <f t="shared" si="1"/>
        <v>6.2971365600000002</v>
      </c>
      <c r="K3" s="54">
        <f t="shared" si="1"/>
        <v>12.594006359999996</v>
      </c>
      <c r="L3" s="54">
        <f t="shared" si="1"/>
        <v>15.742574640000004</v>
      </c>
      <c r="M3" s="54">
        <f t="shared" si="1"/>
        <v>15.742574640000004</v>
      </c>
      <c r="N3" s="54">
        <f t="shared" si="1"/>
        <v>12.594006359999996</v>
      </c>
      <c r="O3" s="54">
        <f t="shared" si="1"/>
        <v>25.18801272</v>
      </c>
      <c r="P3" s="54">
        <f t="shared" si="1"/>
        <v>12.594006359999996</v>
      </c>
      <c r="Q3" s="54">
        <f t="shared" si="1"/>
        <v>9.4454380799999988</v>
      </c>
      <c r="R3" s="54">
        <f t="shared" si="1"/>
        <v>12.594006359999996</v>
      </c>
      <c r="S3" s="54">
        <f t="shared" si="1"/>
        <v>14.256477360000002</v>
      </c>
      <c r="T3" s="54">
        <f t="shared" si="1"/>
        <v>16.915902840000001</v>
      </c>
      <c r="U3" s="54">
        <f t="shared" si="1"/>
        <v>5.3499096000000002</v>
      </c>
      <c r="V3" s="54">
        <f t="shared" si="1"/>
        <v>7.3221181199999998</v>
      </c>
      <c r="W3" s="54">
        <f t="shared" ref="W3:Y3" si="2">SUM(W4:W5)</f>
        <v>7.8884712000000015</v>
      </c>
      <c r="X3" s="54">
        <f t="shared" si="2"/>
        <v>5.4546641999999999</v>
      </c>
      <c r="Y3" s="54">
        <f t="shared" si="2"/>
        <v>3.0961785600000002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3.1485682799999988</v>
      </c>
      <c r="J4" s="56">
        <v>6.2971365600000002</v>
      </c>
      <c r="K4" s="56">
        <v>12.594006359999996</v>
      </c>
      <c r="L4" s="56">
        <v>15.742574640000004</v>
      </c>
      <c r="M4" s="56">
        <v>15.742574640000004</v>
      </c>
      <c r="N4" s="56">
        <v>12.594006359999996</v>
      </c>
      <c r="O4" s="56">
        <v>25.18801272</v>
      </c>
      <c r="P4" s="56">
        <v>12.594006359999996</v>
      </c>
      <c r="Q4" s="56">
        <v>9.4454380799999988</v>
      </c>
      <c r="R4" s="56">
        <v>12.594006359999996</v>
      </c>
      <c r="S4" s="56">
        <v>14.256477360000002</v>
      </c>
      <c r="T4" s="56">
        <v>16.915902840000001</v>
      </c>
      <c r="U4" s="56">
        <v>5.3499096000000002</v>
      </c>
      <c r="V4" s="56">
        <v>7.3221181199999998</v>
      </c>
      <c r="W4" s="56">
        <v>7.8884712000000015</v>
      </c>
      <c r="X4" s="56">
        <v>5.4546641999999999</v>
      </c>
      <c r="Y4" s="56">
        <v>3.0961785600000002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0</v>
      </c>
      <c r="H9" s="79">
        <f>IF(H3=0,0,H3/TrNavi_ene!H3)</f>
        <v>0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3.0966873052332748</v>
      </c>
      <c r="T9" s="79">
        <f>IF(T3=0,0,T3/TrNavi_ene!T3)</f>
        <v>3.0995564908257318</v>
      </c>
      <c r="U9" s="79">
        <f>IF(U3=0,0,U3/TrNavi_ene!U3)</f>
        <v>3.0918032522361365</v>
      </c>
      <c r="V9" s="79">
        <f>IF(V3=0,0,V3/TrNavi_ene!V3)</f>
        <v>3.092878863022555</v>
      </c>
      <c r="W9" s="79">
        <f>IF(W3=0,0,W3/TrNavi_ene!W3)</f>
        <v>3.0856625876496708</v>
      </c>
      <c r="X9" s="79">
        <f>IF(X3=0,0,X3/TrNavi_ene!X3)</f>
        <v>3.0853433512961432</v>
      </c>
      <c r="Y9" s="79">
        <f>IF(Y3=0,0,Y3/TrNavi_ene!Y3)</f>
        <v>3.0787069641586866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3.0966873052332748</v>
      </c>
      <c r="T10" s="80">
        <f>IF(T4=0,0,T4/TrNavi_ene!T4)</f>
        <v>3.0995564908257318</v>
      </c>
      <c r="U10" s="80">
        <f>IF(U4=0,0,U4/TrNavi_ene!U4)</f>
        <v>3.0918032522361365</v>
      </c>
      <c r="V10" s="80">
        <f>IF(V4=0,0,V4/TrNavi_ene!V4)</f>
        <v>3.092878863022555</v>
      </c>
      <c r="W10" s="80">
        <f>IF(W4=0,0,W4/TrNavi_ene!W4)</f>
        <v>3.0856625876496708</v>
      </c>
      <c r="X10" s="80">
        <f>IF(X4=0,0,X4/TrNavi_ene!X4)</f>
        <v>3.0853433512961432</v>
      </c>
      <c r="Y10" s="80">
        <f>IF(Y4=0,0,Y4/TrNavi_ene!Y4)</f>
        <v>3.0787069641586866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0</v>
      </c>
      <c r="H13" s="54">
        <f>IF(H3=0,0,H3/TrNavi_act!H7*1000)</f>
        <v>0</v>
      </c>
      <c r="I13" s="54">
        <f>IF(I3=0,0,I3/TrNavi_act!I7*1000)</f>
        <v>787142.0699999996</v>
      </c>
      <c r="J13" s="54">
        <f>IF(J3=0,0,J3/TrNavi_act!J7*1000)</f>
        <v>787142.07</v>
      </c>
      <c r="K13" s="54">
        <f>IF(K3=0,0,K3/TrNavi_act!K7*1000)</f>
        <v>1259400.6359999997</v>
      </c>
      <c r="L13" s="54">
        <f>IF(L3=0,0,L3/TrNavi_act!L7*1000)</f>
        <v>1967821.8300000005</v>
      </c>
      <c r="M13" s="54">
        <f>IF(M3=0,0,M3/TrNavi_act!M7*1000)</f>
        <v>1967821.8300000005</v>
      </c>
      <c r="N13" s="54">
        <f>IF(N3=0,0,N3/TrNavi_act!N7*1000)</f>
        <v>1259400.6359999997</v>
      </c>
      <c r="O13" s="54">
        <f>IF(O3=0,0,O3/TrNavi_act!O7*1000)</f>
        <v>1325684.8800000001</v>
      </c>
      <c r="P13" s="54">
        <f>IF(P3=0,0,P3/TrNavi_act!P7*1000)</f>
        <v>2099001.0599999991</v>
      </c>
      <c r="Q13" s="54">
        <f>IF(Q3=0,0,Q3/TrNavi_act!Q7*1000)</f>
        <v>1574239.6799999997</v>
      </c>
      <c r="R13" s="54">
        <f>IF(R3=0,0,R3/TrNavi_act!R7*1000)</f>
        <v>839600.42399999977</v>
      </c>
      <c r="S13" s="54">
        <f>IF(S3=0,0,S3/TrNavi_act!S7*1000)</f>
        <v>750340.91368421062</v>
      </c>
      <c r="T13" s="54">
        <f>IF(T3=0,0,T3/TrNavi_act!T7*1000)</f>
        <v>4228975.7100000009</v>
      </c>
      <c r="U13" s="54">
        <f>IF(U3=0,0,U3/TrNavi_act!U7*1000)</f>
        <v>1783303.2</v>
      </c>
      <c r="V13" s="54">
        <f>IF(V3=0,0,V3/TrNavi_act!V7*1000)</f>
        <v>7322118.1200000001</v>
      </c>
      <c r="W13" s="54">
        <f>IF(W3=0,0,W3/TrNavi_act!W7*1000)</f>
        <v>7888471.2000000011</v>
      </c>
      <c r="X13" s="54">
        <f>IF(X3=0,0,X3/TrNavi_act!X7*1000)</f>
        <v>5454664.2000000002</v>
      </c>
      <c r="Y13" s="54">
        <f>IF(Y3=0,0,Y3/TrNavi_act!Y7*1000)</f>
        <v>3096178.5600000005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787142.0699999996</v>
      </c>
      <c r="J14" s="56">
        <f>IF(J4=0,0,J4/TrNavi_act!J8*1000)</f>
        <v>787142.07</v>
      </c>
      <c r="K14" s="56">
        <f>IF(K4=0,0,K4/TrNavi_act!K8*1000)</f>
        <v>1259400.6359999997</v>
      </c>
      <c r="L14" s="56">
        <f>IF(L4=0,0,L4/TrNavi_act!L8*1000)</f>
        <v>1967821.8300000005</v>
      </c>
      <c r="M14" s="56">
        <f>IF(M4=0,0,M4/TrNavi_act!M8*1000)</f>
        <v>1967821.8300000005</v>
      </c>
      <c r="N14" s="56">
        <f>IF(N4=0,0,N4/TrNavi_act!N8*1000)</f>
        <v>1259400.6359999997</v>
      </c>
      <c r="O14" s="56">
        <f>IF(O4=0,0,O4/TrNavi_act!O8*1000)</f>
        <v>1325684.8800000001</v>
      </c>
      <c r="P14" s="56">
        <f>IF(P4=0,0,P4/TrNavi_act!P8*1000)</f>
        <v>2099001.0599999991</v>
      </c>
      <c r="Q14" s="56">
        <f>IF(Q4=0,0,Q4/TrNavi_act!Q8*1000)</f>
        <v>1574239.6799999997</v>
      </c>
      <c r="R14" s="56">
        <f>IF(R4=0,0,R4/TrNavi_act!R8*1000)</f>
        <v>839600.42399999977</v>
      </c>
      <c r="S14" s="56">
        <f>IF(S4=0,0,S4/TrNavi_act!S8*1000)</f>
        <v>750340.91368421062</v>
      </c>
      <c r="T14" s="56">
        <f>IF(T4=0,0,T4/TrNavi_act!T8*1000)</f>
        <v>4228975.7100000009</v>
      </c>
      <c r="U14" s="56">
        <f>IF(U4=0,0,U4/TrNavi_act!U8*1000)</f>
        <v>1783303.2</v>
      </c>
      <c r="V14" s="56">
        <f>IF(V4=0,0,V4/TrNavi_act!V8*1000)</f>
        <v>7322118.1200000001</v>
      </c>
      <c r="W14" s="56">
        <f>IF(W4=0,0,W4/TrNavi_act!W8*1000)</f>
        <v>7888471.2000000011</v>
      </c>
      <c r="X14" s="56">
        <f>IF(X4=0,0,X4/TrNavi_act!X8*1000)</f>
        <v>5454664.2000000002</v>
      </c>
      <c r="Y14" s="56">
        <f>IF(Y4=0,0,Y4/TrNavi_act!Y8*1000)</f>
        <v>3096178.5600000005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0</v>
      </c>
      <c r="H17" s="62">
        <f>IF(H3=0,0,H3/TrNavi_act!H3*1000)</f>
        <v>0</v>
      </c>
      <c r="I17" s="62">
        <f>IF(I3=0,0,I3/TrNavi_act!I3*1000)</f>
        <v>497.0900347331858</v>
      </c>
      <c r="J17" s="62">
        <f>IF(J3=0,0,J3/TrNavi_act!J3*1000)</f>
        <v>798.11616730038031</v>
      </c>
      <c r="K17" s="62">
        <f>IF(K3=0,0,K3/TrNavi_act!K3*1000)</f>
        <v>964.54058053151539</v>
      </c>
      <c r="L17" s="62">
        <f>IF(L3=0,0,L3/TrNavi_act!L3*1000)</f>
        <v>1827.9812633534607</v>
      </c>
      <c r="M17" s="62">
        <f>IF(M3=0,0,M3/TrNavi_act!M3*1000)</f>
        <v>1531.5278373382628</v>
      </c>
      <c r="N17" s="62">
        <f>IF(N3=0,0,N3/TrNavi_act!N3*1000)</f>
        <v>985.52362156663241</v>
      </c>
      <c r="O17" s="62">
        <f>IF(O3=0,0,O3/TrNavi_act!O3*1000)</f>
        <v>1122.160417000802</v>
      </c>
      <c r="P17" s="62">
        <f>IF(P3=0,0,P3/TrNavi_act!P3*1000)</f>
        <v>1552.5155769230764</v>
      </c>
      <c r="Q17" s="62">
        <f>IF(Q3=0,0,Q3/TrNavi_act!Q3*1000)</f>
        <v>1287.8972020725387</v>
      </c>
      <c r="R17" s="62">
        <f>IF(R3=0,0,R3/TrNavi_act!R3*1000)</f>
        <v>845.80297918065787</v>
      </c>
      <c r="S17" s="62">
        <f>IF(S3=0,0,S3/TrNavi_act!S3*1000)</f>
        <v>787.08537293656502</v>
      </c>
      <c r="T17" s="62">
        <f>IF(T3=0,0,T3/TrNavi_act!T3*1000)</f>
        <v>2378.5015241844771</v>
      </c>
      <c r="U17" s="62">
        <f>IF(U3=0,0,U3/TrNavi_act!U3*1000)</f>
        <v>1315.4437177280552</v>
      </c>
      <c r="V17" s="62">
        <f>IF(V3=0,0,V3/TrNavi_act!V3*1000)</f>
        <v>3661.05906</v>
      </c>
      <c r="W17" s="62">
        <f>IF(W3=0,0,W3/TrNavi_act!W3*1000)</f>
        <v>3944.2356000000009</v>
      </c>
      <c r="X17" s="62">
        <f>IF(X3=0,0,X3/TrNavi_act!X3*1000)</f>
        <v>3944.0811279826466</v>
      </c>
      <c r="Y17" s="62">
        <f>IF(Y3=0,0,Y3/TrNavi_act!Y3*1000)</f>
        <v>3934.1531893265569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497.0900347331858</v>
      </c>
      <c r="J18" s="63">
        <f>IF(J4=0,0,J4/TrNavi_act!J4*1000)</f>
        <v>798.11616730038031</v>
      </c>
      <c r="K18" s="63">
        <f>IF(K4=0,0,K4/TrNavi_act!K4*1000)</f>
        <v>964.54058053151539</v>
      </c>
      <c r="L18" s="63">
        <f>IF(L4=0,0,L4/TrNavi_act!L4*1000)</f>
        <v>1827.9812633534607</v>
      </c>
      <c r="M18" s="63">
        <f>IF(M4=0,0,M4/TrNavi_act!M4*1000)</f>
        <v>1531.5278373382628</v>
      </c>
      <c r="N18" s="63">
        <f>IF(N4=0,0,N4/TrNavi_act!N4*1000)</f>
        <v>985.52362156663241</v>
      </c>
      <c r="O18" s="63">
        <f>IF(O4=0,0,O4/TrNavi_act!O4*1000)</f>
        <v>1122.160417000802</v>
      </c>
      <c r="P18" s="63">
        <f>IF(P4=0,0,P4/TrNavi_act!P4*1000)</f>
        <v>1552.5155769230764</v>
      </c>
      <c r="Q18" s="63">
        <f>IF(Q4=0,0,Q4/TrNavi_act!Q4*1000)</f>
        <v>1287.8972020725387</v>
      </c>
      <c r="R18" s="63">
        <f>IF(R4=0,0,R4/TrNavi_act!R4*1000)</f>
        <v>845.80297918065787</v>
      </c>
      <c r="S18" s="63">
        <f>IF(S4=0,0,S4/TrNavi_act!S4*1000)</f>
        <v>787.08537293656502</v>
      </c>
      <c r="T18" s="63">
        <f>IF(T4=0,0,T4/TrNavi_act!T4*1000)</f>
        <v>2378.5015241844771</v>
      </c>
      <c r="U18" s="63">
        <f>IF(U4=0,0,U4/TrNavi_act!U4*1000)</f>
        <v>1315.4437177280552</v>
      </c>
      <c r="V18" s="63">
        <f>IF(V4=0,0,V4/TrNavi_act!V4*1000)</f>
        <v>3661.05906</v>
      </c>
      <c r="W18" s="63">
        <f>IF(W4=0,0,W4/TrNavi_act!W4*1000)</f>
        <v>3944.2356000000009</v>
      </c>
      <c r="X18" s="63">
        <f>IF(X4=0,0,X4/TrNavi_act!X4*1000)</f>
        <v>3944.0811279826466</v>
      </c>
      <c r="Y18" s="63">
        <f>IF(Y4=0,0,Y4/TrNavi_act!Y4*1000)</f>
        <v>3934.1531893265569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1</v>
      </c>
      <c r="J22" s="77">
        <f t="shared" si="6"/>
        <v>1</v>
      </c>
      <c r="K22" s="77">
        <f t="shared" si="6"/>
        <v>1</v>
      </c>
      <c r="L22" s="77">
        <f t="shared" si="6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1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1</v>
      </c>
      <c r="W22" s="77">
        <f t="shared" si="7"/>
        <v>1</v>
      </c>
      <c r="X22" s="77">
        <f t="shared" ref="X22:Y22" si="8">IF(X4=0,0,X4/X$3)</f>
        <v>1</v>
      </c>
      <c r="Y22" s="77">
        <f t="shared" si="8"/>
        <v>1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4288.4926020000003</v>
      </c>
      <c r="C3" s="54">
        <f t="shared" si="0"/>
        <v>101985.239049</v>
      </c>
      <c r="D3" s="54">
        <f t="shared" si="0"/>
        <v>107530.16257700001</v>
      </c>
      <c r="E3" s="54">
        <f t="shared" si="0"/>
        <v>98245.808151999983</v>
      </c>
      <c r="F3" s="54">
        <f t="shared" si="0"/>
        <v>105851.444636</v>
      </c>
      <c r="G3" s="54">
        <f t="shared" si="0"/>
        <v>119932.13797499999</v>
      </c>
      <c r="H3" s="54">
        <f t="shared" si="0"/>
        <v>100030.949353</v>
      </c>
      <c r="I3" s="54">
        <f t="shared" si="0"/>
        <v>112920.476115</v>
      </c>
      <c r="J3" s="54">
        <f t="shared" si="0"/>
        <v>110948.830952</v>
      </c>
      <c r="K3" s="54">
        <f t="shared" si="0"/>
        <v>101306.87721799999</v>
      </c>
      <c r="L3" s="54">
        <f t="shared" si="0"/>
        <v>107562.18078</v>
      </c>
      <c r="M3" s="54">
        <f t="shared" si="0"/>
        <v>126113.200302</v>
      </c>
      <c r="N3" s="54">
        <f t="shared" si="0"/>
        <v>131476.025872</v>
      </c>
      <c r="O3" s="54">
        <f t="shared" si="0"/>
        <v>119177.62246799999</v>
      </c>
      <c r="P3" s="54">
        <f t="shared" si="0"/>
        <v>134360.13784000001</v>
      </c>
      <c r="Q3" s="54">
        <f t="shared" si="0"/>
        <v>119869.522547</v>
      </c>
      <c r="R3" s="54">
        <f t="shared" ref="R3:W3" si="1">SUM(R4:R5)</f>
        <v>116821.87101599999</v>
      </c>
      <c r="S3" s="54">
        <f t="shared" si="1"/>
        <v>130645.24275599999</v>
      </c>
      <c r="T3" s="54">
        <f t="shared" si="1"/>
        <v>141285.69400000002</v>
      </c>
      <c r="U3" s="54">
        <f t="shared" si="1"/>
        <v>137440.237368</v>
      </c>
      <c r="V3" s="54">
        <f t="shared" si="1"/>
        <v>83296.399892000001</v>
      </c>
      <c r="W3" s="54">
        <f t="shared" si="1"/>
        <v>81215.367035000003</v>
      </c>
      <c r="X3" s="54">
        <f t="shared" ref="X3:Y3" si="2">SUM(X4:X5)</f>
        <v>108539.14563399999</v>
      </c>
      <c r="Y3" s="54">
        <f t="shared" si="2"/>
        <v>84280.076426999993</v>
      </c>
      <c r="DA3" s="172" t="s">
        <v>388</v>
      </c>
    </row>
    <row r="4" spans="1:105" ht="11.45" customHeight="1" x14ac:dyDescent="0.25">
      <c r="A4" s="55" t="s">
        <v>166</v>
      </c>
      <c r="B4" s="56">
        <v>1370.3728550000001</v>
      </c>
      <c r="C4" s="56">
        <v>32073.064358</v>
      </c>
      <c r="D4" s="56">
        <v>33822.950973999999</v>
      </c>
      <c r="E4" s="56">
        <v>30969.809658999999</v>
      </c>
      <c r="F4" s="56">
        <v>33351.603072999998</v>
      </c>
      <c r="G4" s="56">
        <v>33958.098384000004</v>
      </c>
      <c r="H4" s="56">
        <v>29580.380675999997</v>
      </c>
      <c r="I4" s="56">
        <v>33430.414885999999</v>
      </c>
      <c r="J4" s="56">
        <v>32232.671020999998</v>
      </c>
      <c r="K4" s="56">
        <v>30869.400887</v>
      </c>
      <c r="L4" s="56">
        <v>35311.405552999997</v>
      </c>
      <c r="M4" s="56">
        <v>37898.372835000002</v>
      </c>
      <c r="N4" s="56">
        <v>47455.024133999999</v>
      </c>
      <c r="O4" s="56">
        <v>47431.141374999999</v>
      </c>
      <c r="P4" s="56">
        <v>47906.953981999999</v>
      </c>
      <c r="Q4" s="56">
        <v>46593.653965999998</v>
      </c>
      <c r="R4" s="56">
        <v>43821.274219999999</v>
      </c>
      <c r="S4" s="56">
        <v>43190.227084999999</v>
      </c>
      <c r="T4" s="56">
        <v>41300.555678000004</v>
      </c>
      <c r="U4" s="56">
        <v>33513.597422999999</v>
      </c>
      <c r="V4" s="56">
        <v>20156.901355999998</v>
      </c>
      <c r="W4" s="56">
        <v>16620.302876000002</v>
      </c>
      <c r="X4" s="56">
        <v>23308.090088000001</v>
      </c>
      <c r="Y4" s="56">
        <v>17142.21444</v>
      </c>
      <c r="DA4" s="181" t="s">
        <v>389</v>
      </c>
    </row>
    <row r="5" spans="1:105" ht="11.45" customHeight="1" x14ac:dyDescent="0.25">
      <c r="A5" s="57" t="s">
        <v>167</v>
      </c>
      <c r="B5" s="58">
        <v>2918.1197470000002</v>
      </c>
      <c r="C5" s="58">
        <v>69912.174690999993</v>
      </c>
      <c r="D5" s="58">
        <v>73707.211603000003</v>
      </c>
      <c r="E5" s="58">
        <v>67275.998492999992</v>
      </c>
      <c r="F5" s="58">
        <v>72499.841563000009</v>
      </c>
      <c r="G5" s="58">
        <v>85974.039590999993</v>
      </c>
      <c r="H5" s="58">
        <v>70450.568677000003</v>
      </c>
      <c r="I5" s="58">
        <v>79490.061228999999</v>
      </c>
      <c r="J5" s="58">
        <v>78716.159931000002</v>
      </c>
      <c r="K5" s="58">
        <v>70437.476330999998</v>
      </c>
      <c r="L5" s="58">
        <v>72250.775227000006</v>
      </c>
      <c r="M5" s="58">
        <v>88214.827466999996</v>
      </c>
      <c r="N5" s="58">
        <v>84021.001737999992</v>
      </c>
      <c r="O5" s="58">
        <v>71746.481092999995</v>
      </c>
      <c r="P5" s="58">
        <v>86453.183858000004</v>
      </c>
      <c r="Q5" s="58">
        <v>73275.868581000002</v>
      </c>
      <c r="R5" s="58">
        <v>73000.596795999998</v>
      </c>
      <c r="S5" s="58">
        <v>87455.015671000001</v>
      </c>
      <c r="T5" s="58">
        <v>99985.138321999999</v>
      </c>
      <c r="U5" s="58">
        <v>103926.639945</v>
      </c>
      <c r="V5" s="58">
        <v>63139.498535999999</v>
      </c>
      <c r="W5" s="58">
        <v>64595.064159000001</v>
      </c>
      <c r="X5" s="58">
        <v>85231.055545999989</v>
      </c>
      <c r="Y5" s="58">
        <v>67137.861986999997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0.56037899999999996</v>
      </c>
      <c r="C7" s="59">
        <f t="shared" si="3"/>
        <v>12.900227999999998</v>
      </c>
      <c r="D7" s="59">
        <f t="shared" si="3"/>
        <v>13.304456999999999</v>
      </c>
      <c r="E7" s="59">
        <f t="shared" si="3"/>
        <v>12.161108</v>
      </c>
      <c r="F7" s="59">
        <f t="shared" si="3"/>
        <v>12.979607</v>
      </c>
      <c r="G7" s="59">
        <f t="shared" si="3"/>
        <v>14.340146999999998</v>
      </c>
      <c r="H7" s="59">
        <f t="shared" si="3"/>
        <v>11.286578</v>
      </c>
      <c r="I7" s="59">
        <f t="shared" si="3"/>
        <v>12.267016</v>
      </c>
      <c r="J7" s="59">
        <f t="shared" si="3"/>
        <v>11.861706999999999</v>
      </c>
      <c r="K7" s="59">
        <f t="shared" si="3"/>
        <v>10.224691</v>
      </c>
      <c r="L7" s="59">
        <f t="shared" si="3"/>
        <v>10.211190999999999</v>
      </c>
      <c r="M7" s="59">
        <f t="shared" si="3"/>
        <v>11.235293</v>
      </c>
      <c r="N7" s="59">
        <f t="shared" si="3"/>
        <v>12.659600000000001</v>
      </c>
      <c r="O7" s="59">
        <f t="shared" si="3"/>
        <v>11.855926</v>
      </c>
      <c r="P7" s="59">
        <f t="shared" si="3"/>
        <v>12.111095000000001</v>
      </c>
      <c r="Q7" s="59">
        <f t="shared" si="3"/>
        <v>10.368615999999999</v>
      </c>
      <c r="R7" s="59">
        <f t="shared" si="3"/>
        <v>9.757127999999998</v>
      </c>
      <c r="S7" s="59">
        <f t="shared" si="3"/>
        <v>10.077195</v>
      </c>
      <c r="T7" s="59">
        <f t="shared" si="3"/>
        <v>10.608193</v>
      </c>
      <c r="U7" s="59">
        <f t="shared" si="3"/>
        <v>9.7206130000000002</v>
      </c>
      <c r="V7" s="59">
        <f t="shared" si="3"/>
        <v>6.2772649999999999</v>
      </c>
      <c r="W7" s="59">
        <f t="shared" si="3"/>
        <v>5.9158259999999991</v>
      </c>
      <c r="X7" s="59">
        <f t="shared" ref="X7:Y7" si="4">SUM(X8:X9)</f>
        <v>7.175122</v>
      </c>
      <c r="Y7" s="59">
        <f t="shared" si="4"/>
        <v>5.5734080000000006</v>
      </c>
      <c r="DA7" s="172" t="s">
        <v>963</v>
      </c>
    </row>
    <row r="8" spans="1:105" ht="11.45" customHeight="1" x14ac:dyDescent="0.25">
      <c r="A8" s="55" t="s">
        <v>166</v>
      </c>
      <c r="B8" s="60">
        <v>0.31990400000000002</v>
      </c>
      <c r="C8" s="60">
        <v>7.3372719999999996</v>
      </c>
      <c r="D8" s="60">
        <v>7.5239069999999995</v>
      </c>
      <c r="E8" s="60">
        <v>6.859674</v>
      </c>
      <c r="F8" s="60">
        <v>7.3381249999999998</v>
      </c>
      <c r="G8" s="60">
        <v>7.4474349999999996</v>
      </c>
      <c r="H8" s="60">
        <v>5.8551830000000002</v>
      </c>
      <c r="I8" s="60">
        <v>6.5213780000000003</v>
      </c>
      <c r="J8" s="60">
        <v>6.3182650000000002</v>
      </c>
      <c r="K8" s="60">
        <v>5.6232639999999998</v>
      </c>
      <c r="L8" s="60">
        <v>6.0897299999999994</v>
      </c>
      <c r="M8" s="60">
        <v>6.3798640000000004</v>
      </c>
      <c r="N8" s="60">
        <v>7.8331749999999998</v>
      </c>
      <c r="O8" s="60">
        <v>7.6425029999999996</v>
      </c>
      <c r="P8" s="60">
        <v>7.622681</v>
      </c>
      <c r="Q8" s="60">
        <v>6.8223000000000003</v>
      </c>
      <c r="R8" s="60">
        <v>6.3550809999999993</v>
      </c>
      <c r="S8" s="60">
        <v>6.3012690000000005</v>
      </c>
      <c r="T8" s="60">
        <v>6.2339930000000008</v>
      </c>
      <c r="U8" s="60">
        <v>5.1939969999999995</v>
      </c>
      <c r="V8" s="60">
        <v>3.1292020000000003</v>
      </c>
      <c r="W8" s="60">
        <v>2.8910959999999997</v>
      </c>
      <c r="X8" s="60">
        <v>3.7656830000000001</v>
      </c>
      <c r="Y8" s="60">
        <v>2.8729250000000004</v>
      </c>
      <c r="DA8" s="181" t="s">
        <v>964</v>
      </c>
    </row>
    <row r="9" spans="1:105" ht="11.45" customHeight="1" x14ac:dyDescent="0.25">
      <c r="A9" s="57" t="s">
        <v>167</v>
      </c>
      <c r="B9" s="61">
        <v>0.24047499999999999</v>
      </c>
      <c r="C9" s="61">
        <v>5.5629559999999998</v>
      </c>
      <c r="D9" s="61">
        <v>5.7805499999999999</v>
      </c>
      <c r="E9" s="61">
        <v>5.3014340000000004</v>
      </c>
      <c r="F9" s="61">
        <v>5.6414819999999999</v>
      </c>
      <c r="G9" s="61">
        <v>6.8927119999999995</v>
      </c>
      <c r="H9" s="61">
        <v>5.4313950000000002</v>
      </c>
      <c r="I9" s="61">
        <v>5.7456379999999996</v>
      </c>
      <c r="J9" s="61">
        <v>5.5434419999999998</v>
      </c>
      <c r="K9" s="61">
        <v>4.6014270000000002</v>
      </c>
      <c r="L9" s="61">
        <v>4.121461</v>
      </c>
      <c r="M9" s="61">
        <v>4.855429</v>
      </c>
      <c r="N9" s="61">
        <v>4.8264250000000004</v>
      </c>
      <c r="O9" s="61">
        <v>4.2134229999999997</v>
      </c>
      <c r="P9" s="61">
        <v>4.4884140000000006</v>
      </c>
      <c r="Q9" s="61">
        <v>3.546316</v>
      </c>
      <c r="R9" s="61">
        <v>3.4020469999999996</v>
      </c>
      <c r="S9" s="61">
        <v>3.7759260000000001</v>
      </c>
      <c r="T9" s="61">
        <v>4.3742000000000001</v>
      </c>
      <c r="U9" s="61">
        <v>4.5266159999999998</v>
      </c>
      <c r="V9" s="61">
        <v>3.1480630000000001</v>
      </c>
      <c r="W9" s="61">
        <v>3.0247299999999999</v>
      </c>
      <c r="X9" s="61">
        <v>3.4094390000000003</v>
      </c>
      <c r="Y9" s="61">
        <v>2.7004830000000002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7652.8431686412241</v>
      </c>
      <c r="C13" s="62">
        <f t="shared" si="5"/>
        <v>7905.6927558954776</v>
      </c>
      <c r="D13" s="62">
        <f t="shared" si="5"/>
        <v>8082.2661591525321</v>
      </c>
      <c r="E13" s="62">
        <f t="shared" si="5"/>
        <v>8078.6888951236988</v>
      </c>
      <c r="F13" s="62">
        <f t="shared" si="5"/>
        <v>8155.2118362289402</v>
      </c>
      <c r="G13" s="62">
        <f t="shared" si="5"/>
        <v>8363.3827446120322</v>
      </c>
      <c r="H13" s="62">
        <f t="shared" si="5"/>
        <v>8862.8235549340116</v>
      </c>
      <c r="I13" s="62">
        <f t="shared" si="5"/>
        <v>9205.2114479185475</v>
      </c>
      <c r="J13" s="62">
        <f t="shared" si="5"/>
        <v>9353.5298884047643</v>
      </c>
      <c r="K13" s="62">
        <f t="shared" si="5"/>
        <v>9908.062475237637</v>
      </c>
      <c r="L13" s="62">
        <f t="shared" si="5"/>
        <v>10533.754659960821</v>
      </c>
      <c r="M13" s="62">
        <f t="shared" si="5"/>
        <v>11224.73622201041</v>
      </c>
      <c r="N13" s="62">
        <f t="shared" si="5"/>
        <v>10385.480257828051</v>
      </c>
      <c r="O13" s="62">
        <f t="shared" si="5"/>
        <v>10052.156404147596</v>
      </c>
      <c r="P13" s="62">
        <f t="shared" si="5"/>
        <v>11093.971093447784</v>
      </c>
      <c r="Q13" s="62">
        <f t="shared" si="5"/>
        <v>11560.802574519108</v>
      </c>
      <c r="R13" s="62">
        <f t="shared" si="5"/>
        <v>11972.977193288847</v>
      </c>
      <c r="S13" s="62">
        <f t="shared" si="5"/>
        <v>12964.445240565454</v>
      </c>
      <c r="T13" s="62">
        <f t="shared" si="5"/>
        <v>13318.544826625988</v>
      </c>
      <c r="U13" s="62">
        <f t="shared" si="5"/>
        <v>14139.050424906331</v>
      </c>
      <c r="V13" s="62">
        <f t="shared" si="5"/>
        <v>13269.536954708779</v>
      </c>
      <c r="W13" s="62">
        <f t="shared" si="5"/>
        <v>13728.491513273044</v>
      </c>
      <c r="X13" s="62">
        <f t="shared" ref="X13:Y13" si="6">IF(X3=0,0,X3/X7)</f>
        <v>15127.149842748317</v>
      </c>
      <c r="Y13" s="62">
        <f t="shared" si="6"/>
        <v>15121.82069337109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4283.7002819595882</v>
      </c>
      <c r="C14" s="63">
        <f t="shared" si="5"/>
        <v>4371.2519255112802</v>
      </c>
      <c r="D14" s="63">
        <f t="shared" si="5"/>
        <v>4495.3972682012154</v>
      </c>
      <c r="E14" s="63">
        <f t="shared" si="5"/>
        <v>4514.7640629860834</v>
      </c>
      <c r="F14" s="63">
        <f t="shared" si="5"/>
        <v>4544.9761448598929</v>
      </c>
      <c r="G14" s="63">
        <f t="shared" si="5"/>
        <v>4559.7038959051015</v>
      </c>
      <c r="H14" s="63">
        <f t="shared" si="5"/>
        <v>5051.9993441707966</v>
      </c>
      <c r="I14" s="63">
        <f t="shared" si="5"/>
        <v>5126.2808084426324</v>
      </c>
      <c r="J14" s="63">
        <f t="shared" si="5"/>
        <v>5101.5066669410035</v>
      </c>
      <c r="K14" s="63">
        <f t="shared" si="5"/>
        <v>5489.5876997772111</v>
      </c>
      <c r="L14" s="63">
        <f t="shared" si="5"/>
        <v>5798.5174306578456</v>
      </c>
      <c r="M14" s="63">
        <f t="shared" si="5"/>
        <v>5940.3104572448565</v>
      </c>
      <c r="N14" s="63">
        <f t="shared" si="5"/>
        <v>6058.2106405129471</v>
      </c>
      <c r="O14" s="63">
        <f t="shared" si="5"/>
        <v>6206.2313060263114</v>
      </c>
      <c r="P14" s="63">
        <f t="shared" si="5"/>
        <v>6284.7906113347781</v>
      </c>
      <c r="Q14" s="63">
        <f t="shared" si="5"/>
        <v>6829.6108300719698</v>
      </c>
      <c r="R14" s="63">
        <f t="shared" si="5"/>
        <v>6895.4706037578444</v>
      </c>
      <c r="S14" s="63">
        <f t="shared" si="5"/>
        <v>6854.2109668703233</v>
      </c>
      <c r="T14" s="63">
        <f t="shared" si="5"/>
        <v>6625.0564731144223</v>
      </c>
      <c r="U14" s="63">
        <f t="shared" si="5"/>
        <v>6452.371347730852</v>
      </c>
      <c r="V14" s="63">
        <f t="shared" si="5"/>
        <v>6441.5468723335844</v>
      </c>
      <c r="W14" s="63">
        <f t="shared" si="5"/>
        <v>5748.7896894464948</v>
      </c>
      <c r="X14" s="63">
        <f t="shared" ref="X14:Y14" si="7">IF(X4=0,0,X4/X8)</f>
        <v>6189.6049370061155</v>
      </c>
      <c r="Y14" s="63">
        <f t="shared" si="7"/>
        <v>5966.8158549213767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12134.815456908203</v>
      </c>
      <c r="C15" s="64">
        <f t="shared" si="5"/>
        <v>12567.45059479169</v>
      </c>
      <c r="D15" s="64">
        <f t="shared" si="5"/>
        <v>12750.899413204626</v>
      </c>
      <c r="E15" s="64">
        <f t="shared" si="5"/>
        <v>12690.151097420054</v>
      </c>
      <c r="F15" s="64">
        <f t="shared" si="5"/>
        <v>12851.204978230899</v>
      </c>
      <c r="G15" s="64">
        <f t="shared" si="5"/>
        <v>12473.180308563597</v>
      </c>
      <c r="H15" s="64">
        <f t="shared" si="5"/>
        <v>12970.989713876454</v>
      </c>
      <c r="I15" s="64">
        <f t="shared" si="5"/>
        <v>13834.853714939925</v>
      </c>
      <c r="J15" s="64">
        <f t="shared" si="5"/>
        <v>14199.870753766343</v>
      </c>
      <c r="K15" s="64">
        <f t="shared" si="5"/>
        <v>15307.746125495416</v>
      </c>
      <c r="L15" s="64">
        <f t="shared" si="5"/>
        <v>17530.379452092355</v>
      </c>
      <c r="M15" s="64">
        <f t="shared" si="5"/>
        <v>18168.286976701747</v>
      </c>
      <c r="N15" s="64">
        <f t="shared" si="5"/>
        <v>17408.53773507306</v>
      </c>
      <c r="O15" s="64">
        <f t="shared" si="5"/>
        <v>17028.07458282731</v>
      </c>
      <c r="P15" s="64">
        <f t="shared" si="5"/>
        <v>19261.410346282672</v>
      </c>
      <c r="Q15" s="64">
        <f t="shared" si="5"/>
        <v>20662.532211173511</v>
      </c>
      <c r="R15" s="64">
        <f t="shared" si="5"/>
        <v>21457.844878686275</v>
      </c>
      <c r="S15" s="64">
        <f t="shared" si="5"/>
        <v>23161.21016963786</v>
      </c>
      <c r="T15" s="64">
        <f t="shared" si="5"/>
        <v>22857.925637145076</v>
      </c>
      <c r="U15" s="64">
        <f t="shared" si="5"/>
        <v>22959.013962085588</v>
      </c>
      <c r="V15" s="64">
        <f t="shared" si="5"/>
        <v>20056.618478092718</v>
      </c>
      <c r="W15" s="64">
        <f t="shared" si="5"/>
        <v>21355.646341656942</v>
      </c>
      <c r="X15" s="64">
        <f t="shared" ref="X15:Y15" si="8">IF(X5=0,0,X5/X9)</f>
        <v>24998.557107488938</v>
      </c>
      <c r="Y15" s="64">
        <f t="shared" si="8"/>
        <v>24861.427376880354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0.31954651253470906</v>
      </c>
      <c r="C18" s="66">
        <f t="shared" si="9"/>
        <v>0.31448731852842077</v>
      </c>
      <c r="D18" s="66">
        <f t="shared" si="9"/>
        <v>0.3145438467070123</v>
      </c>
      <c r="E18" s="66">
        <f t="shared" si="9"/>
        <v>0.31522779690595426</v>
      </c>
      <c r="F18" s="66">
        <f t="shared" si="9"/>
        <v>0.31507933772362651</v>
      </c>
      <c r="G18" s="66">
        <f t="shared" si="9"/>
        <v>0.28314427606617515</v>
      </c>
      <c r="H18" s="66">
        <f t="shared" si="9"/>
        <v>0.29571228572082786</v>
      </c>
      <c r="I18" s="66">
        <f t="shared" si="9"/>
        <v>0.29605272698242907</v>
      </c>
      <c r="J18" s="66">
        <f t="shared" si="9"/>
        <v>0.29051834746185723</v>
      </c>
      <c r="K18" s="66">
        <f t="shared" si="9"/>
        <v>0.30471179977814172</v>
      </c>
      <c r="L18" s="66">
        <f t="shared" si="9"/>
        <v>0.32828830074785698</v>
      </c>
      <c r="M18" s="66">
        <f t="shared" si="9"/>
        <v>0.30051075338858863</v>
      </c>
      <c r="N18" s="66">
        <f t="shared" si="9"/>
        <v>0.36094051230450475</v>
      </c>
      <c r="O18" s="66">
        <f t="shared" si="9"/>
        <v>0.39798697433937807</v>
      </c>
      <c r="P18" s="66">
        <f t="shared" si="9"/>
        <v>0.35655630272610322</v>
      </c>
      <c r="Q18" s="66">
        <f t="shared" si="9"/>
        <v>0.38870309129437763</v>
      </c>
      <c r="R18" s="66">
        <f t="shared" si="9"/>
        <v>0.37511190189719024</v>
      </c>
      <c r="S18" s="66">
        <f t="shared" si="9"/>
        <v>0.33059165549306962</v>
      </c>
      <c r="T18" s="66">
        <f t="shared" si="9"/>
        <v>0.29231944515203356</v>
      </c>
      <c r="U18" s="66">
        <f t="shared" si="9"/>
        <v>0.24384123648787381</v>
      </c>
      <c r="V18" s="66">
        <f t="shared" si="9"/>
        <v>0.24199006658312874</v>
      </c>
      <c r="W18" s="66">
        <f t="shared" si="9"/>
        <v>0.20464480409030761</v>
      </c>
      <c r="X18" s="66">
        <f t="shared" ref="X18:Y18" si="11">IF(X4=0,0,X4/X$3)</f>
        <v>0.21474362960803259</v>
      </c>
      <c r="Y18" s="66">
        <f t="shared" si="11"/>
        <v>0.2033958103354106</v>
      </c>
      <c r="DA18" s="181"/>
    </row>
    <row r="19" spans="1:105" ht="11.45" customHeight="1" x14ac:dyDescent="0.25">
      <c r="A19" s="57" t="s">
        <v>167</v>
      </c>
      <c r="B19" s="67">
        <f t="shared" si="9"/>
        <v>0.680453487465291</v>
      </c>
      <c r="C19" s="67">
        <f t="shared" si="9"/>
        <v>0.68551268147157918</v>
      </c>
      <c r="D19" s="67">
        <f t="shared" si="9"/>
        <v>0.6854561532929877</v>
      </c>
      <c r="E19" s="67">
        <f t="shared" si="9"/>
        <v>0.68477220309404574</v>
      </c>
      <c r="F19" s="67">
        <f t="shared" si="9"/>
        <v>0.6849206622763736</v>
      </c>
      <c r="G19" s="67">
        <f t="shared" si="9"/>
        <v>0.71685572393382491</v>
      </c>
      <c r="H19" s="67">
        <f t="shared" si="9"/>
        <v>0.70428771427917214</v>
      </c>
      <c r="I19" s="67">
        <f t="shared" si="9"/>
        <v>0.70394727301757087</v>
      </c>
      <c r="J19" s="67">
        <f t="shared" si="9"/>
        <v>0.70948165253814277</v>
      </c>
      <c r="K19" s="67">
        <f t="shared" si="9"/>
        <v>0.69528820022185833</v>
      </c>
      <c r="L19" s="67">
        <f t="shared" si="9"/>
        <v>0.67171169925214314</v>
      </c>
      <c r="M19" s="67">
        <f t="shared" si="9"/>
        <v>0.69948924661141132</v>
      </c>
      <c r="N19" s="67">
        <f t="shared" si="9"/>
        <v>0.63905948769549525</v>
      </c>
      <c r="O19" s="67">
        <f t="shared" si="9"/>
        <v>0.60201302566062198</v>
      </c>
      <c r="P19" s="67">
        <f t="shared" si="9"/>
        <v>0.64344369727389672</v>
      </c>
      <c r="Q19" s="67">
        <f t="shared" si="9"/>
        <v>0.61129690870562237</v>
      </c>
      <c r="R19" s="67">
        <f t="shared" si="9"/>
        <v>0.62488809810280987</v>
      </c>
      <c r="S19" s="67">
        <f t="shared" si="9"/>
        <v>0.66940834450693043</v>
      </c>
      <c r="T19" s="67">
        <f t="shared" si="9"/>
        <v>0.70768055484796633</v>
      </c>
      <c r="U19" s="67">
        <f t="shared" si="9"/>
        <v>0.75615876351212619</v>
      </c>
      <c r="V19" s="67">
        <f t="shared" si="9"/>
        <v>0.75800993341687117</v>
      </c>
      <c r="W19" s="67">
        <f t="shared" si="9"/>
        <v>0.79535519590969239</v>
      </c>
      <c r="X19" s="67">
        <f t="shared" ref="X19:Y19" si="12">IF(X5=0,0,X5/X$3)</f>
        <v>0.7852563703919675</v>
      </c>
      <c r="Y19" s="67">
        <f t="shared" si="12"/>
        <v>0.79660418966458946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0.57087078566470195</v>
      </c>
      <c r="C22" s="66">
        <f t="shared" si="13"/>
        <v>0.56877072250195893</v>
      </c>
      <c r="D22" s="66">
        <f t="shared" si="13"/>
        <v>0.56551778099624805</v>
      </c>
      <c r="E22" s="66">
        <f t="shared" si="13"/>
        <v>0.56406653077992563</v>
      </c>
      <c r="F22" s="66">
        <f t="shared" si="13"/>
        <v>0.56535802663362611</v>
      </c>
      <c r="G22" s="66">
        <f t="shared" si="13"/>
        <v>0.51934160786496819</v>
      </c>
      <c r="H22" s="66">
        <f t="shared" si="13"/>
        <v>0.51877398091786542</v>
      </c>
      <c r="I22" s="66">
        <f t="shared" si="13"/>
        <v>0.53161893650419956</v>
      </c>
      <c r="J22" s="66">
        <f t="shared" si="13"/>
        <v>0.53266068703265057</v>
      </c>
      <c r="K22" s="66">
        <f t="shared" si="13"/>
        <v>0.54996908953043178</v>
      </c>
      <c r="L22" s="66">
        <f t="shared" si="13"/>
        <v>0.59637803268982037</v>
      </c>
      <c r="M22" s="66">
        <f t="shared" si="13"/>
        <v>0.56784135491615573</v>
      </c>
      <c r="N22" s="66">
        <f t="shared" si="13"/>
        <v>0.61875375209327299</v>
      </c>
      <c r="O22" s="66">
        <f t="shared" si="13"/>
        <v>0.64461460032729623</v>
      </c>
      <c r="P22" s="66">
        <f t="shared" si="13"/>
        <v>0.6293965161696774</v>
      </c>
      <c r="Q22" s="66">
        <f t="shared" si="13"/>
        <v>0.65797595358917726</v>
      </c>
      <c r="R22" s="66">
        <f t="shared" si="13"/>
        <v>0.65132700934127341</v>
      </c>
      <c r="S22" s="66">
        <f t="shared" si="13"/>
        <v>0.62529989744169889</v>
      </c>
      <c r="T22" s="66">
        <f t="shared" si="13"/>
        <v>0.58765833163103276</v>
      </c>
      <c r="U22" s="66">
        <f t="shared" si="13"/>
        <v>0.53432813342121521</v>
      </c>
      <c r="V22" s="66">
        <f t="shared" si="13"/>
        <v>0.4984976737480416</v>
      </c>
      <c r="W22" s="66">
        <f t="shared" si="13"/>
        <v>0.48870538112513789</v>
      </c>
      <c r="X22" s="66">
        <f t="shared" ref="X22:Y22" si="15">IF(X8=0,0,X8/X$7)</f>
        <v>0.52482494374311683</v>
      </c>
      <c r="Y22" s="66">
        <f t="shared" si="15"/>
        <v>0.51547006786511951</v>
      </c>
      <c r="DA22" s="181"/>
    </row>
    <row r="23" spans="1:105" ht="11.45" customHeight="1" x14ac:dyDescent="0.25">
      <c r="A23" s="57" t="s">
        <v>167</v>
      </c>
      <c r="B23" s="67">
        <f t="shared" si="13"/>
        <v>0.4291292143352981</v>
      </c>
      <c r="C23" s="67">
        <f t="shared" si="13"/>
        <v>0.43122927749804113</v>
      </c>
      <c r="D23" s="67">
        <f t="shared" si="13"/>
        <v>0.43448221900375189</v>
      </c>
      <c r="E23" s="67">
        <f t="shared" si="13"/>
        <v>0.43593346922007437</v>
      </c>
      <c r="F23" s="67">
        <f t="shared" si="13"/>
        <v>0.43464197336637389</v>
      </c>
      <c r="G23" s="67">
        <f t="shared" si="13"/>
        <v>0.48065839213503181</v>
      </c>
      <c r="H23" s="67">
        <f t="shared" si="13"/>
        <v>0.48122601908213453</v>
      </c>
      <c r="I23" s="67">
        <f t="shared" si="13"/>
        <v>0.46838106349580039</v>
      </c>
      <c r="J23" s="67">
        <f t="shared" si="13"/>
        <v>0.46733931296734949</v>
      </c>
      <c r="K23" s="67">
        <f t="shared" si="13"/>
        <v>0.45003091046956822</v>
      </c>
      <c r="L23" s="67">
        <f t="shared" si="13"/>
        <v>0.40362196731017963</v>
      </c>
      <c r="M23" s="67">
        <f t="shared" si="13"/>
        <v>0.43215864508384427</v>
      </c>
      <c r="N23" s="67">
        <f t="shared" si="13"/>
        <v>0.3812462479067269</v>
      </c>
      <c r="O23" s="67">
        <f t="shared" si="13"/>
        <v>0.35538539967270372</v>
      </c>
      <c r="P23" s="67">
        <f t="shared" si="13"/>
        <v>0.37060348383032254</v>
      </c>
      <c r="Q23" s="67">
        <f t="shared" si="13"/>
        <v>0.34202404641082285</v>
      </c>
      <c r="R23" s="67">
        <f t="shared" si="13"/>
        <v>0.34867299065872664</v>
      </c>
      <c r="S23" s="67">
        <f t="shared" si="13"/>
        <v>0.37470010255830122</v>
      </c>
      <c r="T23" s="67">
        <f t="shared" si="13"/>
        <v>0.4123416683689673</v>
      </c>
      <c r="U23" s="67">
        <f t="shared" si="13"/>
        <v>0.46567186657878468</v>
      </c>
      <c r="V23" s="67">
        <f t="shared" si="13"/>
        <v>0.50150232625195845</v>
      </c>
      <c r="W23" s="67">
        <f t="shared" si="13"/>
        <v>0.51129461887486216</v>
      </c>
      <c r="X23" s="67">
        <f t="shared" ref="X23:Y23" si="16">IF(X9=0,0,X9/X$7)</f>
        <v>0.47517505625688322</v>
      </c>
      <c r="Y23" s="67">
        <f t="shared" si="16"/>
        <v>0.48452993213488049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8.1188306104901109</v>
      </c>
      <c r="C3" s="62">
        <f t="shared" ref="C3:W3" si="0">SUM(C4,C10)</f>
        <v>195.54789337919169</v>
      </c>
      <c r="D3" s="62">
        <f t="shared" si="0"/>
        <v>205.5376612209802</v>
      </c>
      <c r="E3" s="62">
        <f t="shared" si="0"/>
        <v>187.54110060189163</v>
      </c>
      <c r="F3" s="62">
        <f t="shared" si="0"/>
        <v>202.17704213241615</v>
      </c>
      <c r="G3" s="62">
        <f t="shared" si="0"/>
        <v>260.06732588134128</v>
      </c>
      <c r="H3" s="62">
        <f t="shared" si="0"/>
        <v>196.87712811693893</v>
      </c>
      <c r="I3" s="62">
        <f t="shared" si="0"/>
        <v>178.18168529664655</v>
      </c>
      <c r="J3" s="62">
        <f t="shared" si="0"/>
        <v>205.67136715391223</v>
      </c>
      <c r="K3" s="62">
        <f t="shared" si="0"/>
        <v>273.30395528804809</v>
      </c>
      <c r="L3" s="62">
        <f t="shared" si="0"/>
        <v>251.36165090283745</v>
      </c>
      <c r="M3" s="62">
        <f t="shared" si="0"/>
        <v>214.78331900257953</v>
      </c>
      <c r="N3" s="62">
        <f t="shared" si="0"/>
        <v>240.53766122098023</v>
      </c>
      <c r="O3" s="62">
        <f t="shared" si="0"/>
        <v>240.22166809974209</v>
      </c>
      <c r="P3" s="62">
        <f t="shared" si="0"/>
        <v>231.96741186586411</v>
      </c>
      <c r="Q3" s="62">
        <f t="shared" si="0"/>
        <v>254.76904557179708</v>
      </c>
      <c r="R3" s="62">
        <f t="shared" si="0"/>
        <v>314.80275150472914</v>
      </c>
      <c r="S3" s="62">
        <f t="shared" si="0"/>
        <v>260.20447119518479</v>
      </c>
      <c r="T3" s="62">
        <f t="shared" si="0"/>
        <v>38.285210662080829</v>
      </c>
      <c r="U3" s="62">
        <f t="shared" si="0"/>
        <v>292.58323301805677</v>
      </c>
      <c r="V3" s="62">
        <f t="shared" si="0"/>
        <v>207.05760963026657</v>
      </c>
      <c r="W3" s="62">
        <f t="shared" si="0"/>
        <v>207.33585554600165</v>
      </c>
      <c r="X3" s="62">
        <f t="shared" ref="X3:Y3" si="1">SUM(X4,X10)</f>
        <v>110.17179707652622</v>
      </c>
      <c r="Y3" s="62">
        <f t="shared" si="1"/>
        <v>37.138435081685287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4.1094098043922749</v>
      </c>
      <c r="C4" s="71">
        <f t="shared" ref="C4:W4" si="2">SUM(C5:C9)</f>
        <v>98.704615868787613</v>
      </c>
      <c r="D4" s="71">
        <f t="shared" si="2"/>
        <v>103.39743591647229</v>
      </c>
      <c r="E4" s="71">
        <f t="shared" si="2"/>
        <v>94.385548188832644</v>
      </c>
      <c r="F4" s="71">
        <f t="shared" si="2"/>
        <v>101.7874852594579</v>
      </c>
      <c r="G4" s="71">
        <f t="shared" si="2"/>
        <v>123.1479304271781</v>
      </c>
      <c r="H4" s="71">
        <f t="shared" si="2"/>
        <v>91.191752715902368</v>
      </c>
      <c r="I4" s="71">
        <f t="shared" si="2"/>
        <v>85.550264504264391</v>
      </c>
      <c r="J4" s="71">
        <f t="shared" si="2"/>
        <v>99.314428963652901</v>
      </c>
      <c r="K4" s="71">
        <f t="shared" si="2"/>
        <v>136.5402241987581</v>
      </c>
      <c r="L4" s="71">
        <f t="shared" si="2"/>
        <v>134.27570465960781</v>
      </c>
      <c r="M4" s="71">
        <f t="shared" si="2"/>
        <v>107.89830668497561</v>
      </c>
      <c r="N4" s="71">
        <f t="shared" si="2"/>
        <v>127.89740377564851</v>
      </c>
      <c r="O4" s="71">
        <f t="shared" si="2"/>
        <v>131.1579039779883</v>
      </c>
      <c r="P4" s="71">
        <f t="shared" si="2"/>
        <v>124.79076597161082</v>
      </c>
      <c r="Q4" s="71">
        <f t="shared" si="2"/>
        <v>143.27125203363687</v>
      </c>
      <c r="R4" s="71">
        <f t="shared" si="2"/>
        <v>177.75243290509079</v>
      </c>
      <c r="S4" s="71">
        <f t="shared" si="2"/>
        <v>143.67631643412756</v>
      </c>
      <c r="T4" s="71">
        <f t="shared" si="2"/>
        <v>20.070980940682418</v>
      </c>
      <c r="U4" s="71">
        <f t="shared" si="2"/>
        <v>142.40437388374102</v>
      </c>
      <c r="V4" s="71">
        <f t="shared" si="2"/>
        <v>89.067126392740334</v>
      </c>
      <c r="W4" s="71">
        <f t="shared" si="2"/>
        <v>83.924270580899488</v>
      </c>
      <c r="X4" s="71">
        <f t="shared" ref="X4:Y4" si="3">SUM(X5:X9)</f>
        <v>51.038299436928583</v>
      </c>
      <c r="Y4" s="71">
        <f t="shared" si="3"/>
        <v>16.944742853994089</v>
      </c>
      <c r="DA4" s="186" t="s">
        <v>971</v>
      </c>
    </row>
    <row r="5" spans="1:105" ht="11.45" customHeight="1" x14ac:dyDescent="0.25">
      <c r="A5" s="72" t="s">
        <v>144</v>
      </c>
      <c r="B5" s="73">
        <v>4.1094098043922749</v>
      </c>
      <c r="C5" s="73">
        <v>84.956957038929886</v>
      </c>
      <c r="D5" s="73">
        <v>72.129287668108759</v>
      </c>
      <c r="E5" s="73">
        <v>61.95515854576896</v>
      </c>
      <c r="F5" s="73">
        <v>63.660291928669693</v>
      </c>
      <c r="G5" s="73">
        <v>74.821533738055351</v>
      </c>
      <c r="H5" s="73">
        <v>53.61468536620864</v>
      </c>
      <c r="I5" s="73">
        <v>49.318341121631875</v>
      </c>
      <c r="J5" s="73">
        <v>37.677450457174693</v>
      </c>
      <c r="K5" s="73">
        <v>51.694472151628787</v>
      </c>
      <c r="L5" s="73">
        <v>59.822864099476291</v>
      </c>
      <c r="M5" s="73">
        <v>63.72820414390803</v>
      </c>
      <c r="N5" s="73">
        <v>75.29959690186692</v>
      </c>
      <c r="O5" s="73">
        <v>69.768130103730471</v>
      </c>
      <c r="P5" s="73">
        <v>59.948895624259386</v>
      </c>
      <c r="Q5" s="73">
        <v>108.37191018425341</v>
      </c>
      <c r="R5" s="73">
        <v>144.53244980718031</v>
      </c>
      <c r="S5" s="73">
        <v>119.11723881516103</v>
      </c>
      <c r="T5" s="73">
        <v>20.070980940682418</v>
      </c>
      <c r="U5" s="73">
        <v>142.40437388374102</v>
      </c>
      <c r="V5" s="73">
        <v>89.067126392740334</v>
      </c>
      <c r="W5" s="73">
        <v>83.924270580899488</v>
      </c>
      <c r="X5" s="73">
        <v>51.038299436928583</v>
      </c>
      <c r="Y5" s="73">
        <v>16.944742853994089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13.747658829857734</v>
      </c>
      <c r="D6" s="73">
        <v>31.268148248363531</v>
      </c>
      <c r="E6" s="73">
        <v>32.430389643063684</v>
      </c>
      <c r="F6" s="73">
        <v>38.127193330788209</v>
      </c>
      <c r="G6" s="73">
        <v>48.326396689122745</v>
      </c>
      <c r="H6" s="73">
        <v>37.577067349693721</v>
      </c>
      <c r="I6" s="73">
        <v>36.231923382632509</v>
      </c>
      <c r="J6" s="73">
        <v>61.636978506478208</v>
      </c>
      <c r="K6" s="73">
        <v>84.845752047129309</v>
      </c>
      <c r="L6" s="73">
        <v>74.452840560131534</v>
      </c>
      <c r="M6" s="73">
        <v>44.170102541067578</v>
      </c>
      <c r="N6" s="73">
        <v>52.5978068737816</v>
      </c>
      <c r="O6" s="73">
        <v>61.389773874257834</v>
      </c>
      <c r="P6" s="73">
        <v>64.841870347351431</v>
      </c>
      <c r="Q6" s="73">
        <v>34.899341849383475</v>
      </c>
      <c r="R6" s="73">
        <v>33.219983097910465</v>
      </c>
      <c r="S6" s="73">
        <v>24.559077618966537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4.009420806097836</v>
      </c>
      <c r="C10" s="71">
        <f t="shared" ref="C10:W10" si="4">SUM(C11:C15)</f>
        <v>96.843277510404079</v>
      </c>
      <c r="D10" s="71">
        <f t="shared" si="4"/>
        <v>102.14022530450791</v>
      </c>
      <c r="E10" s="71">
        <f t="shared" si="4"/>
        <v>93.15555241305897</v>
      </c>
      <c r="F10" s="71">
        <f t="shared" si="4"/>
        <v>100.38955687295824</v>
      </c>
      <c r="G10" s="71">
        <f t="shared" si="4"/>
        <v>136.91939545416318</v>
      </c>
      <c r="H10" s="71">
        <f t="shared" si="4"/>
        <v>105.68537540103658</v>
      </c>
      <c r="I10" s="71">
        <f t="shared" si="4"/>
        <v>92.631420792382158</v>
      </c>
      <c r="J10" s="71">
        <f t="shared" si="4"/>
        <v>106.35693819025934</v>
      </c>
      <c r="K10" s="71">
        <f t="shared" si="4"/>
        <v>136.76373108928999</v>
      </c>
      <c r="L10" s="71">
        <f t="shared" si="4"/>
        <v>117.08594624322964</v>
      </c>
      <c r="M10" s="71">
        <f t="shared" si="4"/>
        <v>106.88501231760392</v>
      </c>
      <c r="N10" s="71">
        <f t="shared" si="4"/>
        <v>112.64025744533173</v>
      </c>
      <c r="O10" s="71">
        <f t="shared" si="4"/>
        <v>109.06376412175381</v>
      </c>
      <c r="P10" s="71">
        <f t="shared" si="4"/>
        <v>107.17664589425328</v>
      </c>
      <c r="Q10" s="71">
        <f t="shared" si="4"/>
        <v>111.49779353816021</v>
      </c>
      <c r="R10" s="71">
        <f t="shared" si="4"/>
        <v>137.05031859963836</v>
      </c>
      <c r="S10" s="71">
        <f t="shared" si="4"/>
        <v>116.52815476105722</v>
      </c>
      <c r="T10" s="71">
        <f t="shared" si="4"/>
        <v>18.214229721398411</v>
      </c>
      <c r="U10" s="71">
        <f t="shared" si="4"/>
        <v>150.17885913431576</v>
      </c>
      <c r="V10" s="71">
        <f t="shared" si="4"/>
        <v>117.99048323752623</v>
      </c>
      <c r="W10" s="71">
        <f t="shared" si="4"/>
        <v>123.41158496510216</v>
      </c>
      <c r="X10" s="71">
        <f t="shared" ref="X10:Y10" si="5">SUM(X11:X15)</f>
        <v>59.133497639597635</v>
      </c>
      <c r="Y10" s="71">
        <f t="shared" si="5"/>
        <v>20.193692227691198</v>
      </c>
      <c r="DA10" s="186" t="s">
        <v>977</v>
      </c>
    </row>
    <row r="11" spans="1:105" ht="11.45" customHeight="1" x14ac:dyDescent="0.25">
      <c r="A11" s="72" t="s">
        <v>144</v>
      </c>
      <c r="B11" s="73">
        <v>4.009420806097836</v>
      </c>
      <c r="C11" s="73">
        <v>16.528683545764814</v>
      </c>
      <c r="D11" s="73">
        <v>14.133481033524943</v>
      </c>
      <c r="E11" s="73">
        <v>12.129364240129565</v>
      </c>
      <c r="F11" s="73">
        <v>12.453895517589974</v>
      </c>
      <c r="G11" s="73">
        <v>16.515525591265355</v>
      </c>
      <c r="H11" s="73">
        <v>12.351006809199783</v>
      </c>
      <c r="I11" s="73">
        <v>10.558185103647578</v>
      </c>
      <c r="J11" s="73">
        <v>7.9910792074856563</v>
      </c>
      <c r="K11" s="73">
        <v>10.211718734011788</v>
      </c>
      <c r="L11" s="73">
        <v>10.202243381177201</v>
      </c>
      <c r="M11" s="73">
        <v>12.385983302351637</v>
      </c>
      <c r="N11" s="73">
        <v>12.992922444650718</v>
      </c>
      <c r="O11" s="73">
        <v>11.420347970216211</v>
      </c>
      <c r="P11" s="73">
        <v>10.076211856394103</v>
      </c>
      <c r="Q11" s="73">
        <v>16.455432893992498</v>
      </c>
      <c r="R11" s="73">
        <v>21.904007630480898</v>
      </c>
      <c r="S11" s="73">
        <v>18.903225501261957</v>
      </c>
      <c r="T11" s="73">
        <v>16.488176410994285</v>
      </c>
      <c r="U11" s="73">
        <v>108.93595285744559</v>
      </c>
      <c r="V11" s="73">
        <v>114.92814445850647</v>
      </c>
      <c r="W11" s="73">
        <v>112.91923758763012</v>
      </c>
      <c r="X11" s="73">
        <v>35.283368662813459</v>
      </c>
      <c r="Y11" s="73">
        <v>16.897647515739347</v>
      </c>
      <c r="DA11" s="187" t="s">
        <v>978</v>
      </c>
    </row>
    <row r="12" spans="1:105" ht="11.45" customHeight="1" x14ac:dyDescent="0.25">
      <c r="A12" s="72" t="s">
        <v>145</v>
      </c>
      <c r="B12" s="73">
        <v>0</v>
      </c>
      <c r="C12" s="73">
        <v>80.314593964639258</v>
      </c>
      <c r="D12" s="73">
        <v>88.006744270982963</v>
      </c>
      <c r="E12" s="73">
        <v>81.026188172929409</v>
      </c>
      <c r="F12" s="73">
        <v>87.935661355368268</v>
      </c>
      <c r="G12" s="73">
        <v>120.40386986289782</v>
      </c>
      <c r="H12" s="73">
        <v>93.334368591836792</v>
      </c>
      <c r="I12" s="73">
        <v>82.073235688734584</v>
      </c>
      <c r="J12" s="73">
        <v>98.365858982773688</v>
      </c>
      <c r="K12" s="73">
        <v>126.55201235527821</v>
      </c>
      <c r="L12" s="73">
        <v>106.88370286205244</v>
      </c>
      <c r="M12" s="73">
        <v>94.49902901525229</v>
      </c>
      <c r="N12" s="73">
        <v>99.647335000681011</v>
      </c>
      <c r="O12" s="73">
        <v>97.643416151537593</v>
      </c>
      <c r="P12" s="73">
        <v>97.100434037859173</v>
      </c>
      <c r="Q12" s="73">
        <v>95.042360644167715</v>
      </c>
      <c r="R12" s="73">
        <v>115.14631096915747</v>
      </c>
      <c r="S12" s="73">
        <v>97.624929259795266</v>
      </c>
      <c r="T12" s="73">
        <v>1.7260533104041258</v>
      </c>
      <c r="U12" s="73">
        <v>41.242906276870173</v>
      </c>
      <c r="V12" s="73">
        <v>3.0623387790197683</v>
      </c>
      <c r="W12" s="73">
        <v>10.492347377472043</v>
      </c>
      <c r="X12" s="73">
        <v>23.850128976784177</v>
      </c>
      <c r="Y12" s="73">
        <v>3.2960447119518506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1448.8106460966796</v>
      </c>
      <c r="C19" s="62">
        <f>IF(C3=0,0,C3/MBunk_act!C7*100)</f>
        <v>1515.8483507360622</v>
      </c>
      <c r="D19" s="62">
        <f>IF(D3=0,0,D3/MBunk_act!D7*100)</f>
        <v>1544.8782405849424</v>
      </c>
      <c r="E19" s="62">
        <f>IF(E3=0,0,E3/MBunk_act!E7*100)</f>
        <v>1542.138270640238</v>
      </c>
      <c r="F19" s="62">
        <f>IF(F3=0,0,F3/MBunk_act!F7*100)</f>
        <v>1557.6514923172647</v>
      </c>
      <c r="G19" s="62">
        <f>IF(G3=0,0,G3/MBunk_act!G7*100)</f>
        <v>1813.5610874933243</v>
      </c>
      <c r="H19" s="62">
        <f>IF(H3=0,0,H3/MBunk_act!H7*100)</f>
        <v>1744.3473842730625</v>
      </c>
      <c r="I19" s="62">
        <f>IF(I3=0,0,I3/MBunk_act!I7*100)</f>
        <v>1452.5267212225576</v>
      </c>
      <c r="J19" s="62">
        <f>IF(J3=0,0,J3/MBunk_act!J7*100)</f>
        <v>1733.9103651263031</v>
      </c>
      <c r="K19" s="62">
        <f>IF(K3=0,0,K3/MBunk_act!K7*100)</f>
        <v>2672.9800958097226</v>
      </c>
      <c r="L19" s="62">
        <f>IF(L3=0,0,L3/MBunk_act!L7*100)</f>
        <v>2461.6291175322981</v>
      </c>
      <c r="M19" s="62">
        <f>IF(M3=0,0,M3/MBunk_act!M7*100)</f>
        <v>1911.6841812899718</v>
      </c>
      <c r="N19" s="62">
        <f>IF(N3=0,0,N3/MBunk_act!N7*100)</f>
        <v>1900.0415591407329</v>
      </c>
      <c r="O19" s="62">
        <f>IF(O3=0,0,O3/MBunk_act!O7*100)</f>
        <v>2026.1738146791918</v>
      </c>
      <c r="P19" s="62">
        <f>IF(P3=0,0,P3/MBunk_act!P7*100)</f>
        <v>1915.3298018541188</v>
      </c>
      <c r="Q19" s="62">
        <f>IF(Q3=0,0,Q3/MBunk_act!Q7*100)</f>
        <v>2457.1171848952367</v>
      </c>
      <c r="R19" s="62">
        <f>IF(R3=0,0,R3/MBunk_act!R7*100)</f>
        <v>3226.3874318829189</v>
      </c>
      <c r="S19" s="62">
        <f>IF(S3=0,0,S3/MBunk_act!S7*100)</f>
        <v>2582.1120976143143</v>
      </c>
      <c r="T19" s="62">
        <f>IF(T3=0,0,T3/MBunk_act!T7*100)</f>
        <v>360.90228243472598</v>
      </c>
      <c r="U19" s="62">
        <f>IF(U3=0,0,U3/MBunk_act!U7*100)</f>
        <v>3009.9257425232008</v>
      </c>
      <c r="V19" s="62">
        <f>IF(V3=0,0,V3/MBunk_act!V7*100)</f>
        <v>3298.532237053344</v>
      </c>
      <c r="W19" s="62">
        <f>IF(W3=0,0,W3/MBunk_act!W7*100)</f>
        <v>3504.7659540020559</v>
      </c>
      <c r="X19" s="62">
        <f>IF(X3=0,0,X3/MBunk_act!X7*100)</f>
        <v>1535.4693213094665</v>
      </c>
      <c r="Y19" s="62">
        <f>IF(Y3=0,0,Y3/MBunk_act!Y7*100)</f>
        <v>666.35055394626204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1284.5759366535819</v>
      </c>
      <c r="C20" s="63">
        <f>IF(C4=0,0,C4/MBunk_act!C8*100)</f>
        <v>1345.2495132903296</v>
      </c>
      <c r="D20" s="63">
        <f>IF(D4=0,0,D4/MBunk_act!D8*100)</f>
        <v>1374.2519134868664</v>
      </c>
      <c r="E20" s="63">
        <f>IF(E4=0,0,E4/MBunk_act!E8*100)</f>
        <v>1375.948014276373</v>
      </c>
      <c r="F20" s="63">
        <f>IF(F4=0,0,F4/MBunk_act!F8*100)</f>
        <v>1387.104815732328</v>
      </c>
      <c r="G20" s="63">
        <f>IF(G4=0,0,G4/MBunk_act!G8*100)</f>
        <v>1653.5616682411878</v>
      </c>
      <c r="H20" s="63">
        <f>IF(H4=0,0,H4/MBunk_act!H8*100)</f>
        <v>1557.4535025788666</v>
      </c>
      <c r="I20" s="63">
        <f>IF(I4=0,0,I4/MBunk_act!I8*100)</f>
        <v>1311.8433635385709</v>
      </c>
      <c r="J20" s="63">
        <f>IF(J4=0,0,J4/MBunk_act!J8*100)</f>
        <v>1571.8623540426511</v>
      </c>
      <c r="K20" s="63">
        <f>IF(K4=0,0,K4/MBunk_act!K8*100)</f>
        <v>2428.1311387613687</v>
      </c>
      <c r="L20" s="63">
        <f>IF(L4=0,0,L4/MBunk_act!L8*100)</f>
        <v>2204.9533338852102</v>
      </c>
      <c r="M20" s="63">
        <f>IF(M4=0,0,M4/MBunk_act!M8*100)</f>
        <v>1691.232080887235</v>
      </c>
      <c r="N20" s="63">
        <f>IF(N4=0,0,N4/MBunk_act!N8*100)</f>
        <v>1632.7658168705348</v>
      </c>
      <c r="O20" s="63">
        <f>IF(O4=0,0,O4/MBunk_act!O8*100)</f>
        <v>1716.1642459020077</v>
      </c>
      <c r="P20" s="63">
        <f>IF(P4=0,0,P4/MBunk_act!P8*100)</f>
        <v>1637.0981019881433</v>
      </c>
      <c r="Q20" s="63">
        <f>IF(Q4=0,0,Q4/MBunk_act!Q8*100)</f>
        <v>2100.0432703580445</v>
      </c>
      <c r="R20" s="63">
        <f>IF(R4=0,0,R4/MBunk_act!R8*100)</f>
        <v>2797.0128611278251</v>
      </c>
      <c r="S20" s="63">
        <f>IF(S4=0,0,S4/MBunk_act!S8*100)</f>
        <v>2280.117170590996</v>
      </c>
      <c r="T20" s="63">
        <f>IF(T4=0,0,T4/MBunk_act!T8*100)</f>
        <v>321.96027394773171</v>
      </c>
      <c r="U20" s="63">
        <f>IF(U4=0,0,U4/MBunk_act!U8*100)</f>
        <v>2741.7107457655643</v>
      </c>
      <c r="V20" s="63">
        <f>IF(V4=0,0,V4/MBunk_act!V8*100)</f>
        <v>2846.3207678104618</v>
      </c>
      <c r="W20" s="63">
        <f>IF(W4=0,0,W4/MBunk_act!W8*100)</f>
        <v>2902.853124935993</v>
      </c>
      <c r="X20" s="63">
        <f>IF(X4=0,0,X4/MBunk_act!X8*100)</f>
        <v>1355.3530511444692</v>
      </c>
      <c r="Y20" s="63">
        <f>IF(Y4=0,0,Y4/MBunk_act!Y8*100)</f>
        <v>589.80804768638541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1667.2921534869886</v>
      </c>
      <c r="C21" s="64">
        <f>IF(C10=0,0,C10/MBunk_act!C9*100)</f>
        <v>1740.8600303580342</v>
      </c>
      <c r="D21" s="64">
        <f>IF(D10=0,0,D10/MBunk_act!D9*100)</f>
        <v>1766.9637889908038</v>
      </c>
      <c r="E21" s="64">
        <f>IF(E10=0,0,E10/MBunk_act!E9*100)</f>
        <v>1757.1765000386492</v>
      </c>
      <c r="F21" s="64">
        <f>IF(F10=0,0,F10/MBunk_act!F9*100)</f>
        <v>1779.4890929893641</v>
      </c>
      <c r="G21" s="64">
        <f>IF(G10=0,0,G10/MBunk_act!G9*100)</f>
        <v>1986.4372028624321</v>
      </c>
      <c r="H21" s="64">
        <f>IF(H10=0,0,H10/MBunk_act!H9*100)</f>
        <v>1945.8237782565359</v>
      </c>
      <c r="I21" s="64">
        <f>IF(I10=0,0,I10/MBunk_act!I9*100)</f>
        <v>1612.2042633452049</v>
      </c>
      <c r="J21" s="64">
        <f>IF(J10=0,0,J10/MBunk_act!J9*100)</f>
        <v>1918.6082977013079</v>
      </c>
      <c r="K21" s="64">
        <f>IF(K10=0,0,K10/MBunk_act!K9*100)</f>
        <v>2972.2025599730255</v>
      </c>
      <c r="L21" s="64">
        <f>IF(L10=0,0,L10/MBunk_act!L9*100)</f>
        <v>2840.8844883702559</v>
      </c>
      <c r="M21" s="64">
        <f>IF(M10=0,0,M10/MBunk_act!M9*100)</f>
        <v>2201.3505360206877</v>
      </c>
      <c r="N21" s="64">
        <f>IF(N10=0,0,N10/MBunk_act!N9*100)</f>
        <v>2333.8238436385464</v>
      </c>
      <c r="O21" s="64">
        <f>IF(O10=0,0,O10/MBunk_act!O9*100)</f>
        <v>2588.4836182304462</v>
      </c>
      <c r="P21" s="64">
        <f>IF(P10=0,0,P10/MBunk_act!P9*100)</f>
        <v>2387.8511628885676</v>
      </c>
      <c r="Q21" s="64">
        <f>IF(Q10=0,0,Q10/MBunk_act!Q9*100)</f>
        <v>3144.045638859036</v>
      </c>
      <c r="R21" s="64">
        <f>IF(R10=0,0,R10/MBunk_act!R9*100)</f>
        <v>4028.4663498075829</v>
      </c>
      <c r="S21" s="64">
        <f>IF(S10=0,0,S10/MBunk_act!S9*100)</f>
        <v>3086.0815270494504</v>
      </c>
      <c r="T21" s="64">
        <f>IF(T10=0,0,T10/MBunk_act!T9*100)</f>
        <v>416.40139274377964</v>
      </c>
      <c r="U21" s="64">
        <f>IF(U10=0,0,U10/MBunk_act!U9*100)</f>
        <v>3317.6849800008613</v>
      </c>
      <c r="V21" s="64">
        <f>IF(V10=0,0,V10/MBunk_act!V9*100)</f>
        <v>3748.0343702628006</v>
      </c>
      <c r="W21" s="64">
        <f>IF(W10=0,0,W10/MBunk_act!W9*100)</f>
        <v>4080.0859899925667</v>
      </c>
      <c r="X21" s="64">
        <f>IF(X10=0,0,X10/MBunk_act!X9*100)</f>
        <v>1734.4055030636309</v>
      </c>
      <c r="Y21" s="64">
        <f>IF(Y10=0,0,Y10/MBunk_act!Y9*100)</f>
        <v>747.78075728272302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1.8931665188611444</v>
      </c>
      <c r="C23" s="62">
        <f>IF(C3=0,0,C3/MBunk_act!C3*1000)</f>
        <v>1.917413688516614</v>
      </c>
      <c r="D23" s="62">
        <f>IF(D3=0,0,D3/MBunk_act!D3*1000)</f>
        <v>1.9114419275038217</v>
      </c>
      <c r="E23" s="62">
        <f>IF(E3=0,0,E3/MBunk_act!E3*1000)</f>
        <v>1.9088967166084008</v>
      </c>
      <c r="F23" s="62">
        <f>IF(F3=0,0,F3/MBunk_act!F3*1000)</f>
        <v>1.9100073960035109</v>
      </c>
      <c r="G23" s="62">
        <f>IF(G3=0,0,G3/MBunk_act!G3*1000)</f>
        <v>2.1684540130148653</v>
      </c>
      <c r="H23" s="62">
        <f>IF(H3=0,0,H3/MBunk_act!H3*1000)</f>
        <v>1.9681621477186797</v>
      </c>
      <c r="I23" s="62">
        <f>IF(I3=0,0,I3/MBunk_act!I3*1000)</f>
        <v>1.5779395502652991</v>
      </c>
      <c r="J23" s="62">
        <f>IF(J3=0,0,J3/MBunk_act!J3*1000)</f>
        <v>1.8537497456182499</v>
      </c>
      <c r="K23" s="62">
        <f>IF(K3=0,0,K3/MBunk_act!K3*1000)</f>
        <v>2.6977828435075684</v>
      </c>
      <c r="L23" s="62">
        <f>IF(L3=0,0,L3/MBunk_act!L3*1000)</f>
        <v>2.3368961941832942</v>
      </c>
      <c r="M23" s="62">
        <f>IF(M3=0,0,M3/MBunk_act!M3*1000)</f>
        <v>1.7030994256607834</v>
      </c>
      <c r="N23" s="62">
        <f>IF(N3=0,0,N3/MBunk_act!N3*1000)</f>
        <v>1.829517279866357</v>
      </c>
      <c r="O23" s="62">
        <f>IF(O3=0,0,O3/MBunk_act!O3*1000)</f>
        <v>2.0156608524745763</v>
      </c>
      <c r="P23" s="62">
        <f>IF(P3=0,0,P3/MBunk_act!P3*1000)</f>
        <v>1.7264600617044448</v>
      </c>
      <c r="Q23" s="62">
        <f>IF(Q3=0,0,Q3/MBunk_act!Q3*1000)</f>
        <v>2.12538633806524</v>
      </c>
      <c r="R23" s="62">
        <f>IF(R3=0,0,R3/MBunk_act!R3*1000)</f>
        <v>2.6947244447198897</v>
      </c>
      <c r="S23" s="62">
        <f>IF(S3=0,0,S3/MBunk_act!S3*1000)</f>
        <v>1.9916873030054105</v>
      </c>
      <c r="T23" s="62">
        <f>IF(T3=0,0,T3/MBunk_act!T3*1000)</f>
        <v>0.27097726300640762</v>
      </c>
      <c r="U23" s="62">
        <f>IF(U3=0,0,U3/MBunk_act!U3*1000)</f>
        <v>2.1288033156888195</v>
      </c>
      <c r="V23" s="62">
        <f>IF(V3=0,0,V3/MBunk_act!V3*1000)</f>
        <v>2.4857930222522486</v>
      </c>
      <c r="W23" s="62">
        <f>IF(W3=0,0,W3/MBunk_act!W3*1000)</f>
        <v>2.5529140988385812</v>
      </c>
      <c r="X23" s="62">
        <f>IF(X3=0,0,X3/MBunk_act!X3*1000)</f>
        <v>1.0150420517223493</v>
      </c>
      <c r="Y23" s="62">
        <f>IF(Y3=0,0,Y3/MBunk_act!Y3*1000)</f>
        <v>0.44065497631404144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2.9987530688443726</v>
      </c>
      <c r="C24" s="63">
        <f>IF(C4=0,0,C4/MBunk_act!C4*1000)</f>
        <v>3.0774925266586717</v>
      </c>
      <c r="D24" s="63">
        <f>IF(D4=0,0,D4/MBunk_act!D4*1000)</f>
        <v>3.0570199506233151</v>
      </c>
      <c r="E24" s="63">
        <f>IF(E4=0,0,E4/MBunk_act!E4*1000)</f>
        <v>3.0476631670677277</v>
      </c>
      <c r="F24" s="63">
        <f>IF(F4=0,0,F4/MBunk_act!F4*1000)</f>
        <v>3.0519518068341549</v>
      </c>
      <c r="G24" s="63">
        <f>IF(G4=0,0,G4/MBunk_act!G4*1000)</f>
        <v>3.6264672136411957</v>
      </c>
      <c r="H24" s="63">
        <f>IF(H4=0,0,H4/MBunk_act!H4*1000)</f>
        <v>3.0828458130659109</v>
      </c>
      <c r="I24" s="63">
        <f>IF(I4=0,0,I4/MBunk_act!I4*1000)</f>
        <v>2.5590548246558305</v>
      </c>
      <c r="J24" s="63">
        <f>IF(J4=0,0,J4/MBunk_act!J4*1000)</f>
        <v>3.0811727920080925</v>
      </c>
      <c r="K24" s="63">
        <f>IF(K4=0,0,K4/MBunk_act!K4*1000)</f>
        <v>4.4231575694836094</v>
      </c>
      <c r="L24" s="63">
        <f>IF(L4=0,0,L4/MBunk_act!L4*1000)</f>
        <v>3.8026156862566456</v>
      </c>
      <c r="M24" s="63">
        <f>IF(M4=0,0,M4/MBunk_act!M4*1000)</f>
        <v>2.8470432531427599</v>
      </c>
      <c r="N24" s="63">
        <f>IF(N4=0,0,N4/MBunk_act!N4*1000)</f>
        <v>2.6951288321864775</v>
      </c>
      <c r="O24" s="63">
        <f>IF(O4=0,0,O4/MBunk_act!O4*1000)</f>
        <v>2.7652276579437109</v>
      </c>
      <c r="P24" s="63">
        <f>IF(P4=0,0,P4/MBunk_act!P4*1000)</f>
        <v>2.6048570322066031</v>
      </c>
      <c r="Q24" s="63">
        <f>IF(Q4=0,0,Q4/MBunk_act!Q4*1000)</f>
        <v>3.0749091311487136</v>
      </c>
      <c r="R24" s="63">
        <f>IF(R4=0,0,R4/MBunk_act!R4*1000)</f>
        <v>4.0563045248913525</v>
      </c>
      <c r="S24" s="63">
        <f>IF(S4=0,0,S4/MBunk_act!S4*1000)</f>
        <v>3.3265932163627463</v>
      </c>
      <c r="T24" s="63">
        <f>IF(T4=0,0,T4/MBunk_act!T4*1000)</f>
        <v>0.48597362943893352</v>
      </c>
      <c r="U24" s="63">
        <f>IF(U4=0,0,U4/MBunk_act!U4*1000)</f>
        <v>4.2491521302935542</v>
      </c>
      <c r="V24" s="63">
        <f>IF(V4=0,0,V4/MBunk_act!V4*1000)</f>
        <v>4.4186913861255865</v>
      </c>
      <c r="W24" s="63">
        <f>IF(W4=0,0,W4/MBunk_act!W4*1000)</f>
        <v>5.0495030810832908</v>
      </c>
      <c r="X24" s="63">
        <f>IF(X4=0,0,X4/MBunk_act!X4*1000)</f>
        <v>2.1897246511504291</v>
      </c>
      <c r="Y24" s="63">
        <f>IF(Y4=0,0,Y4/MBunk_act!Y4*1000)</f>
        <v>0.98848039226804174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1.3739740496323902</v>
      </c>
      <c r="C25" s="64">
        <f>IF(C10=0,0,C10/MBunk_act!C5*1000)</f>
        <v>1.3852133471521235</v>
      </c>
      <c r="D25" s="64">
        <f>IF(D10=0,0,D10/MBunk_act!D5*1000)</f>
        <v>1.3857561978419848</v>
      </c>
      <c r="E25" s="64">
        <f>IF(E10=0,0,E10/MBunk_act!E5*1000)</f>
        <v>1.3846773663679137</v>
      </c>
      <c r="F25" s="64">
        <f>IF(F10=0,0,F10/MBunk_act!F5*1000)</f>
        <v>1.3846865690833678</v>
      </c>
      <c r="G25" s="64">
        <f>IF(G10=0,0,G10/MBunk_act!G5*1000)</f>
        <v>1.5925667341621144</v>
      </c>
      <c r="H25" s="64">
        <f>IF(H10=0,0,H10/MBunk_act!H5*1000)</f>
        <v>1.5001351640691538</v>
      </c>
      <c r="I25" s="64">
        <f>IF(I10=0,0,I10/MBunk_act!I5*1000)</f>
        <v>1.1653207880356728</v>
      </c>
      <c r="J25" s="64">
        <f>IF(J10=0,0,J10/MBunk_act!J5*1000)</f>
        <v>1.3511449019297732</v>
      </c>
      <c r="K25" s="64">
        <f>IF(K10=0,0,K10/MBunk_act!K5*1000)</f>
        <v>1.9416330370300245</v>
      </c>
      <c r="L25" s="64">
        <f>IF(L10=0,0,L10/MBunk_act!L5*1000)</f>
        <v>1.6205493418633217</v>
      </c>
      <c r="M25" s="64">
        <f>IF(M10=0,0,M10/MBunk_act!M5*1000)</f>
        <v>1.2116445203907269</v>
      </c>
      <c r="N25" s="64">
        <f>IF(N10=0,0,N10/MBunk_act!N5*1000)</f>
        <v>1.3406202629739437</v>
      </c>
      <c r="O25" s="64">
        <f>IF(O10=0,0,O10/MBunk_act!O5*1000)</f>
        <v>1.5201270147365415</v>
      </c>
      <c r="P25" s="64">
        <f>IF(P10=0,0,P10/MBunk_act!P5*1000)</f>
        <v>1.2397073318929668</v>
      </c>
      <c r="Q25" s="64">
        <f>IF(Q10=0,0,Q10/MBunk_act!Q5*1000)</f>
        <v>1.5216168118827449</v>
      </c>
      <c r="R25" s="64">
        <f>IF(R10=0,0,R10/MBunk_act!R5*1000)</f>
        <v>1.8773862764797</v>
      </c>
      <c r="S25" s="64">
        <f>IF(S10=0,0,S10/MBunk_act!S5*1000)</f>
        <v>1.3324353539587535</v>
      </c>
      <c r="T25" s="64">
        <f>IF(T10=0,0,T10/MBunk_act!T5*1000)</f>
        <v>0.18216937063926314</v>
      </c>
      <c r="U25" s="64">
        <f>IF(U10=0,0,U10/MBunk_act!U5*1000)</f>
        <v>1.4450468062259429</v>
      </c>
      <c r="V25" s="64">
        <f>IF(V10=0,0,V10/MBunk_act!V5*1000)</f>
        <v>1.8687269613054032</v>
      </c>
      <c r="W25" s="64">
        <f>IF(W10=0,0,W10/MBunk_act!W5*1000)</f>
        <v>1.9105420293619646</v>
      </c>
      <c r="X25" s="64">
        <f>IF(X10=0,0,X10/MBunk_act!X5*1000)</f>
        <v>0.69380224450796268</v>
      </c>
      <c r="Y25" s="64">
        <f>IF(Y10=0,0,Y10/MBunk_act!Y5*1000)</f>
        <v>0.30077949505751805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0.50615784483576032</v>
      </c>
      <c r="C28" s="77">
        <f t="shared" si="6"/>
        <v>0.50475929023375921</v>
      </c>
      <c r="D28" s="77">
        <f t="shared" si="6"/>
        <v>0.50305834610673295</v>
      </c>
      <c r="E28" s="77">
        <f t="shared" si="6"/>
        <v>0.50327926990890559</v>
      </c>
      <c r="F28" s="77">
        <f t="shared" si="6"/>
        <v>0.50345718873853162</v>
      </c>
      <c r="G28" s="77">
        <f t="shared" si="6"/>
        <v>0.47352326944510426</v>
      </c>
      <c r="H28" s="77">
        <f t="shared" si="6"/>
        <v>0.46319119741393872</v>
      </c>
      <c r="I28" s="77">
        <f t="shared" si="6"/>
        <v>0.48012939355599688</v>
      </c>
      <c r="J28" s="77">
        <f t="shared" si="6"/>
        <v>0.48287921813312928</v>
      </c>
      <c r="K28" s="77">
        <f t="shared" si="6"/>
        <v>0.49959110198332779</v>
      </c>
      <c r="L28" s="77">
        <f t="shared" si="6"/>
        <v>0.53419327959264318</v>
      </c>
      <c r="M28" s="77">
        <f t="shared" si="6"/>
        <v>0.50235887584770844</v>
      </c>
      <c r="N28" s="77">
        <f t="shared" si="6"/>
        <v>0.53171467256493399</v>
      </c>
      <c r="O28" s="77">
        <f t="shared" si="6"/>
        <v>0.54598698367014264</v>
      </c>
      <c r="P28" s="77">
        <f t="shared" si="6"/>
        <v>0.53796679873193343</v>
      </c>
      <c r="Q28" s="77">
        <f t="shared" si="6"/>
        <v>0.56235737631344718</v>
      </c>
      <c r="R28" s="77">
        <f t="shared" si="6"/>
        <v>0.56464701167778863</v>
      </c>
      <c r="S28" s="77">
        <f t="shared" si="6"/>
        <v>0.55216697766255118</v>
      </c>
      <c r="T28" s="77">
        <f t="shared" si="6"/>
        <v>0.52424893564870734</v>
      </c>
      <c r="U28" s="77">
        <f t="shared" si="6"/>
        <v>0.48671406223388247</v>
      </c>
      <c r="V28" s="77">
        <f t="shared" si="6"/>
        <v>0.43015625724542789</v>
      </c>
      <c r="W28" s="77">
        <f t="shared" si="6"/>
        <v>0.40477451601360476</v>
      </c>
      <c r="X28" s="77">
        <f t="shared" ref="X28:Y28" si="8">IF(X4=0,0,X4/X$3)</f>
        <v>0.4632610231589212</v>
      </c>
      <c r="Y28" s="77">
        <f t="shared" si="8"/>
        <v>0.45625893543237478</v>
      </c>
      <c r="DA28" s="184"/>
    </row>
    <row r="29" spans="1:105" ht="11.45" customHeight="1" x14ac:dyDescent="0.25">
      <c r="A29" s="57" t="s">
        <v>167</v>
      </c>
      <c r="B29" s="78">
        <f>IF(B10=0,0,B10/B$3)</f>
        <v>0.49384215516423968</v>
      </c>
      <c r="C29" s="78">
        <f t="shared" ref="C29:W29" si="9">IF(C10=0,0,C10/C$3)</f>
        <v>0.49524070976624085</v>
      </c>
      <c r="D29" s="78">
        <f t="shared" si="9"/>
        <v>0.496941653893267</v>
      </c>
      <c r="E29" s="78">
        <f t="shared" si="9"/>
        <v>0.4967207300910943</v>
      </c>
      <c r="F29" s="78">
        <f t="shared" si="9"/>
        <v>0.49654281126146832</v>
      </c>
      <c r="G29" s="78">
        <f t="shared" si="9"/>
        <v>0.52647673055489574</v>
      </c>
      <c r="H29" s="78">
        <f t="shared" si="9"/>
        <v>0.53680880258606134</v>
      </c>
      <c r="I29" s="78">
        <f t="shared" si="9"/>
        <v>0.51987060644400318</v>
      </c>
      <c r="J29" s="78">
        <f t="shared" si="9"/>
        <v>0.51712078186687083</v>
      </c>
      <c r="K29" s="78">
        <f t="shared" si="9"/>
        <v>0.50040889801667221</v>
      </c>
      <c r="L29" s="78">
        <f t="shared" si="9"/>
        <v>0.46580672040735682</v>
      </c>
      <c r="M29" s="78">
        <f t="shared" si="9"/>
        <v>0.49764112415229156</v>
      </c>
      <c r="N29" s="78">
        <f t="shared" si="9"/>
        <v>0.46828532743506612</v>
      </c>
      <c r="O29" s="78">
        <f t="shared" si="9"/>
        <v>0.45401301632985747</v>
      </c>
      <c r="P29" s="78">
        <f t="shared" si="9"/>
        <v>0.46203320126806657</v>
      </c>
      <c r="Q29" s="78">
        <f t="shared" si="9"/>
        <v>0.43764262368655282</v>
      </c>
      <c r="R29" s="78">
        <f t="shared" si="9"/>
        <v>0.43535298832221137</v>
      </c>
      <c r="S29" s="78">
        <f t="shared" si="9"/>
        <v>0.44783302233744871</v>
      </c>
      <c r="T29" s="78">
        <f t="shared" si="9"/>
        <v>0.47575106435129261</v>
      </c>
      <c r="U29" s="78">
        <f t="shared" si="9"/>
        <v>0.51328593776611753</v>
      </c>
      <c r="V29" s="78">
        <f t="shared" si="9"/>
        <v>0.56984374275457206</v>
      </c>
      <c r="W29" s="78">
        <f t="shared" si="9"/>
        <v>0.5952254839863953</v>
      </c>
      <c r="X29" s="78">
        <f t="shared" ref="X29:Y29" si="10">IF(X10=0,0,X10/X$3)</f>
        <v>0.53673897684107874</v>
      </c>
      <c r="Y29" s="78">
        <f t="shared" si="10"/>
        <v>0.54374106456762528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25.188012719999996</v>
      </c>
      <c r="C3" s="62">
        <f t="shared" ref="C3:W3" si="1">SUM(C4:C5)</f>
        <v>619.66751543999987</v>
      </c>
      <c r="D3" s="62">
        <f t="shared" si="1"/>
        <v>654.14344824</v>
      </c>
      <c r="E3" s="62">
        <f t="shared" si="1"/>
        <v>597.50669627999991</v>
      </c>
      <c r="F3" s="62">
        <f t="shared" si="1"/>
        <v>644.65525512000011</v>
      </c>
      <c r="G3" s="62">
        <f t="shared" si="1"/>
        <v>830.15027711999971</v>
      </c>
      <c r="H3" s="62">
        <f t="shared" si="1"/>
        <v>628.88260356000001</v>
      </c>
      <c r="I3" s="62">
        <f t="shared" si="1"/>
        <v>569.1397715999999</v>
      </c>
      <c r="J3" s="62">
        <f t="shared" si="1"/>
        <v>660.18541211999991</v>
      </c>
      <c r="K3" s="62">
        <f t="shared" si="1"/>
        <v>877.11097427999971</v>
      </c>
      <c r="L3" s="62">
        <f t="shared" si="1"/>
        <v>804.8833660800002</v>
      </c>
      <c r="M3" s="62">
        <f t="shared" si="1"/>
        <v>685.5069441600001</v>
      </c>
      <c r="N3" s="62">
        <f t="shared" si="1"/>
        <v>767.28342096000017</v>
      </c>
      <c r="O3" s="62">
        <f t="shared" si="1"/>
        <v>767.24094456000023</v>
      </c>
      <c r="P3" s="62">
        <f t="shared" si="1"/>
        <v>742.0347208799999</v>
      </c>
      <c r="Q3" s="62">
        <f t="shared" si="1"/>
        <v>808.35359400000016</v>
      </c>
      <c r="R3" s="62">
        <f t="shared" si="1"/>
        <v>997.14891455999998</v>
      </c>
      <c r="S3" s="62">
        <f t="shared" si="1"/>
        <v>824.14472327999988</v>
      </c>
      <c r="T3" s="62">
        <f t="shared" si="1"/>
        <v>119.01523644000002</v>
      </c>
      <c r="U3" s="62">
        <f t="shared" si="1"/>
        <v>913.41402407999999</v>
      </c>
      <c r="V3" s="62">
        <f t="shared" si="1"/>
        <v>642.80252700000017</v>
      </c>
      <c r="W3" s="62">
        <f t="shared" si="1"/>
        <v>644.69232503999979</v>
      </c>
      <c r="X3" s="62">
        <f t="shared" ref="X3:Y3" si="2">SUM(X4:X5)</f>
        <v>345.09429324000007</v>
      </c>
      <c r="Y3" s="62">
        <f t="shared" si="2"/>
        <v>115.67437523999996</v>
      </c>
      <c r="DA3" s="172" t="s">
        <v>987</v>
      </c>
    </row>
    <row r="4" spans="1:105" ht="11.45" customHeight="1" x14ac:dyDescent="0.25">
      <c r="A4" s="55" t="s">
        <v>166</v>
      </c>
      <c r="B4" s="63">
        <v>12.749110234050915</v>
      </c>
      <c r="C4" s="63">
        <v>308.12249295173706</v>
      </c>
      <c r="D4" s="63">
        <v>325.10229400090509</v>
      </c>
      <c r="E4" s="63">
        <v>297.30422447614046</v>
      </c>
      <c r="F4" s="63">
        <v>321.05522866389748</v>
      </c>
      <c r="G4" s="63">
        <v>388.73344214108397</v>
      </c>
      <c r="H4" s="63">
        <v>288.10682099489662</v>
      </c>
      <c r="I4" s="63">
        <v>270.41871089800992</v>
      </c>
      <c r="J4" s="63">
        <v>316.63098768126179</v>
      </c>
      <c r="K4" s="63">
        <v>435.3276209345824</v>
      </c>
      <c r="L4" s="63">
        <v>426.86620256350125</v>
      </c>
      <c r="M4" s="63">
        <v>340.84847086315915</v>
      </c>
      <c r="N4" s="63">
        <v>404.05845437279487</v>
      </c>
      <c r="O4" s="63">
        <v>415.38862834337829</v>
      </c>
      <c r="P4" s="63">
        <v>396.11205652814527</v>
      </c>
      <c r="Q4" s="63">
        <v>449.30927243570829</v>
      </c>
      <c r="R4" s="63">
        <v>556.05230862322514</v>
      </c>
      <c r="S4" s="63">
        <v>449.13729544376434</v>
      </c>
      <c r="T4" s="63">
        <v>62.268588604814823</v>
      </c>
      <c r="U4" s="63">
        <v>441.79800673914718</v>
      </c>
      <c r="V4" s="63">
        <v>276.32352738281384</v>
      </c>
      <c r="W4" s="63">
        <v>260.36823482646946</v>
      </c>
      <c r="X4" s="63">
        <v>158.34217969315665</v>
      </c>
      <c r="Y4" s="63">
        <v>52.569688791396921</v>
      </c>
      <c r="DA4" s="181" t="s">
        <v>988</v>
      </c>
    </row>
    <row r="5" spans="1:105" ht="11.45" customHeight="1" x14ac:dyDescent="0.25">
      <c r="A5" s="57" t="s">
        <v>167</v>
      </c>
      <c r="B5" s="64">
        <v>12.438902485949081</v>
      </c>
      <c r="C5" s="64">
        <v>311.54502248826282</v>
      </c>
      <c r="D5" s="64">
        <v>329.04115423909491</v>
      </c>
      <c r="E5" s="64">
        <v>300.2024718038594</v>
      </c>
      <c r="F5" s="64">
        <v>323.60002645610263</v>
      </c>
      <c r="G5" s="64">
        <v>441.41683497891574</v>
      </c>
      <c r="H5" s="64">
        <v>340.77578256510344</v>
      </c>
      <c r="I5" s="64">
        <v>298.72106070198993</v>
      </c>
      <c r="J5" s="64">
        <v>343.55442443873818</v>
      </c>
      <c r="K5" s="64">
        <v>441.78335334541737</v>
      </c>
      <c r="L5" s="64">
        <v>378.01716351649895</v>
      </c>
      <c r="M5" s="64">
        <v>344.65847329684101</v>
      </c>
      <c r="N5" s="64">
        <v>363.2249665872053</v>
      </c>
      <c r="O5" s="64">
        <v>351.85231621662194</v>
      </c>
      <c r="P5" s="64">
        <v>345.92266435185462</v>
      </c>
      <c r="Q5" s="64">
        <v>359.04432156429186</v>
      </c>
      <c r="R5" s="64">
        <v>441.09660593677484</v>
      </c>
      <c r="S5" s="64">
        <v>375.00742783623554</v>
      </c>
      <c r="T5" s="64">
        <v>56.746647835185193</v>
      </c>
      <c r="U5" s="64">
        <v>471.61601734085286</v>
      </c>
      <c r="V5" s="64">
        <v>366.47899961718633</v>
      </c>
      <c r="W5" s="64">
        <v>384.32409021353038</v>
      </c>
      <c r="X5" s="64">
        <v>186.75211354684342</v>
      </c>
      <c r="Y5" s="64">
        <v>63.104686448603047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3.1024187999999997</v>
      </c>
      <c r="C9" s="79">
        <f>IF(C3=0,0,C3/MBunk_ene!C3)</f>
        <v>3.1688785019963754</v>
      </c>
      <c r="D9" s="79">
        <f>IF(D3=0,0,D3/MBunk_ene!D3)</f>
        <v>3.1825965341539484</v>
      </c>
      <c r="E9" s="79">
        <f>IF(E3=0,0,E3/MBunk_ene!E3)</f>
        <v>3.1860039978563139</v>
      </c>
      <c r="F9" s="79">
        <f>IF(F3=0,0,F3/MBunk_ene!F3)</f>
        <v>3.1885680407658858</v>
      </c>
      <c r="G9" s="79">
        <f>IF(G3=0,0,G3/MBunk_ene!G3)</f>
        <v>3.1920591112578491</v>
      </c>
      <c r="H9" s="79">
        <f>IF(H3=0,0,H3/MBunk_ene!H3)</f>
        <v>3.1942898069219252</v>
      </c>
      <c r="I9" s="79">
        <f>IF(I3=0,0,I3/MBunk_ene!I3)</f>
        <v>3.194154161537226</v>
      </c>
      <c r="J9" s="79">
        <f>IF(J3=0,0,J3/MBunk_ene!J3)</f>
        <v>3.2099043306594854</v>
      </c>
      <c r="K9" s="79">
        <f>IF(K3=0,0,K3/MBunk_ene!K3)</f>
        <v>3.209287525149684</v>
      </c>
      <c r="L9" s="79">
        <f>IF(L3=0,0,L3/MBunk_ene!L3)</f>
        <v>3.2020929333851473</v>
      </c>
      <c r="M9" s="79">
        <f>IF(M3=0,0,M3/MBunk_ene!M3)</f>
        <v>3.1916209663924935</v>
      </c>
      <c r="N9" s="79">
        <f>IF(N3=0,0,N3/MBunk_ene!N3)</f>
        <v>3.1898681356808503</v>
      </c>
      <c r="O9" s="79">
        <f>IF(O3=0,0,O3/MBunk_ene!O3)</f>
        <v>3.1938873400938803</v>
      </c>
      <c r="P9" s="79">
        <f>IF(P3=0,0,P3/MBunk_ene!P3)</f>
        <v>3.198874854495009</v>
      </c>
      <c r="Q9" s="79">
        <f>IF(Q3=0,0,Q3/MBunk_ene!Q3)</f>
        <v>3.1728877901385242</v>
      </c>
      <c r="R9" s="79">
        <f>IF(R3=0,0,R3/MBunk_ene!R3)</f>
        <v>3.1675355751934089</v>
      </c>
      <c r="S9" s="79">
        <f>IF(S3=0,0,S3/MBunk_ene!S3)</f>
        <v>3.1672965475746637</v>
      </c>
      <c r="T9" s="79">
        <f>IF(T3=0,0,T3/MBunk_ene!T3)</f>
        <v>3.1086478141774303</v>
      </c>
      <c r="U9" s="79">
        <f>IF(U3=0,0,U3/MBunk_ene!U3)</f>
        <v>3.1218946303174819</v>
      </c>
      <c r="V9" s="79">
        <f>IF(V3=0,0,V3/MBunk_ene!V3)</f>
        <v>3.1044622226047314</v>
      </c>
      <c r="W9" s="79">
        <f>IF(W3=0,0,W3/MBunk_ene!W3)</f>
        <v>3.1094106870336362</v>
      </c>
      <c r="X9" s="79">
        <f>IF(X3=0,0,X3/MBunk_ene!X3)</f>
        <v>3.1323288028087153</v>
      </c>
      <c r="Y9" s="79">
        <f>IF(Y3=0,0,Y3/MBunk_ene!Y3)</f>
        <v>3.1146809224884233</v>
      </c>
      <c r="DA9" s="172"/>
    </row>
    <row r="10" spans="1:105" ht="11.45" customHeight="1" x14ac:dyDescent="0.25">
      <c r="A10" s="55" t="s">
        <v>166</v>
      </c>
      <c r="B10" s="80">
        <f>IF(B4=0,0,B4/MBunk_ene!B4)</f>
        <v>3.1024187999999997</v>
      </c>
      <c r="C10" s="80">
        <f>IF(C4=0,0,C4/MBunk_ene!C4)</f>
        <v>3.1216624495184484</v>
      </c>
      <c r="D10" s="80">
        <f>IF(D4=0,0,D4/MBunk_ene!D4)</f>
        <v>3.1442007349537464</v>
      </c>
      <c r="E10" s="80">
        <f>IF(E4=0,0,E4/MBunk_ene!E4)</f>
        <v>3.1498913783001838</v>
      </c>
      <c r="F10" s="80">
        <f>IF(F4=0,0,F4/MBunk_ene!F4)</f>
        <v>3.1541719283615532</v>
      </c>
      <c r="G10" s="80">
        <f>IF(G4=0,0,G4/MBunk_ene!G4)</f>
        <v>3.156638043308055</v>
      </c>
      <c r="H10" s="80">
        <f>IF(H4=0,0,H4/MBunk_ene!H4)</f>
        <v>3.1593517222161633</v>
      </c>
      <c r="I10" s="80">
        <f>IF(I4=0,0,I4/MBunk_ene!I4)</f>
        <v>3.160933662391312</v>
      </c>
      <c r="J10" s="80">
        <f>IF(J4=0,0,J4/MBunk_ene!J4)</f>
        <v>3.1881670265369237</v>
      </c>
      <c r="K10" s="80">
        <f>IF(K4=0,0,K4/MBunk_ene!K4)</f>
        <v>3.1882738108067494</v>
      </c>
      <c r="L10" s="80">
        <f>IF(L4=0,0,L4/MBunk_ene!L4)</f>
        <v>3.1790278341537475</v>
      </c>
      <c r="M10" s="80">
        <f>IF(M4=0,0,M4/MBunk_ene!M4)</f>
        <v>3.1589788694118672</v>
      </c>
      <c r="N10" s="80">
        <f>IF(N4=0,0,N4/MBunk_ene!N4)</f>
        <v>3.159238909036612</v>
      </c>
      <c r="O10" s="80">
        <f>IF(O4=0,0,O4/MBunk_ene!O4)</f>
        <v>3.1670880346874961</v>
      </c>
      <c r="P10" s="80">
        <f>IF(P4=0,0,P4/MBunk_ene!P4)</f>
        <v>3.1742096736409042</v>
      </c>
      <c r="Q10" s="80">
        <f>IF(Q4=0,0,Q4/MBunk_ene!Q4)</f>
        <v>3.1360741674137151</v>
      </c>
      <c r="R10" s="80">
        <f>IF(R4=0,0,R4/MBunk_ene!R4)</f>
        <v>3.1282402132865545</v>
      </c>
      <c r="S10" s="80">
        <f>IF(S4=0,0,S4/MBunk_ene!S4)</f>
        <v>3.1260357071423388</v>
      </c>
      <c r="T10" s="80">
        <f>IF(T4=0,0,T4/MBunk_ene!T4)</f>
        <v>3.1024188000000001</v>
      </c>
      <c r="U10" s="80">
        <f>IF(U4=0,0,U4/MBunk_ene!U4)</f>
        <v>3.1024188000000001</v>
      </c>
      <c r="V10" s="80">
        <f>IF(V4=0,0,V4/MBunk_ene!V4)</f>
        <v>3.1024188000000006</v>
      </c>
      <c r="W10" s="80">
        <f>IF(W4=0,0,W4/MBunk_ene!W4)</f>
        <v>3.1024187999999997</v>
      </c>
      <c r="X10" s="80">
        <f>IF(X4=0,0,X4/MBunk_ene!X4)</f>
        <v>3.1024188000000001</v>
      </c>
      <c r="Y10" s="80">
        <f>IF(Y4=0,0,Y4/MBunk_ene!Y4)</f>
        <v>3.1024188000000001</v>
      </c>
      <c r="DA10" s="181"/>
    </row>
    <row r="11" spans="1:105" ht="11.45" customHeight="1" x14ac:dyDescent="0.25">
      <c r="A11" s="57" t="s">
        <v>167</v>
      </c>
      <c r="B11" s="81">
        <f>IF(B5=0,0,B5/MBunk_ene!B10)</f>
        <v>3.1024187999999997</v>
      </c>
      <c r="C11" s="81">
        <f>IF(C5=0,0,C5/MBunk_ene!C10)</f>
        <v>3.217002052153727</v>
      </c>
      <c r="D11" s="81">
        <f>IF(D5=0,0,D5/MBunk_ene!D10)</f>
        <v>3.2214649346830142</v>
      </c>
      <c r="E11" s="81">
        <f>IF(E5=0,0,E5/MBunk_ene!E10)</f>
        <v>3.2225934367576747</v>
      </c>
      <c r="F11" s="81">
        <f>IF(F5=0,0,F5/MBunk_ene!F10)</f>
        <v>3.223443120339843</v>
      </c>
      <c r="G11" s="81">
        <f>IF(G5=0,0,G5/MBunk_ene!G10)</f>
        <v>3.2239174991587651</v>
      </c>
      <c r="H11" s="81">
        <f>IF(H5=0,0,H5/MBunk_ene!H10)</f>
        <v>3.2244365057320983</v>
      </c>
      <c r="I11" s="81">
        <f>IF(I5=0,0,I5/MBunk_ene!I10)</f>
        <v>3.2248351385165863</v>
      </c>
      <c r="J11" s="81">
        <f>IF(J5=0,0,J5/MBunk_ene!J10)</f>
        <v>3.2302022819062546</v>
      </c>
      <c r="K11" s="81">
        <f>IF(K5=0,0,K5/MBunk_ene!K10)</f>
        <v>3.2302668977127196</v>
      </c>
      <c r="L11" s="81">
        <f>IF(L5=0,0,L5/MBunk_ene!L10)</f>
        <v>3.2285442928498123</v>
      </c>
      <c r="M11" s="81">
        <f>IF(M5=0,0,M5/MBunk_ene!M10)</f>
        <v>3.2245725179195763</v>
      </c>
      <c r="N11" s="81">
        <f>IF(N5=0,0,N5/MBunk_ene!N10)</f>
        <v>3.2246460974531344</v>
      </c>
      <c r="O11" s="81">
        <f>IF(O5=0,0,O5/MBunk_ene!O10)</f>
        <v>3.2261156494088183</v>
      </c>
      <c r="P11" s="81">
        <f>IF(P5=0,0,P5/MBunk_ene!P10)</f>
        <v>3.2275936745880447</v>
      </c>
      <c r="Q11" s="81">
        <f>IF(Q5=0,0,Q5/MBunk_ene!Q10)</f>
        <v>3.2201921685688664</v>
      </c>
      <c r="R11" s="81">
        <f>IF(R5=0,0,R5/MBunk_ene!R10)</f>
        <v>3.2185011347937049</v>
      </c>
      <c r="S11" s="81">
        <f>IF(S5=0,0,S5/MBunk_ene!S10)</f>
        <v>3.2181701375534013</v>
      </c>
      <c r="T11" s="81">
        <f>IF(T5=0,0,T5/MBunk_ene!T10)</f>
        <v>3.1155118115435974</v>
      </c>
      <c r="U11" s="81">
        <f>IF(U5=0,0,U5/MBunk_ene!U10)</f>
        <v>3.1403622324701024</v>
      </c>
      <c r="V11" s="81">
        <f>IF(V5=0,0,V5/MBunk_ene!V10)</f>
        <v>3.1060047349702664</v>
      </c>
      <c r="W11" s="81">
        <f>IF(W5=0,0,W5/MBunk_ene!W10)</f>
        <v>3.1141654190909875</v>
      </c>
      <c r="X11" s="81">
        <f>IF(X5=0,0,X5/MBunk_ene!X10)</f>
        <v>3.1581442160760735</v>
      </c>
      <c r="Y11" s="81">
        <f>IF(Y5=0,0,Y5/MBunk_ene!Y10)</f>
        <v>3.1249702004504596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4494.8173860904844</v>
      </c>
      <c r="C13" s="62">
        <f>IF(C3=0,0,C3/MBunk_act!C7*100)</f>
        <v>4803.5392509341691</v>
      </c>
      <c r="D13" s="62">
        <f>IF(D3=0,0,D3/MBunk_act!D7*100)</f>
        <v>4916.7241341754871</v>
      </c>
      <c r="E13" s="62">
        <f>IF(E3=0,0,E3/MBunk_act!E7*100)</f>
        <v>4913.2586955070201</v>
      </c>
      <c r="F13" s="62">
        <f>IF(F3=0,0,F3/MBunk_act!F7*100)</f>
        <v>4966.6777670541187</v>
      </c>
      <c r="G13" s="62">
        <f>IF(G3=0,0,G3/MBunk_act!G7*100)</f>
        <v>5788.9941931557596</v>
      </c>
      <c r="H13" s="62">
        <f>IF(H3=0,0,H3/MBunk_act!H7*100)</f>
        <v>5571.9510693143657</v>
      </c>
      <c r="I13" s="62">
        <f>IF(I3=0,0,I3/MBunk_act!I7*100)</f>
        <v>4639.5942713370541</v>
      </c>
      <c r="J13" s="62">
        <f>IF(J3=0,0,J3/MBunk_act!J7*100)</f>
        <v>5565.68638999429</v>
      </c>
      <c r="K13" s="62">
        <f>IF(K3=0,0,K3/MBunk_act!K7*100)</f>
        <v>8578.36167645555</v>
      </c>
      <c r="L13" s="62">
        <f>IF(L3=0,0,L3/MBunk_act!L7*100)</f>
        <v>7882.3652018652892</v>
      </c>
      <c r="M13" s="62">
        <f>IF(M3=0,0,M3/MBunk_act!M7*100)</f>
        <v>6101.3713141259432</v>
      </c>
      <c r="N13" s="62">
        <f>IF(N3=0,0,N3/MBunk_act!N7*100)</f>
        <v>6060.8820259723852</v>
      </c>
      <c r="O13" s="62">
        <f>IF(O3=0,0,O3/MBunk_act!O7*100)</f>
        <v>6471.3708955335942</v>
      </c>
      <c r="P13" s="62">
        <f>IF(P3=0,0,P3/MBunk_act!P7*100)</f>
        <v>6126.9003412160491</v>
      </c>
      <c r="Q13" s="62">
        <f>IF(Q3=0,0,Q3/MBunk_act!Q7*100)</f>
        <v>7796.1571148936382</v>
      </c>
      <c r="R13" s="62">
        <f>IF(R3=0,0,R3/MBunk_act!R7*100)</f>
        <v>10219.696969846047</v>
      </c>
      <c r="S13" s="62">
        <f>IF(S3=0,0,S3/MBunk_act!S7*100)</f>
        <v>8178.3147322245914</v>
      </c>
      <c r="T13" s="62">
        <f>IF(T3=0,0,T3/MBunk_act!T7*100)</f>
        <v>1121.9180914223566</v>
      </c>
      <c r="U13" s="62">
        <f>IF(U3=0,0,U3/MBunk_act!U7*100)</f>
        <v>9396.6710132375392</v>
      </c>
      <c r="V13" s="62">
        <f>IF(V3=0,0,V3/MBunk_act!V7*100)</f>
        <v>10240.16871997598</v>
      </c>
      <c r="W13" s="62">
        <f>IF(W3=0,0,W3/MBunk_act!W7*100)</f>
        <v>10897.756712925631</v>
      </c>
      <c r="X13" s="62">
        <f>IF(X3=0,0,X3/MBunk_act!X7*100)</f>
        <v>4809.5947809667914</v>
      </c>
      <c r="Y13" s="62">
        <f>IF(Y3=0,0,Y3/MBunk_act!Y7*100)</f>
        <v>2075.469358066015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3985.2925359016817</v>
      </c>
      <c r="C14" s="63">
        <f>IF(C4=0,0,C4/MBunk_act!C8*100)</f>
        <v>4199.4148908713905</v>
      </c>
      <c r="D14" s="63">
        <f>IF(D4=0,0,D4/MBunk_act!D8*100)</f>
        <v>4320.9238763969988</v>
      </c>
      <c r="E14" s="63">
        <f>IF(E4=0,0,E4/MBunk_act!E8*100)</f>
        <v>4334.0867871584051</v>
      </c>
      <c r="F14" s="63">
        <f>IF(F4=0,0,F4/MBunk_act!F8*100)</f>
        <v>4375.1670714780339</v>
      </c>
      <c r="G14" s="63">
        <f>IF(G4=0,0,G4/MBunk_act!G8*100)</f>
        <v>5219.6956689260669</v>
      </c>
      <c r="H14" s="63">
        <f>IF(H4=0,0,H4/MBunk_act!H8*100)</f>
        <v>4920.5434056441381</v>
      </c>
      <c r="I14" s="63">
        <f>IF(I4=0,0,I4/MBunk_act!I8*100)</f>
        <v>4146.6498475937133</v>
      </c>
      <c r="J14" s="63">
        <f>IF(J4=0,0,J4/MBunk_act!J8*100)</f>
        <v>5011.3597274134872</v>
      </c>
      <c r="K14" s="63">
        <f>IF(K4=0,0,K4/MBunk_act!K8*100)</f>
        <v>7741.5469189172409</v>
      </c>
      <c r="L14" s="63">
        <f>IF(L4=0,0,L4/MBunk_act!L8*100)</f>
        <v>7009.6080214311851</v>
      </c>
      <c r="M14" s="63">
        <f>IF(M4=0,0,M4/MBunk_act!M8*100)</f>
        <v>5342.566406794238</v>
      </c>
      <c r="N14" s="63">
        <f>IF(N4=0,0,N4/MBunk_act!N8*100)</f>
        <v>5158.2972980023414</v>
      </c>
      <c r="O14" s="63">
        <f>IF(O4=0,0,O4/MBunk_act!O8*100)</f>
        <v>5435.2432487547385</v>
      </c>
      <c r="P14" s="63">
        <f>IF(P4=0,0,P4/MBunk_act!P8*100)</f>
        <v>5196.4926320299282</v>
      </c>
      <c r="Q14" s="63">
        <f>IF(Q4=0,0,Q4/MBunk_act!Q8*100)</f>
        <v>6585.8914506208794</v>
      </c>
      <c r="R14" s="63">
        <f>IF(R4=0,0,R4/MBunk_act!R8*100)</f>
        <v>8749.7281092597441</v>
      </c>
      <c r="S14" s="63">
        <f>IF(S4=0,0,S4/MBunk_act!S8*100)</f>
        <v>7127.7276917358122</v>
      </c>
      <c r="T14" s="63">
        <f>IF(T4=0,0,T4/MBunk_act!T8*100)</f>
        <v>998.85560674859312</v>
      </c>
      <c r="U14" s="63">
        <f>IF(U4=0,0,U4/MBunk_act!U8*100)</f>
        <v>8505.9349618251072</v>
      </c>
      <c r="V14" s="63">
        <f>IF(V4=0,0,V4/MBunk_act!V8*100)</f>
        <v>8830.4790608856129</v>
      </c>
      <c r="W14" s="63">
        <f>IF(W4=0,0,W4/MBunk_act!W8*100)</f>
        <v>9005.866108440172</v>
      </c>
      <c r="X14" s="63">
        <f>IF(X4=0,0,X4/MBunk_act!X8*100)</f>
        <v>4204.8727865079627</v>
      </c>
      <c r="Y14" s="63">
        <f>IF(Y4=0,0,Y4/MBunk_act!Y8*100)</f>
        <v>1829.8315755335384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5172.6385220705188</v>
      </c>
      <c r="C15" s="64">
        <f>IF(C5=0,0,C5/MBunk_act!C9*100)</f>
        <v>5600.3502901741949</v>
      </c>
      <c r="D15" s="64">
        <f>IF(D5=0,0,D5/MBunk_act!D9*100)</f>
        <v>5692.2118870885106</v>
      </c>
      <c r="E15" s="64">
        <f>IF(E5=0,0,E5/MBunk_act!E9*100)</f>
        <v>5662.6654562493723</v>
      </c>
      <c r="F15" s="64">
        <f>IF(F5=0,0,F5/MBunk_act!F9*100)</f>
        <v>5736.0818745163524</v>
      </c>
      <c r="G15" s="64">
        <f>IF(G5=0,0,G5/MBunk_act!G9*100)</f>
        <v>6404.109659288184</v>
      </c>
      <c r="H15" s="64">
        <f>IF(H5=0,0,H5/MBunk_act!H9*100)</f>
        <v>6274.1852243319336</v>
      </c>
      <c r="I15" s="64">
        <f>IF(I5=0,0,I5/MBunk_act!I9*100)</f>
        <v>5199.0929589018651</v>
      </c>
      <c r="J15" s="64">
        <f>IF(J5=0,0,J5/MBunk_act!J9*100)</f>
        <v>6197.4929013190394</v>
      </c>
      <c r="K15" s="64">
        <f>IF(K5=0,0,K5/MBunk_act!K9*100)</f>
        <v>9601.0075427778665</v>
      </c>
      <c r="L15" s="64">
        <f>IF(L5=0,0,L5/MBunk_act!L9*100)</f>
        <v>9171.9214015733487</v>
      </c>
      <c r="M15" s="64">
        <f>IF(M5=0,0,M5/MBunk_act!M9*100)</f>
        <v>7098.4144407598378</v>
      </c>
      <c r="N15" s="64">
        <f>IF(N5=0,0,N5/MBunk_act!N9*100)</f>
        <v>7525.7559495321129</v>
      </c>
      <c r="O15" s="64">
        <f>IF(O5=0,0,O5/MBunk_act!O9*100)</f>
        <v>8350.7475090116022</v>
      </c>
      <c r="P15" s="64">
        <f>IF(P5=0,0,P5/MBunk_act!P9*100)</f>
        <v>7707.0133091968473</v>
      </c>
      <c r="Q15" s="64">
        <f>IF(Q5=0,0,Q5/MBunk_act!Q9*100)</f>
        <v>10124.431143876966</v>
      </c>
      <c r="R15" s="64">
        <f>IF(R5=0,0,R5/MBunk_act!R9*100)</f>
        <v>12965.62351833396</v>
      </c>
      <c r="S15" s="64">
        <f>IF(S5=0,0,S5/MBunk_act!S9*100)</f>
        <v>9931.5354124057394</v>
      </c>
      <c r="T15" s="64">
        <f>IF(T5=0,0,T5/MBunk_act!T9*100)</f>
        <v>1297.3034574364499</v>
      </c>
      <c r="U15" s="64">
        <f>IF(U5=0,0,U5/MBunk_act!U9*100)</f>
        <v>10418.732610428031</v>
      </c>
      <c r="V15" s="64">
        <f>IF(V5=0,0,V5/MBunk_act!V9*100)</f>
        <v>11641.41250086756</v>
      </c>
      <c r="W15" s="64">
        <f>IF(W5=0,0,W5/MBunk_act!W9*100)</f>
        <v>12706.062696952467</v>
      </c>
      <c r="X15" s="64">
        <f>IF(X5=0,0,X5/MBunk_act!X9*100)</f>
        <v>5477.5027078309186</v>
      </c>
      <c r="Y15" s="64">
        <f>IF(Y5=0,0,Y5/MBunk_act!Y9*100)</f>
        <v>2336.7925829787873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5.8733953996453678</v>
      </c>
      <c r="C17" s="62">
        <f>IF(C3=0,0,C3/MBunk_act!C3*1000)</f>
        <v>6.0760510169738717</v>
      </c>
      <c r="D17" s="62">
        <f>IF(D3=0,0,D3/MBunk_act!D3*1000)</f>
        <v>6.0833484537102054</v>
      </c>
      <c r="E17" s="62">
        <f>IF(E3=0,0,E3/MBunk_act!E3*1000)</f>
        <v>6.0817525706091562</v>
      </c>
      <c r="F17" s="62">
        <f>IF(F3=0,0,F3/MBunk_act!F3*1000)</f>
        <v>6.0901885405232656</v>
      </c>
      <c r="G17" s="62">
        <f>IF(G3=0,0,G3/MBunk_act!G3*1000)</f>
        <v>6.9218333895877491</v>
      </c>
      <c r="H17" s="62">
        <f>IF(H3=0,0,H3/MBunk_act!H3*1000)</f>
        <v>6.2868802868273423</v>
      </c>
      <c r="I17" s="62">
        <f>IF(I3=0,0,I3/MBunk_act!I3*1000)</f>
        <v>5.0401821811340843</v>
      </c>
      <c r="J17" s="62">
        <f>IF(J3=0,0,J3/MBunk_act!J3*1000)</f>
        <v>5.9503593364189404</v>
      </c>
      <c r="K17" s="62">
        <f>IF(K3=0,0,K3/MBunk_act!K3*1000)</f>
        <v>8.6579608252316795</v>
      </c>
      <c r="L17" s="62">
        <f>IF(L3=0,0,L3/MBunk_act!L3*1000)</f>
        <v>7.482958789448972</v>
      </c>
      <c r="M17" s="62">
        <f>IF(M3=0,0,M3/MBunk_act!M3*1000)</f>
        <v>5.4356478347899699</v>
      </c>
      <c r="N17" s="62">
        <f>IF(N3=0,0,N3/MBunk_act!N3*1000)</f>
        <v>5.8359188747231974</v>
      </c>
      <c r="O17" s="62">
        <f>IF(O3=0,0,O3/MBunk_act!O3*1000)</f>
        <v>6.4377936786413885</v>
      </c>
      <c r="P17" s="62">
        <f>IF(P3=0,0,P3/MBunk_act!P3*1000)</f>
        <v>5.5227296786762503</v>
      </c>
      <c r="Q17" s="62">
        <f>IF(Q3=0,0,Q3/MBunk_act!Q3*1000)</f>
        <v>6.7436123613744297</v>
      </c>
      <c r="R17" s="62">
        <f>IF(R3=0,0,R3/MBunk_act!R3*1000)</f>
        <v>8.5356355439935552</v>
      </c>
      <c r="S17" s="62">
        <f>IF(S3=0,0,S3/MBunk_act!S3*1000)</f>
        <v>6.3082643186573311</v>
      </c>
      <c r="T17" s="62">
        <f>IF(T3=0,0,T3/MBunk_act!T3*1000)</f>
        <v>0.8423728763366517</v>
      </c>
      <c r="U17" s="62">
        <f>IF(U3=0,0,U3/MBunk_act!U3*1000)</f>
        <v>6.6458996402509767</v>
      </c>
      <c r="V17" s="62">
        <f>IF(V3=0,0,V3/MBunk_act!V3*1000)</f>
        <v>7.7170505307965485</v>
      </c>
      <c r="W17" s="62">
        <f>IF(W3=0,0,W3/MBunk_act!W3*1000)</f>
        <v>7.9380583820075294</v>
      </c>
      <c r="X17" s="62">
        <f>IF(X3=0,0,X3/MBunk_act!X3*1000)</f>
        <v>3.1794454546719684</v>
      </c>
      <c r="Y17" s="62">
        <f>IF(Y3=0,0,Y3/MBunk_act!Y3*1000)</f>
        <v>1.3724996481249332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9.3033878973404764</v>
      </c>
      <c r="C18" s="63">
        <f>IF(C4=0,0,C4/MBunk_act!C4*1000)</f>
        <v>9.606892859144029</v>
      </c>
      <c r="D18" s="63">
        <f>IF(D4=0,0,D4/MBunk_act!D4*1000)</f>
        <v>9.6118843755180929</v>
      </c>
      <c r="E18" s="63">
        <f>IF(E4=0,0,E4/MBunk_act!E4*1000)</f>
        <v>9.599807933909668</v>
      </c>
      <c r="F18" s="63">
        <f>IF(F4=0,0,F4/MBunk_act!F4*1000)</f>
        <v>9.6263807158286117</v>
      </c>
      <c r="G18" s="63">
        <f>IF(G4=0,0,G4/MBunk_act!G4*1000)</f>
        <v>11.44744436938916</v>
      </c>
      <c r="H18" s="63">
        <f>IF(H4=0,0,H4/MBunk_act!H4*1000)</f>
        <v>9.7397942288366739</v>
      </c>
      <c r="I18" s="63">
        <f>IF(I4=0,0,I4/MBunk_act!I4*1000)</f>
        <v>8.0890025391595124</v>
      </c>
      <c r="J18" s="63">
        <f>IF(J4=0,0,J4/MBunk_act!J4*1000)</f>
        <v>9.8232934985429115</v>
      </c>
      <c r="K18" s="63">
        <f>IF(K4=0,0,K4/MBunk_act!K4*1000)</f>
        <v>14.102237439856227</v>
      </c>
      <c r="L18" s="63">
        <f>IF(L4=0,0,L4/MBunk_act!L4*1000)</f>
        <v>12.088621109199529</v>
      </c>
      <c r="M18" s="63">
        <f>IF(M4=0,0,M4/MBunk_act!M4*1000)</f>
        <v>8.9937494769796</v>
      </c>
      <c r="N18" s="63">
        <f>IF(N4=0,0,N4/MBunk_act!N4*1000)</f>
        <v>8.5145558715099252</v>
      </c>
      <c r="O18" s="63">
        <f>IF(O4=0,0,O4/MBunk_act!O4*1000)</f>
        <v>8.7577194286604545</v>
      </c>
      <c r="P18" s="63">
        <f>IF(P4=0,0,P4/MBunk_act!P4*1000)</f>
        <v>8.2683623900817356</v>
      </c>
      <c r="Q18" s="63">
        <f>IF(Q4=0,0,Q4/MBunk_act!Q4*1000)</f>
        <v>9.6431430933400311</v>
      </c>
      <c r="R18" s="63">
        <f>IF(R4=0,0,R4/MBunk_act!R4*1000)</f>
        <v>12.689094932101343</v>
      </c>
      <c r="S18" s="63">
        <f>IF(S4=0,0,S4/MBunk_act!S4*1000)</f>
        <v>10.399049177487425</v>
      </c>
      <c r="T18" s="63">
        <f>IF(T4=0,0,T4/MBunk_act!T4*1000)</f>
        <v>1.5076937242755812</v>
      </c>
      <c r="U18" s="63">
        <f>IF(U4=0,0,U4/MBunk_act!U4*1000)</f>
        <v>13.182649453082774</v>
      </c>
      <c r="V18" s="63">
        <f>IF(V4=0,0,V4/MBunk_act!V4*1000)</f>
        <v>13.708631227714079</v>
      </c>
      <c r="W18" s="63">
        <f>IF(W4=0,0,W4/MBunk_act!W4*1000)</f>
        <v>15.665673289410723</v>
      </c>
      <c r="X18" s="63">
        <f>IF(X4=0,0,X4/MBunk_act!X4*1000)</f>
        <v>6.7934429245525338</v>
      </c>
      <c r="Y18" s="63">
        <f>IF(Y4=0,0,Y4/MBunk_act!Y4*1000)</f>
        <v>3.0666801524037477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4.2626429222916604</v>
      </c>
      <c r="C19" s="64">
        <f>IF(C5=0,0,C5/MBunk_act!C5*1000)</f>
        <v>4.4562341804591146</v>
      </c>
      <c r="D19" s="64">
        <f>IF(D5=0,0,D5/MBunk_act!D5*1000)</f>
        <v>4.464164999367612</v>
      </c>
      <c r="E19" s="64">
        <f>IF(E5=0,0,E5/MBunk_act!E5*1000)</f>
        <v>4.462252192884141</v>
      </c>
      <c r="F19" s="64">
        <f>IF(F5=0,0,F5/MBunk_act!F5*1000)</f>
        <v>4.4634583949387627</v>
      </c>
      <c r="G19" s="64">
        <f>IF(G5=0,0,G5/MBunk_act!G5*1000)</f>
        <v>5.1343037628433654</v>
      </c>
      <c r="H19" s="64">
        <f>IF(H5=0,0,H5/MBunk_act!H5*1000)</f>
        <v>4.8370905865569904</v>
      </c>
      <c r="I19" s="64">
        <f>IF(I5=0,0,I5/MBunk_act!I5*1000)</f>
        <v>3.7579674249012767</v>
      </c>
      <c r="J19" s="64">
        <f>IF(J5=0,0,J5/MBunk_act!J5*1000)</f>
        <v>4.3644713453995561</v>
      </c>
      <c r="K19" s="64">
        <f>IF(K5=0,0,K5/MBunk_act!K5*1000)</f>
        <v>6.2719929270235024</v>
      </c>
      <c r="L19" s="64">
        <f>IF(L5=0,0,L5/MBunk_act!L5*1000)</f>
        <v>5.2320153289543461</v>
      </c>
      <c r="M19" s="64">
        <f>IF(M5=0,0,M5/MBunk_act!M5*1000)</f>
        <v>3.9070356219397833</v>
      </c>
      <c r="N19" s="64">
        <f>IF(N5=0,0,N5/MBunk_act!N5*1000)</f>
        <v>4.3230258991655219</v>
      </c>
      <c r="O19" s="64">
        <f>IF(O5=0,0,O5/MBunk_act!O5*1000)</f>
        <v>4.9041055513306659</v>
      </c>
      <c r="P19" s="64">
        <f>IF(P5=0,0,P5/MBunk_act!P5*1000)</f>
        <v>4.0012715427581611</v>
      </c>
      <c r="Q19" s="64">
        <f>IF(Q5=0,0,Q5/MBunk_act!Q5*1000)</f>
        <v>4.8998985411875404</v>
      </c>
      <c r="R19" s="64">
        <f>IF(R5=0,0,R5/MBunk_act!R5*1000)</f>
        <v>6.0423698612960433</v>
      </c>
      <c r="S19" s="64">
        <f>IF(S5=0,0,S5/MBunk_act!S5*1000)</f>
        <v>4.2880036663304564</v>
      </c>
      <c r="T19" s="64">
        <f>IF(T5=0,0,T5/MBunk_act!T5*1000)</f>
        <v>0.5675508259280877</v>
      </c>
      <c r="U19" s="64">
        <f>IF(U5=0,0,U5/MBunk_act!U5*1000)</f>
        <v>4.5379704144234934</v>
      </c>
      <c r="V19" s="64">
        <f>IF(V5=0,0,V5/MBunk_act!V5*1000)</f>
        <v>5.8042747901811795</v>
      </c>
      <c r="W19" s="64">
        <f>IF(W5=0,0,W5/MBunk_act!W5*1000)</f>
        <v>5.9497439195589479</v>
      </c>
      <c r="X19" s="64">
        <f>IF(X5=0,0,X5/MBunk_act!X5*1000)</f>
        <v>2.19112754559342</v>
      </c>
      <c r="Y19" s="64">
        <f>IF(Y5=0,0,Y5/MBunk_act!Y5*1000)</f>
        <v>0.93992695896128031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0.50615784483576032</v>
      </c>
      <c r="C22" s="77">
        <f t="shared" si="3"/>
        <v>0.49723841459230311</v>
      </c>
      <c r="D22" s="77">
        <f t="shared" si="3"/>
        <v>0.49698929932816149</v>
      </c>
      <c r="E22" s="77">
        <f t="shared" si="3"/>
        <v>0.49757471560924499</v>
      </c>
      <c r="F22" s="77">
        <f t="shared" si="3"/>
        <v>0.49802623357833992</v>
      </c>
      <c r="G22" s="77">
        <f t="shared" si="3"/>
        <v>0.46826876151833391</v>
      </c>
      <c r="H22" s="77">
        <f t="shared" si="3"/>
        <v>0.45812496539731223</v>
      </c>
      <c r="I22" s="77">
        <f t="shared" si="3"/>
        <v>0.47513585307488282</v>
      </c>
      <c r="J22" s="77">
        <f t="shared" si="3"/>
        <v>0.47960918534156999</v>
      </c>
      <c r="K22" s="77">
        <f t="shared" si="3"/>
        <v>0.49631988847469716</v>
      </c>
      <c r="L22" s="77">
        <f t="shared" si="3"/>
        <v>0.53034541469337992</v>
      </c>
      <c r="M22" s="77">
        <f t="shared" si="3"/>
        <v>0.49722103294055581</v>
      </c>
      <c r="N22" s="77">
        <f t="shared" si="3"/>
        <v>0.52660912947558547</v>
      </c>
      <c r="O22" s="77">
        <f t="shared" si="3"/>
        <v>0.54140571001668414</v>
      </c>
      <c r="P22" s="77">
        <f t="shared" si="3"/>
        <v>0.53381876262930772</v>
      </c>
      <c r="Q22" s="77">
        <f t="shared" si="3"/>
        <v>0.5558325908002435</v>
      </c>
      <c r="R22" s="77">
        <f t="shared" si="3"/>
        <v>0.55764219416373506</v>
      </c>
      <c r="S22" s="77">
        <f t="shared" si="3"/>
        <v>0.54497381680277013</v>
      </c>
      <c r="T22" s="77">
        <f t="shared" si="3"/>
        <v>0.52319846153653371</v>
      </c>
      <c r="U22" s="77">
        <f t="shared" si="3"/>
        <v>0.48367771360214301</v>
      </c>
      <c r="V22" s="77">
        <f t="shared" si="3"/>
        <v>0.42987311931151412</v>
      </c>
      <c r="W22" s="77">
        <f t="shared" si="3"/>
        <v>0.40386433142400907</v>
      </c>
      <c r="X22" s="77">
        <f t="shared" ref="X22:Y22" si="5">IF(X4=0,0,X4/X$3)</f>
        <v>0.45883743311581116</v>
      </c>
      <c r="Y22" s="77">
        <f t="shared" si="5"/>
        <v>0.45446269912697512</v>
      </c>
      <c r="DA22" s="184"/>
    </row>
    <row r="23" spans="1:105" ht="11.45" customHeight="1" x14ac:dyDescent="0.25">
      <c r="A23" s="57" t="s">
        <v>167</v>
      </c>
      <c r="B23" s="78">
        <f t="shared" si="3"/>
        <v>0.49384215516423968</v>
      </c>
      <c r="C23" s="78">
        <f t="shared" si="3"/>
        <v>0.50276158540769689</v>
      </c>
      <c r="D23" s="78">
        <f t="shared" si="3"/>
        <v>0.50301070067183851</v>
      </c>
      <c r="E23" s="78">
        <f t="shared" si="3"/>
        <v>0.50242528439075496</v>
      </c>
      <c r="F23" s="78">
        <f t="shared" si="3"/>
        <v>0.50197376642166014</v>
      </c>
      <c r="G23" s="78">
        <f t="shared" si="3"/>
        <v>0.53173123848166604</v>
      </c>
      <c r="H23" s="78">
        <f t="shared" si="3"/>
        <v>0.54187503460268782</v>
      </c>
      <c r="I23" s="78">
        <f t="shared" si="3"/>
        <v>0.52486414692511707</v>
      </c>
      <c r="J23" s="78">
        <f t="shared" si="3"/>
        <v>0.52039081465843007</v>
      </c>
      <c r="K23" s="78">
        <f t="shared" si="3"/>
        <v>0.5036801115253029</v>
      </c>
      <c r="L23" s="78">
        <f t="shared" si="3"/>
        <v>0.46965458530662008</v>
      </c>
      <c r="M23" s="78">
        <f t="shared" si="3"/>
        <v>0.50277896705944425</v>
      </c>
      <c r="N23" s="78">
        <f t="shared" si="3"/>
        <v>0.47339087052441453</v>
      </c>
      <c r="O23" s="78">
        <f t="shared" si="3"/>
        <v>0.45859428998331592</v>
      </c>
      <c r="P23" s="78">
        <f t="shared" si="3"/>
        <v>0.46618123737069228</v>
      </c>
      <c r="Q23" s="78">
        <f t="shared" si="3"/>
        <v>0.44416740919975645</v>
      </c>
      <c r="R23" s="78">
        <f t="shared" si="3"/>
        <v>0.44235780583626494</v>
      </c>
      <c r="S23" s="78">
        <f t="shared" si="3"/>
        <v>0.45502618319722987</v>
      </c>
      <c r="T23" s="78">
        <f t="shared" si="3"/>
        <v>0.47680153846346618</v>
      </c>
      <c r="U23" s="78">
        <f t="shared" si="3"/>
        <v>0.51632228639785704</v>
      </c>
      <c r="V23" s="78">
        <f t="shared" si="3"/>
        <v>0.57012688068848594</v>
      </c>
      <c r="W23" s="78">
        <f t="shared" si="3"/>
        <v>0.59613566857599098</v>
      </c>
      <c r="X23" s="78">
        <f t="shared" ref="X23:Y23" si="6">IF(X5=0,0,X5/X$3)</f>
        <v>0.54116256688418884</v>
      </c>
      <c r="Y23" s="78">
        <f t="shared" si="6"/>
        <v>0.54553730087302499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2025-11-06T10:27:58Z</dcterms:created>
  <dcterms:modified xsi:type="dcterms:W3CDTF">2025-11-06T10:27:58Z</dcterms:modified>
</cp:coreProperties>
</file>