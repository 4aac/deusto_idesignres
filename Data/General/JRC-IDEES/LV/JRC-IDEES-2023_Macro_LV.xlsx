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V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121" i="59"/>
  <c r="AA88" i="59"/>
  <c r="AA117" i="59"/>
  <c r="AA84" i="59"/>
  <c r="AA82" i="59"/>
  <c r="AA81" i="59"/>
  <c r="AA79" i="59"/>
  <c r="AA110" i="59"/>
  <c r="AA109" i="59"/>
  <c r="AA74" i="59"/>
  <c r="AA105" i="59"/>
  <c r="AA70" i="59"/>
  <c r="AA101" i="59"/>
  <c r="AA66" i="59"/>
  <c r="AA89" i="59"/>
  <c r="AA97" i="59"/>
  <c r="AA94" i="59"/>
  <c r="AA93" i="59"/>
  <c r="AA5" i="59"/>
  <c r="Z115" i="59"/>
  <c r="Z107" i="59"/>
  <c r="Z103" i="59"/>
  <c r="Z99" i="59"/>
  <c r="Z54" i="55"/>
  <c r="D75" i="57"/>
  <c r="K75" i="57"/>
  <c r="F75" i="57"/>
  <c r="R54" i="57"/>
  <c r="K54" i="57"/>
  <c r="U39" i="57"/>
  <c r="D39" i="57"/>
  <c r="R39" i="57"/>
  <c r="Q39" i="57"/>
  <c r="O39" i="57"/>
  <c r="J39" i="57"/>
  <c r="I39" i="57"/>
  <c r="X16" i="57"/>
  <c r="P16" i="57"/>
  <c r="H16" i="57"/>
  <c r="G16" i="57"/>
  <c r="Y16" i="57"/>
  <c r="V16" i="57"/>
  <c r="N16" i="57"/>
  <c r="F16" i="57"/>
  <c r="E16" i="57"/>
  <c r="Y75" i="57"/>
  <c r="T75" i="57"/>
  <c r="Q75" i="57"/>
  <c r="U75" i="57"/>
  <c r="O75" i="57"/>
  <c r="J75" i="57"/>
  <c r="S54" i="57"/>
  <c r="P54" i="57"/>
  <c r="L54" i="57"/>
  <c r="Q54" i="57"/>
  <c r="I54" i="57"/>
  <c r="E39" i="57"/>
  <c r="S16" i="57"/>
  <c r="O16" i="57"/>
  <c r="M16" i="57"/>
  <c r="AA80" i="59" l="1"/>
  <c r="AA98" i="59"/>
  <c r="AA102" i="59"/>
  <c r="AA106" i="59"/>
  <c r="AA113" i="59"/>
  <c r="AA114" i="59"/>
  <c r="H39" i="57"/>
  <c r="J54" i="57"/>
  <c r="Z111" i="59"/>
  <c r="E75" i="57"/>
  <c r="J16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4" i="4"/>
  <c r="B5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<sst xmlns="http://schemas.openxmlformats.org/spreadsheetml/2006/main" count="722" uniqueCount="281">
  <si>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</si>
  <si>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</si>
  <si>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</si>
  <si>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</si>
  <si>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</si>
  <si>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</si>
  <si>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</si>
  <si>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</si>
  <si>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</si>
  <si>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</si>
  <si>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</si>
  <si>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</si>
  <si>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</si>
  <si>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</si>
  <si>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</si>
  <si>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</si>
  <si>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</si>
  <si>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</si>
  <si>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</si>
  <si>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</si>
  <si>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</si>
  <si>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</si>
  <si>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</si>
  <si>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</si>
  <si>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</si>
  <si>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</si>
  <si>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</si>
  <si>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</si>
  <si>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</si>
  <si>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</si>
  <si>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</si>
  <si>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</si>
  <si>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</si>
  <si>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</si>
  <si>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</si>
  <si>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</si>
  <si>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</si>
  <si>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</si>
  <si>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</si>
  <si>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</si>
  <si>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</si>
  <si>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</si>
  <si>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</si>
  <si>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</si>
  <si>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</si>
  <si>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</si>
  <si>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</si>
  <si>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</si>
  <si>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</si>
  <si>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</si>
  <si>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</si>
  <si>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</si>
  <si>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</si>
  <si>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</si>
  <si>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</si>
  <si>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</si>
  <si>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</si>
  <si>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</si>
  <si>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</si>
  <si>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</si>
  <si>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</si>
  <si>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</si>
  <si>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</si>
  <si>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</si>
  <si>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</si>
  <si>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</si>
  <si>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</si>
  <si>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</si>
  <si>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</si>
  <si>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</si>
  <si>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</si>
  <si>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</si>
  <si>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</si>
  <si>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</si>
  <si>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</si>
  <si>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</si>
  <si>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</si>
  <si>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</si>
  <si>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</si>
  <si>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</si>
  <si>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</si>
  <si>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</si>
  <si>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</si>
  <si>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</si>
  <si>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</si>
  <si>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</si>
  <si>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</si>
  <si>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</si>
  <si>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</si>
  <si>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</si>
  <si>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</si>
  <si>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</si>
  <si>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</si>
  <si>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</si>
  <si>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</si>
  <si>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</si>
  <si>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</si>
  <si>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</si>
  <si>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</si>
  <si>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</si>
  <si>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</si>
  <si>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</si>
  <si>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</si>
  <si>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</si>
  <si>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</si>
  <si>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</si>
  <si>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</si>
  <si>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</si>
  <si>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</si>
  <si>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</si>
  <si>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</si>
  <si>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</si>
  <si>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</si>
  <si>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</si>
  <si>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</si>
  <si>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</si>
  <si>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</si>
  <si>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</si>
  <si>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</si>
  <si>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</si>
  <si>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</si>
  <si>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</si>
  <si>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</si>
  <si>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</si>
  <si>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</si>
  <si>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</si>
  <si>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</si>
  <si>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</si>
  <si>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</si>
  <si>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</si>
  <si>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</si>
  <si>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</si>
  <si>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</si>
  <si>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</si>
  <si>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</si>
  <si>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</si>
  <si>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</si>
  <si>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</si>
  <si>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</si>
  <si>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</si>
  <si>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</si>
  <si>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</si>
  <si>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</si>
  <si>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</si>
  <si>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</si>
  <si>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</si>
  <si>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</si>
  <si>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</si>
  <si>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</si>
  <si>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</si>
  <si>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</si>
  <si>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</si>
  <si>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</si>
  <si>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</si>
  <si>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</si>
  <si>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</si>
  <si>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</si>
  <si>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</si>
  <si>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</si>
  <si>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</si>
  <si>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</si>
  <si>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</si>
  <si>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</si>
  <si>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</si>
  <si>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</si>
  <si>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</si>
  <si>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</si>
  <si>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</si>
  <si>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</si>
  <si>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</si>
  <si>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</si>
  <si>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</si>
  <si>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</si>
  <si>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</si>
  <si>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</si>
  <si>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</si>
  <si>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</si>
  <si>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</si>
  <si>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</si>
  <si>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</si>
  <si>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</si>
  <si>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</si>
  <si>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</si>
  <si>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</si>
  <si>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</si>
  <si>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</si>
  <si>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</si>
  <si>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</si>
  <si>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</si>
  <si>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</si>
  <si>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</si>
  <si>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</si>
  <si>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</si>
  <si>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</si>
  <si>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</si>
  <si>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</si>
  <si>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</si>
  <si>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</si>
  <si>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</si>
  <si>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</si>
  <si>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</si>
  <si>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</si>
  <si>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</si>
  <si>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</si>
  <si>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</si>
  <si>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</si>
  <si>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</si>
  <si>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</si>
  <si>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</si>
  <si>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</si>
  <si>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</si>
  <si>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</si>
  <si>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</si>
  <si>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</si>
  <si>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</si>
  <si>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</si>
  <si>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</si>
  <si>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</si>
  <si>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</si>
  <si>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</si>
  <si>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</si>
  <si>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</si>
  <si>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</si>
  <si>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</si>
  <si>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</si>
  <si>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</si>
  <si>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</si>
  <si>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</si>
  <si>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</si>
  <si>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</si>
  <si>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</si>
  <si>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</si>
  <si>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</si>
  <si>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</si>
  <si>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</si>
  <si>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</si>
  <si>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</si>
  <si>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</si>
  <si>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</si>
  <si>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</si>
  <si>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</si>
  <si>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</si>
  <si>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</si>
  <si>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</si>
  <si>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</si>
  <si>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</si>
  <si>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</si>
  <si>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</si>
  <si>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</si>
  <si>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</si>
  <si>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</si>
  <si>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</si>
  <si>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</si>
  <si>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</si>
  <si>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</si>
  <si>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</si>
  <si>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</si>
  <si>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</si>
  <si>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</si>
  <si>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</si>
  <si>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</si>
  <si>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</si>
  <si>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</si>
  <si>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</si>
  <si>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</si>
  <si>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</si>
  <si>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</si>
  <si>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</si>
  <si>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</si>
  <si>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</si>
  <si>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</si>
  <si>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</si>
  <si>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</si>
  <si>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</si>
  <si>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</si>
  <si>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</si>
  <si>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</si>
  <si>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</si>
  <si>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</si>
  <si>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LV</t>
  </si>
  <si>
    <t>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</si>
</sst>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45967.47755787037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8418</v>
      </c>
      <c r="E2" s="19">
        <v>9182.2000000000007</v>
      </c>
      <c r="F2" s="19">
        <v>9841</v>
      </c>
      <c r="G2" s="19">
        <v>10029</v>
      </c>
      <c r="H2" s="19">
        <v>11229.7</v>
      </c>
      <c r="I2" s="19">
        <v>13226.9</v>
      </c>
      <c r="J2" s="19">
        <v>16449.400000000001</v>
      </c>
      <c r="K2" s="19">
        <v>21592.400000000001</v>
      </c>
      <c r="L2" s="19">
        <v>23355.3</v>
      </c>
      <c r="M2" s="19">
        <v>18406.599999999999</v>
      </c>
      <c r="N2" s="19">
        <v>17572.2</v>
      </c>
      <c r="O2" s="19">
        <v>19022.599999999999</v>
      </c>
      <c r="P2" s="19">
        <v>21270.9</v>
      </c>
      <c r="Q2" s="19">
        <v>21997</v>
      </c>
      <c r="R2" s="19">
        <v>22790.5</v>
      </c>
      <c r="S2" s="19">
        <v>23744.3</v>
      </c>
      <c r="T2" s="19">
        <v>24498.2</v>
      </c>
      <c r="U2" s="19">
        <v>26017.1</v>
      </c>
      <c r="V2" s="19">
        <v>28153.4</v>
      </c>
      <c r="W2" s="19">
        <v>29567</v>
      </c>
      <c r="X2" s="19">
        <v>29224.3</v>
      </c>
      <c r="Y2" s="19">
        <v>32283.8</v>
      </c>
      <c r="Z2" s="19">
        <v>36099.699999999997</v>
      </c>
      <c r="AA2" s="19">
        <v>39372.400000000001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5306.1</v>
      </c>
      <c r="E3" s="23">
        <v>5719.3</v>
      </c>
      <c r="F3" s="23">
        <v>6039</v>
      </c>
      <c r="G3" s="23">
        <v>6144.7</v>
      </c>
      <c r="H3" s="23">
        <v>6996.5</v>
      </c>
      <c r="I3" s="23">
        <v>8079.7</v>
      </c>
      <c r="J3" s="23">
        <v>10374.4</v>
      </c>
      <c r="K3" s="23">
        <v>12728.9</v>
      </c>
      <c r="L3" s="23">
        <v>13187.5</v>
      </c>
      <c r="M3" s="23">
        <v>10912.2</v>
      </c>
      <c r="N3" s="23">
        <v>11009.8</v>
      </c>
      <c r="O3" s="23">
        <v>11580.1</v>
      </c>
      <c r="P3" s="23">
        <v>12704.1</v>
      </c>
      <c r="Q3" s="23">
        <v>13505.1</v>
      </c>
      <c r="R3" s="23">
        <v>13707.9</v>
      </c>
      <c r="S3" s="23">
        <v>13976.1</v>
      </c>
      <c r="T3" s="23">
        <v>14623.1</v>
      </c>
      <c r="U3" s="23">
        <v>15463</v>
      </c>
      <c r="V3" s="23">
        <v>16447.599999999999</v>
      </c>
      <c r="W3" s="23">
        <v>16971.900000000001</v>
      </c>
      <c r="X3" s="23">
        <v>16201.3</v>
      </c>
      <c r="Y3" s="23">
        <v>17965.599999999999</v>
      </c>
      <c r="Z3" s="23">
        <v>21482.799999999999</v>
      </c>
      <c r="AA3" s="23">
        <v>23182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7511.8</v>
      </c>
      <c r="E4" s="27">
        <v>8240.6</v>
      </c>
      <c r="F4" s="27">
        <v>8840.5</v>
      </c>
      <c r="G4" s="27">
        <v>8945.7999999999993</v>
      </c>
      <c r="H4" s="27">
        <v>10034.200000000001</v>
      </c>
      <c r="I4" s="27">
        <v>11700</v>
      </c>
      <c r="J4" s="27">
        <v>14459.8</v>
      </c>
      <c r="K4" s="27">
        <v>19063.7</v>
      </c>
      <c r="L4" s="27">
        <v>20904.599999999999</v>
      </c>
      <c r="M4" s="27">
        <v>16506.8</v>
      </c>
      <c r="N4" s="27">
        <v>15587.2</v>
      </c>
      <c r="O4" s="27">
        <v>16755.900000000001</v>
      </c>
      <c r="P4" s="27">
        <v>18716.7</v>
      </c>
      <c r="Q4" s="27">
        <v>19263.5</v>
      </c>
      <c r="R4" s="27">
        <v>19950.5</v>
      </c>
      <c r="S4" s="27">
        <v>20768.5</v>
      </c>
      <c r="T4" s="27">
        <v>21280</v>
      </c>
      <c r="U4" s="27">
        <v>22589.7</v>
      </c>
      <c r="V4" s="27">
        <v>24287.9</v>
      </c>
      <c r="W4" s="27">
        <v>25590.5</v>
      </c>
      <c r="X4" s="27">
        <v>25367</v>
      </c>
      <c r="Y4" s="27">
        <v>28062.2</v>
      </c>
      <c r="Z4" s="27">
        <v>31532.3</v>
      </c>
      <c r="AA4" s="27">
        <v>34586.699999999997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383</v>
      </c>
      <c r="E6" s="19">
        <v>411.5</v>
      </c>
      <c r="F6" s="19">
        <v>455.4</v>
      </c>
      <c r="G6" s="19">
        <v>411.4</v>
      </c>
      <c r="H6" s="19">
        <v>490.2</v>
      </c>
      <c r="I6" s="19">
        <v>511.6</v>
      </c>
      <c r="J6" s="19">
        <v>563.1</v>
      </c>
      <c r="K6" s="19">
        <v>745.8</v>
      </c>
      <c r="L6" s="19">
        <v>722</v>
      </c>
      <c r="M6" s="19">
        <v>605</v>
      </c>
      <c r="N6" s="19">
        <v>723.3</v>
      </c>
      <c r="O6" s="19">
        <v>718.6</v>
      </c>
      <c r="P6" s="19">
        <v>751.5</v>
      </c>
      <c r="Q6" s="19">
        <v>706.6</v>
      </c>
      <c r="R6" s="19">
        <v>824.2</v>
      </c>
      <c r="S6" s="19">
        <v>844</v>
      </c>
      <c r="T6" s="19">
        <v>814.6</v>
      </c>
      <c r="U6" s="19">
        <v>943.1</v>
      </c>
      <c r="V6" s="19">
        <v>1030.7</v>
      </c>
      <c r="W6" s="19">
        <v>1139.3</v>
      </c>
      <c r="X6" s="19">
        <v>1192.0999999999999</v>
      </c>
      <c r="Y6" s="19">
        <v>1358.1</v>
      </c>
      <c r="Z6" s="19">
        <v>1833.1</v>
      </c>
      <c r="AA6" s="19">
        <v>1540.7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1500.1</v>
      </c>
      <c r="E7" s="23">
        <v>1615.3</v>
      </c>
      <c r="F7" s="23">
        <v>1721.7</v>
      </c>
      <c r="G7" s="23">
        <v>1654.6</v>
      </c>
      <c r="H7" s="23">
        <v>1824.2</v>
      </c>
      <c r="I7" s="23">
        <v>1956</v>
      </c>
      <c r="J7" s="23">
        <v>2290.1</v>
      </c>
      <c r="K7" s="23">
        <v>2870.1</v>
      </c>
      <c r="L7" s="23">
        <v>3096.8</v>
      </c>
      <c r="M7" s="23">
        <v>2633.5</v>
      </c>
      <c r="N7" s="23">
        <v>2894.5</v>
      </c>
      <c r="O7" s="23">
        <v>3094.5</v>
      </c>
      <c r="P7" s="23">
        <v>3377.8</v>
      </c>
      <c r="Q7" s="23">
        <v>3334.6</v>
      </c>
      <c r="R7" s="23">
        <v>3175.7</v>
      </c>
      <c r="S7" s="23">
        <v>3388.3</v>
      </c>
      <c r="T7" s="23">
        <v>3517.7</v>
      </c>
      <c r="U7" s="23">
        <v>3765.7</v>
      </c>
      <c r="V7" s="23">
        <v>3836.6</v>
      </c>
      <c r="W7" s="23">
        <v>4061.4</v>
      </c>
      <c r="X7" s="23">
        <v>4261.6000000000004</v>
      </c>
      <c r="Y7" s="23">
        <v>5256.9</v>
      </c>
      <c r="Z7" s="23">
        <v>5666.6</v>
      </c>
      <c r="AA7" s="23">
        <v>6093.8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538.9</v>
      </c>
      <c r="E8" s="23">
        <v>519.6</v>
      </c>
      <c r="F8" s="23">
        <v>577</v>
      </c>
      <c r="G8" s="23">
        <v>579.5</v>
      </c>
      <c r="H8" s="23">
        <v>684.5</v>
      </c>
      <c r="I8" s="23">
        <v>826.9</v>
      </c>
      <c r="J8" s="23">
        <v>1308</v>
      </c>
      <c r="K8" s="23">
        <v>2042.6</v>
      </c>
      <c r="L8" s="23">
        <v>2238.6</v>
      </c>
      <c r="M8" s="23">
        <v>1328.1</v>
      </c>
      <c r="N8" s="23">
        <v>771.3</v>
      </c>
      <c r="O8" s="23">
        <v>980</v>
      </c>
      <c r="P8" s="23">
        <v>1177.5</v>
      </c>
      <c r="Q8" s="23">
        <v>1245.4000000000001</v>
      </c>
      <c r="R8" s="23">
        <v>1295.5</v>
      </c>
      <c r="S8" s="23">
        <v>1309.0999999999999</v>
      </c>
      <c r="T8" s="23">
        <v>1177.5</v>
      </c>
      <c r="U8" s="23">
        <v>1379.6</v>
      </c>
      <c r="V8" s="23">
        <v>1609.8</v>
      </c>
      <c r="W8" s="23">
        <v>1733.4</v>
      </c>
      <c r="X8" s="23">
        <v>1681</v>
      </c>
      <c r="Y8" s="23">
        <v>1552.4</v>
      </c>
      <c r="Z8" s="23">
        <v>1814.3</v>
      </c>
      <c r="AA8" s="23">
        <v>2445.6999999999998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2123.6</v>
      </c>
      <c r="E9" s="23">
        <v>2432.4</v>
      </c>
      <c r="F9" s="23">
        <v>2673.1</v>
      </c>
      <c r="G9" s="23">
        <v>2785.9</v>
      </c>
      <c r="H9" s="23">
        <v>3144.3</v>
      </c>
      <c r="I9" s="23">
        <v>3747.8</v>
      </c>
      <c r="J9" s="23">
        <v>4359.2</v>
      </c>
      <c r="K9" s="23">
        <v>5262.4</v>
      </c>
      <c r="L9" s="23">
        <v>5567.6</v>
      </c>
      <c r="M9" s="23">
        <v>4678.2</v>
      </c>
      <c r="N9" s="23">
        <v>4491.7</v>
      </c>
      <c r="O9" s="23">
        <v>4656.2</v>
      </c>
      <c r="P9" s="23">
        <v>5209.6000000000004</v>
      </c>
      <c r="Q9" s="23">
        <v>5254.7</v>
      </c>
      <c r="R9" s="23">
        <v>5405.5</v>
      </c>
      <c r="S9" s="23">
        <v>5631</v>
      </c>
      <c r="T9" s="23">
        <v>5699.9</v>
      </c>
      <c r="U9" s="23">
        <v>6012</v>
      </c>
      <c r="V9" s="23">
        <v>6387.2</v>
      </c>
      <c r="W9" s="23">
        <v>6652.4</v>
      </c>
      <c r="X9" s="23">
        <v>6086.1</v>
      </c>
      <c r="Y9" s="23">
        <v>6364</v>
      </c>
      <c r="Z9" s="23">
        <v>7135.3</v>
      </c>
      <c r="AA9" s="23">
        <v>7325.2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432.2</v>
      </c>
      <c r="E10" s="23">
        <v>519.5</v>
      </c>
      <c r="F10" s="23">
        <v>530.6</v>
      </c>
      <c r="G10" s="23">
        <v>507.5</v>
      </c>
      <c r="H10" s="23">
        <v>518.20000000000005</v>
      </c>
      <c r="I10" s="23">
        <v>559.1</v>
      </c>
      <c r="J10" s="23">
        <v>627</v>
      </c>
      <c r="K10" s="23">
        <v>723.8</v>
      </c>
      <c r="L10" s="23">
        <v>854.3</v>
      </c>
      <c r="M10" s="23">
        <v>719.7</v>
      </c>
      <c r="N10" s="23">
        <v>750.1</v>
      </c>
      <c r="O10" s="23">
        <v>761.2</v>
      </c>
      <c r="P10" s="23">
        <v>849.9</v>
      </c>
      <c r="Q10" s="23">
        <v>915.7</v>
      </c>
      <c r="R10" s="23">
        <v>951</v>
      </c>
      <c r="S10" s="23">
        <v>1016.4</v>
      </c>
      <c r="T10" s="23">
        <v>1116.7</v>
      </c>
      <c r="U10" s="23">
        <v>1266.2</v>
      </c>
      <c r="V10" s="23">
        <v>1452.1</v>
      </c>
      <c r="W10" s="23">
        <v>1594.6</v>
      </c>
      <c r="X10" s="23">
        <v>1666.4</v>
      </c>
      <c r="Y10" s="23">
        <v>1881.4</v>
      </c>
      <c r="Z10" s="23">
        <v>2156</v>
      </c>
      <c r="AA10" s="23">
        <v>2409.9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255.1</v>
      </c>
      <c r="E11" s="23">
        <v>317.5</v>
      </c>
      <c r="F11" s="23">
        <v>333.3</v>
      </c>
      <c r="G11" s="23">
        <v>335.3</v>
      </c>
      <c r="H11" s="23">
        <v>396.9</v>
      </c>
      <c r="I11" s="23">
        <v>535.9</v>
      </c>
      <c r="J11" s="23">
        <v>789.8</v>
      </c>
      <c r="K11" s="23">
        <v>1044.8</v>
      </c>
      <c r="L11" s="23">
        <v>1226.8</v>
      </c>
      <c r="M11" s="23">
        <v>610.70000000000005</v>
      </c>
      <c r="N11" s="23">
        <v>539.5</v>
      </c>
      <c r="O11" s="23">
        <v>702.5</v>
      </c>
      <c r="P11" s="23">
        <v>819.2</v>
      </c>
      <c r="Q11" s="23">
        <v>870.2</v>
      </c>
      <c r="R11" s="23">
        <v>907.3</v>
      </c>
      <c r="S11" s="23">
        <v>1042</v>
      </c>
      <c r="T11" s="23">
        <v>1049.2</v>
      </c>
      <c r="U11" s="23">
        <v>883.6</v>
      </c>
      <c r="V11" s="23">
        <v>903.1</v>
      </c>
      <c r="W11" s="23">
        <v>852.2</v>
      </c>
      <c r="X11" s="23">
        <v>816.3</v>
      </c>
      <c r="Y11" s="23">
        <v>971</v>
      </c>
      <c r="Z11" s="23">
        <v>1140.4000000000001</v>
      </c>
      <c r="AA11" s="23">
        <v>1507.7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402.3</v>
      </c>
      <c r="E12" s="23">
        <v>461.3</v>
      </c>
      <c r="F12" s="23">
        <v>449.8</v>
      </c>
      <c r="G12" s="23">
        <v>508.3</v>
      </c>
      <c r="H12" s="23">
        <v>645.5</v>
      </c>
      <c r="I12" s="23">
        <v>756.7</v>
      </c>
      <c r="J12" s="23">
        <v>1030.5</v>
      </c>
      <c r="K12" s="23">
        <v>1525.1</v>
      </c>
      <c r="L12" s="23">
        <v>1483.4</v>
      </c>
      <c r="M12" s="23">
        <v>1363.7</v>
      </c>
      <c r="N12" s="23">
        <v>1246</v>
      </c>
      <c r="O12" s="23">
        <v>1482.2</v>
      </c>
      <c r="P12" s="23">
        <v>1714.4</v>
      </c>
      <c r="Q12" s="23">
        <v>1861.6</v>
      </c>
      <c r="R12" s="23">
        <v>2082.1999999999998</v>
      </c>
      <c r="S12" s="23">
        <v>1926.1</v>
      </c>
      <c r="T12" s="23">
        <v>2012.6</v>
      </c>
      <c r="U12" s="23">
        <v>1992.6</v>
      </c>
      <c r="V12" s="23">
        <v>2161.5</v>
      </c>
      <c r="W12" s="23">
        <v>2193.1</v>
      </c>
      <c r="X12" s="23">
        <v>2224</v>
      </c>
      <c r="Y12" s="23">
        <v>2379.3000000000002</v>
      </c>
      <c r="Z12" s="23">
        <v>2556.4</v>
      </c>
      <c r="AA12" s="23">
        <v>2871.5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439.3</v>
      </c>
      <c r="E13" s="23">
        <v>440.1</v>
      </c>
      <c r="F13" s="23">
        <v>515.70000000000005</v>
      </c>
      <c r="G13" s="23">
        <v>514.9</v>
      </c>
      <c r="H13" s="23">
        <v>541.29999999999995</v>
      </c>
      <c r="I13" s="23">
        <v>737.1</v>
      </c>
      <c r="J13" s="23">
        <v>878</v>
      </c>
      <c r="K13" s="23">
        <v>1285.5999999999999</v>
      </c>
      <c r="L13" s="23">
        <v>1525.7</v>
      </c>
      <c r="M13" s="23">
        <v>1177.2</v>
      </c>
      <c r="N13" s="23">
        <v>1167</v>
      </c>
      <c r="O13" s="23">
        <v>1210</v>
      </c>
      <c r="P13" s="23">
        <v>1378.5</v>
      </c>
      <c r="Q13" s="23">
        <v>1439.2</v>
      </c>
      <c r="R13" s="23">
        <v>1487.8</v>
      </c>
      <c r="S13" s="23">
        <v>1571.8</v>
      </c>
      <c r="T13" s="23">
        <v>1675.1</v>
      </c>
      <c r="U13" s="23">
        <v>1810.7</v>
      </c>
      <c r="V13" s="23">
        <v>1971</v>
      </c>
      <c r="W13" s="23">
        <v>2051.3000000000002</v>
      </c>
      <c r="X13" s="23">
        <v>2088.5</v>
      </c>
      <c r="Y13" s="23">
        <v>2261</v>
      </c>
      <c r="Z13" s="23">
        <v>2566.5</v>
      </c>
      <c r="AA13" s="23">
        <v>2857.6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1240.2999999999993</v>
      </c>
      <c r="E14" s="23">
        <v>1306.7999999999993</v>
      </c>
      <c r="F14" s="23">
        <v>1343.5999999999995</v>
      </c>
      <c r="G14" s="23">
        <v>1412.1999999999998</v>
      </c>
      <c r="H14" s="23">
        <v>1507.5</v>
      </c>
      <c r="I14" s="23">
        <v>1722.5</v>
      </c>
      <c r="J14" s="23">
        <v>2170</v>
      </c>
      <c r="K14" s="23">
        <v>2960.4000000000015</v>
      </c>
      <c r="L14" s="23">
        <v>3569.6000000000022</v>
      </c>
      <c r="M14" s="23">
        <v>2934.1999999999971</v>
      </c>
      <c r="N14" s="23">
        <v>2545.0000000000018</v>
      </c>
      <c r="O14" s="23">
        <v>2670.7000000000007</v>
      </c>
      <c r="P14" s="23">
        <v>2868.1999999999989</v>
      </c>
      <c r="Q14" s="23">
        <v>3033.4999999999982</v>
      </c>
      <c r="R14" s="23">
        <v>3210.2000000000044</v>
      </c>
      <c r="S14" s="23">
        <v>3371.0999999999985</v>
      </c>
      <c r="T14" s="23">
        <v>3501.6999999999971</v>
      </c>
      <c r="U14" s="23">
        <v>3763.6000000000022</v>
      </c>
      <c r="V14" s="23">
        <v>4095.7000000000007</v>
      </c>
      <c r="W14" s="23">
        <v>4448.5</v>
      </c>
      <c r="X14" s="23">
        <v>4663.4000000000015</v>
      </c>
      <c r="Y14" s="23">
        <v>5337.0000000000036</v>
      </c>
      <c r="Z14" s="23">
        <v>5731.5999999999985</v>
      </c>
      <c r="AA14" s="23">
        <v>6396.2999999999956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197</v>
      </c>
      <c r="E15" s="23">
        <v>216.6</v>
      </c>
      <c r="F15" s="23">
        <v>240.3</v>
      </c>
      <c r="G15" s="23">
        <v>236.2</v>
      </c>
      <c r="H15" s="23">
        <v>281.60000000000002</v>
      </c>
      <c r="I15" s="23">
        <v>346.4</v>
      </c>
      <c r="J15" s="23">
        <v>444.1</v>
      </c>
      <c r="K15" s="23">
        <v>603.1</v>
      </c>
      <c r="L15" s="23">
        <v>619.79999999999995</v>
      </c>
      <c r="M15" s="23">
        <v>456.5</v>
      </c>
      <c r="N15" s="23">
        <v>458.8</v>
      </c>
      <c r="O15" s="23">
        <v>480</v>
      </c>
      <c r="P15" s="23">
        <v>570.1</v>
      </c>
      <c r="Q15" s="23">
        <v>602</v>
      </c>
      <c r="R15" s="23">
        <v>611.1</v>
      </c>
      <c r="S15" s="23">
        <v>668.7</v>
      </c>
      <c r="T15" s="23">
        <v>715</v>
      </c>
      <c r="U15" s="23">
        <v>772.6</v>
      </c>
      <c r="V15" s="23">
        <v>840.2</v>
      </c>
      <c r="W15" s="23">
        <v>864.3</v>
      </c>
      <c r="X15" s="23">
        <v>687.6</v>
      </c>
      <c r="Y15" s="23">
        <v>701.1</v>
      </c>
      <c r="Z15" s="23">
        <v>932.1</v>
      </c>
      <c r="AA15" s="23">
        <v>1138.3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7511.8</v>
      </c>
      <c r="E16" s="30">
        <f t="shared" ref="E16:Y16" si="0">SUM(E6:E15)</f>
        <v>8240.6</v>
      </c>
      <c r="F16" s="30">
        <f t="shared" si="0"/>
        <v>8840.5</v>
      </c>
      <c r="G16" s="30">
        <f t="shared" si="0"/>
        <v>8945.7999999999993</v>
      </c>
      <c r="H16" s="30">
        <f t="shared" si="0"/>
        <v>10034.200000000001</v>
      </c>
      <c r="I16" s="30">
        <f t="shared" si="0"/>
        <v>11700</v>
      </c>
      <c r="J16" s="30">
        <f t="shared" si="0"/>
        <v>14459.8</v>
      </c>
      <c r="K16" s="30">
        <f t="shared" si="0"/>
        <v>19063.699999999997</v>
      </c>
      <c r="L16" s="30">
        <f t="shared" si="0"/>
        <v>20904.599999999999</v>
      </c>
      <c r="M16" s="30">
        <f t="shared" si="0"/>
        <v>16506.8</v>
      </c>
      <c r="N16" s="30">
        <f t="shared" si="0"/>
        <v>15587.2</v>
      </c>
      <c r="O16" s="30">
        <f t="shared" si="0"/>
        <v>16755.900000000001</v>
      </c>
      <c r="P16" s="30">
        <f t="shared" si="0"/>
        <v>18716.699999999997</v>
      </c>
      <c r="Q16" s="30">
        <f t="shared" si="0"/>
        <v>19263.5</v>
      </c>
      <c r="R16" s="30">
        <f t="shared" si="0"/>
        <v>19950.5</v>
      </c>
      <c r="S16" s="30">
        <f t="shared" si="0"/>
        <v>20768.5</v>
      </c>
      <c r="T16" s="30">
        <f t="shared" si="0"/>
        <v>21280</v>
      </c>
      <c r="U16" s="30">
        <f t="shared" si="0"/>
        <v>22589.7</v>
      </c>
      <c r="V16" s="30">
        <f t="shared" si="0"/>
        <v>24287.9</v>
      </c>
      <c r="W16" s="30">
        <f t="shared" si="0"/>
        <v>25590.5</v>
      </c>
      <c r="X16" s="30">
        <f t="shared" si="0"/>
        <v>25367</v>
      </c>
      <c r="Y16" s="30">
        <f t="shared" si="0"/>
        <v>28062.2</v>
      </c>
      <c r="Z16" s="30">
        <f t="shared" ref="Z16:AA16" si="1">SUM(Z6:Z15)</f>
        <v>31532.3</v>
      </c>
      <c r="AA16" s="30">
        <f t="shared" si="1"/>
        <v>34586.699999999997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383</v>
      </c>
      <c r="E18" s="19">
        <v>411.5</v>
      </c>
      <c r="F18" s="19">
        <v>455.4</v>
      </c>
      <c r="G18" s="19">
        <v>411.4</v>
      </c>
      <c r="H18" s="19">
        <v>490.2</v>
      </c>
      <c r="I18" s="19">
        <v>511.6</v>
      </c>
      <c r="J18" s="19">
        <v>563.1</v>
      </c>
      <c r="K18" s="19">
        <v>745.8</v>
      </c>
      <c r="L18" s="19">
        <v>722</v>
      </c>
      <c r="M18" s="19">
        <v>605</v>
      </c>
      <c r="N18" s="19">
        <v>723.3</v>
      </c>
      <c r="O18" s="19">
        <v>718.6</v>
      </c>
      <c r="P18" s="19">
        <v>751.5</v>
      </c>
      <c r="Q18" s="19">
        <v>706.6</v>
      </c>
      <c r="R18" s="19">
        <v>824.2</v>
      </c>
      <c r="S18" s="19">
        <v>844</v>
      </c>
      <c r="T18" s="19">
        <v>814.6</v>
      </c>
      <c r="U18" s="19">
        <v>943.1</v>
      </c>
      <c r="V18" s="19">
        <v>1030.7</v>
      </c>
      <c r="W18" s="19">
        <v>1139.3</v>
      </c>
      <c r="X18" s="19">
        <v>1192.0999999999999</v>
      </c>
      <c r="Y18" s="19">
        <v>1358.1</v>
      </c>
      <c r="Z18" s="19">
        <v>1833.1</v>
      </c>
      <c r="AA18" s="19">
        <v>1540.7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9.3000000000000007</v>
      </c>
      <c r="E19" s="23">
        <v>13.7</v>
      </c>
      <c r="F19" s="23">
        <v>18.2</v>
      </c>
      <c r="G19" s="23">
        <v>22.993559227107252</v>
      </c>
      <c r="H19" s="23">
        <v>24.1</v>
      </c>
      <c r="I19" s="23">
        <v>34.4</v>
      </c>
      <c r="J19" s="23">
        <v>46.199999999999989</v>
      </c>
      <c r="K19" s="23">
        <v>65.899999999999977</v>
      </c>
      <c r="L19" s="23">
        <v>72</v>
      </c>
      <c r="M19" s="23">
        <v>78.499999999999986</v>
      </c>
      <c r="N19" s="23">
        <v>80.01051524710833</v>
      </c>
      <c r="O19" s="23">
        <v>82.999999999999972</v>
      </c>
      <c r="P19" s="23">
        <v>95.600000000000037</v>
      </c>
      <c r="Q19" s="23">
        <v>105.39999999999998</v>
      </c>
      <c r="R19" s="23">
        <v>91.399999999999991</v>
      </c>
      <c r="S19" s="23">
        <v>108.5</v>
      </c>
      <c r="T19" s="23">
        <v>107.79999999999997</v>
      </c>
      <c r="U19" s="23">
        <v>118.4873465029364</v>
      </c>
      <c r="V19" s="23">
        <v>131.11733668341702</v>
      </c>
      <c r="W19" s="23">
        <v>127.30000000000004</v>
      </c>
      <c r="X19" s="23">
        <v>138.30000000000007</v>
      </c>
      <c r="Y19" s="23">
        <v>137.19999999999999</v>
      </c>
      <c r="Z19" s="23">
        <v>167.18807417974327</v>
      </c>
      <c r="AA19" s="23">
        <v>180.28574238477486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1174.5999999999999</v>
      </c>
      <c r="E20" s="23">
        <v>1275.3</v>
      </c>
      <c r="F20" s="23">
        <v>1377.2</v>
      </c>
      <c r="G20" s="23">
        <v>1297.5999999999999</v>
      </c>
      <c r="H20" s="23">
        <v>1436.7</v>
      </c>
      <c r="I20" s="23">
        <v>1572.5</v>
      </c>
      <c r="J20" s="23">
        <v>1833.2</v>
      </c>
      <c r="K20" s="23">
        <v>2283.8000000000002</v>
      </c>
      <c r="L20" s="23">
        <v>2356.9</v>
      </c>
      <c r="M20" s="23">
        <v>1841.4</v>
      </c>
      <c r="N20" s="23">
        <v>2133.6</v>
      </c>
      <c r="O20" s="23">
        <v>2314.8000000000002</v>
      </c>
      <c r="P20" s="23">
        <v>2512.6999999999998</v>
      </c>
      <c r="Q20" s="23">
        <v>2531.3000000000002</v>
      </c>
      <c r="R20" s="23">
        <v>2484.1</v>
      </c>
      <c r="S20" s="23">
        <v>2575.3000000000002</v>
      </c>
      <c r="T20" s="23">
        <v>2581.9</v>
      </c>
      <c r="U20" s="23">
        <v>2829.3</v>
      </c>
      <c r="V20" s="23">
        <v>3080.3</v>
      </c>
      <c r="W20" s="23">
        <v>3259</v>
      </c>
      <c r="X20" s="23">
        <v>3355.7</v>
      </c>
      <c r="Y20" s="23">
        <v>4147.8999999999996</v>
      </c>
      <c r="Z20" s="23">
        <v>4264.7</v>
      </c>
      <c r="AA20" s="23">
        <v>4148.1000000000004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254.5</v>
      </c>
      <c r="E21" s="23">
        <v>262.3</v>
      </c>
      <c r="F21" s="23">
        <v>262.60000000000002</v>
      </c>
      <c r="G21" s="23">
        <v>261.22682721926628</v>
      </c>
      <c r="H21" s="23">
        <v>285.7</v>
      </c>
      <c r="I21" s="23">
        <v>269.8</v>
      </c>
      <c r="J21" s="23">
        <v>313.99999999999989</v>
      </c>
      <c r="K21" s="23">
        <v>385.09999999999985</v>
      </c>
      <c r="L21" s="23">
        <v>487.70000000000005</v>
      </c>
      <c r="M21" s="23">
        <v>509.09999999999997</v>
      </c>
      <c r="N21" s="23">
        <v>524.06887486855953</v>
      </c>
      <c r="O21" s="23">
        <v>531.69999999999993</v>
      </c>
      <c r="P21" s="23">
        <v>596.3000000000003</v>
      </c>
      <c r="Q21" s="23">
        <v>526.49999999999989</v>
      </c>
      <c r="R21" s="23">
        <v>423.19999999999993</v>
      </c>
      <c r="S21" s="23">
        <v>510.39999999999992</v>
      </c>
      <c r="T21" s="23">
        <v>639.29999999999984</v>
      </c>
      <c r="U21" s="23">
        <v>626.7330699412704</v>
      </c>
      <c r="V21" s="23">
        <v>408.3539936524727</v>
      </c>
      <c r="W21" s="23">
        <v>445.40000000000009</v>
      </c>
      <c r="X21" s="23">
        <v>529.60000000000025</v>
      </c>
      <c r="Y21" s="23">
        <v>727.1</v>
      </c>
      <c r="Z21" s="23">
        <v>943.93266761768939</v>
      </c>
      <c r="AA21" s="23">
        <v>1374.8468661953111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61.7</v>
      </c>
      <c r="E22" s="23">
        <v>64</v>
      </c>
      <c r="F22" s="23">
        <v>63.7</v>
      </c>
      <c r="G22" s="23">
        <v>72.779613553626433</v>
      </c>
      <c r="H22" s="23">
        <v>77.7</v>
      </c>
      <c r="I22" s="23">
        <v>79.3</v>
      </c>
      <c r="J22" s="23">
        <v>96.699999999999974</v>
      </c>
      <c r="K22" s="23">
        <v>135.29999999999995</v>
      </c>
      <c r="L22" s="23">
        <v>180.2</v>
      </c>
      <c r="M22" s="23">
        <v>204.49999999999997</v>
      </c>
      <c r="N22" s="23">
        <v>156.82060988433233</v>
      </c>
      <c r="O22" s="23">
        <v>164.99999999999994</v>
      </c>
      <c r="P22" s="23">
        <v>173.20000000000007</v>
      </c>
      <c r="Q22" s="23">
        <v>171.39999999999995</v>
      </c>
      <c r="R22" s="23">
        <v>176.99999999999997</v>
      </c>
      <c r="S22" s="23">
        <v>194.1</v>
      </c>
      <c r="T22" s="23">
        <v>188.69999999999993</v>
      </c>
      <c r="U22" s="23">
        <v>191.17958355579276</v>
      </c>
      <c r="V22" s="23">
        <v>216.82866966410992</v>
      </c>
      <c r="W22" s="23">
        <v>229.70000000000005</v>
      </c>
      <c r="X22" s="23">
        <v>238.00000000000011</v>
      </c>
      <c r="Y22" s="23">
        <v>244.7</v>
      </c>
      <c r="Z22" s="23">
        <v>290.77925820256786</v>
      </c>
      <c r="AA22" s="23">
        <v>390.56739141991386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538.9</v>
      </c>
      <c r="E23" s="23">
        <v>519.6</v>
      </c>
      <c r="F23" s="23">
        <v>577</v>
      </c>
      <c r="G23" s="23">
        <v>579.5</v>
      </c>
      <c r="H23" s="23">
        <v>684.5</v>
      </c>
      <c r="I23" s="23">
        <v>826.9</v>
      </c>
      <c r="J23" s="23">
        <v>1308</v>
      </c>
      <c r="K23" s="23">
        <v>2042.6</v>
      </c>
      <c r="L23" s="23">
        <v>2238.6</v>
      </c>
      <c r="M23" s="23">
        <v>1328.1</v>
      </c>
      <c r="N23" s="23">
        <v>771.3</v>
      </c>
      <c r="O23" s="23">
        <v>980</v>
      </c>
      <c r="P23" s="23">
        <v>1177.5</v>
      </c>
      <c r="Q23" s="23">
        <v>1245.4000000000001</v>
      </c>
      <c r="R23" s="23">
        <v>1295.5</v>
      </c>
      <c r="S23" s="23">
        <v>1309.0999999999999</v>
      </c>
      <c r="T23" s="23">
        <v>1177.5</v>
      </c>
      <c r="U23" s="23">
        <v>1379.6</v>
      </c>
      <c r="V23" s="23">
        <v>1609.8</v>
      </c>
      <c r="W23" s="23">
        <v>1733.4</v>
      </c>
      <c r="X23" s="23">
        <v>1681</v>
      </c>
      <c r="Y23" s="23">
        <v>1552.4</v>
      </c>
      <c r="Z23" s="23">
        <v>1814.3</v>
      </c>
      <c r="AA23" s="23">
        <v>2445.6999999999998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1121</v>
      </c>
      <c r="E24" s="23">
        <v>1228.0000000000002</v>
      </c>
      <c r="F24" s="23">
        <v>1361.9</v>
      </c>
      <c r="G24" s="23">
        <v>1425.3000000000002</v>
      </c>
      <c r="H24" s="23">
        <v>1618.5000000000002</v>
      </c>
      <c r="I24" s="23">
        <v>2062.3000000000002</v>
      </c>
      <c r="J24" s="23">
        <v>2620.2999999999997</v>
      </c>
      <c r="K24" s="23">
        <v>3228.9999999999995</v>
      </c>
      <c r="L24" s="23">
        <v>3162.3000000000006</v>
      </c>
      <c r="M24" s="23">
        <v>2635.7</v>
      </c>
      <c r="N24" s="23">
        <v>2551.8999999999996</v>
      </c>
      <c r="O24" s="23">
        <v>2580.1</v>
      </c>
      <c r="P24" s="23">
        <v>2877.0000000000005</v>
      </c>
      <c r="Q24" s="23">
        <v>2889.3999999999996</v>
      </c>
      <c r="R24" s="23">
        <v>3038.3</v>
      </c>
      <c r="S24" s="23">
        <v>3195.4</v>
      </c>
      <c r="T24" s="23">
        <v>3276.3999999999996</v>
      </c>
      <c r="U24" s="23">
        <v>3448.2</v>
      </c>
      <c r="V24" s="23">
        <v>3629.2999999999997</v>
      </c>
      <c r="W24" s="23">
        <v>3932.3999999999996</v>
      </c>
      <c r="X24" s="23">
        <v>3927.6000000000004</v>
      </c>
      <c r="Y24" s="23">
        <v>4123.3999999999996</v>
      </c>
      <c r="Z24" s="23">
        <v>4294.5</v>
      </c>
      <c r="AA24" s="23">
        <v>4483.7999999999993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918.3</v>
      </c>
      <c r="E25" s="23">
        <v>1111.3</v>
      </c>
      <c r="F25" s="23">
        <v>1209.0999999999999</v>
      </c>
      <c r="G25" s="23">
        <v>1246</v>
      </c>
      <c r="H25" s="23">
        <v>1380.6</v>
      </c>
      <c r="I25" s="23">
        <v>1504.1</v>
      </c>
      <c r="J25" s="23">
        <v>1508.4</v>
      </c>
      <c r="K25" s="23">
        <v>1703.7</v>
      </c>
      <c r="L25" s="23">
        <v>2047.1</v>
      </c>
      <c r="M25" s="23">
        <v>1778.2</v>
      </c>
      <c r="N25" s="23">
        <v>1664.4</v>
      </c>
      <c r="O25" s="23">
        <v>1776.7</v>
      </c>
      <c r="P25" s="23">
        <v>2021.2</v>
      </c>
      <c r="Q25" s="23">
        <v>2022.3</v>
      </c>
      <c r="R25" s="23">
        <v>2018</v>
      </c>
      <c r="S25" s="23">
        <v>2047.7</v>
      </c>
      <c r="T25" s="23">
        <v>2014.9</v>
      </c>
      <c r="U25" s="23">
        <v>2105.4</v>
      </c>
      <c r="V25" s="23">
        <v>2249.5</v>
      </c>
      <c r="W25" s="23">
        <v>2214.9</v>
      </c>
      <c r="X25" s="23">
        <v>1808.1</v>
      </c>
      <c r="Y25" s="23">
        <v>1903.3</v>
      </c>
      <c r="Z25" s="23">
        <v>2319.8000000000002</v>
      </c>
      <c r="AA25" s="23">
        <v>2141.3000000000002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84.3</v>
      </c>
      <c r="E26" s="23">
        <v>93.1</v>
      </c>
      <c r="F26" s="23">
        <v>102.1</v>
      </c>
      <c r="G26" s="23">
        <v>114.6</v>
      </c>
      <c r="H26" s="23">
        <v>145.19999999999999</v>
      </c>
      <c r="I26" s="23">
        <v>181.4</v>
      </c>
      <c r="J26" s="23">
        <v>230.5</v>
      </c>
      <c r="K26" s="23">
        <v>329.7</v>
      </c>
      <c r="L26" s="23">
        <v>358.2</v>
      </c>
      <c r="M26" s="23">
        <v>264.3</v>
      </c>
      <c r="N26" s="23">
        <v>275.39999999999998</v>
      </c>
      <c r="O26" s="23">
        <v>299.39999999999998</v>
      </c>
      <c r="P26" s="23">
        <v>311.39999999999998</v>
      </c>
      <c r="Q26" s="23">
        <v>343</v>
      </c>
      <c r="R26" s="23">
        <v>349.2</v>
      </c>
      <c r="S26" s="23">
        <v>387.9</v>
      </c>
      <c r="T26" s="23">
        <v>408.6</v>
      </c>
      <c r="U26" s="23">
        <v>458.4</v>
      </c>
      <c r="V26" s="23">
        <v>508.4</v>
      </c>
      <c r="W26" s="23">
        <v>505.1</v>
      </c>
      <c r="X26" s="23">
        <v>350.4</v>
      </c>
      <c r="Y26" s="23">
        <v>337.3</v>
      </c>
      <c r="Z26" s="23">
        <v>521</v>
      </c>
      <c r="AA26" s="23">
        <v>700.1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432.2</v>
      </c>
      <c r="E27" s="23">
        <v>519.5</v>
      </c>
      <c r="F27" s="23">
        <v>530.6</v>
      </c>
      <c r="G27" s="23">
        <v>507.5</v>
      </c>
      <c r="H27" s="23">
        <v>518.20000000000005</v>
      </c>
      <c r="I27" s="23">
        <v>559.1</v>
      </c>
      <c r="J27" s="23">
        <v>627</v>
      </c>
      <c r="K27" s="23">
        <v>723.8</v>
      </c>
      <c r="L27" s="23">
        <v>854.3</v>
      </c>
      <c r="M27" s="23">
        <v>719.7</v>
      </c>
      <c r="N27" s="23">
        <v>750.1</v>
      </c>
      <c r="O27" s="23">
        <v>761.2</v>
      </c>
      <c r="P27" s="23">
        <v>849.9</v>
      </c>
      <c r="Q27" s="23">
        <v>915.7</v>
      </c>
      <c r="R27" s="23">
        <v>951</v>
      </c>
      <c r="S27" s="23">
        <v>1016.4</v>
      </c>
      <c r="T27" s="23">
        <v>1116.7</v>
      </c>
      <c r="U27" s="23">
        <v>1266.2</v>
      </c>
      <c r="V27" s="23">
        <v>1452.1</v>
      </c>
      <c r="W27" s="23">
        <v>1594.6</v>
      </c>
      <c r="X27" s="23">
        <v>1666.4</v>
      </c>
      <c r="Y27" s="23">
        <v>1881.4</v>
      </c>
      <c r="Z27" s="23">
        <v>2156</v>
      </c>
      <c r="AA27" s="23">
        <v>2409.9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255.1</v>
      </c>
      <c r="E28" s="23">
        <v>317.5</v>
      </c>
      <c r="F28" s="23">
        <v>333.3</v>
      </c>
      <c r="G28" s="23">
        <v>335.3</v>
      </c>
      <c r="H28" s="23">
        <v>396.9</v>
      </c>
      <c r="I28" s="23">
        <v>535.9</v>
      </c>
      <c r="J28" s="23">
        <v>789.8</v>
      </c>
      <c r="K28" s="23">
        <v>1044.8</v>
      </c>
      <c r="L28" s="23">
        <v>1226.8</v>
      </c>
      <c r="M28" s="23">
        <v>610.70000000000005</v>
      </c>
      <c r="N28" s="23">
        <v>539.5</v>
      </c>
      <c r="O28" s="23">
        <v>702.5</v>
      </c>
      <c r="P28" s="23">
        <v>819.2</v>
      </c>
      <c r="Q28" s="23">
        <v>870.2</v>
      </c>
      <c r="R28" s="23">
        <v>907.3</v>
      </c>
      <c r="S28" s="23">
        <v>1042</v>
      </c>
      <c r="T28" s="23">
        <v>1049.2</v>
      </c>
      <c r="U28" s="23">
        <v>883.6</v>
      </c>
      <c r="V28" s="23">
        <v>903.1</v>
      </c>
      <c r="W28" s="23">
        <v>852.2</v>
      </c>
      <c r="X28" s="23">
        <v>816.3</v>
      </c>
      <c r="Y28" s="23">
        <v>971</v>
      </c>
      <c r="Z28" s="23">
        <v>1140.4000000000001</v>
      </c>
      <c r="AA28" s="23">
        <v>1507.7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402.3</v>
      </c>
      <c r="E29" s="23">
        <v>461.3</v>
      </c>
      <c r="F29" s="23">
        <v>449.8</v>
      </c>
      <c r="G29" s="23">
        <v>508.3</v>
      </c>
      <c r="H29" s="23">
        <v>645.5</v>
      </c>
      <c r="I29" s="23">
        <v>756.7</v>
      </c>
      <c r="J29" s="23">
        <v>1030.5</v>
      </c>
      <c r="K29" s="23">
        <v>1525.1</v>
      </c>
      <c r="L29" s="23">
        <v>1483.4</v>
      </c>
      <c r="M29" s="23">
        <v>1363.7</v>
      </c>
      <c r="N29" s="23">
        <v>1246</v>
      </c>
      <c r="O29" s="23">
        <v>1482.2</v>
      </c>
      <c r="P29" s="23">
        <v>1714.4</v>
      </c>
      <c r="Q29" s="23">
        <v>1861.6</v>
      </c>
      <c r="R29" s="23">
        <v>2082.1999999999998</v>
      </c>
      <c r="S29" s="23">
        <v>1926.1</v>
      </c>
      <c r="T29" s="23">
        <v>2012.6</v>
      </c>
      <c r="U29" s="23">
        <v>1992.6</v>
      </c>
      <c r="V29" s="23">
        <v>2161.5</v>
      </c>
      <c r="W29" s="23">
        <v>2193.1</v>
      </c>
      <c r="X29" s="23">
        <v>2224</v>
      </c>
      <c r="Y29" s="23">
        <v>2379.3000000000002</v>
      </c>
      <c r="Z29" s="23">
        <v>2556.4</v>
      </c>
      <c r="AA29" s="23">
        <v>2871.5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279.8</v>
      </c>
      <c r="E30" s="23">
        <v>279.90000000000003</v>
      </c>
      <c r="F30" s="23">
        <v>322.90000000000003</v>
      </c>
      <c r="G30" s="23">
        <v>315.5</v>
      </c>
      <c r="H30" s="23">
        <v>320.39999999999998</v>
      </c>
      <c r="I30" s="23">
        <v>457.8</v>
      </c>
      <c r="J30" s="23">
        <v>540.9</v>
      </c>
      <c r="K30" s="23">
        <v>810.8</v>
      </c>
      <c r="L30" s="23">
        <v>977</v>
      </c>
      <c r="M30" s="23">
        <v>765.5</v>
      </c>
      <c r="N30" s="23">
        <v>715.6</v>
      </c>
      <c r="O30" s="23">
        <v>726.2</v>
      </c>
      <c r="P30" s="23">
        <v>839.5</v>
      </c>
      <c r="Q30" s="23">
        <v>846</v>
      </c>
      <c r="R30" s="23">
        <v>898.19999999999993</v>
      </c>
      <c r="S30" s="23">
        <v>962</v>
      </c>
      <c r="T30" s="23">
        <v>1031.3999999999999</v>
      </c>
      <c r="U30" s="23">
        <v>1104.7</v>
      </c>
      <c r="V30" s="23">
        <v>1169.4000000000001</v>
      </c>
      <c r="W30" s="23">
        <v>1227.8000000000002</v>
      </c>
      <c r="X30" s="23">
        <v>1308.7</v>
      </c>
      <c r="Y30" s="23">
        <v>1450.9</v>
      </c>
      <c r="Z30" s="23">
        <v>1609.2</v>
      </c>
      <c r="AA30" s="23">
        <v>1865.3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159.5</v>
      </c>
      <c r="E31" s="23">
        <v>160.19999999999999</v>
      </c>
      <c r="F31" s="23">
        <v>192.8</v>
      </c>
      <c r="G31" s="23">
        <v>199.4</v>
      </c>
      <c r="H31" s="23">
        <v>220.9</v>
      </c>
      <c r="I31" s="23">
        <v>279.3</v>
      </c>
      <c r="J31" s="23">
        <v>337.1</v>
      </c>
      <c r="K31" s="23">
        <v>474.8</v>
      </c>
      <c r="L31" s="23">
        <v>548.70000000000005</v>
      </c>
      <c r="M31" s="23">
        <v>411.7</v>
      </c>
      <c r="N31" s="23">
        <v>451.4</v>
      </c>
      <c r="O31" s="23">
        <v>483.8</v>
      </c>
      <c r="P31" s="23">
        <v>539</v>
      </c>
      <c r="Q31" s="23">
        <v>593.20000000000005</v>
      </c>
      <c r="R31" s="23">
        <v>589.6</v>
      </c>
      <c r="S31" s="23">
        <v>609.79999999999995</v>
      </c>
      <c r="T31" s="23">
        <v>643.70000000000005</v>
      </c>
      <c r="U31" s="23">
        <v>706</v>
      </c>
      <c r="V31" s="23">
        <v>801.6</v>
      </c>
      <c r="W31" s="23">
        <v>823.5</v>
      </c>
      <c r="X31" s="23">
        <v>779.8</v>
      </c>
      <c r="Y31" s="23">
        <v>810.1</v>
      </c>
      <c r="Z31" s="23">
        <v>957.3</v>
      </c>
      <c r="AA31" s="23">
        <v>992.3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687.09999999999923</v>
      </c>
      <c r="E32" s="23">
        <v>678.29999999999927</v>
      </c>
      <c r="F32" s="23">
        <v>692.19999999999948</v>
      </c>
      <c r="G32" s="23">
        <v>688.5999999999998</v>
      </c>
      <c r="H32" s="23">
        <v>723.2</v>
      </c>
      <c r="I32" s="23">
        <v>832.4</v>
      </c>
      <c r="J32" s="23">
        <v>1117.4000000000001</v>
      </c>
      <c r="K32" s="23">
        <v>1590.6000000000015</v>
      </c>
      <c r="L32" s="23">
        <v>1826.5000000000023</v>
      </c>
      <c r="M32" s="23">
        <v>1435.4999999999973</v>
      </c>
      <c r="N32" s="23">
        <v>1257.2000000000019</v>
      </c>
      <c r="O32" s="23">
        <v>1314.9000000000008</v>
      </c>
      <c r="P32" s="23">
        <v>1407.099999999999</v>
      </c>
      <c r="Q32" s="23">
        <v>1493.199999999998</v>
      </c>
      <c r="R32" s="23">
        <v>1573.0000000000043</v>
      </c>
      <c r="S32" s="23">
        <v>1619.0999999999985</v>
      </c>
      <c r="T32" s="23">
        <v>1692.799999999997</v>
      </c>
      <c r="U32" s="23">
        <v>1810.1000000000022</v>
      </c>
      <c r="V32" s="23">
        <v>1926.9000000000005</v>
      </c>
      <c r="W32" s="23">
        <v>2063.6999999999998</v>
      </c>
      <c r="X32" s="23">
        <v>2147.5000000000014</v>
      </c>
      <c r="Y32" s="23">
        <v>2316.8000000000038</v>
      </c>
      <c r="Z32" s="23">
        <v>2499.3999999999987</v>
      </c>
      <c r="AA32" s="23">
        <v>2734.6999999999957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355</v>
      </c>
      <c r="E33" s="23">
        <v>423.8</v>
      </c>
      <c r="F33" s="23">
        <v>439.8</v>
      </c>
      <c r="G33" s="23">
        <v>474</v>
      </c>
      <c r="H33" s="23">
        <v>514.79999999999995</v>
      </c>
      <c r="I33" s="23">
        <v>547</v>
      </c>
      <c r="J33" s="23">
        <v>638</v>
      </c>
      <c r="K33" s="23">
        <v>854</v>
      </c>
      <c r="L33" s="23">
        <v>1095.5999999999999</v>
      </c>
      <c r="M33" s="23">
        <v>933.8</v>
      </c>
      <c r="N33" s="23">
        <v>768.8</v>
      </c>
      <c r="O33" s="23">
        <v>814.9</v>
      </c>
      <c r="P33" s="23">
        <v>855.9</v>
      </c>
      <c r="Q33" s="23">
        <v>900.6</v>
      </c>
      <c r="R33" s="23">
        <v>923.1</v>
      </c>
      <c r="S33" s="23">
        <v>984.4</v>
      </c>
      <c r="T33" s="23">
        <v>1015.6</v>
      </c>
      <c r="U33" s="23">
        <v>1107.4000000000001</v>
      </c>
      <c r="V33" s="23">
        <v>1179</v>
      </c>
      <c r="W33" s="23">
        <v>1244.4000000000001</v>
      </c>
      <c r="X33" s="23">
        <v>1293</v>
      </c>
      <c r="Y33" s="23">
        <v>1389.7</v>
      </c>
      <c r="Z33" s="23">
        <v>1461</v>
      </c>
      <c r="AA33" s="23">
        <v>1756.3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198.2</v>
      </c>
      <c r="E34" s="23">
        <v>204.7</v>
      </c>
      <c r="F34" s="23">
        <v>211.6</v>
      </c>
      <c r="G34" s="23">
        <v>249.6</v>
      </c>
      <c r="H34" s="23">
        <v>269.5</v>
      </c>
      <c r="I34" s="23">
        <v>343.1</v>
      </c>
      <c r="J34" s="23">
        <v>414.6</v>
      </c>
      <c r="K34" s="23">
        <v>515.79999999999995</v>
      </c>
      <c r="L34" s="23">
        <v>647.5</v>
      </c>
      <c r="M34" s="23">
        <v>564.9</v>
      </c>
      <c r="N34" s="23">
        <v>519</v>
      </c>
      <c r="O34" s="23">
        <v>540.9</v>
      </c>
      <c r="P34" s="23">
        <v>605.20000000000005</v>
      </c>
      <c r="Q34" s="23">
        <v>639.70000000000005</v>
      </c>
      <c r="R34" s="23">
        <v>714.1</v>
      </c>
      <c r="S34" s="23">
        <v>767.6</v>
      </c>
      <c r="T34" s="23">
        <v>793.3</v>
      </c>
      <c r="U34" s="23">
        <v>846.1</v>
      </c>
      <c r="V34" s="23">
        <v>989.8</v>
      </c>
      <c r="W34" s="23">
        <v>1140.4000000000001</v>
      </c>
      <c r="X34" s="23">
        <v>1222.9000000000001</v>
      </c>
      <c r="Y34" s="23">
        <v>1630.5</v>
      </c>
      <c r="Z34" s="23">
        <v>1771.2</v>
      </c>
      <c r="AA34" s="23">
        <v>1905.3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139.69999999999999</v>
      </c>
      <c r="E35" s="23">
        <v>147.19999999999999</v>
      </c>
      <c r="F35" s="23">
        <v>178</v>
      </c>
      <c r="G35" s="23">
        <v>154.80000000000001</v>
      </c>
      <c r="H35" s="23">
        <v>178.3</v>
      </c>
      <c r="I35" s="23">
        <v>240.09999999999997</v>
      </c>
      <c r="J35" s="23">
        <v>322.40000000000003</v>
      </c>
      <c r="K35" s="23">
        <v>416.70000000000005</v>
      </c>
      <c r="L35" s="23">
        <v>425.99999999999994</v>
      </c>
      <c r="M35" s="23">
        <v>281.29999999999995</v>
      </c>
      <c r="N35" s="23">
        <v>290.20000000000005</v>
      </c>
      <c r="O35" s="23">
        <v>302.39999999999998</v>
      </c>
      <c r="P35" s="23">
        <v>363.70000000000005</v>
      </c>
      <c r="Q35" s="23">
        <v>395.4</v>
      </c>
      <c r="R35" s="23">
        <v>376.5</v>
      </c>
      <c r="S35" s="23">
        <v>419.1</v>
      </c>
      <c r="T35" s="23">
        <v>447.9</v>
      </c>
      <c r="U35" s="23">
        <v>486.8</v>
      </c>
      <c r="V35" s="23">
        <v>534.30000000000007</v>
      </c>
      <c r="W35" s="23">
        <v>563.59999999999991</v>
      </c>
      <c r="X35" s="23">
        <v>401.90000000000003</v>
      </c>
      <c r="Y35" s="23">
        <v>437</v>
      </c>
      <c r="Z35" s="23">
        <v>625.90000000000009</v>
      </c>
      <c r="AA35" s="23">
        <v>646.5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54.8</v>
      </c>
      <c r="E36" s="23">
        <v>59.9</v>
      </c>
      <c r="F36" s="23">
        <v>52.2</v>
      </c>
      <c r="G36" s="23">
        <v>70.599999999999994</v>
      </c>
      <c r="H36" s="23">
        <v>91.1</v>
      </c>
      <c r="I36" s="23">
        <v>94.4</v>
      </c>
      <c r="J36" s="23">
        <v>108.3</v>
      </c>
      <c r="K36" s="23">
        <v>168.2</v>
      </c>
      <c r="L36" s="23">
        <v>168.8</v>
      </c>
      <c r="M36" s="23">
        <v>146.4</v>
      </c>
      <c r="N36" s="23">
        <v>139.1</v>
      </c>
      <c r="O36" s="23">
        <v>145.1</v>
      </c>
      <c r="P36" s="23">
        <v>174.5</v>
      </c>
      <c r="Q36" s="23">
        <v>176.5</v>
      </c>
      <c r="R36" s="23">
        <v>202</v>
      </c>
      <c r="S36" s="23">
        <v>212.9</v>
      </c>
      <c r="T36" s="23">
        <v>227.9</v>
      </c>
      <c r="U36" s="23">
        <v>243.9</v>
      </c>
      <c r="V36" s="23">
        <v>257.39999999999998</v>
      </c>
      <c r="W36" s="23">
        <v>252.2</v>
      </c>
      <c r="X36" s="23">
        <v>235.6</v>
      </c>
      <c r="Y36" s="23">
        <v>214.1</v>
      </c>
      <c r="Z36" s="23">
        <v>259</v>
      </c>
      <c r="AA36" s="23">
        <v>432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2.5</v>
      </c>
      <c r="E37" s="23">
        <v>9.5</v>
      </c>
      <c r="F37" s="23">
        <v>10.1</v>
      </c>
      <c r="G37" s="23">
        <v>10.8</v>
      </c>
      <c r="H37" s="23">
        <v>12.2</v>
      </c>
      <c r="I37" s="23">
        <v>11.9</v>
      </c>
      <c r="J37" s="23">
        <v>13.4</v>
      </c>
      <c r="K37" s="23">
        <v>18.2</v>
      </c>
      <c r="L37" s="23">
        <v>25</v>
      </c>
      <c r="M37" s="23">
        <v>28.8</v>
      </c>
      <c r="N37" s="23">
        <v>29.5</v>
      </c>
      <c r="O37" s="23">
        <v>32.5</v>
      </c>
      <c r="P37" s="23">
        <v>31.9</v>
      </c>
      <c r="Q37" s="23">
        <v>30.1</v>
      </c>
      <c r="R37" s="23">
        <v>32.6</v>
      </c>
      <c r="S37" s="23">
        <v>36.700000000000003</v>
      </c>
      <c r="T37" s="23">
        <v>39.200000000000003</v>
      </c>
      <c r="U37" s="23">
        <v>41.9</v>
      </c>
      <c r="V37" s="23">
        <v>48.5</v>
      </c>
      <c r="W37" s="23">
        <v>48.5</v>
      </c>
      <c r="X37" s="23">
        <v>50.1</v>
      </c>
      <c r="Y37" s="23">
        <v>50</v>
      </c>
      <c r="Z37" s="23">
        <v>47.2</v>
      </c>
      <c r="AA37" s="23">
        <v>59.8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7511.8</v>
      </c>
      <c r="E39" s="30">
        <f t="shared" ref="E39:Y39" si="2">SUM(E18:E38)</f>
        <v>8240.6</v>
      </c>
      <c r="F39" s="30">
        <f t="shared" si="2"/>
        <v>8840.5000000000018</v>
      </c>
      <c r="G39" s="30">
        <f t="shared" si="2"/>
        <v>8945.7999999999993</v>
      </c>
      <c r="H39" s="30">
        <f t="shared" si="2"/>
        <v>10034.199999999999</v>
      </c>
      <c r="I39" s="30">
        <f t="shared" si="2"/>
        <v>11700</v>
      </c>
      <c r="J39" s="30">
        <f t="shared" si="2"/>
        <v>14459.799999999997</v>
      </c>
      <c r="K39" s="30">
        <f t="shared" si="2"/>
        <v>19063.7</v>
      </c>
      <c r="L39" s="30">
        <f t="shared" si="2"/>
        <v>20904.600000000002</v>
      </c>
      <c r="M39" s="30">
        <f t="shared" si="2"/>
        <v>16506.799999999996</v>
      </c>
      <c r="N39" s="30">
        <f t="shared" si="2"/>
        <v>15587.200000000003</v>
      </c>
      <c r="O39" s="30">
        <f t="shared" si="2"/>
        <v>16755.900000000001</v>
      </c>
      <c r="P39" s="30">
        <f t="shared" si="2"/>
        <v>18716.700000000004</v>
      </c>
      <c r="Q39" s="30">
        <f t="shared" si="2"/>
        <v>19263.5</v>
      </c>
      <c r="R39" s="30">
        <f t="shared" si="2"/>
        <v>19950.500000000004</v>
      </c>
      <c r="S39" s="30">
        <f t="shared" si="2"/>
        <v>20768.5</v>
      </c>
      <c r="T39" s="30">
        <f t="shared" si="2"/>
        <v>21280</v>
      </c>
      <c r="U39" s="30">
        <f t="shared" si="2"/>
        <v>22589.700000000004</v>
      </c>
      <c r="V39" s="30">
        <f t="shared" si="2"/>
        <v>24287.9</v>
      </c>
      <c r="W39" s="30">
        <f t="shared" si="2"/>
        <v>25590.500000000004</v>
      </c>
      <c r="X39" s="30">
        <f t="shared" si="2"/>
        <v>25367</v>
      </c>
      <c r="Y39" s="30">
        <f t="shared" si="2"/>
        <v>28062.2</v>
      </c>
      <c r="Z39" s="30">
        <f t="shared" ref="Z39:AA39" si="3">SUM(Z18:Z38)</f>
        <v>31532.300000000003</v>
      </c>
      <c r="AA39" s="30">
        <f t="shared" si="3"/>
        <v>34586.699999999997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380.4</v>
      </c>
      <c r="E41" s="19">
        <v>392.4</v>
      </c>
      <c r="F41" s="19">
        <v>426.4</v>
      </c>
      <c r="G41" s="19">
        <v>333.2</v>
      </c>
      <c r="H41" s="19">
        <v>373.9</v>
      </c>
      <c r="I41" s="19">
        <v>399.9</v>
      </c>
      <c r="J41" s="19">
        <v>448.2</v>
      </c>
      <c r="K41" s="19">
        <v>528.4</v>
      </c>
      <c r="L41" s="19">
        <v>558.29999999999995</v>
      </c>
      <c r="M41" s="19">
        <v>505.8</v>
      </c>
      <c r="N41" s="19">
        <v>502.5</v>
      </c>
      <c r="O41" s="19">
        <v>471</v>
      </c>
      <c r="P41" s="19">
        <v>533.29999999999995</v>
      </c>
      <c r="Q41" s="19">
        <v>558</v>
      </c>
      <c r="R41" s="19">
        <v>540.4</v>
      </c>
      <c r="S41" s="19">
        <v>535.29999999999995</v>
      </c>
      <c r="T41" s="19">
        <v>523.70000000000005</v>
      </c>
      <c r="U41" s="19">
        <v>544.9</v>
      </c>
      <c r="V41" s="19">
        <v>600.29999999999995</v>
      </c>
      <c r="W41" s="19">
        <v>613.29999999999995</v>
      </c>
      <c r="X41" s="19">
        <v>631.9</v>
      </c>
      <c r="Y41" s="19">
        <v>615.5</v>
      </c>
      <c r="Z41" s="19">
        <v>667.2</v>
      </c>
      <c r="AA41" s="19">
        <v>667.55779917282177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144.1</v>
      </c>
      <c r="E42" s="23">
        <v>158.5</v>
      </c>
      <c r="F42" s="23">
        <v>152.6</v>
      </c>
      <c r="G42" s="23">
        <v>139.1</v>
      </c>
      <c r="H42" s="23">
        <v>144.30000000000001</v>
      </c>
      <c r="I42" s="23">
        <v>162.6</v>
      </c>
      <c r="J42" s="23">
        <v>178.7</v>
      </c>
      <c r="K42" s="23">
        <v>154.1</v>
      </c>
      <c r="L42" s="23">
        <v>152.69999999999999</v>
      </c>
      <c r="M42" s="23">
        <v>107.8</v>
      </c>
      <c r="N42" s="23">
        <v>126.5</v>
      </c>
      <c r="O42" s="23">
        <v>141.69999999999999</v>
      </c>
      <c r="P42" s="23">
        <v>130.9</v>
      </c>
      <c r="Q42" s="23">
        <v>134.80000000000001</v>
      </c>
      <c r="R42" s="23">
        <v>128</v>
      </c>
      <c r="S42" s="23">
        <v>115.2</v>
      </c>
      <c r="T42" s="23">
        <v>121.5</v>
      </c>
      <c r="U42" s="23">
        <v>136.5</v>
      </c>
      <c r="V42" s="23">
        <v>148.5</v>
      </c>
      <c r="W42" s="23">
        <v>139.19999999999999</v>
      </c>
      <c r="X42" s="23">
        <v>139.30000000000001</v>
      </c>
      <c r="Y42" s="23">
        <v>139.4</v>
      </c>
      <c r="Z42" s="23">
        <v>145.6</v>
      </c>
      <c r="AA42" s="23">
        <v>141.84914549476872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294.10000000000002</v>
      </c>
      <c r="E43" s="23">
        <v>302.3</v>
      </c>
      <c r="F43" s="23">
        <v>366.7</v>
      </c>
      <c r="G43" s="23">
        <v>340.8</v>
      </c>
      <c r="H43" s="23">
        <v>365.4</v>
      </c>
      <c r="I43" s="23">
        <v>404.2</v>
      </c>
      <c r="J43" s="23">
        <v>425.1</v>
      </c>
      <c r="K43" s="23">
        <v>582.5</v>
      </c>
      <c r="L43" s="23">
        <v>498.6</v>
      </c>
      <c r="M43" s="23">
        <v>382.5</v>
      </c>
      <c r="N43" s="23">
        <v>546.6</v>
      </c>
      <c r="O43" s="23">
        <v>590.6</v>
      </c>
      <c r="P43" s="23">
        <v>631.6</v>
      </c>
      <c r="Q43" s="23">
        <v>632.5</v>
      </c>
      <c r="R43" s="23">
        <v>675.5</v>
      </c>
      <c r="S43" s="23">
        <v>679.3</v>
      </c>
      <c r="T43" s="23">
        <v>679.6</v>
      </c>
      <c r="U43" s="23">
        <v>757.6</v>
      </c>
      <c r="V43" s="23">
        <v>878.3</v>
      </c>
      <c r="W43" s="23">
        <v>916.5</v>
      </c>
      <c r="X43" s="23">
        <v>932.4</v>
      </c>
      <c r="Y43" s="23">
        <v>1423.2</v>
      </c>
      <c r="Z43" s="23">
        <v>1312.5</v>
      </c>
      <c r="AA43" s="23">
        <v>1201.5228901105099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0.1</v>
      </c>
      <c r="E44" s="23">
        <v>0.1</v>
      </c>
      <c r="F44" s="23">
        <v>0.4</v>
      </c>
      <c r="G44" s="23">
        <v>0.7</v>
      </c>
      <c r="H44" s="23">
        <v>0.6</v>
      </c>
      <c r="I44" s="23">
        <v>1.2</v>
      </c>
      <c r="J44" s="23">
        <v>0</v>
      </c>
      <c r="K44" s="23">
        <v>0.4</v>
      </c>
      <c r="L44" s="23">
        <v>0.1</v>
      </c>
      <c r="M44" s="23">
        <v>0.2</v>
      </c>
      <c r="N44" s="23">
        <v>0.2</v>
      </c>
      <c r="O44" s="23">
        <v>0.4</v>
      </c>
      <c r="P44" s="23">
        <v>0</v>
      </c>
      <c r="Q44" s="23">
        <v>1.5</v>
      </c>
      <c r="R44" s="23">
        <v>1.5</v>
      </c>
      <c r="S44" s="23">
        <v>1.5</v>
      </c>
      <c r="T44" s="23">
        <v>0.2</v>
      </c>
      <c r="U44" s="23">
        <v>1</v>
      </c>
      <c r="V44" s="23">
        <v>0.9</v>
      </c>
      <c r="W44" s="23">
        <v>1.1000000000000001</v>
      </c>
      <c r="X44" s="23">
        <v>-0.1</v>
      </c>
      <c r="Y44" s="23">
        <v>0.3</v>
      </c>
      <c r="Z44" s="23">
        <v>0.8</v>
      </c>
      <c r="AA44" s="23">
        <v>1.0235207580394652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20.3</v>
      </c>
      <c r="E45" s="23">
        <v>27.2</v>
      </c>
      <c r="F45" s="23">
        <v>26.6</v>
      </c>
      <c r="G45" s="23">
        <v>25.3</v>
      </c>
      <c r="H45" s="23">
        <v>27.6</v>
      </c>
      <c r="I45" s="23">
        <v>34.4</v>
      </c>
      <c r="J45" s="23">
        <v>48.6</v>
      </c>
      <c r="K45" s="23">
        <v>47.6</v>
      </c>
      <c r="L45" s="23">
        <v>73.8</v>
      </c>
      <c r="M45" s="23">
        <v>58.2</v>
      </c>
      <c r="N45" s="23">
        <v>94.5</v>
      </c>
      <c r="O45" s="23">
        <v>75.400000000000006</v>
      </c>
      <c r="P45" s="23">
        <v>79</v>
      </c>
      <c r="Q45" s="23">
        <v>70.3</v>
      </c>
      <c r="R45" s="23">
        <v>61.3</v>
      </c>
      <c r="S45" s="23">
        <v>62.7</v>
      </c>
      <c r="T45" s="23">
        <v>60.7</v>
      </c>
      <c r="U45" s="23">
        <v>66.5</v>
      </c>
      <c r="V45" s="23">
        <v>96.9</v>
      </c>
      <c r="W45" s="23">
        <v>86.9</v>
      </c>
      <c r="X45" s="23">
        <v>97.5</v>
      </c>
      <c r="Y45" s="23">
        <v>133.19999999999999</v>
      </c>
      <c r="Z45" s="23">
        <v>121.9</v>
      </c>
      <c r="AA45" s="23">
        <v>111.16536399443085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19.2</v>
      </c>
      <c r="E46" s="23">
        <v>25.9</v>
      </c>
      <c r="F46" s="23">
        <v>26.4</v>
      </c>
      <c r="G46" s="23">
        <v>25.2</v>
      </c>
      <c r="H46" s="23">
        <v>28</v>
      </c>
      <c r="I46" s="23">
        <v>35.799999999999997</v>
      </c>
      <c r="J46" s="23">
        <v>49.2</v>
      </c>
      <c r="K46" s="23">
        <v>48.1</v>
      </c>
      <c r="L46" s="23">
        <v>64.2</v>
      </c>
      <c r="M46" s="23">
        <v>53.7</v>
      </c>
      <c r="N46" s="23">
        <v>68</v>
      </c>
      <c r="O46" s="23">
        <v>79.8</v>
      </c>
      <c r="P46" s="23">
        <v>86.5</v>
      </c>
      <c r="Q46" s="23">
        <v>106</v>
      </c>
      <c r="R46" s="23">
        <v>72.400000000000006</v>
      </c>
      <c r="S46" s="23">
        <v>79.099999999999994</v>
      </c>
      <c r="T46" s="23">
        <v>83.6</v>
      </c>
      <c r="U46" s="23">
        <v>93.6</v>
      </c>
      <c r="V46" s="23">
        <v>87.5</v>
      </c>
      <c r="W46" s="23">
        <v>144</v>
      </c>
      <c r="X46" s="23">
        <v>133.80000000000001</v>
      </c>
      <c r="Y46" s="23">
        <v>161.1</v>
      </c>
      <c r="Z46" s="23">
        <v>192.5</v>
      </c>
      <c r="AA46" s="23">
        <v>207.86502295584859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41.8</v>
      </c>
      <c r="E47" s="23">
        <v>56.4</v>
      </c>
      <c r="F47" s="23">
        <v>54.1</v>
      </c>
      <c r="G47" s="23">
        <v>74.5</v>
      </c>
      <c r="H47" s="23">
        <v>81.5</v>
      </c>
      <c r="I47" s="23">
        <v>101.2</v>
      </c>
      <c r="J47" s="23">
        <v>130</v>
      </c>
      <c r="K47" s="23">
        <v>203.7</v>
      </c>
      <c r="L47" s="23">
        <v>214.4</v>
      </c>
      <c r="M47" s="23">
        <v>152.4</v>
      </c>
      <c r="N47" s="23">
        <v>177</v>
      </c>
      <c r="O47" s="23">
        <v>217.8</v>
      </c>
      <c r="P47" s="23">
        <v>237.8</v>
      </c>
      <c r="Q47" s="23">
        <v>265.2</v>
      </c>
      <c r="R47" s="23">
        <v>256.10000000000002</v>
      </c>
      <c r="S47" s="23">
        <v>239.7</v>
      </c>
      <c r="T47" s="23">
        <v>254.6</v>
      </c>
      <c r="U47" s="23">
        <v>279.60000000000002</v>
      </c>
      <c r="V47" s="23">
        <v>298.8</v>
      </c>
      <c r="W47" s="23">
        <v>324.8</v>
      </c>
      <c r="X47" s="23">
        <v>312.39999999999998</v>
      </c>
      <c r="Y47" s="23">
        <v>351.1</v>
      </c>
      <c r="Z47" s="23">
        <v>354.3</v>
      </c>
      <c r="AA47" s="23">
        <v>339.27929898167741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100.6</v>
      </c>
      <c r="E48" s="23">
        <v>100.6</v>
      </c>
      <c r="F48" s="23">
        <v>99.9</v>
      </c>
      <c r="G48" s="23">
        <v>123.8</v>
      </c>
      <c r="H48" s="23">
        <v>155.6</v>
      </c>
      <c r="I48" s="23">
        <v>141.9</v>
      </c>
      <c r="J48" s="23">
        <v>212.6</v>
      </c>
      <c r="K48" s="23">
        <v>239.7</v>
      </c>
      <c r="L48" s="23">
        <v>269.39999999999998</v>
      </c>
      <c r="M48" s="23">
        <v>180.8</v>
      </c>
      <c r="N48" s="23">
        <v>219.2</v>
      </c>
      <c r="O48" s="23">
        <v>268.5</v>
      </c>
      <c r="P48" s="23">
        <v>261.89999999999998</v>
      </c>
      <c r="Q48" s="23">
        <v>180.4</v>
      </c>
      <c r="R48" s="23">
        <v>214.2</v>
      </c>
      <c r="S48" s="23">
        <v>234.1</v>
      </c>
      <c r="T48" s="23">
        <v>230.5</v>
      </c>
      <c r="U48" s="23">
        <v>257.7</v>
      </c>
      <c r="V48" s="23">
        <v>280.3</v>
      </c>
      <c r="W48" s="23">
        <v>343.6</v>
      </c>
      <c r="X48" s="23">
        <v>334.1</v>
      </c>
      <c r="Y48" s="23">
        <v>365.1</v>
      </c>
      <c r="Z48" s="23">
        <v>387.7</v>
      </c>
      <c r="AA48" s="23">
        <v>380.8498890263898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15.5</v>
      </c>
      <c r="E49" s="23">
        <v>16.7</v>
      </c>
      <c r="F49" s="23">
        <v>18.8</v>
      </c>
      <c r="G49" s="23">
        <v>23.3</v>
      </c>
      <c r="H49" s="23">
        <v>29.5</v>
      </c>
      <c r="I49" s="23">
        <v>33.5</v>
      </c>
      <c r="J49" s="23">
        <v>26.3</v>
      </c>
      <c r="K49" s="23">
        <v>42.7</v>
      </c>
      <c r="L49" s="23">
        <v>59.9</v>
      </c>
      <c r="M49" s="23">
        <v>39.9</v>
      </c>
      <c r="N49" s="23">
        <v>41.6</v>
      </c>
      <c r="O49" s="23">
        <v>66.099999999999994</v>
      </c>
      <c r="P49" s="23">
        <v>60.7</v>
      </c>
      <c r="Q49" s="23">
        <v>94.5</v>
      </c>
      <c r="R49" s="23">
        <v>58.1</v>
      </c>
      <c r="S49" s="23">
        <v>146</v>
      </c>
      <c r="T49" s="23">
        <v>134.6</v>
      </c>
      <c r="U49" s="23">
        <v>149.80000000000001</v>
      </c>
      <c r="V49" s="23">
        <v>112.1</v>
      </c>
      <c r="W49" s="23">
        <v>105.2</v>
      </c>
      <c r="X49" s="23">
        <v>152.80000000000001</v>
      </c>
      <c r="Y49" s="23">
        <v>217.9</v>
      </c>
      <c r="Z49" s="23">
        <v>251.3</v>
      </c>
      <c r="AA49" s="23">
        <v>257.26231070648754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17.399999999999999</v>
      </c>
      <c r="E50" s="23">
        <v>22.5</v>
      </c>
      <c r="F50" s="23">
        <v>23.9</v>
      </c>
      <c r="G50" s="23">
        <v>21.6</v>
      </c>
      <c r="H50" s="23">
        <v>16.8</v>
      </c>
      <c r="I50" s="23">
        <v>19.8</v>
      </c>
      <c r="J50" s="23">
        <v>27.7</v>
      </c>
      <c r="K50" s="23">
        <v>57.2</v>
      </c>
      <c r="L50" s="23">
        <v>56.6</v>
      </c>
      <c r="M50" s="23">
        <v>31</v>
      </c>
      <c r="N50" s="23">
        <v>37</v>
      </c>
      <c r="O50" s="23">
        <v>53.3</v>
      </c>
      <c r="P50" s="23">
        <v>64.400000000000006</v>
      </c>
      <c r="Q50" s="23">
        <v>76.400000000000006</v>
      </c>
      <c r="R50" s="23">
        <v>72.3</v>
      </c>
      <c r="S50" s="23">
        <v>72.099999999999994</v>
      </c>
      <c r="T50" s="23">
        <v>73.599999999999994</v>
      </c>
      <c r="U50" s="23">
        <v>88.9</v>
      </c>
      <c r="V50" s="23">
        <v>101.8</v>
      </c>
      <c r="W50" s="23">
        <v>118.6</v>
      </c>
      <c r="X50" s="23">
        <v>132.9</v>
      </c>
      <c r="Y50" s="23">
        <v>153.19999999999999</v>
      </c>
      <c r="Z50" s="23">
        <v>166.7</v>
      </c>
      <c r="AA50" s="23">
        <v>165.76394176346537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30.2</v>
      </c>
      <c r="E51" s="23">
        <v>31.4</v>
      </c>
      <c r="F51" s="23">
        <v>29.7</v>
      </c>
      <c r="G51" s="23">
        <v>38</v>
      </c>
      <c r="H51" s="23">
        <v>39.6</v>
      </c>
      <c r="I51" s="23">
        <v>46.7</v>
      </c>
      <c r="J51" s="23">
        <v>47.3</v>
      </c>
      <c r="K51" s="23">
        <v>81</v>
      </c>
      <c r="L51" s="23">
        <v>71.900000000000006</v>
      </c>
      <c r="M51" s="23">
        <v>48</v>
      </c>
      <c r="N51" s="23">
        <v>42.9</v>
      </c>
      <c r="O51" s="23">
        <v>58.9</v>
      </c>
      <c r="P51" s="23">
        <v>65.7</v>
      </c>
      <c r="Q51" s="23">
        <v>74.3</v>
      </c>
      <c r="R51" s="23">
        <v>70.099999999999994</v>
      </c>
      <c r="S51" s="23">
        <v>70.900000000000006</v>
      </c>
      <c r="T51" s="23">
        <v>72.8</v>
      </c>
      <c r="U51" s="23">
        <v>83.4</v>
      </c>
      <c r="V51" s="23">
        <v>104.1</v>
      </c>
      <c r="W51" s="23">
        <v>96.5</v>
      </c>
      <c r="X51" s="23">
        <v>89.5</v>
      </c>
      <c r="Y51" s="23">
        <v>105.8</v>
      </c>
      <c r="Z51" s="23">
        <v>132.69999999999999</v>
      </c>
      <c r="AA51" s="23">
        <v>141.67055614850406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23.8</v>
      </c>
      <c r="E52" s="23">
        <v>30.4</v>
      </c>
      <c r="F52" s="23">
        <v>30.1</v>
      </c>
      <c r="G52" s="23">
        <v>26.1</v>
      </c>
      <c r="H52" s="23">
        <v>28.2</v>
      </c>
      <c r="I52" s="23">
        <v>31.5</v>
      </c>
      <c r="J52" s="23">
        <v>51</v>
      </c>
      <c r="K52" s="23">
        <v>55.2</v>
      </c>
      <c r="L52" s="23">
        <v>72.2</v>
      </c>
      <c r="M52" s="23">
        <v>38.799999999999997</v>
      </c>
      <c r="N52" s="23">
        <v>49.1</v>
      </c>
      <c r="O52" s="23">
        <v>65.5</v>
      </c>
      <c r="P52" s="23">
        <v>74</v>
      </c>
      <c r="Q52" s="23">
        <v>76.099999999999994</v>
      </c>
      <c r="R52" s="23">
        <v>88.4</v>
      </c>
      <c r="S52" s="23">
        <v>81.5</v>
      </c>
      <c r="T52" s="23">
        <v>91.1</v>
      </c>
      <c r="U52" s="23">
        <v>97.5</v>
      </c>
      <c r="V52" s="23">
        <v>104.6</v>
      </c>
      <c r="W52" s="23">
        <v>94.3</v>
      </c>
      <c r="X52" s="23">
        <v>96.5</v>
      </c>
      <c r="Y52" s="23">
        <v>112.5</v>
      </c>
      <c r="Z52" s="23">
        <v>140.4</v>
      </c>
      <c r="AA52" s="23">
        <v>156.29078261645475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87.099999999999909</v>
      </c>
      <c r="E53" s="23">
        <v>110.89999999999964</v>
      </c>
      <c r="F53" s="23">
        <v>121.59999999999991</v>
      </c>
      <c r="G53" s="23">
        <v>126.00000000000023</v>
      </c>
      <c r="H53" s="23">
        <v>145.70000000000005</v>
      </c>
      <c r="I53" s="23">
        <v>159.79999999999973</v>
      </c>
      <c r="J53" s="23">
        <v>188.50000000000023</v>
      </c>
      <c r="K53" s="23">
        <v>243.20000000000005</v>
      </c>
      <c r="L53" s="23">
        <v>264.80000000000018</v>
      </c>
      <c r="M53" s="23">
        <v>242.29999999999995</v>
      </c>
      <c r="N53" s="23">
        <v>228.5</v>
      </c>
      <c r="O53" s="23">
        <v>225.80000000000018</v>
      </c>
      <c r="P53" s="23">
        <v>286.90000000000009</v>
      </c>
      <c r="Q53" s="23">
        <v>261.30000000000018</v>
      </c>
      <c r="R53" s="23">
        <v>245.79999999999973</v>
      </c>
      <c r="S53" s="23">
        <v>257.90000000000055</v>
      </c>
      <c r="T53" s="23">
        <v>255.40000000000009</v>
      </c>
      <c r="U53" s="23">
        <v>272.30000000000018</v>
      </c>
      <c r="V53" s="23">
        <v>266.19999999999982</v>
      </c>
      <c r="W53" s="23">
        <v>275</v>
      </c>
      <c r="X53" s="23">
        <v>302.69999999999982</v>
      </c>
      <c r="Y53" s="23">
        <v>369.59999999999991</v>
      </c>
      <c r="Z53" s="23">
        <v>391.09999999999945</v>
      </c>
      <c r="AA53" s="23">
        <v>375.99947827060214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1174.5999999999999</v>
      </c>
      <c r="E54" s="30">
        <f t="shared" ref="E54:Y54" si="4">SUM(E41:E53)</f>
        <v>1275.3</v>
      </c>
      <c r="F54" s="30">
        <f t="shared" si="4"/>
        <v>1377.2</v>
      </c>
      <c r="G54" s="30">
        <f t="shared" si="4"/>
        <v>1297.5999999999999</v>
      </c>
      <c r="H54" s="30">
        <f t="shared" si="4"/>
        <v>1436.7</v>
      </c>
      <c r="I54" s="30">
        <f t="shared" si="4"/>
        <v>1572.5</v>
      </c>
      <c r="J54" s="30">
        <f t="shared" si="4"/>
        <v>1833.2</v>
      </c>
      <c r="K54" s="30">
        <f t="shared" si="4"/>
        <v>2283.8000000000002</v>
      </c>
      <c r="L54" s="30">
        <f t="shared" si="4"/>
        <v>2356.9</v>
      </c>
      <c r="M54" s="30">
        <f t="shared" si="4"/>
        <v>1841.4</v>
      </c>
      <c r="N54" s="30">
        <f t="shared" si="4"/>
        <v>2133.6</v>
      </c>
      <c r="O54" s="30">
        <f t="shared" si="4"/>
        <v>2314.8000000000002</v>
      </c>
      <c r="P54" s="30">
        <f t="shared" si="4"/>
        <v>2512.6999999999998</v>
      </c>
      <c r="Q54" s="30">
        <f t="shared" si="4"/>
        <v>2531.3000000000002</v>
      </c>
      <c r="R54" s="30">
        <f t="shared" si="4"/>
        <v>2484.1</v>
      </c>
      <c r="S54" s="30">
        <f t="shared" si="4"/>
        <v>2575.3000000000002</v>
      </c>
      <c r="T54" s="30">
        <f t="shared" si="4"/>
        <v>2581.9</v>
      </c>
      <c r="U54" s="30">
        <f t="shared" si="4"/>
        <v>2829.3</v>
      </c>
      <c r="V54" s="30">
        <f t="shared" si="4"/>
        <v>3080.3</v>
      </c>
      <c r="W54" s="30">
        <f t="shared" si="4"/>
        <v>3259</v>
      </c>
      <c r="X54" s="30">
        <f t="shared" si="4"/>
        <v>3355.7</v>
      </c>
      <c r="Y54" s="30">
        <f t="shared" si="4"/>
        <v>4147.8999999999996</v>
      </c>
      <c r="Z54" s="30">
        <f t="shared" ref="Z54:AA54" si="5">SUM(Z41:Z53)</f>
        <v>4264.7</v>
      </c>
      <c r="AA54" s="30">
        <f t="shared" si="5"/>
        <v>4148.1000000000004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380.4</v>
      </c>
      <c r="E56" s="19">
        <v>392.4</v>
      </c>
      <c r="F56" s="19">
        <v>426.4</v>
      </c>
      <c r="G56" s="19">
        <v>333.2</v>
      </c>
      <c r="H56" s="19">
        <v>373.9</v>
      </c>
      <c r="I56" s="19">
        <v>399.9</v>
      </c>
      <c r="J56" s="19">
        <v>448.2</v>
      </c>
      <c r="K56" s="19">
        <v>528.4</v>
      </c>
      <c r="L56" s="19">
        <v>558.29999999999995</v>
      </c>
      <c r="M56" s="19">
        <v>505.8</v>
      </c>
      <c r="N56" s="19">
        <v>502.5</v>
      </c>
      <c r="O56" s="19">
        <v>471</v>
      </c>
      <c r="P56" s="19">
        <v>533.29999999999995</v>
      </c>
      <c r="Q56" s="19">
        <v>558</v>
      </c>
      <c r="R56" s="19">
        <v>540.4</v>
      </c>
      <c r="S56" s="19">
        <v>535.29999999999995</v>
      </c>
      <c r="T56" s="19">
        <v>523.70000000000005</v>
      </c>
      <c r="U56" s="19">
        <v>544.9</v>
      </c>
      <c r="V56" s="19">
        <v>600.29999999999995</v>
      </c>
      <c r="W56" s="19">
        <v>613.29999999999995</v>
      </c>
      <c r="X56" s="19">
        <v>631.9</v>
      </c>
      <c r="Y56" s="19">
        <v>615.5</v>
      </c>
      <c r="Z56" s="19">
        <v>667.2</v>
      </c>
      <c r="AA56" s="19">
        <v>667.55779917282177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144.1</v>
      </c>
      <c r="E57" s="23">
        <v>158.5</v>
      </c>
      <c r="F57" s="23">
        <v>152.6</v>
      </c>
      <c r="G57" s="23">
        <v>139.1</v>
      </c>
      <c r="H57" s="23">
        <v>144.30000000000001</v>
      </c>
      <c r="I57" s="23">
        <v>162.6</v>
      </c>
      <c r="J57" s="23">
        <v>178.7</v>
      </c>
      <c r="K57" s="23">
        <v>154.1</v>
      </c>
      <c r="L57" s="23">
        <v>152.69999999999999</v>
      </c>
      <c r="M57" s="23">
        <v>107.8</v>
      </c>
      <c r="N57" s="23">
        <v>126.5</v>
      </c>
      <c r="O57" s="23">
        <v>141.69999999999999</v>
      </c>
      <c r="P57" s="23">
        <v>130.9</v>
      </c>
      <c r="Q57" s="23">
        <v>134.80000000000001</v>
      </c>
      <c r="R57" s="23">
        <v>128</v>
      </c>
      <c r="S57" s="23">
        <v>115.2</v>
      </c>
      <c r="T57" s="23">
        <v>121.5</v>
      </c>
      <c r="U57" s="23">
        <v>136.5</v>
      </c>
      <c r="V57" s="23">
        <v>148.5</v>
      </c>
      <c r="W57" s="23">
        <v>139.19999999999999</v>
      </c>
      <c r="X57" s="23">
        <v>139.30000000000001</v>
      </c>
      <c r="Y57" s="23">
        <v>139.4</v>
      </c>
      <c r="Z57" s="23">
        <v>145.6</v>
      </c>
      <c r="AA57" s="23">
        <v>141.84914549476872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232</v>
      </c>
      <c r="E58" s="23">
        <v>244.2</v>
      </c>
      <c r="F58" s="23">
        <v>299</v>
      </c>
      <c r="G58" s="23">
        <v>269.39999999999998</v>
      </c>
      <c r="H58" s="23">
        <v>294.39999999999998</v>
      </c>
      <c r="I58" s="23">
        <v>323.60000000000002</v>
      </c>
      <c r="J58" s="23">
        <v>318.2</v>
      </c>
      <c r="K58" s="23">
        <v>478</v>
      </c>
      <c r="L58" s="23">
        <v>382.3</v>
      </c>
      <c r="M58" s="23">
        <v>302.10000000000002</v>
      </c>
      <c r="N58" s="23">
        <v>462.2</v>
      </c>
      <c r="O58" s="23">
        <v>504</v>
      </c>
      <c r="P58" s="23">
        <v>533.79999999999995</v>
      </c>
      <c r="Q58" s="23">
        <v>521.4</v>
      </c>
      <c r="R58" s="23">
        <v>565.70000000000005</v>
      </c>
      <c r="S58" s="23">
        <v>570.1</v>
      </c>
      <c r="T58" s="23">
        <v>573.5</v>
      </c>
      <c r="U58" s="23">
        <v>640</v>
      </c>
      <c r="V58" s="23">
        <v>754.9</v>
      </c>
      <c r="W58" s="23">
        <v>774.8</v>
      </c>
      <c r="X58" s="23">
        <v>778.2</v>
      </c>
      <c r="Y58" s="23">
        <v>1257.9000000000001</v>
      </c>
      <c r="Z58" s="23">
        <v>1138.7</v>
      </c>
      <c r="AA58" s="23">
        <v>1031.7913938848319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27.1</v>
      </c>
      <c r="E59" s="23">
        <v>24</v>
      </c>
      <c r="F59" s="23">
        <v>29.2</v>
      </c>
      <c r="G59" s="23">
        <v>29.5</v>
      </c>
      <c r="H59" s="23">
        <v>27.7</v>
      </c>
      <c r="I59" s="23">
        <v>31.3</v>
      </c>
      <c r="J59" s="23">
        <v>33.5</v>
      </c>
      <c r="K59" s="23">
        <v>28.9</v>
      </c>
      <c r="L59" s="23">
        <v>36.5</v>
      </c>
      <c r="M59" s="23">
        <v>29.1</v>
      </c>
      <c r="N59" s="23">
        <v>35</v>
      </c>
      <c r="O59" s="23">
        <v>36.5</v>
      </c>
      <c r="P59" s="23">
        <v>41.6</v>
      </c>
      <c r="Q59" s="23">
        <v>41.3</v>
      </c>
      <c r="R59" s="23">
        <v>40.5</v>
      </c>
      <c r="S59" s="23">
        <v>36.299999999999997</v>
      </c>
      <c r="T59" s="23">
        <v>36.299999999999997</v>
      </c>
      <c r="U59" s="23">
        <v>36.299999999999997</v>
      </c>
      <c r="V59" s="23">
        <v>38.4</v>
      </c>
      <c r="W59" s="23">
        <v>39.4</v>
      </c>
      <c r="X59" s="23">
        <v>41.8</v>
      </c>
      <c r="Y59" s="23">
        <v>45.2</v>
      </c>
      <c r="Z59" s="23">
        <v>46.6</v>
      </c>
      <c r="AA59" s="23">
        <v>45.062017961406738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35</v>
      </c>
      <c r="E60" s="23">
        <v>34.100000000000023</v>
      </c>
      <c r="F60" s="23">
        <v>38.5</v>
      </c>
      <c r="G60" s="23">
        <v>41.900000000000034</v>
      </c>
      <c r="H60" s="23">
        <v>43.300000000000011</v>
      </c>
      <c r="I60" s="23">
        <v>49.299999999999955</v>
      </c>
      <c r="J60" s="23">
        <v>73.400000000000034</v>
      </c>
      <c r="K60" s="23">
        <v>75.600000000000023</v>
      </c>
      <c r="L60" s="23">
        <v>79.800000000000011</v>
      </c>
      <c r="M60" s="23">
        <v>51.299999999999955</v>
      </c>
      <c r="N60" s="23">
        <v>49.400000000000034</v>
      </c>
      <c r="O60" s="23">
        <v>50.100000000000023</v>
      </c>
      <c r="P60" s="23">
        <v>56.200000000000045</v>
      </c>
      <c r="Q60" s="23">
        <v>69.800000000000068</v>
      </c>
      <c r="R60" s="23">
        <v>69.299999999999955</v>
      </c>
      <c r="S60" s="23">
        <v>72.899999999999977</v>
      </c>
      <c r="T60" s="23">
        <v>69.800000000000068</v>
      </c>
      <c r="U60" s="23">
        <v>81.300000000000068</v>
      </c>
      <c r="V60" s="23">
        <v>85</v>
      </c>
      <c r="W60" s="23">
        <v>102.30000000000007</v>
      </c>
      <c r="X60" s="23">
        <v>112.39999999999998</v>
      </c>
      <c r="Y60" s="23">
        <v>120.09999999999991</v>
      </c>
      <c r="Z60" s="23">
        <v>127.20000000000005</v>
      </c>
      <c r="AA60" s="23">
        <v>124.66947826427122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0.1</v>
      </c>
      <c r="E61" s="23">
        <v>0.1</v>
      </c>
      <c r="F61" s="23">
        <v>0.4</v>
      </c>
      <c r="G61" s="23">
        <v>0.7</v>
      </c>
      <c r="H61" s="23">
        <v>0.6</v>
      </c>
      <c r="I61" s="23">
        <v>1.2</v>
      </c>
      <c r="J61" s="23">
        <v>0</v>
      </c>
      <c r="K61" s="23">
        <v>0.4</v>
      </c>
      <c r="L61" s="23">
        <v>0.1</v>
      </c>
      <c r="M61" s="23">
        <v>0.2</v>
      </c>
      <c r="N61" s="23">
        <v>0.2</v>
      </c>
      <c r="O61" s="23">
        <v>0.4</v>
      </c>
      <c r="P61" s="23">
        <v>0</v>
      </c>
      <c r="Q61" s="23">
        <v>1.5</v>
      </c>
      <c r="R61" s="23">
        <v>1.5</v>
      </c>
      <c r="S61" s="23">
        <v>1.5</v>
      </c>
      <c r="T61" s="23">
        <v>0.2</v>
      </c>
      <c r="U61" s="23">
        <v>1</v>
      </c>
      <c r="V61" s="23">
        <v>0.9</v>
      </c>
      <c r="W61" s="23">
        <v>1.1000000000000001</v>
      </c>
      <c r="X61" s="23">
        <v>-0.1</v>
      </c>
      <c r="Y61" s="23">
        <v>0.3</v>
      </c>
      <c r="Z61" s="23">
        <v>0.8</v>
      </c>
      <c r="AA61" s="23">
        <v>1.0235207580394652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20.3</v>
      </c>
      <c r="E62" s="23">
        <v>27.2</v>
      </c>
      <c r="F62" s="23">
        <v>26.6</v>
      </c>
      <c r="G62" s="23">
        <v>25.3</v>
      </c>
      <c r="H62" s="23">
        <v>27.6</v>
      </c>
      <c r="I62" s="23">
        <v>34.4</v>
      </c>
      <c r="J62" s="23">
        <v>48.6</v>
      </c>
      <c r="K62" s="23">
        <v>47.6</v>
      </c>
      <c r="L62" s="23">
        <v>73.8</v>
      </c>
      <c r="M62" s="23">
        <v>58.2</v>
      </c>
      <c r="N62" s="23">
        <v>94.5</v>
      </c>
      <c r="O62" s="23">
        <v>75.400000000000006</v>
      </c>
      <c r="P62" s="23">
        <v>79</v>
      </c>
      <c r="Q62" s="23">
        <v>70.3</v>
      </c>
      <c r="R62" s="23">
        <v>61.3</v>
      </c>
      <c r="S62" s="23">
        <v>62.7</v>
      </c>
      <c r="T62" s="23">
        <v>60.7</v>
      </c>
      <c r="U62" s="23">
        <v>66.5</v>
      </c>
      <c r="V62" s="23">
        <v>96.9</v>
      </c>
      <c r="W62" s="23">
        <v>86.9</v>
      </c>
      <c r="X62" s="23">
        <v>97.5</v>
      </c>
      <c r="Y62" s="23">
        <v>133.19999999999999</v>
      </c>
      <c r="Z62" s="23">
        <v>121.9</v>
      </c>
      <c r="AA62" s="23">
        <v>111.16536399443085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19.2</v>
      </c>
      <c r="E63" s="23">
        <v>25.9</v>
      </c>
      <c r="F63" s="23">
        <v>26.4</v>
      </c>
      <c r="G63" s="23">
        <v>25.2</v>
      </c>
      <c r="H63" s="23">
        <v>28</v>
      </c>
      <c r="I63" s="23">
        <v>35.799999999999997</v>
      </c>
      <c r="J63" s="23">
        <v>49.2</v>
      </c>
      <c r="K63" s="23">
        <v>48.1</v>
      </c>
      <c r="L63" s="23">
        <v>64.2</v>
      </c>
      <c r="M63" s="23">
        <v>53.7</v>
      </c>
      <c r="N63" s="23">
        <v>68</v>
      </c>
      <c r="O63" s="23">
        <v>79.8</v>
      </c>
      <c r="P63" s="23">
        <v>86.5</v>
      </c>
      <c r="Q63" s="23">
        <v>106</v>
      </c>
      <c r="R63" s="23">
        <v>72.400000000000006</v>
      </c>
      <c r="S63" s="23">
        <v>79.099999999999994</v>
      </c>
      <c r="T63" s="23">
        <v>83.6</v>
      </c>
      <c r="U63" s="23">
        <v>93.6</v>
      </c>
      <c r="V63" s="23">
        <v>87.5</v>
      </c>
      <c r="W63" s="23">
        <v>144</v>
      </c>
      <c r="X63" s="23">
        <v>133.80000000000001</v>
      </c>
      <c r="Y63" s="23">
        <v>161.1</v>
      </c>
      <c r="Z63" s="23">
        <v>192.5</v>
      </c>
      <c r="AA63" s="23">
        <v>207.86502295584859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17.100000000000001</v>
      </c>
      <c r="E64" s="23">
        <v>20.6</v>
      </c>
      <c r="F64" s="23">
        <v>23.4</v>
      </c>
      <c r="G64" s="23">
        <v>32.9</v>
      </c>
      <c r="H64" s="23">
        <v>36.299999999999997</v>
      </c>
      <c r="I64" s="23">
        <v>46.6</v>
      </c>
      <c r="J64" s="23">
        <v>50.4</v>
      </c>
      <c r="K64" s="23">
        <v>71</v>
      </c>
      <c r="L64" s="23">
        <v>68.2</v>
      </c>
      <c r="M64" s="23">
        <v>44</v>
      </c>
      <c r="N64" s="23">
        <v>50.8</v>
      </c>
      <c r="O64" s="23">
        <v>53.9</v>
      </c>
      <c r="P64" s="23">
        <v>63.4</v>
      </c>
      <c r="Q64" s="23">
        <v>66.3</v>
      </c>
      <c r="R64" s="23">
        <v>61.8</v>
      </c>
      <c r="S64" s="23">
        <v>66.2</v>
      </c>
      <c r="T64" s="23">
        <v>68.8</v>
      </c>
      <c r="U64" s="23">
        <v>75.5</v>
      </c>
      <c r="V64" s="23">
        <v>77.900000000000006</v>
      </c>
      <c r="W64" s="23">
        <v>82.1</v>
      </c>
      <c r="X64" s="23">
        <v>90</v>
      </c>
      <c r="Y64" s="23">
        <v>105</v>
      </c>
      <c r="Z64" s="23">
        <v>100.6</v>
      </c>
      <c r="AA64" s="23">
        <v>95.328020921102521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24.699999999999996</v>
      </c>
      <c r="E65" s="23">
        <v>35.799999999999997</v>
      </c>
      <c r="F65" s="23">
        <v>30.700000000000003</v>
      </c>
      <c r="G65" s="23">
        <v>41.6</v>
      </c>
      <c r="H65" s="23">
        <v>45.2</v>
      </c>
      <c r="I65" s="23">
        <v>54.6</v>
      </c>
      <c r="J65" s="23">
        <v>79.599999999999994</v>
      </c>
      <c r="K65" s="23">
        <v>132.69999999999999</v>
      </c>
      <c r="L65" s="23">
        <v>146.19999999999999</v>
      </c>
      <c r="M65" s="23">
        <v>108.4</v>
      </c>
      <c r="N65" s="23">
        <v>126.2</v>
      </c>
      <c r="O65" s="23">
        <v>163.9</v>
      </c>
      <c r="P65" s="23">
        <v>174.4</v>
      </c>
      <c r="Q65" s="23">
        <v>198.89999999999998</v>
      </c>
      <c r="R65" s="23">
        <v>194.3</v>
      </c>
      <c r="S65" s="23">
        <v>173.5</v>
      </c>
      <c r="T65" s="23">
        <v>185.8</v>
      </c>
      <c r="U65" s="23">
        <v>204.10000000000002</v>
      </c>
      <c r="V65" s="23">
        <v>220.9</v>
      </c>
      <c r="W65" s="23">
        <v>242.70000000000002</v>
      </c>
      <c r="X65" s="23">
        <v>222.39999999999998</v>
      </c>
      <c r="Y65" s="23">
        <v>246.10000000000002</v>
      </c>
      <c r="Z65" s="23">
        <v>253.70000000000002</v>
      </c>
      <c r="AA65" s="23">
        <v>243.95127806057491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55.8</v>
      </c>
      <c r="E66" s="23">
        <v>51.7</v>
      </c>
      <c r="F66" s="23">
        <v>52</v>
      </c>
      <c r="G66" s="23">
        <v>71.900000000000006</v>
      </c>
      <c r="H66" s="23">
        <v>95.9</v>
      </c>
      <c r="I66" s="23">
        <v>66.5</v>
      </c>
      <c r="J66" s="23">
        <v>89.2</v>
      </c>
      <c r="K66" s="23">
        <v>74.3</v>
      </c>
      <c r="L66" s="23">
        <v>83.2</v>
      </c>
      <c r="M66" s="23">
        <v>47</v>
      </c>
      <c r="N66" s="23">
        <v>86.7</v>
      </c>
      <c r="O66" s="23">
        <v>96.7</v>
      </c>
      <c r="P66" s="23">
        <v>57.2</v>
      </c>
      <c r="Q66" s="23">
        <v>20.200000000000003</v>
      </c>
      <c r="R66" s="23">
        <v>1.9</v>
      </c>
      <c r="S66" s="23">
        <v>22.5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44.8</v>
      </c>
      <c r="E67" s="23">
        <v>48.899999999999991</v>
      </c>
      <c r="F67" s="23">
        <v>47.900000000000006</v>
      </c>
      <c r="G67" s="23">
        <v>51.899999999999991</v>
      </c>
      <c r="H67" s="23">
        <v>59.699999999999989</v>
      </c>
      <c r="I67" s="23">
        <v>75.400000000000006</v>
      </c>
      <c r="J67" s="23">
        <v>123.39999999999999</v>
      </c>
      <c r="K67" s="23">
        <v>165.39999999999998</v>
      </c>
      <c r="L67" s="23">
        <v>186.2</v>
      </c>
      <c r="M67" s="23">
        <v>133.80000000000001</v>
      </c>
      <c r="N67" s="23">
        <v>132.5</v>
      </c>
      <c r="O67" s="23">
        <v>171.8</v>
      </c>
      <c r="P67" s="23">
        <v>204.7</v>
      </c>
      <c r="Q67" s="23">
        <v>101.49999999999999</v>
      </c>
      <c r="R67" s="23">
        <v>212.29999999999998</v>
      </c>
      <c r="S67" s="23">
        <v>211.6</v>
      </c>
      <c r="T67" s="23">
        <v>230.5</v>
      </c>
      <c r="U67" s="23">
        <v>257.7</v>
      </c>
      <c r="V67" s="23">
        <v>280.3</v>
      </c>
      <c r="W67" s="23">
        <v>343.6</v>
      </c>
      <c r="X67" s="23">
        <v>334.1</v>
      </c>
      <c r="Y67" s="23">
        <v>365.1</v>
      </c>
      <c r="Z67" s="23">
        <v>387.7</v>
      </c>
      <c r="AA67" s="23">
        <v>380.8498890263898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15.5</v>
      </c>
      <c r="E68" s="23">
        <v>16.7</v>
      </c>
      <c r="F68" s="23">
        <v>18.8</v>
      </c>
      <c r="G68" s="23">
        <v>23.3</v>
      </c>
      <c r="H68" s="23">
        <v>29.5</v>
      </c>
      <c r="I68" s="23">
        <v>33.5</v>
      </c>
      <c r="J68" s="23">
        <v>26.3</v>
      </c>
      <c r="K68" s="23">
        <v>42.7</v>
      </c>
      <c r="L68" s="23">
        <v>59.9</v>
      </c>
      <c r="M68" s="23">
        <v>39.9</v>
      </c>
      <c r="N68" s="23">
        <v>41.6</v>
      </c>
      <c r="O68" s="23">
        <v>66.099999999999994</v>
      </c>
      <c r="P68" s="23">
        <v>60.7</v>
      </c>
      <c r="Q68" s="23">
        <v>94.5</v>
      </c>
      <c r="R68" s="23">
        <v>58.1</v>
      </c>
      <c r="S68" s="23">
        <v>146</v>
      </c>
      <c r="T68" s="23">
        <v>134.6</v>
      </c>
      <c r="U68" s="23">
        <v>149.80000000000001</v>
      </c>
      <c r="V68" s="23">
        <v>112.1</v>
      </c>
      <c r="W68" s="23">
        <v>105.2</v>
      </c>
      <c r="X68" s="23">
        <v>152.80000000000001</v>
      </c>
      <c r="Y68" s="23">
        <v>217.9</v>
      </c>
      <c r="Z68" s="23">
        <v>251.3</v>
      </c>
      <c r="AA68" s="23">
        <v>257.26231070648754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17.399999999999999</v>
      </c>
      <c r="E69" s="23">
        <v>22.5</v>
      </c>
      <c r="F69" s="23">
        <v>23.9</v>
      </c>
      <c r="G69" s="23">
        <v>21.6</v>
      </c>
      <c r="H69" s="23">
        <v>16.8</v>
      </c>
      <c r="I69" s="23">
        <v>19.8</v>
      </c>
      <c r="J69" s="23">
        <v>27.7</v>
      </c>
      <c r="K69" s="23">
        <v>57.2</v>
      </c>
      <c r="L69" s="23">
        <v>56.6</v>
      </c>
      <c r="M69" s="23">
        <v>31</v>
      </c>
      <c r="N69" s="23">
        <v>37</v>
      </c>
      <c r="O69" s="23">
        <v>53.3</v>
      </c>
      <c r="P69" s="23">
        <v>64.400000000000006</v>
      </c>
      <c r="Q69" s="23">
        <v>76.400000000000006</v>
      </c>
      <c r="R69" s="23">
        <v>72.3</v>
      </c>
      <c r="S69" s="23">
        <v>72.099999999999994</v>
      </c>
      <c r="T69" s="23">
        <v>73.599999999999994</v>
      </c>
      <c r="U69" s="23">
        <v>88.9</v>
      </c>
      <c r="V69" s="23">
        <v>101.8</v>
      </c>
      <c r="W69" s="23">
        <v>118.6</v>
      </c>
      <c r="X69" s="23">
        <v>132.9</v>
      </c>
      <c r="Y69" s="23">
        <v>153.19999999999999</v>
      </c>
      <c r="Z69" s="23">
        <v>166.7</v>
      </c>
      <c r="AA69" s="23">
        <v>165.76394176346537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30.2</v>
      </c>
      <c r="E70" s="23">
        <v>31.4</v>
      </c>
      <c r="F70" s="23">
        <v>29.7</v>
      </c>
      <c r="G70" s="23">
        <v>38</v>
      </c>
      <c r="H70" s="23">
        <v>39.6</v>
      </c>
      <c r="I70" s="23">
        <v>46.7</v>
      </c>
      <c r="J70" s="23">
        <v>47.3</v>
      </c>
      <c r="K70" s="23">
        <v>81</v>
      </c>
      <c r="L70" s="23">
        <v>71.900000000000006</v>
      </c>
      <c r="M70" s="23">
        <v>48</v>
      </c>
      <c r="N70" s="23">
        <v>42.9</v>
      </c>
      <c r="O70" s="23">
        <v>58.9</v>
      </c>
      <c r="P70" s="23">
        <v>65.7</v>
      </c>
      <c r="Q70" s="23">
        <v>74.3</v>
      </c>
      <c r="R70" s="23">
        <v>70.099999999999994</v>
      </c>
      <c r="S70" s="23">
        <v>70.900000000000006</v>
      </c>
      <c r="T70" s="23">
        <v>72.8</v>
      </c>
      <c r="U70" s="23">
        <v>83.4</v>
      </c>
      <c r="V70" s="23">
        <v>104.1</v>
      </c>
      <c r="W70" s="23">
        <v>96.5</v>
      </c>
      <c r="X70" s="23">
        <v>89.5</v>
      </c>
      <c r="Y70" s="23">
        <v>105.8</v>
      </c>
      <c r="Z70" s="23">
        <v>132.69999999999999</v>
      </c>
      <c r="AA70" s="23">
        <v>141.67055614850406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4.9000000000000004</v>
      </c>
      <c r="E71" s="23">
        <v>4.2</v>
      </c>
      <c r="F71" s="23">
        <v>5.8</v>
      </c>
      <c r="G71" s="23">
        <v>5.0999999999999996</v>
      </c>
      <c r="H71" s="23">
        <v>6.2</v>
      </c>
      <c r="I71" s="23">
        <v>10.6</v>
      </c>
      <c r="J71" s="23">
        <v>18.399999999999999</v>
      </c>
      <c r="K71" s="23">
        <v>24.7</v>
      </c>
      <c r="L71" s="23">
        <v>28</v>
      </c>
      <c r="M71" s="23">
        <v>14.8</v>
      </c>
      <c r="N71" s="23">
        <v>25.8</v>
      </c>
      <c r="O71" s="23">
        <v>34.200000000000003</v>
      </c>
      <c r="P71" s="23">
        <v>41.9</v>
      </c>
      <c r="Q71" s="23">
        <v>48.6</v>
      </c>
      <c r="R71" s="23">
        <v>48.7</v>
      </c>
      <c r="S71" s="23">
        <v>49.4</v>
      </c>
      <c r="T71" s="23">
        <v>58.9</v>
      </c>
      <c r="U71" s="23">
        <v>66.3</v>
      </c>
      <c r="V71" s="23">
        <v>81.2</v>
      </c>
      <c r="W71" s="23">
        <v>59.3</v>
      </c>
      <c r="X71" s="23">
        <v>60.6</v>
      </c>
      <c r="Y71" s="23">
        <v>73.400000000000006</v>
      </c>
      <c r="Z71" s="23">
        <v>87.6</v>
      </c>
      <c r="AA71" s="23">
        <v>98.550738671349293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18.899999999999999</v>
      </c>
      <c r="E72" s="23">
        <v>26.2</v>
      </c>
      <c r="F72" s="23">
        <v>24.3</v>
      </c>
      <c r="G72" s="23">
        <v>21</v>
      </c>
      <c r="H72" s="23">
        <v>22</v>
      </c>
      <c r="I72" s="23">
        <v>20.9</v>
      </c>
      <c r="J72" s="23">
        <v>32.6</v>
      </c>
      <c r="K72" s="23">
        <v>30.500000000000004</v>
      </c>
      <c r="L72" s="23">
        <v>44.2</v>
      </c>
      <c r="M72" s="23">
        <v>23.999999999999996</v>
      </c>
      <c r="N72" s="23">
        <v>23.3</v>
      </c>
      <c r="O72" s="23">
        <v>31.299999999999997</v>
      </c>
      <c r="P72" s="23">
        <v>32.1</v>
      </c>
      <c r="Q72" s="23">
        <v>27.499999999999993</v>
      </c>
      <c r="R72" s="23">
        <v>39.700000000000003</v>
      </c>
      <c r="S72" s="23">
        <v>32.1</v>
      </c>
      <c r="T72" s="23">
        <v>32.199999999999996</v>
      </c>
      <c r="U72" s="23">
        <v>31.200000000000003</v>
      </c>
      <c r="V72" s="23">
        <v>23.399999999999991</v>
      </c>
      <c r="W72" s="23">
        <v>35</v>
      </c>
      <c r="X72" s="23">
        <v>35.9</v>
      </c>
      <c r="Y72" s="23">
        <v>39.099999999999994</v>
      </c>
      <c r="Z72" s="23">
        <v>52.800000000000011</v>
      </c>
      <c r="AA72" s="23">
        <v>57.740043945105455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54.8</v>
      </c>
      <c r="E73" s="23">
        <v>56.4</v>
      </c>
      <c r="F73" s="23">
        <v>67</v>
      </c>
      <c r="G73" s="23">
        <v>73.400000000000006</v>
      </c>
      <c r="H73" s="23">
        <v>93.4</v>
      </c>
      <c r="I73" s="23">
        <v>102</v>
      </c>
      <c r="J73" s="23">
        <v>111.3</v>
      </c>
      <c r="K73" s="23">
        <v>129.69999999999999</v>
      </c>
      <c r="L73" s="23">
        <v>122.1</v>
      </c>
      <c r="M73" s="23">
        <v>114.4</v>
      </c>
      <c r="N73" s="23">
        <v>99.6</v>
      </c>
      <c r="O73" s="23">
        <v>97.2</v>
      </c>
      <c r="P73" s="23">
        <v>110.8</v>
      </c>
      <c r="Q73" s="23">
        <v>119.6</v>
      </c>
      <c r="R73" s="23">
        <v>121.2</v>
      </c>
      <c r="S73" s="23">
        <v>129</v>
      </c>
      <c r="T73" s="23">
        <v>133.69999999999999</v>
      </c>
      <c r="U73" s="23">
        <v>140.4</v>
      </c>
      <c r="V73" s="23">
        <v>152.30000000000001</v>
      </c>
      <c r="W73" s="23">
        <v>160.69999999999999</v>
      </c>
      <c r="X73" s="23">
        <v>174</v>
      </c>
      <c r="Y73" s="23">
        <v>238.7</v>
      </c>
      <c r="Z73" s="23">
        <v>234.8</v>
      </c>
      <c r="AA73" s="23">
        <v>223.83324821910534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32.299999999999912</v>
      </c>
      <c r="E74" s="23">
        <v>54.499999999999638</v>
      </c>
      <c r="F74" s="23">
        <v>54.599999999999909</v>
      </c>
      <c r="G74" s="23">
        <v>52.600000000000222</v>
      </c>
      <c r="H74" s="23">
        <v>52.30000000000004</v>
      </c>
      <c r="I74" s="23">
        <v>57.799999999999727</v>
      </c>
      <c r="J74" s="23">
        <v>77.20000000000023</v>
      </c>
      <c r="K74" s="23">
        <v>113.50000000000006</v>
      </c>
      <c r="L74" s="23">
        <v>142.70000000000019</v>
      </c>
      <c r="M74" s="23">
        <v>127.89999999999995</v>
      </c>
      <c r="N74" s="23">
        <v>128.9</v>
      </c>
      <c r="O74" s="23">
        <v>128.60000000000019</v>
      </c>
      <c r="P74" s="23">
        <v>176.10000000000008</v>
      </c>
      <c r="Q74" s="23">
        <v>200.4000000000002</v>
      </c>
      <c r="R74" s="23">
        <v>124.59999999999972</v>
      </c>
      <c r="S74" s="23">
        <v>128.90000000000055</v>
      </c>
      <c r="T74" s="23">
        <v>121.7000000000001</v>
      </c>
      <c r="U74" s="23">
        <v>131.90000000000018</v>
      </c>
      <c r="V74" s="23">
        <v>113.89999999999981</v>
      </c>
      <c r="W74" s="23">
        <v>114.30000000000001</v>
      </c>
      <c r="X74" s="23">
        <v>128.69999999999982</v>
      </c>
      <c r="Y74" s="23">
        <v>130.89999999999992</v>
      </c>
      <c r="Z74" s="23">
        <v>156.29999999999944</v>
      </c>
      <c r="AA74" s="23">
        <v>152.1662300514968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1174.6000000000001</v>
      </c>
      <c r="E75" s="30">
        <f t="shared" ref="E75:Y75" si="6">SUM(E56:E74)</f>
        <v>1275.3</v>
      </c>
      <c r="F75" s="30">
        <f t="shared" si="6"/>
        <v>1377.2</v>
      </c>
      <c r="G75" s="30">
        <f t="shared" si="6"/>
        <v>1297.5999999999999</v>
      </c>
      <c r="H75" s="30">
        <f t="shared" si="6"/>
        <v>1436.7000000000003</v>
      </c>
      <c r="I75" s="30">
        <f t="shared" si="6"/>
        <v>1572.4999999999995</v>
      </c>
      <c r="J75" s="30">
        <f t="shared" si="6"/>
        <v>1833.2000000000003</v>
      </c>
      <c r="K75" s="30">
        <f t="shared" si="6"/>
        <v>2283.8000000000002</v>
      </c>
      <c r="L75" s="30">
        <f t="shared" si="6"/>
        <v>2356.9</v>
      </c>
      <c r="M75" s="30">
        <f t="shared" si="6"/>
        <v>1841.4</v>
      </c>
      <c r="N75" s="30">
        <f t="shared" si="6"/>
        <v>2133.6</v>
      </c>
      <c r="O75" s="30">
        <f t="shared" si="6"/>
        <v>2314.8000000000006</v>
      </c>
      <c r="P75" s="30">
        <f t="shared" si="6"/>
        <v>2512.7000000000003</v>
      </c>
      <c r="Q75" s="30">
        <f t="shared" si="6"/>
        <v>2531.2999999999997</v>
      </c>
      <c r="R75" s="30">
        <f t="shared" si="6"/>
        <v>2484.099999999999</v>
      </c>
      <c r="S75" s="30">
        <f t="shared" si="6"/>
        <v>2575.3000000000002</v>
      </c>
      <c r="T75" s="30">
        <f t="shared" si="6"/>
        <v>2581.9</v>
      </c>
      <c r="U75" s="30">
        <f t="shared" si="6"/>
        <v>2829.3</v>
      </c>
      <c r="V75" s="30">
        <f t="shared" si="6"/>
        <v>3080.3</v>
      </c>
      <c r="W75" s="30">
        <f t="shared" si="6"/>
        <v>3258.9999999999995</v>
      </c>
      <c r="X75" s="30">
        <f t="shared" si="6"/>
        <v>3355.7</v>
      </c>
      <c r="Y75" s="30">
        <f t="shared" si="6"/>
        <v>4147.8999999999996</v>
      </c>
      <c r="Z75" s="30">
        <f t="shared" ref="Z75:AA75" si="7">SUM(Z56:Z74)</f>
        <v>4264.6999999999989</v>
      </c>
      <c r="AA75" s="30">
        <f t="shared" si="7"/>
        <v>4148.1000000000004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18625.901604587289</v>
      </c>
      <c r="E2" s="19">
        <v>19829.486952295851</v>
      </c>
      <c r="F2" s="19">
        <v>21349.262130112282</v>
      </c>
      <c r="G2" s="19">
        <v>23148.990868115485</v>
      </c>
      <c r="H2" s="19">
        <v>25168.53041129767</v>
      </c>
      <c r="I2" s="19">
        <v>28092.148385007942</v>
      </c>
      <c r="J2" s="19">
        <v>31695.017014015164</v>
      </c>
      <c r="K2" s="19">
        <v>34995.560431079117</v>
      </c>
      <c r="L2" s="19">
        <v>33809.71738965952</v>
      </c>
      <c r="M2" s="19">
        <v>28386.767157762752</v>
      </c>
      <c r="N2" s="19">
        <v>27347.326847123681</v>
      </c>
      <c r="O2" s="19">
        <v>28177.781087765325</v>
      </c>
      <c r="P2" s="19">
        <v>30236.240846145909</v>
      </c>
      <c r="Q2" s="19">
        <v>30869.884495879218</v>
      </c>
      <c r="R2" s="19">
        <v>31516.620167645437</v>
      </c>
      <c r="S2" s="19">
        <v>32709.197907999998</v>
      </c>
      <c r="T2" s="19">
        <v>33543.794123727741</v>
      </c>
      <c r="U2" s="19">
        <v>34683.75972671144</v>
      </c>
      <c r="V2" s="19">
        <v>36178.506986072636</v>
      </c>
      <c r="W2" s="19">
        <v>36422.939674136607</v>
      </c>
      <c r="X2" s="19">
        <v>35159.409187612444</v>
      </c>
      <c r="Y2" s="19">
        <v>37600.290441164034</v>
      </c>
      <c r="Z2" s="19">
        <v>38279.670491336372</v>
      </c>
      <c r="AA2" s="19">
        <v>39372.400000000001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10965.820066924145</v>
      </c>
      <c r="E3" s="23">
        <v>11531.794024334122</v>
      </c>
      <c r="F3" s="23">
        <v>12333.022811694271</v>
      </c>
      <c r="G3" s="23">
        <v>13311.728438538205</v>
      </c>
      <c r="H3" s="23">
        <v>14692.974887281116</v>
      </c>
      <c r="I3" s="23">
        <v>16383.420608909457</v>
      </c>
      <c r="J3" s="23">
        <v>19651.674820299409</v>
      </c>
      <c r="K3" s="23">
        <v>21974.825367877944</v>
      </c>
      <c r="L3" s="23">
        <v>19948.510886805281</v>
      </c>
      <c r="M3" s="23">
        <v>16162.802060156573</v>
      </c>
      <c r="N3" s="23">
        <v>16769.780761165974</v>
      </c>
      <c r="O3" s="23">
        <v>16876.250308731807</v>
      </c>
      <c r="P3" s="23">
        <v>17872.60629477994</v>
      </c>
      <c r="Q3" s="23">
        <v>19070.28831130897</v>
      </c>
      <c r="R3" s="23">
        <v>19241.153947737286</v>
      </c>
      <c r="S3" s="23">
        <v>19594.072917000001</v>
      </c>
      <c r="T3" s="23">
        <v>20359.243579252608</v>
      </c>
      <c r="U3" s="23">
        <v>20930.602380906406</v>
      </c>
      <c r="V3" s="23">
        <v>21686.706955834772</v>
      </c>
      <c r="W3" s="23">
        <v>21661.912587056075</v>
      </c>
      <c r="X3" s="23">
        <v>20626.349946422084</v>
      </c>
      <c r="Y3" s="23">
        <v>22287.219261671322</v>
      </c>
      <c r="Z3" s="23">
        <v>23423.737063306886</v>
      </c>
      <c r="AA3" s="23">
        <v>23182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16197.691835208327</v>
      </c>
      <c r="E4" s="27">
        <v>17262.971725703908</v>
      </c>
      <c r="F4" s="27">
        <v>18626.264022106512</v>
      </c>
      <c r="G4" s="27">
        <v>20183.618504630234</v>
      </c>
      <c r="H4" s="27">
        <v>21948.98973207935</v>
      </c>
      <c r="I4" s="27">
        <v>24560.150170648467</v>
      </c>
      <c r="J4" s="27">
        <v>27591.913497786907</v>
      </c>
      <c r="K4" s="27">
        <v>30219.567604811</v>
      </c>
      <c r="L4" s="27">
        <v>29664.635106284797</v>
      </c>
      <c r="M4" s="27">
        <v>25592.114314522907</v>
      </c>
      <c r="N4" s="27">
        <v>24496.801390040313</v>
      </c>
      <c r="O4" s="27">
        <v>25142.843407969642</v>
      </c>
      <c r="P4" s="27">
        <v>26881.861103442552</v>
      </c>
      <c r="Q4" s="27">
        <v>27263.149021793601</v>
      </c>
      <c r="R4" s="27">
        <v>27759.075030917262</v>
      </c>
      <c r="S4" s="27">
        <v>28740.904094999998</v>
      </c>
      <c r="T4" s="27">
        <v>29315.952335918289</v>
      </c>
      <c r="U4" s="27">
        <v>30312.135186316431</v>
      </c>
      <c r="V4" s="27">
        <v>31430.63847556528</v>
      </c>
      <c r="W4" s="27">
        <v>31627.200517088942</v>
      </c>
      <c r="X4" s="27">
        <v>30524.438320073041</v>
      </c>
      <c r="Y4" s="27">
        <v>32753.157888788621</v>
      </c>
      <c r="Z4" s="27">
        <v>33274.823853134061</v>
      </c>
      <c r="AA4" s="27">
        <v>34586.699999999997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825.86277228956953</v>
      </c>
      <c r="E6" s="19">
        <v>862.03830608537703</v>
      </c>
      <c r="F6" s="19">
        <v>959.49331323650313</v>
      </c>
      <c r="G6" s="19">
        <v>928.20548780487809</v>
      </c>
      <c r="H6" s="19">
        <v>1072.2723053821228</v>
      </c>
      <c r="I6" s="19">
        <v>1073.9293014789534</v>
      </c>
      <c r="J6" s="19">
        <v>1074.4966383078472</v>
      </c>
      <c r="K6" s="19">
        <v>1182.2339587628867</v>
      </c>
      <c r="L6" s="19">
        <v>1024.5528040114436</v>
      </c>
      <c r="M6" s="19">
        <v>937.99095889490138</v>
      </c>
      <c r="N6" s="19">
        <v>1136.7363250241324</v>
      </c>
      <c r="O6" s="19">
        <v>1078.2856947682299</v>
      </c>
      <c r="P6" s="19">
        <v>1079.3419042479218</v>
      </c>
      <c r="Q6" s="19">
        <v>1000.0332804941655</v>
      </c>
      <c r="R6" s="19">
        <v>1146.7897867462975</v>
      </c>
      <c r="S6" s="19">
        <v>1167.9862799999999</v>
      </c>
      <c r="T6" s="19">
        <v>1122.2168596258946</v>
      </c>
      <c r="U6" s="19">
        <v>1265.5048404456468</v>
      </c>
      <c r="V6" s="19">
        <v>1333.8147421870617</v>
      </c>
      <c r="W6" s="19">
        <v>1408.0564877247193</v>
      </c>
      <c r="X6" s="19">
        <v>1434.4693074214165</v>
      </c>
      <c r="Y6" s="19">
        <v>1585.1238936634984</v>
      </c>
      <c r="Z6" s="19">
        <v>1934.399951959738</v>
      </c>
      <c r="AA6" s="19">
        <v>1540.7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3234.6651297952567</v>
      </c>
      <c r="E7" s="23">
        <v>3383.8407674841055</v>
      </c>
      <c r="F7" s="23">
        <v>3627.4915182241712</v>
      </c>
      <c r="G7" s="23">
        <v>3733.1278563975479</v>
      </c>
      <c r="H7" s="23">
        <v>3990.2879222318816</v>
      </c>
      <c r="I7" s="23">
        <v>4105.9533105802047</v>
      </c>
      <c r="J7" s="23">
        <v>4369.9249713883873</v>
      </c>
      <c r="K7" s="23">
        <v>4549.6509587628871</v>
      </c>
      <c r="L7" s="23">
        <v>4394.5084812501918</v>
      </c>
      <c r="M7" s="23">
        <v>4082.9738681813601</v>
      </c>
      <c r="N7" s="23">
        <v>4548.9883765828172</v>
      </c>
      <c r="O7" s="23">
        <v>4643.4109135267008</v>
      </c>
      <c r="P7" s="23">
        <v>4851.3653814619165</v>
      </c>
      <c r="Q7" s="23">
        <v>4719.3758521594173</v>
      </c>
      <c r="R7" s="23">
        <v>4418.6609145477023</v>
      </c>
      <c r="S7" s="23">
        <v>4688.9667209999998</v>
      </c>
      <c r="T7" s="23">
        <v>4846.0867261306275</v>
      </c>
      <c r="U7" s="23">
        <v>5053.0289234080919</v>
      </c>
      <c r="V7" s="23">
        <v>4964.891471693878</v>
      </c>
      <c r="W7" s="23">
        <v>5019.4686379752266</v>
      </c>
      <c r="X7" s="23">
        <v>5128.0382522499031</v>
      </c>
      <c r="Y7" s="23">
        <v>6135.6584909797839</v>
      </c>
      <c r="Z7" s="23">
        <v>5979.7451136190348</v>
      </c>
      <c r="AA7" s="23">
        <v>6093.8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1162.0298903050889</v>
      </c>
      <c r="E8" s="23">
        <v>1088.4935694822889</v>
      </c>
      <c r="F8" s="23">
        <v>1215.6953046496758</v>
      </c>
      <c r="G8" s="23">
        <v>1307.4746722968566</v>
      </c>
      <c r="H8" s="23">
        <v>1497.2876234885007</v>
      </c>
      <c r="I8" s="23">
        <v>1735.7938612059158</v>
      </c>
      <c r="J8" s="23">
        <v>2495.9005556857824</v>
      </c>
      <c r="K8" s="23">
        <v>3237.9070584192441</v>
      </c>
      <c r="L8" s="23">
        <v>3176.6813117174761</v>
      </c>
      <c r="M8" s="23">
        <v>2059.0839545592039</v>
      </c>
      <c r="N8" s="23">
        <v>1212.1729952870362</v>
      </c>
      <c r="O8" s="23">
        <v>1470.5259962049336</v>
      </c>
      <c r="P8" s="23">
        <v>1691.184420827582</v>
      </c>
      <c r="Q8" s="23">
        <v>1762.5834241826124</v>
      </c>
      <c r="R8" s="23">
        <v>1802.5554097668385</v>
      </c>
      <c r="S8" s="23">
        <v>1811.6242169999998</v>
      </c>
      <c r="T8" s="23">
        <v>1622.1585467830726</v>
      </c>
      <c r="U8" s="23">
        <v>1851.2251912615991</v>
      </c>
      <c r="V8" s="23">
        <v>2083.2201144588453</v>
      </c>
      <c r="W8" s="23">
        <v>2142.3023925410594</v>
      </c>
      <c r="X8" s="23">
        <v>2022.7689839572192</v>
      </c>
      <c r="Y8" s="23">
        <v>1811.9036392925523</v>
      </c>
      <c r="Z8" s="23">
        <v>1914.5610347719999</v>
      </c>
      <c r="AA8" s="23">
        <v>2445.6999999999998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4579.1179718906787</v>
      </c>
      <c r="E9" s="23">
        <v>5095.55765667575</v>
      </c>
      <c r="F9" s="23">
        <v>5632.0192701196675</v>
      </c>
      <c r="G9" s="23">
        <v>6285.5801372766409</v>
      </c>
      <c r="H9" s="23">
        <v>6877.8984288311076</v>
      </c>
      <c r="I9" s="23">
        <v>7867.2248555176348</v>
      </c>
      <c r="J9" s="23">
        <v>8318.141974270231</v>
      </c>
      <c r="K9" s="23">
        <v>8341.8986116838496</v>
      </c>
      <c r="L9" s="23">
        <v>7900.6927861691329</v>
      </c>
      <c r="M9" s="23">
        <v>7253.0732295902935</v>
      </c>
      <c r="N9" s="23">
        <v>7059.1435795809421</v>
      </c>
      <c r="O9" s="23">
        <v>6986.7991260504205</v>
      </c>
      <c r="P9" s="23">
        <v>7482.2882027544556</v>
      </c>
      <c r="Q9" s="23">
        <v>7436.8452858939872</v>
      </c>
      <c r="R9" s="23">
        <v>7521.198971435465</v>
      </c>
      <c r="S9" s="23">
        <v>7792.57197</v>
      </c>
      <c r="T9" s="23">
        <v>7852.3494699013454</v>
      </c>
      <c r="U9" s="23">
        <v>8067.2411205166245</v>
      </c>
      <c r="V9" s="23">
        <v>8265.5879705997868</v>
      </c>
      <c r="W9" s="23">
        <v>8221.6755717896285</v>
      </c>
      <c r="X9" s="23">
        <v>7323.4826372766411</v>
      </c>
      <c r="Y9" s="23">
        <v>7427.8245042887156</v>
      </c>
      <c r="Z9" s="23">
        <v>7529.6077558334619</v>
      </c>
      <c r="AA9" s="23">
        <v>7325.2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931.95271588394769</v>
      </c>
      <c r="E10" s="23">
        <v>1088.2840826521344</v>
      </c>
      <c r="F10" s="23">
        <v>1117.934018452544</v>
      </c>
      <c r="G10" s="23">
        <v>1145.0274308725709</v>
      </c>
      <c r="H10" s="23">
        <v>1133.520009483917</v>
      </c>
      <c r="I10" s="23">
        <v>1173.6393128555178</v>
      </c>
      <c r="J10" s="23">
        <v>1196.4293948126801</v>
      </c>
      <c r="K10" s="23">
        <v>1147.3598006872853</v>
      </c>
      <c r="L10" s="23">
        <v>1212.2928815332082</v>
      </c>
      <c r="M10" s="23">
        <v>1115.8216415151414</v>
      </c>
      <c r="N10" s="23">
        <v>1178.8551325875871</v>
      </c>
      <c r="O10" s="23">
        <v>1142.20855950122</v>
      </c>
      <c r="P10" s="23">
        <v>1220.6689080775898</v>
      </c>
      <c r="Q10" s="23">
        <v>1295.9672727830562</v>
      </c>
      <c r="R10" s="23">
        <v>1323.2189847072661</v>
      </c>
      <c r="S10" s="23">
        <v>1406.565468</v>
      </c>
      <c r="T10" s="23">
        <v>1538.3986829661633</v>
      </c>
      <c r="U10" s="23">
        <v>1699.0586671320941</v>
      </c>
      <c r="V10" s="23">
        <v>1879.142706053975</v>
      </c>
      <c r="W10" s="23">
        <v>1970.7600064301214</v>
      </c>
      <c r="X10" s="23">
        <v>2005.2006156254079</v>
      </c>
      <c r="Y10" s="23">
        <v>2195.900223502324</v>
      </c>
      <c r="Z10" s="23">
        <v>2275.1439072746689</v>
      </c>
      <c r="AA10" s="23">
        <v>2409.9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550.07204493751749</v>
      </c>
      <c r="E11" s="23">
        <v>665.12068574023624</v>
      </c>
      <c r="F11" s="23">
        <v>702.23785968758568</v>
      </c>
      <c r="G11" s="23">
        <v>756.5077784661537</v>
      </c>
      <c r="H11" s="23">
        <v>868.18620564293042</v>
      </c>
      <c r="I11" s="23">
        <v>1124.9388441410695</v>
      </c>
      <c r="J11" s="23">
        <v>1507.0812376763233</v>
      </c>
      <c r="K11" s="23">
        <v>1656.2054707903781</v>
      </c>
      <c r="L11" s="23">
        <v>1740.8883378964529</v>
      </c>
      <c r="M11" s="23">
        <v>946.82822908614264</v>
      </c>
      <c r="N11" s="23">
        <v>847.87674180909642</v>
      </c>
      <c r="O11" s="23">
        <v>1054.1270534020059</v>
      </c>
      <c r="P11" s="23">
        <v>1176.5760318827645</v>
      </c>
      <c r="Q11" s="23">
        <v>1231.5722625049857</v>
      </c>
      <c r="R11" s="23">
        <v>1262.4149156939038</v>
      </c>
      <c r="S11" s="23">
        <v>1441.99254</v>
      </c>
      <c r="T11" s="23">
        <v>1445.4087025773247</v>
      </c>
      <c r="U11" s="23">
        <v>1185.6643802542396</v>
      </c>
      <c r="V11" s="23">
        <v>1168.6893312012567</v>
      </c>
      <c r="W11" s="23">
        <v>1053.2307020442429</v>
      </c>
      <c r="X11" s="23">
        <v>982.26431981218207</v>
      </c>
      <c r="Y11" s="23">
        <v>1133.3151467102989</v>
      </c>
      <c r="Z11" s="23">
        <v>1203.420274515785</v>
      </c>
      <c r="AA11" s="23">
        <v>1507.7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867.47935585403093</v>
      </c>
      <c r="E12" s="23">
        <v>966.36274750227074</v>
      </c>
      <c r="F12" s="23">
        <v>947.69453731615965</v>
      </c>
      <c r="G12" s="23">
        <v>1146.8324002217296</v>
      </c>
      <c r="H12" s="23">
        <v>1411.978321346716</v>
      </c>
      <c r="I12" s="23">
        <v>1588.4329601820252</v>
      </c>
      <c r="J12" s="23">
        <v>1966.3803689863905</v>
      </c>
      <c r="K12" s="23">
        <v>2417.5717491408936</v>
      </c>
      <c r="L12" s="23">
        <v>2105.0161072999663</v>
      </c>
      <c r="M12" s="23">
        <v>2114.2781332974828</v>
      </c>
      <c r="N12" s="23">
        <v>1958.2102322412127</v>
      </c>
      <c r="O12" s="23">
        <v>2224.0955424234212</v>
      </c>
      <c r="P12" s="23">
        <v>2462.3070667234028</v>
      </c>
      <c r="Q12" s="23">
        <v>2634.6758490913367</v>
      </c>
      <c r="R12" s="23">
        <v>2897.1677917533852</v>
      </c>
      <c r="S12" s="23">
        <v>2665.4720069999998</v>
      </c>
      <c r="T12" s="23">
        <v>2772.6168078603919</v>
      </c>
      <c r="U12" s="23">
        <v>2673.7832097041623</v>
      </c>
      <c r="V12" s="23">
        <v>2797.1675223026423</v>
      </c>
      <c r="W12" s="23">
        <v>2710.443854322024</v>
      </c>
      <c r="X12" s="23">
        <v>2676.1678883526806</v>
      </c>
      <c r="Y12" s="23">
        <v>2777.0306164447111</v>
      </c>
      <c r="Z12" s="23">
        <v>2697.6706329113931</v>
      </c>
      <c r="AA12" s="23">
        <v>2871.5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947.26244351646983</v>
      </c>
      <c r="E13" s="23">
        <v>921.95153950953693</v>
      </c>
      <c r="F13" s="23">
        <v>1086.5408468073447</v>
      </c>
      <c r="G13" s="23">
        <v>1161.7233973522891</v>
      </c>
      <c r="H13" s="23">
        <v>1184.0493653678968</v>
      </c>
      <c r="I13" s="23">
        <v>1547.2894607508533</v>
      </c>
      <c r="J13" s="23">
        <v>1675.3827889083464</v>
      </c>
      <c r="K13" s="23">
        <v>2037.9189828178694</v>
      </c>
      <c r="L13" s="23">
        <v>2165.0418463715505</v>
      </c>
      <c r="M13" s="23">
        <v>1825.1288542331868</v>
      </c>
      <c r="N13" s="23">
        <v>1834.0540457668501</v>
      </c>
      <c r="O13" s="23">
        <v>1815.6494442938467</v>
      </c>
      <c r="P13" s="23">
        <v>1979.8706786503794</v>
      </c>
      <c r="Q13" s="23">
        <v>2036.863709718657</v>
      </c>
      <c r="R13" s="23">
        <v>2070.1211413748379</v>
      </c>
      <c r="S13" s="23">
        <v>2175.166866</v>
      </c>
      <c r="T13" s="23">
        <v>2307.6669059161991</v>
      </c>
      <c r="U13" s="23">
        <v>2429.6995171190038</v>
      </c>
      <c r="V13" s="23">
        <v>2550.644083487628</v>
      </c>
      <c r="W13" s="23">
        <v>2535.1937797504761</v>
      </c>
      <c r="X13" s="23">
        <v>2513.1189904786747</v>
      </c>
      <c r="Y13" s="23">
        <v>2638.9552489309845</v>
      </c>
      <c r="Z13" s="23">
        <v>2708.3287745920397</v>
      </c>
      <c r="AA13" s="23">
        <v>2857.6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2674.4584764249416</v>
      </c>
      <c r="E14" s="23">
        <v>2737.5738964577645</v>
      </c>
      <c r="F14" s="23">
        <v>2830.8634511738364</v>
      </c>
      <c r="G14" s="23">
        <v>3186.222143602452</v>
      </c>
      <c r="H14" s="23">
        <v>3297.5326404805182</v>
      </c>
      <c r="I14" s="23">
        <v>3615.7998862343575</v>
      </c>
      <c r="J14" s="23">
        <v>4140.7524509465966</v>
      </c>
      <c r="K14" s="23">
        <v>4692.7935257731988</v>
      </c>
      <c r="L14" s="23">
        <v>5065.4344725751407</v>
      </c>
      <c r="M14" s="23">
        <v>4549.1786307263092</v>
      </c>
      <c r="N14" s="23">
        <v>3999.7151212310509</v>
      </c>
      <c r="O14" s="23">
        <v>4007.4834470046094</v>
      </c>
      <c r="P14" s="23">
        <v>4119.4523616285933</v>
      </c>
      <c r="Q14" s="23">
        <v>4293.2365643632174</v>
      </c>
      <c r="R14" s="23">
        <v>4466.6641269266793</v>
      </c>
      <c r="S14" s="23">
        <v>4665.1641569999974</v>
      </c>
      <c r="T14" s="23">
        <v>4824.0446567051213</v>
      </c>
      <c r="U14" s="23">
        <v>5050.2110248131048</v>
      </c>
      <c r="V14" s="23">
        <v>5300.1892302081587</v>
      </c>
      <c r="W14" s="23">
        <v>5497.8840390094047</v>
      </c>
      <c r="X14" s="23">
        <v>5611.5293752445568</v>
      </c>
      <c r="Y14" s="23">
        <v>6229.1482368618636</v>
      </c>
      <c r="Z14" s="23">
        <v>6048.3371145340852</v>
      </c>
      <c r="AA14" s="23">
        <v>6396.2999999999956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424.79103431082302</v>
      </c>
      <c r="E15" s="23">
        <v>453.74847411444142</v>
      </c>
      <c r="F15" s="23">
        <v>506.29390243902441</v>
      </c>
      <c r="G15" s="23">
        <v>532.91720033911565</v>
      </c>
      <c r="H15" s="23">
        <v>615.97690982375718</v>
      </c>
      <c r="I15" s="23">
        <v>727.14837770193401</v>
      </c>
      <c r="J15" s="23">
        <v>847.4231168043242</v>
      </c>
      <c r="K15" s="23">
        <v>956.02748797250865</v>
      </c>
      <c r="L15" s="23">
        <v>879.52607746023921</v>
      </c>
      <c r="M15" s="23">
        <v>707.75681443888016</v>
      </c>
      <c r="N15" s="23">
        <v>721.04883992958935</v>
      </c>
      <c r="O15" s="23">
        <v>720.25763079425326</v>
      </c>
      <c r="P15" s="23">
        <v>818.80614718794436</v>
      </c>
      <c r="Q15" s="23">
        <v>851.99552060216195</v>
      </c>
      <c r="R15" s="23">
        <v>850.28298796489003</v>
      </c>
      <c r="S15" s="23">
        <v>925.393869</v>
      </c>
      <c r="T15" s="23">
        <v>985.0049774521417</v>
      </c>
      <c r="U15" s="23">
        <v>1036.7183116618669</v>
      </c>
      <c r="V15" s="23">
        <v>1087.2913033720474</v>
      </c>
      <c r="W15" s="23">
        <v>1068.1850455020406</v>
      </c>
      <c r="X15" s="23">
        <v>827.39794965436295</v>
      </c>
      <c r="Y15" s="23">
        <v>818.29788811389358</v>
      </c>
      <c r="Z15" s="23">
        <v>983.60929312185476</v>
      </c>
      <c r="AA15" s="23">
        <v>1138.3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16197.691835208323</v>
      </c>
      <c r="E16" s="30">
        <f t="shared" ref="E16:S16" si="0">SUM(E6:E15)</f>
        <v>17262.971725703905</v>
      </c>
      <c r="F16" s="30">
        <f t="shared" si="0"/>
        <v>18626.264022106512</v>
      </c>
      <c r="G16" s="30">
        <f t="shared" si="0"/>
        <v>20183.618504630231</v>
      </c>
      <c r="H16" s="30">
        <f t="shared" si="0"/>
        <v>21948.98973207935</v>
      </c>
      <c r="I16" s="30">
        <f t="shared" si="0"/>
        <v>24560.150170648467</v>
      </c>
      <c r="J16" s="30">
        <f t="shared" si="0"/>
        <v>27591.913497786907</v>
      </c>
      <c r="K16" s="30">
        <f t="shared" si="0"/>
        <v>30219.567604810996</v>
      </c>
      <c r="L16" s="30">
        <f t="shared" si="0"/>
        <v>29664.635106284801</v>
      </c>
      <c r="M16" s="30">
        <f t="shared" si="0"/>
        <v>25592.114314522903</v>
      </c>
      <c r="N16" s="30">
        <f t="shared" si="0"/>
        <v>24496.801390040313</v>
      </c>
      <c r="O16" s="30">
        <f t="shared" si="0"/>
        <v>25142.843407969638</v>
      </c>
      <c r="P16" s="30">
        <f t="shared" si="0"/>
        <v>26881.861103442552</v>
      </c>
      <c r="Q16" s="30">
        <f t="shared" si="0"/>
        <v>27263.149021793601</v>
      </c>
      <c r="R16" s="30">
        <f t="shared" si="0"/>
        <v>27759.075030917265</v>
      </c>
      <c r="S16" s="30">
        <f t="shared" si="0"/>
        <v>28740.904094999998</v>
      </c>
      <c r="T16" s="30">
        <f t="shared" ref="T16:Y16" si="1">SUM(T6:T15)</f>
        <v>29315.952335918282</v>
      </c>
      <c r="U16" s="30">
        <f t="shared" si="1"/>
        <v>30312.135186316427</v>
      </c>
      <c r="V16" s="30">
        <f t="shared" si="1"/>
        <v>31430.63847556528</v>
      </c>
      <c r="W16" s="30">
        <f t="shared" si="1"/>
        <v>31627.200517088942</v>
      </c>
      <c r="X16" s="30">
        <f t="shared" si="1"/>
        <v>30524.438320073041</v>
      </c>
      <c r="Y16" s="30">
        <f t="shared" si="1"/>
        <v>32753.157888788628</v>
      </c>
      <c r="Z16" s="30">
        <f t="shared" ref="Z16:AA16" si="2">SUM(Z6:Z15)</f>
        <v>33274.823853134061</v>
      </c>
      <c r="AA16" s="30">
        <f t="shared" si="2"/>
        <v>34586.699999999997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825.86277228956953</v>
      </c>
      <c r="E18" s="19">
        <v>862.03830608537703</v>
      </c>
      <c r="F18" s="19">
        <v>959.49331323650313</v>
      </c>
      <c r="G18" s="19">
        <v>928.20548780487809</v>
      </c>
      <c r="H18" s="19">
        <v>1072.2723053821228</v>
      </c>
      <c r="I18" s="19">
        <v>1073.9293014789534</v>
      </c>
      <c r="J18" s="19">
        <v>1074.4966383078472</v>
      </c>
      <c r="K18" s="19">
        <v>1182.2339587628867</v>
      </c>
      <c r="L18" s="19">
        <v>1024.5528040114436</v>
      </c>
      <c r="M18" s="19">
        <v>937.99095889490138</v>
      </c>
      <c r="N18" s="19">
        <v>1136.7363250241324</v>
      </c>
      <c r="O18" s="19">
        <v>1078.2856947682299</v>
      </c>
      <c r="P18" s="19">
        <v>1079.3419042479218</v>
      </c>
      <c r="Q18" s="19">
        <v>1000.0332804941655</v>
      </c>
      <c r="R18" s="19">
        <v>1146.7897867462975</v>
      </c>
      <c r="S18" s="19">
        <v>1167.9862799999999</v>
      </c>
      <c r="T18" s="19">
        <v>1122.2168596258946</v>
      </c>
      <c r="U18" s="19">
        <v>1265.5048404456468</v>
      </c>
      <c r="V18" s="19">
        <v>1333.8147421870617</v>
      </c>
      <c r="W18" s="19">
        <v>1408.0564877247193</v>
      </c>
      <c r="X18" s="19">
        <v>1434.4693074214165</v>
      </c>
      <c r="Y18" s="19">
        <v>1585.1238936634984</v>
      </c>
      <c r="Z18" s="19">
        <v>1934.399951959738</v>
      </c>
      <c r="AA18" s="19">
        <v>1540.7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20.053586898937333</v>
      </c>
      <c r="E19" s="23">
        <v>28.699695731153497</v>
      </c>
      <c r="F19" s="23">
        <v>38.346021741116289</v>
      </c>
      <c r="G19" s="23">
        <v>51.878337041243178</v>
      </c>
      <c r="H19" s="23">
        <v>52.716773887615588</v>
      </c>
      <c r="I19" s="23">
        <v>72.211039817974978</v>
      </c>
      <c r="J19" s="23">
        <v>88.1579554072501</v>
      </c>
      <c r="K19" s="23">
        <v>104.46395532646045</v>
      </c>
      <c r="L19" s="23">
        <v>102.17147076014396</v>
      </c>
      <c r="M19" s="23">
        <v>121.70626491446239</v>
      </c>
      <c r="N19" s="23">
        <v>125.74430950544068</v>
      </c>
      <c r="O19" s="23">
        <v>124.54454865817291</v>
      </c>
      <c r="P19" s="23">
        <v>137.30550372069376</v>
      </c>
      <c r="Q19" s="23">
        <v>149.16997985293662</v>
      </c>
      <c r="R19" s="23">
        <v>127.17372786776458</v>
      </c>
      <c r="S19" s="23">
        <v>150.14989499999999</v>
      </c>
      <c r="T19" s="23">
        <v>148.50844275432286</v>
      </c>
      <c r="U19" s="23">
        <v>158.99301296896044</v>
      </c>
      <c r="V19" s="23">
        <v>169.67714817565346</v>
      </c>
      <c r="W19" s="23">
        <v>157.32958034526186</v>
      </c>
      <c r="X19" s="23">
        <v>166.41817399243521</v>
      </c>
      <c r="Y19" s="23">
        <v>160.13474575556438</v>
      </c>
      <c r="Z19" s="23">
        <v>176.42714672496672</v>
      </c>
      <c r="AA19" s="23">
        <v>180.28574238477486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2532.78958833245</v>
      </c>
      <c r="E20" s="23">
        <v>2671.5855449591281</v>
      </c>
      <c r="F20" s="23">
        <v>2901.6561066958984</v>
      </c>
      <c r="G20" s="23">
        <v>2927.6602843354635</v>
      </c>
      <c r="H20" s="23">
        <v>3142.6634458231247</v>
      </c>
      <c r="I20" s="23">
        <v>3300.9261660978386</v>
      </c>
      <c r="J20" s="23">
        <v>3498.0771396660371</v>
      </c>
      <c r="K20" s="23">
        <v>3620.2546460481103</v>
      </c>
      <c r="L20" s="23">
        <v>3344.5547143692129</v>
      </c>
      <c r="M20" s="23">
        <v>2854.9033912546638</v>
      </c>
      <c r="N20" s="23">
        <v>3353.1599931860765</v>
      </c>
      <c r="O20" s="23">
        <v>3473.4424245052865</v>
      </c>
      <c r="P20" s="23">
        <v>3608.8654727927515</v>
      </c>
      <c r="Q20" s="23">
        <v>3582.485483887463</v>
      </c>
      <c r="R20" s="23">
        <v>3456.3704310318822</v>
      </c>
      <c r="S20" s="23">
        <v>3563.8804110000001</v>
      </c>
      <c r="T20" s="23">
        <v>3556.9011906065521</v>
      </c>
      <c r="U20" s="23">
        <v>3796.5145213369406</v>
      </c>
      <c r="V20" s="23">
        <v>3986.1740083038771</v>
      </c>
      <c r="W20" s="23">
        <v>4027.7855643771268</v>
      </c>
      <c r="X20" s="23">
        <v>4037.9570966479719</v>
      </c>
      <c r="Y20" s="23">
        <v>4841.2748682179699</v>
      </c>
      <c r="Z20" s="23">
        <v>4500.3739431142294</v>
      </c>
      <c r="AA20" s="23">
        <v>4148.1000000000004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548.778265137586</v>
      </c>
      <c r="E21" s="23">
        <v>549.48395549500458</v>
      </c>
      <c r="F21" s="23">
        <v>553.27831369324929</v>
      </c>
      <c r="G21" s="23">
        <v>589.38302038594964</v>
      </c>
      <c r="H21" s="23">
        <v>624.94532363866267</v>
      </c>
      <c r="I21" s="23">
        <v>566.35286461888518</v>
      </c>
      <c r="J21" s="23">
        <v>599.16878783282527</v>
      </c>
      <c r="K21" s="23">
        <v>610.45628522336744</v>
      </c>
      <c r="L21" s="23">
        <v>692.06980957947519</v>
      </c>
      <c r="M21" s="23">
        <v>789.30776392296571</v>
      </c>
      <c r="N21" s="23">
        <v>823.62522726063639</v>
      </c>
      <c r="O21" s="23">
        <v>797.83537977771743</v>
      </c>
      <c r="P21" s="23">
        <v>856.43589820763282</v>
      </c>
      <c r="Q21" s="23">
        <v>745.14226178909996</v>
      </c>
      <c r="R21" s="23">
        <v>588.83940518203462</v>
      </c>
      <c r="S21" s="23">
        <v>706.32724799999983</v>
      </c>
      <c r="T21" s="23">
        <v>880.71843648273295</v>
      </c>
      <c r="U21" s="23">
        <v>840.98582724847608</v>
      </c>
      <c r="V21" s="23">
        <v>528.44530587428915</v>
      </c>
      <c r="W21" s="23">
        <v>550.4681467853859</v>
      </c>
      <c r="X21" s="23">
        <v>637.27451154297671</v>
      </c>
      <c r="Y21" s="23">
        <v>848.64412273229493</v>
      </c>
      <c r="Z21" s="23">
        <v>996.0958523227788</v>
      </c>
      <c r="AA21" s="23">
        <v>1374.8468661953111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133.04368942628315</v>
      </c>
      <c r="E22" s="23">
        <v>134.07157129881926</v>
      </c>
      <c r="F22" s="23">
        <v>134.21107609390702</v>
      </c>
      <c r="G22" s="23">
        <v>164.20621463489144</v>
      </c>
      <c r="H22" s="23">
        <v>169.96237888247845</v>
      </c>
      <c r="I22" s="23">
        <v>166.46324004550627</v>
      </c>
      <c r="J22" s="23">
        <v>184.52108848227454</v>
      </c>
      <c r="K22" s="23">
        <v>214.47607216494839</v>
      </c>
      <c r="L22" s="23">
        <v>255.71248654136028</v>
      </c>
      <c r="M22" s="23">
        <v>317.05644808926826</v>
      </c>
      <c r="N22" s="23">
        <v>246.45884663066374</v>
      </c>
      <c r="O22" s="23">
        <v>247.58856058552445</v>
      </c>
      <c r="P22" s="23">
        <v>248.7585067408385</v>
      </c>
      <c r="Q22" s="23">
        <v>242.57812662991782</v>
      </c>
      <c r="R22" s="23">
        <v>246.27735046602112</v>
      </c>
      <c r="S22" s="23">
        <v>268.60916699999996</v>
      </c>
      <c r="T22" s="23">
        <v>259.95865628701966</v>
      </c>
      <c r="U22" s="23">
        <v>256.53556185371508</v>
      </c>
      <c r="V22" s="23">
        <v>280.59500934005854</v>
      </c>
      <c r="W22" s="23">
        <v>283.88534646745205</v>
      </c>
      <c r="X22" s="23">
        <v>286.38847006651901</v>
      </c>
      <c r="Y22" s="23">
        <v>285.60475427395482</v>
      </c>
      <c r="Z22" s="23">
        <v>306.84817145705938</v>
      </c>
      <c r="AA22" s="23">
        <v>390.56739141991386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1162.0298903050889</v>
      </c>
      <c r="E23" s="23">
        <v>1088.4935694822889</v>
      </c>
      <c r="F23" s="23">
        <v>1215.6953046496758</v>
      </c>
      <c r="G23" s="23">
        <v>1307.4746722968566</v>
      </c>
      <c r="H23" s="23">
        <v>1497.2876234885007</v>
      </c>
      <c r="I23" s="23">
        <v>1735.7938612059158</v>
      </c>
      <c r="J23" s="23">
        <v>2495.9005556857824</v>
      </c>
      <c r="K23" s="23">
        <v>3237.9070584192441</v>
      </c>
      <c r="L23" s="23">
        <v>3176.6813117174761</v>
      </c>
      <c r="M23" s="23">
        <v>2059.0839545592039</v>
      </c>
      <c r="N23" s="23">
        <v>1212.1729952870362</v>
      </c>
      <c r="O23" s="23">
        <v>1470.5259962049336</v>
      </c>
      <c r="P23" s="23">
        <v>1691.184420827582</v>
      </c>
      <c r="Q23" s="23">
        <v>1762.5834241826124</v>
      </c>
      <c r="R23" s="23">
        <v>1802.5554097668385</v>
      </c>
      <c r="S23" s="23">
        <v>1811.6242169999998</v>
      </c>
      <c r="T23" s="23">
        <v>1622.1585467830726</v>
      </c>
      <c r="U23" s="23">
        <v>1851.2251912615991</v>
      </c>
      <c r="V23" s="23">
        <v>2083.2201144588453</v>
      </c>
      <c r="W23" s="23">
        <v>2142.3023925410594</v>
      </c>
      <c r="X23" s="23">
        <v>2022.7689839572192</v>
      </c>
      <c r="Y23" s="23">
        <v>1811.9036392925523</v>
      </c>
      <c r="Z23" s="23">
        <v>1914.5610347719999</v>
      </c>
      <c r="AA23" s="23">
        <v>2445.6999999999998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2417.2119262052415</v>
      </c>
      <c r="E24" s="23">
        <v>2572.4982742960951</v>
      </c>
      <c r="F24" s="23">
        <v>2869.4201653421032</v>
      </c>
      <c r="G24" s="23">
        <v>3215.778516694927</v>
      </c>
      <c r="H24" s="23">
        <v>3540.3360388840592</v>
      </c>
      <c r="I24" s="23">
        <v>4329.0938202502848</v>
      </c>
      <c r="J24" s="23">
        <v>5000.0062890393392</v>
      </c>
      <c r="K24" s="23">
        <v>5118.5752920962195</v>
      </c>
      <c r="L24" s="23">
        <v>4487.4561386778241</v>
      </c>
      <c r="M24" s="23">
        <v>4086.3847443955233</v>
      </c>
      <c r="N24" s="23">
        <v>4010.55914258134</v>
      </c>
      <c r="O24" s="23">
        <v>3871.534819192193</v>
      </c>
      <c r="P24" s="23">
        <v>4132.0913619710864</v>
      </c>
      <c r="Q24" s="23">
        <v>4089.2954439001437</v>
      </c>
      <c r="R24" s="23">
        <v>4227.4829035079783</v>
      </c>
      <c r="S24" s="23">
        <v>4422.0181979999998</v>
      </c>
      <c r="T24" s="23">
        <v>4513.6647666072686</v>
      </c>
      <c r="U24" s="23">
        <v>4626.9894929749535</v>
      </c>
      <c r="V24" s="23">
        <v>4696.627383156595</v>
      </c>
      <c r="W24" s="23">
        <v>4860.0380341689515</v>
      </c>
      <c r="X24" s="23">
        <v>4726.1317438372253</v>
      </c>
      <c r="Y24" s="23">
        <v>4812.6793779044765</v>
      </c>
      <c r="Z24" s="23">
        <v>4531.8207373799005</v>
      </c>
      <c r="AA24" s="23">
        <v>4483.7999999999993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1980.1299837950698</v>
      </c>
      <c r="E25" s="23">
        <v>2328.027143505904</v>
      </c>
      <c r="F25" s="23">
        <v>2547.4821366584451</v>
      </c>
      <c r="G25" s="23">
        <v>2811.2397613147255</v>
      </c>
      <c r="H25" s="23">
        <v>3019.9492958191731</v>
      </c>
      <c r="I25" s="23">
        <v>3157.343749715586</v>
      </c>
      <c r="J25" s="23">
        <v>2878.2999986211275</v>
      </c>
      <c r="K25" s="23">
        <v>2700.6865051546392</v>
      </c>
      <c r="L25" s="23">
        <v>2904.933580459593</v>
      </c>
      <c r="M25" s="23">
        <v>2756.9182200114278</v>
      </c>
      <c r="N25" s="23">
        <v>2615.7665413661912</v>
      </c>
      <c r="O25" s="23">
        <v>2666.0036096503118</v>
      </c>
      <c r="P25" s="23">
        <v>2902.9485786638716</v>
      </c>
      <c r="Q25" s="23">
        <v>2862.1105337437743</v>
      </c>
      <c r="R25" s="23">
        <v>2807.8400748046934</v>
      </c>
      <c r="S25" s="23">
        <v>2833.750599</v>
      </c>
      <c r="T25" s="23">
        <v>2775.7853553403083</v>
      </c>
      <c r="U25" s="23">
        <v>2825.1446199493848</v>
      </c>
      <c r="V25" s="23">
        <v>2911.0471160859561</v>
      </c>
      <c r="W25" s="23">
        <v>2737.3863904691311</v>
      </c>
      <c r="X25" s="23">
        <v>2175.7100534759356</v>
      </c>
      <c r="Y25" s="23">
        <v>2221.4610903539774</v>
      </c>
      <c r="Z25" s="23">
        <v>2447.9957495806016</v>
      </c>
      <c r="AA25" s="23">
        <v>2141.3000000000002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181.7760618903674</v>
      </c>
      <c r="E26" s="23">
        <v>195.03223887375114</v>
      </c>
      <c r="F26" s="23">
        <v>215.11696811911938</v>
      </c>
      <c r="G26" s="23">
        <v>258.56185926698839</v>
      </c>
      <c r="H26" s="23">
        <v>317.61309412787477</v>
      </c>
      <c r="I26" s="23">
        <v>380.78728555176343</v>
      </c>
      <c r="J26" s="23">
        <v>439.83568660976522</v>
      </c>
      <c r="K26" s="23">
        <v>522.63681443298969</v>
      </c>
      <c r="L26" s="23">
        <v>508.30306703171618</v>
      </c>
      <c r="M26" s="23">
        <v>409.77026518334287</v>
      </c>
      <c r="N26" s="23">
        <v>432.81789563341084</v>
      </c>
      <c r="O26" s="23">
        <v>449.26069720791543</v>
      </c>
      <c r="P26" s="23">
        <v>447.24826211949807</v>
      </c>
      <c r="Q26" s="23">
        <v>485.43930825006902</v>
      </c>
      <c r="R26" s="23">
        <v>485.87599312279428</v>
      </c>
      <c r="S26" s="23">
        <v>536.8031729999999</v>
      </c>
      <c r="T26" s="23">
        <v>562.89934795376939</v>
      </c>
      <c r="U26" s="23">
        <v>615.10700759228553</v>
      </c>
      <c r="V26" s="23">
        <v>657.91347135723493</v>
      </c>
      <c r="W26" s="23">
        <v>624.25114715154552</v>
      </c>
      <c r="X26" s="23">
        <v>421.64083996347983</v>
      </c>
      <c r="Y26" s="23">
        <v>393.68403603026144</v>
      </c>
      <c r="Z26" s="23">
        <v>549.79126887296036</v>
      </c>
      <c r="AA26" s="23">
        <v>700.1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931.95271588394769</v>
      </c>
      <c r="E27" s="23">
        <v>1088.2840826521344</v>
      </c>
      <c r="F27" s="23">
        <v>1117.934018452544</v>
      </c>
      <c r="G27" s="23">
        <v>1145.0274308725709</v>
      </c>
      <c r="H27" s="23">
        <v>1133.520009483917</v>
      </c>
      <c r="I27" s="23">
        <v>1173.6393128555178</v>
      </c>
      <c r="J27" s="23">
        <v>1196.4293948126801</v>
      </c>
      <c r="K27" s="23">
        <v>1147.3598006872853</v>
      </c>
      <c r="L27" s="23">
        <v>1212.2928815332082</v>
      </c>
      <c r="M27" s="23">
        <v>1115.8216415151414</v>
      </c>
      <c r="N27" s="23">
        <v>1178.8551325875871</v>
      </c>
      <c r="O27" s="23">
        <v>1142.20855950122</v>
      </c>
      <c r="P27" s="23">
        <v>1220.6689080775898</v>
      </c>
      <c r="Q27" s="23">
        <v>1295.9672727830562</v>
      </c>
      <c r="R27" s="23">
        <v>1323.2189847072661</v>
      </c>
      <c r="S27" s="23">
        <v>1406.565468</v>
      </c>
      <c r="T27" s="23">
        <v>1538.3986829661633</v>
      </c>
      <c r="U27" s="23">
        <v>1699.0586671320941</v>
      </c>
      <c r="V27" s="23">
        <v>1879.142706053975</v>
      </c>
      <c r="W27" s="23">
        <v>1970.7600064301214</v>
      </c>
      <c r="X27" s="23">
        <v>2005.2006156254079</v>
      </c>
      <c r="Y27" s="23">
        <v>2195.900223502324</v>
      </c>
      <c r="Z27" s="23">
        <v>2275.1439072746689</v>
      </c>
      <c r="AA27" s="23">
        <v>2409.9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550.07204493751749</v>
      </c>
      <c r="E28" s="23">
        <v>665.12068574023624</v>
      </c>
      <c r="F28" s="23">
        <v>702.23785968758568</v>
      </c>
      <c r="G28" s="23">
        <v>756.5077784661537</v>
      </c>
      <c r="H28" s="23">
        <v>868.18620564293042</v>
      </c>
      <c r="I28" s="23">
        <v>1124.9388441410695</v>
      </c>
      <c r="J28" s="23">
        <v>1507.0812376763233</v>
      </c>
      <c r="K28" s="23">
        <v>1656.2054707903781</v>
      </c>
      <c r="L28" s="23">
        <v>1740.8883378964529</v>
      </c>
      <c r="M28" s="23">
        <v>946.82822908614264</v>
      </c>
      <c r="N28" s="23">
        <v>847.87674180909642</v>
      </c>
      <c r="O28" s="23">
        <v>1054.1270534020059</v>
      </c>
      <c r="P28" s="23">
        <v>1176.5760318827645</v>
      </c>
      <c r="Q28" s="23">
        <v>1231.5722625049857</v>
      </c>
      <c r="R28" s="23">
        <v>1262.4149156939038</v>
      </c>
      <c r="S28" s="23">
        <v>1441.99254</v>
      </c>
      <c r="T28" s="23">
        <v>1445.4087025773247</v>
      </c>
      <c r="U28" s="23">
        <v>1185.6643802542396</v>
      </c>
      <c r="V28" s="23">
        <v>1168.6893312012567</v>
      </c>
      <c r="W28" s="23">
        <v>1053.2307020442429</v>
      </c>
      <c r="X28" s="23">
        <v>982.26431981218207</v>
      </c>
      <c r="Y28" s="23">
        <v>1133.3151467102989</v>
      </c>
      <c r="Z28" s="23">
        <v>1203.420274515785</v>
      </c>
      <c r="AA28" s="23">
        <v>1507.7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867.47935585403093</v>
      </c>
      <c r="E29" s="23">
        <v>966.36274750227074</v>
      </c>
      <c r="F29" s="23">
        <v>947.69453731615965</v>
      </c>
      <c r="G29" s="23">
        <v>1146.8324002217296</v>
      </c>
      <c r="H29" s="23">
        <v>1411.978321346716</v>
      </c>
      <c r="I29" s="23">
        <v>1588.4329601820252</v>
      </c>
      <c r="J29" s="23">
        <v>1966.3803689863905</v>
      </c>
      <c r="K29" s="23">
        <v>2417.5717491408936</v>
      </c>
      <c r="L29" s="23">
        <v>2105.0161072999663</v>
      </c>
      <c r="M29" s="23">
        <v>2114.2781332974828</v>
      </c>
      <c r="N29" s="23">
        <v>1958.2102322412127</v>
      </c>
      <c r="O29" s="23">
        <v>2224.0955424234212</v>
      </c>
      <c r="P29" s="23">
        <v>2462.3070667234028</v>
      </c>
      <c r="Q29" s="23">
        <v>2634.6758490913367</v>
      </c>
      <c r="R29" s="23">
        <v>2897.1677917533852</v>
      </c>
      <c r="S29" s="23">
        <v>2665.4720069999998</v>
      </c>
      <c r="T29" s="23">
        <v>2772.6168078603919</v>
      </c>
      <c r="U29" s="23">
        <v>2673.7832097041623</v>
      </c>
      <c r="V29" s="23">
        <v>2797.1675223026423</v>
      </c>
      <c r="W29" s="23">
        <v>2710.443854322024</v>
      </c>
      <c r="X29" s="23">
        <v>2676.1678883526806</v>
      </c>
      <c r="Y29" s="23">
        <v>2777.0306164447111</v>
      </c>
      <c r="Z29" s="23">
        <v>2697.6706329113931</v>
      </c>
      <c r="AA29" s="23">
        <v>2871.5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603.3326467013618</v>
      </c>
      <c r="E30" s="23">
        <v>586.3536376021799</v>
      </c>
      <c r="F30" s="23">
        <v>680.32584726409073</v>
      </c>
      <c r="G30" s="23">
        <v>711.83478707447512</v>
      </c>
      <c r="H30" s="23">
        <v>700.84872836481452</v>
      </c>
      <c r="I30" s="23">
        <v>960.99459385665534</v>
      </c>
      <c r="J30" s="23">
        <v>1032.1350233718958</v>
      </c>
      <c r="K30" s="23">
        <v>1285.2712439862544</v>
      </c>
      <c r="L30" s="23">
        <v>1386.4100962869534</v>
      </c>
      <c r="M30" s="23">
        <v>1186.8298827009041</v>
      </c>
      <c r="N30" s="23">
        <v>1124.6350258361251</v>
      </c>
      <c r="O30" s="23">
        <v>1089.6897739224723</v>
      </c>
      <c r="P30" s="23">
        <v>1205.7319076728281</v>
      </c>
      <c r="Q30" s="23">
        <v>1197.3226086867592</v>
      </c>
      <c r="R30" s="23">
        <v>1249.7531988055377</v>
      </c>
      <c r="S30" s="23">
        <v>1331.2829399999998</v>
      </c>
      <c r="T30" s="23">
        <v>1420.8869003414529</v>
      </c>
      <c r="U30" s="23">
        <v>1482.3488466125607</v>
      </c>
      <c r="V30" s="23">
        <v>1513.30451102508</v>
      </c>
      <c r="W30" s="23">
        <v>1517.4332973127453</v>
      </c>
      <c r="X30" s="23">
        <v>1574.7755914960221</v>
      </c>
      <c r="Y30" s="23">
        <v>1693.4366079937929</v>
      </c>
      <c r="Z30" s="23">
        <v>1698.1268903461953</v>
      </c>
      <c r="AA30" s="23">
        <v>1865.3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343.92979681510798</v>
      </c>
      <c r="E31" s="23">
        <v>335.59790190735697</v>
      </c>
      <c r="F31" s="23">
        <v>406.2149995432539</v>
      </c>
      <c r="G31" s="23">
        <v>449.88861027781405</v>
      </c>
      <c r="H31" s="23">
        <v>483.20063700308225</v>
      </c>
      <c r="I31" s="23">
        <v>586.29486689419798</v>
      </c>
      <c r="J31" s="23">
        <v>643.24776553645063</v>
      </c>
      <c r="K31" s="23">
        <v>752.64773883161513</v>
      </c>
      <c r="L31" s="23">
        <v>778.63175008459712</v>
      </c>
      <c r="M31" s="23">
        <v>638.29897153228251</v>
      </c>
      <c r="N31" s="23">
        <v>709.41901993072497</v>
      </c>
      <c r="O31" s="23">
        <v>725.95967037137439</v>
      </c>
      <c r="P31" s="23">
        <v>774.1387709775513</v>
      </c>
      <c r="Q31" s="23">
        <v>839.54110103189782</v>
      </c>
      <c r="R31" s="23">
        <v>820.36794256929988</v>
      </c>
      <c r="S31" s="23">
        <v>843.88392599999986</v>
      </c>
      <c r="T31" s="23">
        <v>886.78000557474638</v>
      </c>
      <c r="U31" s="23">
        <v>947.35067050644318</v>
      </c>
      <c r="V31" s="23">
        <v>1037.3395724625484</v>
      </c>
      <c r="W31" s="23">
        <v>1017.7604824377306</v>
      </c>
      <c r="X31" s="23">
        <v>938.34339898265296</v>
      </c>
      <c r="Y31" s="23">
        <v>945.51864093719178</v>
      </c>
      <c r="Z31" s="23">
        <v>1010.2018842458443</v>
      </c>
      <c r="AA31" s="23">
        <v>992.3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1481.5935008881531</v>
      </c>
      <c r="E32" s="23">
        <v>1420.9491689373283</v>
      </c>
      <c r="F32" s="23">
        <v>1458.4129807253119</v>
      </c>
      <c r="G32" s="23">
        <v>1553.6273672883783</v>
      </c>
      <c r="H32" s="23">
        <v>1581.9407002291946</v>
      </c>
      <c r="I32" s="23">
        <v>1747.339230944255</v>
      </c>
      <c r="J32" s="23">
        <v>2132.2012851095519</v>
      </c>
      <c r="K32" s="23">
        <v>2521.4016288659818</v>
      </c>
      <c r="L32" s="23">
        <v>2591.8915464361553</v>
      </c>
      <c r="M32" s="23">
        <v>2225.5967297415345</v>
      </c>
      <c r="N32" s="23">
        <v>1975.8121219692264</v>
      </c>
      <c r="O32" s="23">
        <v>1973.0557473570086</v>
      </c>
      <c r="P32" s="23">
        <v>2020.9474297634724</v>
      </c>
      <c r="Q32" s="23">
        <v>2113.2885570816388</v>
      </c>
      <c r="R32" s="23">
        <v>2188.6682049889964</v>
      </c>
      <c r="S32" s="23">
        <v>2240.6239169999981</v>
      </c>
      <c r="T32" s="23">
        <v>2332.0509452181573</v>
      </c>
      <c r="U32" s="23">
        <v>2428.8944032347235</v>
      </c>
      <c r="V32" s="23">
        <v>2493.5748779666728</v>
      </c>
      <c r="W32" s="23">
        <v>2550.5188920543342</v>
      </c>
      <c r="X32" s="23">
        <v>2584.1144515455867</v>
      </c>
      <c r="Y32" s="23">
        <v>2704.0829370735582</v>
      </c>
      <c r="Z32" s="23">
        <v>2637.5207244166531</v>
      </c>
      <c r="AA32" s="23">
        <v>2734.6999999999957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765.48638162610234</v>
      </c>
      <c r="E33" s="23">
        <v>887.80518619436884</v>
      </c>
      <c r="F33" s="23">
        <v>926.62529460126063</v>
      </c>
      <c r="G33" s="23">
        <v>1069.4443393765489</v>
      </c>
      <c r="H33" s="23">
        <v>1126.082788271556</v>
      </c>
      <c r="I33" s="23">
        <v>1148.2394994311719</v>
      </c>
      <c r="J33" s="23">
        <v>1217.4193841953588</v>
      </c>
      <c r="K33" s="23">
        <v>1353.751408934708</v>
      </c>
      <c r="L33" s="23">
        <v>1554.7092134001905</v>
      </c>
      <c r="M33" s="23">
        <v>1447.7619130843948</v>
      </c>
      <c r="N33" s="23">
        <v>1208.2440020441768</v>
      </c>
      <c r="O33" s="23">
        <v>1222.7873819463268</v>
      </c>
      <c r="P33" s="23">
        <v>1229.286408311106</v>
      </c>
      <c r="Q33" s="23">
        <v>1274.5966210204438</v>
      </c>
      <c r="R33" s="23">
        <v>1284.398995566012</v>
      </c>
      <c r="S33" s="23">
        <v>1362.281628</v>
      </c>
      <c r="T33" s="23">
        <v>1399.1203567837695</v>
      </c>
      <c r="U33" s="23">
        <v>1485.9718590918346</v>
      </c>
      <c r="V33" s="23">
        <v>1525.727739437805</v>
      </c>
      <c r="W33" s="23">
        <v>1537.9491734614596</v>
      </c>
      <c r="X33" s="23">
        <v>1555.8835789748273</v>
      </c>
      <c r="Y33" s="23">
        <v>1622.0062403535555</v>
      </c>
      <c r="Z33" s="23">
        <v>1541.7371282598754</v>
      </c>
      <c r="AA33" s="23">
        <v>1756.3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427.37859391068588</v>
      </c>
      <c r="E34" s="23">
        <v>428.81954132606722</v>
      </c>
      <c r="F34" s="23">
        <v>445.82517584726406</v>
      </c>
      <c r="G34" s="23">
        <v>563.15043693752443</v>
      </c>
      <c r="H34" s="23">
        <v>589.50915197976758</v>
      </c>
      <c r="I34" s="23">
        <v>720.22115585893073</v>
      </c>
      <c r="J34" s="23">
        <v>791.13178164168619</v>
      </c>
      <c r="K34" s="23">
        <v>817.64048797250859</v>
      </c>
      <c r="L34" s="23">
        <v>918.8337127387947</v>
      </c>
      <c r="M34" s="23">
        <v>875.81998790037983</v>
      </c>
      <c r="N34" s="23">
        <v>815.65899721764799</v>
      </c>
      <c r="O34" s="23">
        <v>811.64031770127406</v>
      </c>
      <c r="P34" s="23">
        <v>869.21852355401495</v>
      </c>
      <c r="Q34" s="23">
        <v>905.35138626113462</v>
      </c>
      <c r="R34" s="23">
        <v>993.59692637167075</v>
      </c>
      <c r="S34" s="23">
        <v>1062.2586120000001</v>
      </c>
      <c r="T34" s="23">
        <v>1092.8733547031943</v>
      </c>
      <c r="U34" s="23">
        <v>1135.3447624865462</v>
      </c>
      <c r="V34" s="23">
        <v>1280.8866128036805</v>
      </c>
      <c r="W34" s="23">
        <v>1409.4159734936102</v>
      </c>
      <c r="X34" s="23">
        <v>1471.5313447241426</v>
      </c>
      <c r="Y34" s="23">
        <v>1903.0590594347502</v>
      </c>
      <c r="Z34" s="23">
        <v>1869.0792618575572</v>
      </c>
      <c r="AA34" s="23">
        <v>1905.3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301.23506341737038</v>
      </c>
      <c r="E35" s="23">
        <v>308.36461398728426</v>
      </c>
      <c r="F35" s="23">
        <v>375.03252032520328</v>
      </c>
      <c r="G35" s="23">
        <v>349.26156906221473</v>
      </c>
      <c r="H35" s="23">
        <v>390.01663004820989</v>
      </c>
      <c r="I35" s="23">
        <v>504.00786803185434</v>
      </c>
      <c r="J35" s="23">
        <v>615.19750699778012</v>
      </c>
      <c r="K35" s="23">
        <v>660.54825773195887</v>
      </c>
      <c r="L35" s="23">
        <v>604.51453533085169</v>
      </c>
      <c r="M35" s="23">
        <v>436.12703592914994</v>
      </c>
      <c r="N35" s="23">
        <v>456.07753563113965</v>
      </c>
      <c r="O35" s="23">
        <v>453.76230740037948</v>
      </c>
      <c r="P35" s="23">
        <v>522.36413915498224</v>
      </c>
      <c r="Q35" s="23">
        <v>559.59971569118738</v>
      </c>
      <c r="R35" s="23">
        <v>523.8611437878925</v>
      </c>
      <c r="S35" s="23">
        <v>579.979917</v>
      </c>
      <c r="T35" s="23">
        <v>617.04018098015979</v>
      </c>
      <c r="U35" s="23">
        <v>653.21573144835213</v>
      </c>
      <c r="V35" s="23">
        <v>691.43030634573313</v>
      </c>
      <c r="W35" s="23">
        <v>696.55107213346071</v>
      </c>
      <c r="X35" s="23">
        <v>483.61145428459639</v>
      </c>
      <c r="Y35" s="23">
        <v>510.05017416313143</v>
      </c>
      <c r="Z35" s="23">
        <v>660.48820573432999</v>
      </c>
      <c r="AA35" s="23">
        <v>646.5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118.16522172707157</v>
      </c>
      <c r="E36" s="23">
        <v>125.48261126248865</v>
      </c>
      <c r="F36" s="23">
        <v>109.9814469717731</v>
      </c>
      <c r="G36" s="23">
        <v>159.28854506325811</v>
      </c>
      <c r="H36" s="23">
        <v>199.27378013119414</v>
      </c>
      <c r="I36" s="23">
        <v>198.16052787258252</v>
      </c>
      <c r="J36" s="23">
        <v>206.65598637673565</v>
      </c>
      <c r="K36" s="23">
        <v>266.6287903780069</v>
      </c>
      <c r="L36" s="23">
        <v>239.53533700433752</v>
      </c>
      <c r="M36" s="23">
        <v>226.9783080697745</v>
      </c>
      <c r="N36" s="23">
        <v>218.60918403270679</v>
      </c>
      <c r="O36" s="23">
        <v>217.72787964217946</v>
      </c>
      <c r="P36" s="23">
        <v>250.62563179143359</v>
      </c>
      <c r="Q36" s="23">
        <v>249.79602888086643</v>
      </c>
      <c r="R36" s="23">
        <v>281.06228697252135</v>
      </c>
      <c r="S36" s="23">
        <v>294.625923</v>
      </c>
      <c r="T36" s="23">
        <v>313.96172637950082</v>
      </c>
      <c r="U36" s="23">
        <v>327.27879396107863</v>
      </c>
      <c r="V36" s="23">
        <v>333.09781181619252</v>
      </c>
      <c r="W36" s="23">
        <v>311.69300992203478</v>
      </c>
      <c r="X36" s="23">
        <v>283.50051910786487</v>
      </c>
      <c r="Y36" s="23">
        <v>249.88957045383626</v>
      </c>
      <c r="Z36" s="23">
        <v>273.31274210767123</v>
      </c>
      <c r="AA36" s="23">
        <v>432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5.3907491663810028</v>
      </c>
      <c r="E37" s="23">
        <v>19.901248864668485</v>
      </c>
      <c r="F37" s="23">
        <v>21.27993514204805</v>
      </c>
      <c r="G37" s="23">
        <v>24.367086213642889</v>
      </c>
      <c r="H37" s="23">
        <v>26.686499644353116</v>
      </c>
      <c r="I37" s="23">
        <v>24.97998179749716</v>
      </c>
      <c r="J37" s="23">
        <v>25.569623429808477</v>
      </c>
      <c r="K37" s="23">
        <v>28.850439862542956</v>
      </c>
      <c r="L37" s="23">
        <v>35.476205125049987</v>
      </c>
      <c r="M37" s="23">
        <v>44.651470439955638</v>
      </c>
      <c r="N37" s="23">
        <v>46.362120265742995</v>
      </c>
      <c r="O37" s="23">
        <v>48.767443751694231</v>
      </c>
      <c r="P37" s="23">
        <v>45.816376241528545</v>
      </c>
      <c r="Q37" s="23">
        <v>42.599776030108103</v>
      </c>
      <c r="R37" s="23">
        <v>45.359557204476218</v>
      </c>
      <c r="S37" s="23">
        <v>50.788029000000002</v>
      </c>
      <c r="T37" s="23">
        <v>54.00307009248106</v>
      </c>
      <c r="U37" s="23">
        <v>56.22378625243622</v>
      </c>
      <c r="V37" s="23">
        <v>62.763185210121748</v>
      </c>
      <c r="W37" s="23">
        <v>59.940963446545155</v>
      </c>
      <c r="X37" s="23">
        <v>60.285976261901659</v>
      </c>
      <c r="Y37" s="23">
        <v>58.358143496925798</v>
      </c>
      <c r="Z37" s="23">
        <v>49.808345279853604</v>
      </c>
      <c r="AA37" s="23">
        <v>59.8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16197.691835208323</v>
      </c>
      <c r="E39" s="30">
        <f t="shared" ref="E39:S39" si="3">SUM(E18:E38)</f>
        <v>17262.971725703905</v>
      </c>
      <c r="F39" s="30">
        <f t="shared" si="3"/>
        <v>18626.264022106512</v>
      </c>
      <c r="G39" s="30">
        <f t="shared" si="3"/>
        <v>20183.618504630238</v>
      </c>
      <c r="H39" s="30">
        <f t="shared" si="3"/>
        <v>21948.989732079346</v>
      </c>
      <c r="I39" s="30">
        <f t="shared" si="3"/>
        <v>24560.150170648467</v>
      </c>
      <c r="J39" s="30">
        <f t="shared" si="3"/>
        <v>27591.913497786911</v>
      </c>
      <c r="K39" s="30">
        <f t="shared" si="3"/>
        <v>30219.567604811004</v>
      </c>
      <c r="L39" s="30">
        <f t="shared" si="3"/>
        <v>29664.635106284804</v>
      </c>
      <c r="M39" s="30">
        <f t="shared" si="3"/>
        <v>25592.114314522907</v>
      </c>
      <c r="N39" s="30">
        <f t="shared" si="3"/>
        <v>24496.801390040309</v>
      </c>
      <c r="O39" s="30">
        <f t="shared" si="3"/>
        <v>25142.843407969638</v>
      </c>
      <c r="P39" s="30">
        <f t="shared" si="3"/>
        <v>26881.861103442552</v>
      </c>
      <c r="Q39" s="30">
        <f t="shared" si="3"/>
        <v>27263.149021793597</v>
      </c>
      <c r="R39" s="30">
        <f t="shared" si="3"/>
        <v>27759.075030917273</v>
      </c>
      <c r="S39" s="30">
        <f t="shared" si="3"/>
        <v>28740.904094999998</v>
      </c>
      <c r="T39" s="30">
        <f t="shared" ref="T39:Y39" si="4">SUM(T18:T38)</f>
        <v>29315.952335918286</v>
      </c>
      <c r="U39" s="30">
        <f t="shared" si="4"/>
        <v>30312.135186316435</v>
      </c>
      <c r="V39" s="30">
        <f t="shared" si="4"/>
        <v>31430.638475565276</v>
      </c>
      <c r="W39" s="30">
        <f t="shared" si="4"/>
        <v>31627.200517088942</v>
      </c>
      <c r="X39" s="30">
        <f t="shared" si="4"/>
        <v>30524.438320073037</v>
      </c>
      <c r="Y39" s="30">
        <f t="shared" si="4"/>
        <v>32753.157888788632</v>
      </c>
      <c r="Z39" s="30">
        <f t="shared" ref="Z39:AA39" si="5">SUM(Z18:Z38)</f>
        <v>33274.823853134061</v>
      </c>
      <c r="AA39" s="30">
        <f t="shared" si="5"/>
        <v>34586.699999999997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820.25639315653325</v>
      </c>
      <c r="E41" s="19">
        <v>822.02632152588558</v>
      </c>
      <c r="F41" s="19">
        <v>898.39250936329586</v>
      </c>
      <c r="G41" s="19">
        <v>751.76973392461196</v>
      </c>
      <c r="H41" s="19">
        <v>817.87559155931388</v>
      </c>
      <c r="I41" s="19">
        <v>839.45333788395908</v>
      </c>
      <c r="J41" s="19">
        <v>855.24665830150434</v>
      </c>
      <c r="K41" s="19">
        <v>837.61386941580759</v>
      </c>
      <c r="L41" s="19">
        <v>792.25461285261622</v>
      </c>
      <c r="M41" s="19">
        <v>784.19144960172093</v>
      </c>
      <c r="N41" s="19">
        <v>789.72764181477476</v>
      </c>
      <c r="O41" s="19">
        <v>706.75280021686092</v>
      </c>
      <c r="P41" s="19">
        <v>765.95214575571072</v>
      </c>
      <c r="Q41" s="19">
        <v>789.72342275084122</v>
      </c>
      <c r="R41" s="19">
        <v>751.91118752450745</v>
      </c>
      <c r="S41" s="19">
        <v>740.7856109999999</v>
      </c>
      <c r="T41" s="19">
        <v>721.46448488347789</v>
      </c>
      <c r="U41" s="19">
        <v>731.17759257643183</v>
      </c>
      <c r="V41" s="19">
        <v>776.84000168321825</v>
      </c>
      <c r="W41" s="19">
        <v>757.97511096425023</v>
      </c>
      <c r="X41" s="19">
        <v>760.37342115560193</v>
      </c>
      <c r="Y41" s="19">
        <v>718.38874644715656</v>
      </c>
      <c r="Z41" s="19">
        <v>704.07050785420176</v>
      </c>
      <c r="AA41" s="19">
        <v>667.55779917282177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310.72278195020095</v>
      </c>
      <c r="E42" s="23">
        <v>332.03662579473206</v>
      </c>
      <c r="F42" s="23">
        <v>321.51664382935962</v>
      </c>
      <c r="G42" s="23">
        <v>313.8390455849746</v>
      </c>
      <c r="H42" s="23">
        <v>315.64441792460286</v>
      </c>
      <c r="I42" s="23">
        <v>341.32311262798635</v>
      </c>
      <c r="J42" s="23">
        <v>340.99191842587868</v>
      </c>
      <c r="K42" s="23">
        <v>244.27762542955327</v>
      </c>
      <c r="L42" s="23">
        <v>216.6886609038053</v>
      </c>
      <c r="M42" s="23">
        <v>167.13293449400061</v>
      </c>
      <c r="N42" s="23">
        <v>198.80705808869453</v>
      </c>
      <c r="O42" s="23">
        <v>212.62605475738681</v>
      </c>
      <c r="P42" s="23">
        <v>188.00513009454818</v>
      </c>
      <c r="Q42" s="23">
        <v>190.77906341722831</v>
      </c>
      <c r="R42" s="23">
        <v>178.09887491328084</v>
      </c>
      <c r="S42" s="23">
        <v>159.42182399999999</v>
      </c>
      <c r="T42" s="23">
        <v>167.38196469990939</v>
      </c>
      <c r="U42" s="23">
        <v>183.16340867440439</v>
      </c>
      <c r="V42" s="23">
        <v>192.17181450934186</v>
      </c>
      <c r="W42" s="23">
        <v>172.03674457235226</v>
      </c>
      <c r="X42" s="23">
        <v>167.6214868918743</v>
      </c>
      <c r="Y42" s="23">
        <v>162.70250406942912</v>
      </c>
      <c r="Z42" s="23">
        <v>153.64608204971788</v>
      </c>
      <c r="AA42" s="23">
        <v>141.84914549476872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634.16773193306119</v>
      </c>
      <c r="E43" s="23">
        <v>633.27868755676661</v>
      </c>
      <c r="F43" s="23">
        <v>772.6091303553485</v>
      </c>
      <c r="G43" s="23">
        <v>768.91694274162001</v>
      </c>
      <c r="H43" s="23">
        <v>799.28253852841215</v>
      </c>
      <c r="I43" s="23">
        <v>848.47971786120593</v>
      </c>
      <c r="J43" s="23">
        <v>811.16768059787933</v>
      </c>
      <c r="K43" s="23">
        <v>923.37259450171825</v>
      </c>
      <c r="L43" s="23">
        <v>707.53743501399697</v>
      </c>
      <c r="M43" s="23">
        <v>593.02734178066078</v>
      </c>
      <c r="N43" s="23">
        <v>859.03508261881768</v>
      </c>
      <c r="O43" s="23">
        <v>886.21699322309576</v>
      </c>
      <c r="P43" s="23">
        <v>907.13552458148683</v>
      </c>
      <c r="Q43" s="23">
        <v>895.16140661273664</v>
      </c>
      <c r="R43" s="23">
        <v>939.88898440563446</v>
      </c>
      <c r="S43" s="23">
        <v>940.06289099999992</v>
      </c>
      <c r="T43" s="23">
        <v>936.23689884821749</v>
      </c>
      <c r="U43" s="23">
        <v>1016.5904645547895</v>
      </c>
      <c r="V43" s="23">
        <v>1136.5959911350501</v>
      </c>
      <c r="W43" s="23">
        <v>1132.6988247166728</v>
      </c>
      <c r="X43" s="23">
        <v>1121.968947437068</v>
      </c>
      <c r="Y43" s="23">
        <v>1661.1061964964958</v>
      </c>
      <c r="Z43" s="23">
        <v>1385.0307877077935</v>
      </c>
      <c r="AA43" s="23">
        <v>1201.5228901105099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0.21562996665524012</v>
      </c>
      <c r="E44" s="23">
        <v>0.20948683015440511</v>
      </c>
      <c r="F44" s="23">
        <v>0.84276970859596245</v>
      </c>
      <c r="G44" s="23">
        <v>1.5793481805138907</v>
      </c>
      <c r="H44" s="23">
        <v>1.3124508021813008</v>
      </c>
      <c r="I44" s="23">
        <v>2.5189897610921501</v>
      </c>
      <c r="J44" s="23">
        <v>0</v>
      </c>
      <c r="K44" s="23">
        <v>0.63407560137457053</v>
      </c>
      <c r="L44" s="23">
        <v>0.14190482050019995</v>
      </c>
      <c r="M44" s="23">
        <v>0.31007965583302527</v>
      </c>
      <c r="N44" s="23">
        <v>0.3143194594287661</v>
      </c>
      <c r="O44" s="23">
        <v>0.60021469232854441</v>
      </c>
      <c r="P44" s="23">
        <v>0</v>
      </c>
      <c r="Q44" s="23">
        <v>2.1229124267495729</v>
      </c>
      <c r="R44" s="23">
        <v>2.0870961903900098</v>
      </c>
      <c r="S44" s="23">
        <v>2.0758049999999999</v>
      </c>
      <c r="T44" s="23">
        <v>0.27552586781878091</v>
      </c>
      <c r="U44" s="23">
        <v>1.3418564738051604</v>
      </c>
      <c r="V44" s="23">
        <v>1.164677663692981</v>
      </c>
      <c r="W44" s="23">
        <v>1.3594857688907149</v>
      </c>
      <c r="X44" s="23">
        <v>-0.1203312899439155</v>
      </c>
      <c r="Y44" s="23">
        <v>0.35014886098155479</v>
      </c>
      <c r="Z44" s="23">
        <v>0.84420924203141701</v>
      </c>
      <c r="AA44" s="23">
        <v>1.0235207580394652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43.772883231013743</v>
      </c>
      <c r="E45" s="23">
        <v>56.980417801998186</v>
      </c>
      <c r="F45" s="23">
        <v>56.044185621631499</v>
      </c>
      <c r="G45" s="23">
        <v>57.08215566714491</v>
      </c>
      <c r="H45" s="23">
        <v>60.372736900339838</v>
      </c>
      <c r="I45" s="23">
        <v>72.211039817974978</v>
      </c>
      <c r="J45" s="23">
        <v>92.73758945438</v>
      </c>
      <c r="K45" s="23">
        <v>75.454996563573886</v>
      </c>
      <c r="L45" s="23">
        <v>104.72575752914756</v>
      </c>
      <c r="M45" s="23">
        <v>90.233179847410355</v>
      </c>
      <c r="N45" s="23">
        <v>148.51594458009197</v>
      </c>
      <c r="O45" s="23">
        <v>113.14046950393062</v>
      </c>
      <c r="P45" s="23">
        <v>113.46375307463182</v>
      </c>
      <c r="Q45" s="23">
        <v>99.493829066996653</v>
      </c>
      <c r="R45" s="23">
        <v>85.292664313938403</v>
      </c>
      <c r="S45" s="23">
        <v>86.768648999999996</v>
      </c>
      <c r="T45" s="23">
        <v>83.622100883000002</v>
      </c>
      <c r="U45" s="23">
        <v>89.233455508043164</v>
      </c>
      <c r="V45" s="23">
        <v>125.39696179094429</v>
      </c>
      <c r="W45" s="23">
        <v>107.39937574236647</v>
      </c>
      <c r="X45" s="23">
        <v>117.3230076953176</v>
      </c>
      <c r="Y45" s="23">
        <v>155.46609427581032</v>
      </c>
      <c r="Z45" s="23">
        <v>128.63638325453718</v>
      </c>
      <c r="AA45" s="23">
        <v>111.16536399443085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41.400953597806101</v>
      </c>
      <c r="E46" s="23">
        <v>54.257089009990921</v>
      </c>
      <c r="F46" s="23">
        <v>55.622800767333516</v>
      </c>
      <c r="G46" s="23">
        <v>56.856534498500068</v>
      </c>
      <c r="H46" s="23">
        <v>61.247704101794035</v>
      </c>
      <c r="I46" s="23">
        <v>75.149861205915812</v>
      </c>
      <c r="J46" s="23">
        <v>93.882497966162475</v>
      </c>
      <c r="K46" s="23">
        <v>76.247591065292099</v>
      </c>
      <c r="L46" s="23">
        <v>91.102894761128368</v>
      </c>
      <c r="M46" s="23">
        <v>83.256387591167282</v>
      </c>
      <c r="N46" s="23">
        <v>106.86861620578047</v>
      </c>
      <c r="O46" s="23">
        <v>119.74283111954459</v>
      </c>
      <c r="P46" s="23">
        <v>124.23562836652725</v>
      </c>
      <c r="Q46" s="23">
        <v>150.01914482363648</v>
      </c>
      <c r="R46" s="23">
        <v>100.73717612282448</v>
      </c>
      <c r="S46" s="23">
        <v>109.46411699999999</v>
      </c>
      <c r="T46" s="23">
        <v>115.16981274825041</v>
      </c>
      <c r="U46" s="23">
        <v>125.597765948163</v>
      </c>
      <c r="V46" s="23">
        <v>113.23255063681759</v>
      </c>
      <c r="W46" s="23">
        <v>177.96904610932992</v>
      </c>
      <c r="X46" s="23">
        <v>161.00326594495894</v>
      </c>
      <c r="Y46" s="23">
        <v>188.02993834709491</v>
      </c>
      <c r="Z46" s="23">
        <v>203.13784886380972</v>
      </c>
      <c r="AA46" s="23">
        <v>207.86502295584859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90.133326061890358</v>
      </c>
      <c r="E47" s="23">
        <v>118.15057220708448</v>
      </c>
      <c r="F47" s="23">
        <v>113.98460308760392</v>
      </c>
      <c r="G47" s="23">
        <v>168.08777064040694</v>
      </c>
      <c r="H47" s="23">
        <v>178.27456729629336</v>
      </c>
      <c r="I47" s="23">
        <v>212.43480318543803</v>
      </c>
      <c r="J47" s="23">
        <v>248.06351088620164</v>
      </c>
      <c r="K47" s="23">
        <v>322.90300000000002</v>
      </c>
      <c r="L47" s="23">
        <v>304.24393515242872</v>
      </c>
      <c r="M47" s="23">
        <v>236.28069774476526</v>
      </c>
      <c r="N47" s="23">
        <v>278.17272159445798</v>
      </c>
      <c r="O47" s="23">
        <v>326.81689997289243</v>
      </c>
      <c r="P47" s="23">
        <v>341.540259255031</v>
      </c>
      <c r="Q47" s="23">
        <v>375.33091704932451</v>
      </c>
      <c r="R47" s="23">
        <v>356.33688957258772</v>
      </c>
      <c r="S47" s="23">
        <v>331.71363899999994</v>
      </c>
      <c r="T47" s="23">
        <v>350.7444297333081</v>
      </c>
      <c r="U47" s="23">
        <v>375.1830700759229</v>
      </c>
      <c r="V47" s="23">
        <v>386.67298434606965</v>
      </c>
      <c r="W47" s="23">
        <v>401.41907066882197</v>
      </c>
      <c r="X47" s="23">
        <v>375.91494978479193</v>
      </c>
      <c r="Y47" s="23">
        <v>409.79088363541297</v>
      </c>
      <c r="Z47" s="23">
        <v>373.87916806466382</v>
      </c>
      <c r="AA47" s="23">
        <v>339.27929898167741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216.92374645517154</v>
      </c>
      <c r="E48" s="23">
        <v>210.74375113533151</v>
      </c>
      <c r="F48" s="23">
        <v>210.4817347218416</v>
      </c>
      <c r="G48" s="23">
        <v>279.31900678231381</v>
      </c>
      <c r="H48" s="23">
        <v>340.36224136568399</v>
      </c>
      <c r="I48" s="23">
        <v>297.87053924914682</v>
      </c>
      <c r="J48" s="23">
        <v>405.67924934158822</v>
      </c>
      <c r="K48" s="23">
        <v>379.96980412371136</v>
      </c>
      <c r="L48" s="23">
        <v>382.29158642753862</v>
      </c>
      <c r="M48" s="23">
        <v>280.31200887305488</v>
      </c>
      <c r="N48" s="23">
        <v>344.49412753392761</v>
      </c>
      <c r="O48" s="23">
        <v>402.89411222553537</v>
      </c>
      <c r="P48" s="23">
        <v>376.15388519298824</v>
      </c>
      <c r="Q48" s="23">
        <v>255.31560119041532</v>
      </c>
      <c r="R48" s="23">
        <v>298.03733598769338</v>
      </c>
      <c r="S48" s="23">
        <v>323.96396699999997</v>
      </c>
      <c r="T48" s="23">
        <v>317.54356266114496</v>
      </c>
      <c r="U48" s="23">
        <v>345.7964132995898</v>
      </c>
      <c r="V48" s="23">
        <v>362.73238792571397</v>
      </c>
      <c r="W48" s="23">
        <v>424.65391835531784</v>
      </c>
      <c r="X48" s="23">
        <v>402.02683970262166</v>
      </c>
      <c r="Y48" s="23">
        <v>426.13116381455217</v>
      </c>
      <c r="Z48" s="23">
        <v>409.12490391947546</v>
      </c>
      <c r="AA48" s="23">
        <v>380.8498890263898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33.422644831562216</v>
      </c>
      <c r="E49" s="23">
        <v>34.984300635785651</v>
      </c>
      <c r="F49" s="23">
        <v>39.610176304010231</v>
      </c>
      <c r="G49" s="23">
        <v>52.569732294248084</v>
      </c>
      <c r="H49" s="23">
        <v>64.528831107247285</v>
      </c>
      <c r="I49" s="23">
        <v>70.32179749715587</v>
      </c>
      <c r="J49" s="23">
        <v>50.18515643313156</v>
      </c>
      <c r="K49" s="23">
        <v>67.687570446735407</v>
      </c>
      <c r="L49" s="23">
        <v>85.000987479619766</v>
      </c>
      <c r="M49" s="23">
        <v>61.860891338688539</v>
      </c>
      <c r="N49" s="23">
        <v>65.37844756118335</v>
      </c>
      <c r="O49" s="23">
        <v>99.18547790729194</v>
      </c>
      <c r="P49" s="23">
        <v>87.180377362406986</v>
      </c>
      <c r="Q49" s="23">
        <v>133.7434828852231</v>
      </c>
      <c r="R49" s="23">
        <v>80.840192441106382</v>
      </c>
      <c r="S49" s="23">
        <v>202.04501999999999</v>
      </c>
      <c r="T49" s="23">
        <v>185.42890904203955</v>
      </c>
      <c r="U49" s="23">
        <v>201.01009977601305</v>
      </c>
      <c r="V49" s="23">
        <v>145.06707344442572</v>
      </c>
      <c r="W49" s="23">
        <v>130.01627535209383</v>
      </c>
      <c r="X49" s="23">
        <v>183.86621103430286</v>
      </c>
      <c r="Y49" s="23">
        <v>254.32478935960262</v>
      </c>
      <c r="Z49" s="23">
        <v>265.18722815311889</v>
      </c>
      <c r="AA49" s="23">
        <v>257.26231070648754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37.519614198011773</v>
      </c>
      <c r="E50" s="23">
        <v>47.134536784741151</v>
      </c>
      <c r="F50" s="23">
        <v>50.355490088608747</v>
      </c>
      <c r="G50" s="23">
        <v>48.734172427285777</v>
      </c>
      <c r="H50" s="23">
        <v>36.748622461076422</v>
      </c>
      <c r="I50" s="23">
        <v>41.563331058020481</v>
      </c>
      <c r="J50" s="23">
        <v>52.856609627290652</v>
      </c>
      <c r="K50" s="23">
        <v>90.672810996563584</v>
      </c>
      <c r="L50" s="23">
        <v>80.318128403113178</v>
      </c>
      <c r="M50" s="23">
        <v>48.062346654118912</v>
      </c>
      <c r="N50" s="23">
        <v>58.149099994321723</v>
      </c>
      <c r="O50" s="23">
        <v>79.97860775277853</v>
      </c>
      <c r="P50" s="23">
        <v>92.494502506408736</v>
      </c>
      <c r="Q50" s="23">
        <v>108.12700626911159</v>
      </c>
      <c r="R50" s="23">
        <v>100.59803637679848</v>
      </c>
      <c r="S50" s="23">
        <v>99.77702699999999</v>
      </c>
      <c r="T50" s="23">
        <v>101.39351935731136</v>
      </c>
      <c r="U50" s="23">
        <v>119.29104052127876</v>
      </c>
      <c r="V50" s="23">
        <v>131.73798462660605</v>
      </c>
      <c r="W50" s="23">
        <v>146.57728380948978</v>
      </c>
      <c r="X50" s="23">
        <v>159.92028433546369</v>
      </c>
      <c r="Y50" s="23">
        <v>178.80935167458063</v>
      </c>
      <c r="Z50" s="23">
        <v>175.91210080829651</v>
      </c>
      <c r="AA50" s="23">
        <v>165.76394176346537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65.120249929882505</v>
      </c>
      <c r="E51" s="23">
        <v>65.778864668483195</v>
      </c>
      <c r="F51" s="23">
        <v>62.575650863250203</v>
      </c>
      <c r="G51" s="23">
        <v>85.736044085039779</v>
      </c>
      <c r="H51" s="23">
        <v>86.621752943965859</v>
      </c>
      <c r="I51" s="23">
        <v>98.030684869169519</v>
      </c>
      <c r="J51" s="23">
        <v>90.256954345517968</v>
      </c>
      <c r="K51" s="23">
        <v>128.40030927835053</v>
      </c>
      <c r="L51" s="23">
        <v>102.02956593964377</v>
      </c>
      <c r="M51" s="23">
        <v>74.419117399926066</v>
      </c>
      <c r="N51" s="23">
        <v>67.421524047470314</v>
      </c>
      <c r="O51" s="23">
        <v>88.38161344537815</v>
      </c>
      <c r="P51" s="23">
        <v>94.361627557003942</v>
      </c>
      <c r="Q51" s="23">
        <v>105.15492887166218</v>
      </c>
      <c r="R51" s="23">
        <v>97.53696196422645</v>
      </c>
      <c r="S51" s="23">
        <v>98.116382999999999</v>
      </c>
      <c r="T51" s="23">
        <v>100.29141588603625</v>
      </c>
      <c r="U51" s="23">
        <v>111.91082991535038</v>
      </c>
      <c r="V51" s="23">
        <v>134.71438310048811</v>
      </c>
      <c r="W51" s="23">
        <v>119.2639788163218</v>
      </c>
      <c r="X51" s="23">
        <v>107.69650449980436</v>
      </c>
      <c r="Y51" s="23">
        <v>123.48583163949498</v>
      </c>
      <c r="Z51" s="23">
        <v>140.03320802196129</v>
      </c>
      <c r="AA51" s="23">
        <v>141.67055614850406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51.319932063947142</v>
      </c>
      <c r="E52" s="23">
        <v>63.683996366939148</v>
      </c>
      <c r="F52" s="23">
        <v>63.41842057184617</v>
      </c>
      <c r="G52" s="23">
        <v>58.887125016303642</v>
      </c>
      <c r="H52" s="23">
        <v>61.685187702521134</v>
      </c>
      <c r="I52" s="23">
        <v>66.12348122866895</v>
      </c>
      <c r="J52" s="23">
        <v>97.317223501509872</v>
      </c>
      <c r="K52" s="23">
        <v>87.502432989690732</v>
      </c>
      <c r="L52" s="23">
        <v>102.45528040114436</v>
      </c>
      <c r="M52" s="23">
        <v>60.155453231606899</v>
      </c>
      <c r="N52" s="23">
        <v>77.165427289762079</v>
      </c>
      <c r="O52" s="23">
        <v>98.285155868799137</v>
      </c>
      <c r="P52" s="23">
        <v>106.28250288003487</v>
      </c>
      <c r="Q52" s="23">
        <v>107.70242378376166</v>
      </c>
      <c r="R52" s="23">
        <v>122.99953548698458</v>
      </c>
      <c r="S52" s="23">
        <v>112.785405</v>
      </c>
      <c r="T52" s="23">
        <v>125.5020327914547</v>
      </c>
      <c r="U52" s="23">
        <v>130.83100619600313</v>
      </c>
      <c r="V52" s="23">
        <v>135.36142624698422</v>
      </c>
      <c r="W52" s="23">
        <v>116.54500727854037</v>
      </c>
      <c r="X52" s="23">
        <v>116.11969479587844</v>
      </c>
      <c r="Y52" s="23">
        <v>131.30582286808306</v>
      </c>
      <c r="Z52" s="23">
        <v>148.15872197651368</v>
      </c>
      <c r="AA52" s="23">
        <v>156.29078261645475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187.81370095671394</v>
      </c>
      <c r="E53" s="23">
        <v>232.3208946412345</v>
      </c>
      <c r="F53" s="23">
        <v>256.20199141317238</v>
      </c>
      <c r="G53" s="23">
        <v>284.28267249250086</v>
      </c>
      <c r="H53" s="23">
        <v>318.70680312969262</v>
      </c>
      <c r="I53" s="23">
        <v>335.44546985210411</v>
      </c>
      <c r="J53" s="23">
        <v>359.69209078499279</v>
      </c>
      <c r="K53" s="23">
        <v>385.5179656357389</v>
      </c>
      <c r="L53" s="23">
        <v>375.7639646845297</v>
      </c>
      <c r="M53" s="23">
        <v>375.66150304171003</v>
      </c>
      <c r="N53" s="23">
        <v>359.10998239736523</v>
      </c>
      <c r="O53" s="23">
        <v>338.82119381946353</v>
      </c>
      <c r="P53" s="23">
        <v>412.06013616597318</v>
      </c>
      <c r="Q53" s="23">
        <v>369.8113447397759</v>
      </c>
      <c r="R53" s="23">
        <v>342.00549573190921</v>
      </c>
      <c r="S53" s="23">
        <v>356.90007300000076</v>
      </c>
      <c r="T53" s="23">
        <v>351.84653320458335</v>
      </c>
      <c r="U53" s="23">
        <v>365.38751781714541</v>
      </c>
      <c r="V53" s="23">
        <v>344.48577119452369</v>
      </c>
      <c r="W53" s="23">
        <v>339.8714422226787</v>
      </c>
      <c r="X53" s="23">
        <v>364.24281466023194</v>
      </c>
      <c r="Y53" s="23">
        <v>431.38339672927538</v>
      </c>
      <c r="Z53" s="23">
        <v>412.71279319810839</v>
      </c>
      <c r="AA53" s="23">
        <v>375.99947827060214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2532.78958833245</v>
      </c>
      <c r="E54" s="30">
        <f t="shared" ref="E54:S54" si="6">SUM(E41:E53)</f>
        <v>2671.5855449591272</v>
      </c>
      <c r="F54" s="30">
        <f t="shared" si="6"/>
        <v>2901.6561066958984</v>
      </c>
      <c r="G54" s="30">
        <f t="shared" si="6"/>
        <v>2927.6602843354644</v>
      </c>
      <c r="H54" s="30">
        <f t="shared" si="6"/>
        <v>3142.6634458231247</v>
      </c>
      <c r="I54" s="30">
        <f t="shared" si="6"/>
        <v>3300.9261660978377</v>
      </c>
      <c r="J54" s="30">
        <f t="shared" si="6"/>
        <v>3498.0771396660375</v>
      </c>
      <c r="K54" s="30">
        <f t="shared" si="6"/>
        <v>3620.2546460481099</v>
      </c>
      <c r="L54" s="30">
        <f t="shared" si="6"/>
        <v>3344.5547143692124</v>
      </c>
      <c r="M54" s="30">
        <f t="shared" si="6"/>
        <v>2854.9033912546633</v>
      </c>
      <c r="N54" s="30">
        <f t="shared" si="6"/>
        <v>3353.1599931860765</v>
      </c>
      <c r="O54" s="30">
        <f t="shared" si="6"/>
        <v>3473.4424245052865</v>
      </c>
      <c r="P54" s="30">
        <f t="shared" si="6"/>
        <v>3608.8654727927515</v>
      </c>
      <c r="Q54" s="30">
        <f t="shared" si="6"/>
        <v>3582.485483887463</v>
      </c>
      <c r="R54" s="30">
        <f t="shared" si="6"/>
        <v>3456.3704310318822</v>
      </c>
      <c r="S54" s="30">
        <f t="shared" si="6"/>
        <v>3563.880411000001</v>
      </c>
      <c r="T54" s="30">
        <f t="shared" ref="T54:Y54" si="7">SUM(T41:T53)</f>
        <v>3556.9011906065534</v>
      </c>
      <c r="U54" s="30">
        <f t="shared" si="7"/>
        <v>3796.5145213369406</v>
      </c>
      <c r="V54" s="30">
        <f t="shared" si="7"/>
        <v>3986.1740083038767</v>
      </c>
      <c r="W54" s="30">
        <f t="shared" si="7"/>
        <v>4027.7855643771268</v>
      </c>
      <c r="X54" s="30">
        <f t="shared" si="7"/>
        <v>4037.9570966479719</v>
      </c>
      <c r="Y54" s="30">
        <f t="shared" si="7"/>
        <v>4841.2748682179699</v>
      </c>
      <c r="Z54" s="30">
        <f t="shared" ref="Z54:AA54" si="8">SUM(Z41:Z53)</f>
        <v>4500.3739431142294</v>
      </c>
      <c r="AA54" s="30">
        <f t="shared" si="8"/>
        <v>4148.1000000000004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820.25639315653325</v>
      </c>
      <c r="E56" s="19">
        <v>822.02632152588558</v>
      </c>
      <c r="F56" s="19">
        <v>898.39250936329586</v>
      </c>
      <c r="G56" s="19">
        <v>751.76973392461196</v>
      </c>
      <c r="H56" s="19">
        <v>817.87559155931388</v>
      </c>
      <c r="I56" s="19">
        <v>839.45333788395908</v>
      </c>
      <c r="J56" s="19">
        <v>855.24665830150434</v>
      </c>
      <c r="K56" s="19">
        <v>837.61386941580759</v>
      </c>
      <c r="L56" s="19">
        <v>792.25461285261622</v>
      </c>
      <c r="M56" s="19">
        <v>784.19144960172093</v>
      </c>
      <c r="N56" s="19">
        <v>789.72764181477476</v>
      </c>
      <c r="O56" s="19">
        <v>706.75280021686092</v>
      </c>
      <c r="P56" s="19">
        <v>765.95214575571072</v>
      </c>
      <c r="Q56" s="19">
        <v>789.72342275084122</v>
      </c>
      <c r="R56" s="19">
        <v>751.91118752450745</v>
      </c>
      <c r="S56" s="19">
        <v>740.7856109999999</v>
      </c>
      <c r="T56" s="19">
        <v>721.46448488347789</v>
      </c>
      <c r="U56" s="19">
        <v>731.17759257643183</v>
      </c>
      <c r="V56" s="19">
        <v>776.84000168321825</v>
      </c>
      <c r="W56" s="19">
        <v>757.97511096425023</v>
      </c>
      <c r="X56" s="19">
        <v>760.37342115560193</v>
      </c>
      <c r="Y56" s="19">
        <v>718.38874644715656</v>
      </c>
      <c r="Z56" s="19">
        <v>704.07050785420176</v>
      </c>
      <c r="AA56" s="19">
        <v>667.55779917282177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310.72278195020095</v>
      </c>
      <c r="E57" s="23">
        <v>332.03662579473206</v>
      </c>
      <c r="F57" s="23">
        <v>321.51664382935962</v>
      </c>
      <c r="G57" s="23">
        <v>313.8390455849746</v>
      </c>
      <c r="H57" s="23">
        <v>315.64441792460286</v>
      </c>
      <c r="I57" s="23">
        <v>341.32311262798635</v>
      </c>
      <c r="J57" s="23">
        <v>340.99191842587868</v>
      </c>
      <c r="K57" s="23">
        <v>244.27762542955327</v>
      </c>
      <c r="L57" s="23">
        <v>216.6886609038053</v>
      </c>
      <c r="M57" s="23">
        <v>167.13293449400061</v>
      </c>
      <c r="N57" s="23">
        <v>198.80705808869453</v>
      </c>
      <c r="O57" s="23">
        <v>212.62605475738681</v>
      </c>
      <c r="P57" s="23">
        <v>188.00513009454818</v>
      </c>
      <c r="Q57" s="23">
        <v>190.77906341722831</v>
      </c>
      <c r="R57" s="23">
        <v>178.09887491328084</v>
      </c>
      <c r="S57" s="23">
        <v>159.42182399999999</v>
      </c>
      <c r="T57" s="23">
        <v>167.38196469990939</v>
      </c>
      <c r="U57" s="23">
        <v>183.16340867440439</v>
      </c>
      <c r="V57" s="23">
        <v>192.17181450934186</v>
      </c>
      <c r="W57" s="23">
        <v>172.03674457235226</v>
      </c>
      <c r="X57" s="23">
        <v>167.6214868918743</v>
      </c>
      <c r="Y57" s="23">
        <v>162.70250406942912</v>
      </c>
      <c r="Z57" s="23">
        <v>153.64608204971788</v>
      </c>
      <c r="AA57" s="23">
        <v>141.84914549476872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500.26152264015701</v>
      </c>
      <c r="E58" s="23">
        <v>511.56683923705725</v>
      </c>
      <c r="F58" s="23">
        <v>629.97035717548192</v>
      </c>
      <c r="G58" s="23">
        <v>607.82342832920301</v>
      </c>
      <c r="H58" s="23">
        <v>643.97586027029149</v>
      </c>
      <c r="I58" s="23">
        <v>679.28757224118328</v>
      </c>
      <c r="J58" s="23">
        <v>607.18314741530276</v>
      </c>
      <c r="K58" s="23">
        <v>757.72034364261174</v>
      </c>
      <c r="L58" s="23">
        <v>542.50212877226443</v>
      </c>
      <c r="M58" s="23">
        <v>468.3753201357847</v>
      </c>
      <c r="N58" s="23">
        <v>726.39227073987831</v>
      </c>
      <c r="O58" s="23">
        <v>756.27051233396583</v>
      </c>
      <c r="P58" s="23">
        <v>766.67027077517037</v>
      </c>
      <c r="Q58" s="23">
        <v>737.92435953815152</v>
      </c>
      <c r="R58" s="23">
        <v>787.11354326908577</v>
      </c>
      <c r="S58" s="23">
        <v>788.94428700000003</v>
      </c>
      <c r="T58" s="23">
        <v>790.07042597035422</v>
      </c>
      <c r="U58" s="23">
        <v>858.78814323530264</v>
      </c>
      <c r="V58" s="23">
        <v>976.90574257981257</v>
      </c>
      <c r="W58" s="23">
        <v>957.57233976047792</v>
      </c>
      <c r="X58" s="23">
        <v>936.41809834355035</v>
      </c>
      <c r="Y58" s="23">
        <v>1468.1741740956593</v>
      </c>
      <c r="Z58" s="23">
        <v>1201.6263298764682</v>
      </c>
      <c r="AA58" s="23">
        <v>1031.7913938848319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58.43572096357007</v>
      </c>
      <c r="E59" s="23">
        <v>50.276839237057224</v>
      </c>
      <c r="F59" s="23">
        <v>61.522188727505252</v>
      </c>
      <c r="G59" s="23">
        <v>66.558244750228255</v>
      </c>
      <c r="H59" s="23">
        <v>60.591478700703384</v>
      </c>
      <c r="I59" s="23">
        <v>65.70364960182026</v>
      </c>
      <c r="J59" s="23">
        <v>63.92405857452119</v>
      </c>
      <c r="K59" s="23">
        <v>45.811962199312717</v>
      </c>
      <c r="L59" s="23">
        <v>51.79525948257298</v>
      </c>
      <c r="M59" s="23">
        <v>45.116589923705178</v>
      </c>
      <c r="N59" s="23">
        <v>55.005905400034059</v>
      </c>
      <c r="O59" s="23">
        <v>54.769590674979668</v>
      </c>
      <c r="P59" s="23">
        <v>59.748001619046633</v>
      </c>
      <c r="Q59" s="23">
        <v>58.450855483171573</v>
      </c>
      <c r="R59" s="23">
        <v>56.351597140530266</v>
      </c>
      <c r="S59" s="23">
        <v>50.234480999999995</v>
      </c>
      <c r="T59" s="23">
        <v>50.007945009108731</v>
      </c>
      <c r="U59" s="23">
        <v>48.709389999127318</v>
      </c>
      <c r="V59" s="23">
        <v>49.692913650900515</v>
      </c>
      <c r="W59" s="23">
        <v>48.694308449358324</v>
      </c>
      <c r="X59" s="23">
        <v>50.29847919655667</v>
      </c>
      <c r="Y59" s="23">
        <v>52.755761721220921</v>
      </c>
      <c r="Z59" s="23">
        <v>49.175188348330039</v>
      </c>
      <c r="AA59" s="23">
        <v>45.062017961406738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75.470488329334032</v>
      </c>
      <c r="E60" s="23">
        <v>71.435009082652186</v>
      </c>
      <c r="F60" s="23">
        <v>81.11658445236138</v>
      </c>
      <c r="G60" s="23">
        <v>94.535269662188682</v>
      </c>
      <c r="H60" s="23">
        <v>94.715199557417236</v>
      </c>
      <c r="I60" s="23">
        <v>103.48849601820241</v>
      </c>
      <c r="J60" s="23">
        <v>140.06047460805544</v>
      </c>
      <c r="K60" s="23">
        <v>119.84028865979386</v>
      </c>
      <c r="L60" s="23">
        <v>113.24004675915957</v>
      </c>
      <c r="M60" s="23">
        <v>79.535431721170909</v>
      </c>
      <c r="N60" s="23">
        <v>77.636906478905274</v>
      </c>
      <c r="O60" s="23">
        <v>75.17689021415022</v>
      </c>
      <c r="P60" s="23">
        <v>80.717252187269793</v>
      </c>
      <c r="Q60" s="23">
        <v>98.786191591413555</v>
      </c>
      <c r="R60" s="23">
        <v>96.423843996018391</v>
      </c>
      <c r="S60" s="23">
        <v>100.88412299999996</v>
      </c>
      <c r="T60" s="23">
        <v>96.158527868754632</v>
      </c>
      <c r="U60" s="23">
        <v>109.09293132035963</v>
      </c>
      <c r="V60" s="23">
        <v>109.99733490433708</v>
      </c>
      <c r="W60" s="23">
        <v>126.43217650683656</v>
      </c>
      <c r="X60" s="23">
        <v>135.25236989696097</v>
      </c>
      <c r="Y60" s="23">
        <v>140.17626067961567</v>
      </c>
      <c r="Z60" s="23">
        <v>134.22926948299533</v>
      </c>
      <c r="AA60" s="23">
        <v>124.66947826427122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0.21562996665524012</v>
      </c>
      <c r="E61" s="23">
        <v>0.20948683015440511</v>
      </c>
      <c r="F61" s="23">
        <v>0.84276970859596245</v>
      </c>
      <c r="G61" s="23">
        <v>1.5793481805138907</v>
      </c>
      <c r="H61" s="23">
        <v>1.3124508021813008</v>
      </c>
      <c r="I61" s="23">
        <v>2.5189897610921501</v>
      </c>
      <c r="J61" s="23">
        <v>0</v>
      </c>
      <c r="K61" s="23">
        <v>0.63407560137457053</v>
      </c>
      <c r="L61" s="23">
        <v>0.14190482050019995</v>
      </c>
      <c r="M61" s="23">
        <v>0.31007965583302527</v>
      </c>
      <c r="N61" s="23">
        <v>0.3143194594287661</v>
      </c>
      <c r="O61" s="23">
        <v>0.60021469232854441</v>
      </c>
      <c r="P61" s="23">
        <v>0</v>
      </c>
      <c r="Q61" s="23">
        <v>2.1229124267495729</v>
      </c>
      <c r="R61" s="23">
        <v>2.0870961903900098</v>
      </c>
      <c r="S61" s="23">
        <v>2.0758049999999999</v>
      </c>
      <c r="T61" s="23">
        <v>0.27552586781878091</v>
      </c>
      <c r="U61" s="23">
        <v>1.3418564738051604</v>
      </c>
      <c r="V61" s="23">
        <v>1.164677663692981</v>
      </c>
      <c r="W61" s="23">
        <v>1.3594857688907149</v>
      </c>
      <c r="X61" s="23">
        <v>-0.1203312899439155</v>
      </c>
      <c r="Y61" s="23">
        <v>0.35014886098155479</v>
      </c>
      <c r="Z61" s="23">
        <v>0.84420924203141701</v>
      </c>
      <c r="AA61" s="23">
        <v>1.0235207580394652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43.772883231013743</v>
      </c>
      <c r="E62" s="23">
        <v>56.980417801998186</v>
      </c>
      <c r="F62" s="23">
        <v>56.044185621631499</v>
      </c>
      <c r="G62" s="23">
        <v>57.08215566714491</v>
      </c>
      <c r="H62" s="23">
        <v>60.372736900339838</v>
      </c>
      <c r="I62" s="23">
        <v>72.211039817974978</v>
      </c>
      <c r="J62" s="23">
        <v>92.73758945438</v>
      </c>
      <c r="K62" s="23">
        <v>75.454996563573886</v>
      </c>
      <c r="L62" s="23">
        <v>104.72575752914756</v>
      </c>
      <c r="M62" s="23">
        <v>90.233179847410355</v>
      </c>
      <c r="N62" s="23">
        <v>148.51594458009197</v>
      </c>
      <c r="O62" s="23">
        <v>113.14046950393062</v>
      </c>
      <c r="P62" s="23">
        <v>113.46375307463182</v>
      </c>
      <c r="Q62" s="23">
        <v>99.493829066996653</v>
      </c>
      <c r="R62" s="23">
        <v>85.292664313938403</v>
      </c>
      <c r="S62" s="23">
        <v>86.768648999999996</v>
      </c>
      <c r="T62" s="23">
        <v>83.622100883000002</v>
      </c>
      <c r="U62" s="23">
        <v>89.233455508043164</v>
      </c>
      <c r="V62" s="23">
        <v>125.39696179094429</v>
      </c>
      <c r="W62" s="23">
        <v>107.39937574236647</v>
      </c>
      <c r="X62" s="23">
        <v>117.3230076953176</v>
      </c>
      <c r="Y62" s="23">
        <v>155.46609427581032</v>
      </c>
      <c r="Z62" s="23">
        <v>128.63638325453718</v>
      </c>
      <c r="AA62" s="23">
        <v>111.16536399443085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41.400953597806101</v>
      </c>
      <c r="E63" s="23">
        <v>54.257089009990921</v>
      </c>
      <c r="F63" s="23">
        <v>55.622800767333516</v>
      </c>
      <c r="G63" s="23">
        <v>56.856534498500068</v>
      </c>
      <c r="H63" s="23">
        <v>61.247704101794035</v>
      </c>
      <c r="I63" s="23">
        <v>75.149861205915812</v>
      </c>
      <c r="J63" s="23">
        <v>93.882497966162475</v>
      </c>
      <c r="K63" s="23">
        <v>76.247591065292099</v>
      </c>
      <c r="L63" s="23">
        <v>91.102894761128368</v>
      </c>
      <c r="M63" s="23">
        <v>83.256387591167282</v>
      </c>
      <c r="N63" s="23">
        <v>106.86861620578047</v>
      </c>
      <c r="O63" s="23">
        <v>119.74283111954459</v>
      </c>
      <c r="P63" s="23">
        <v>124.23562836652725</v>
      </c>
      <c r="Q63" s="23">
        <v>150.01914482363648</v>
      </c>
      <c r="R63" s="23">
        <v>100.73717612282448</v>
      </c>
      <c r="S63" s="23">
        <v>109.46411699999999</v>
      </c>
      <c r="T63" s="23">
        <v>115.16981274825041</v>
      </c>
      <c r="U63" s="23">
        <v>125.597765948163</v>
      </c>
      <c r="V63" s="23">
        <v>113.23255063681759</v>
      </c>
      <c r="W63" s="23">
        <v>177.96904610932992</v>
      </c>
      <c r="X63" s="23">
        <v>161.00326594495894</v>
      </c>
      <c r="Y63" s="23">
        <v>188.02993834709491</v>
      </c>
      <c r="Z63" s="23">
        <v>203.13784886380972</v>
      </c>
      <c r="AA63" s="23">
        <v>207.86502295584859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36.872724298046059</v>
      </c>
      <c r="E64" s="23">
        <v>43.154287011807455</v>
      </c>
      <c r="F64" s="23">
        <v>49.302027952863796</v>
      </c>
      <c r="G64" s="23">
        <v>74.229364484152867</v>
      </c>
      <c r="H64" s="23">
        <v>79.403273531968694</v>
      </c>
      <c r="I64" s="23">
        <v>97.820769055745174</v>
      </c>
      <c r="J64" s="23">
        <v>96.172314989727397</v>
      </c>
      <c r="K64" s="23">
        <v>112.54841924398626</v>
      </c>
      <c r="L64" s="23">
        <v>96.779087581136366</v>
      </c>
      <c r="M64" s="23">
        <v>68.217524283265561</v>
      </c>
      <c r="N64" s="23">
        <v>79.837142694906575</v>
      </c>
      <c r="O64" s="23">
        <v>80.878929791271347</v>
      </c>
      <c r="P64" s="23">
        <v>91.058252467489339</v>
      </c>
      <c r="Q64" s="23">
        <v>93.832729262331128</v>
      </c>
      <c r="R64" s="23">
        <v>85.988363044068407</v>
      </c>
      <c r="S64" s="23">
        <v>91.612194000000002</v>
      </c>
      <c r="T64" s="23">
        <v>94.780898529660632</v>
      </c>
      <c r="U64" s="23">
        <v>101.31016377228961</v>
      </c>
      <c r="V64" s="23">
        <v>100.80932222409247</v>
      </c>
      <c r="W64" s="23">
        <v>101.4670742053888</v>
      </c>
      <c r="X64" s="23">
        <v>108.29816094952393</v>
      </c>
      <c r="Y64" s="23">
        <v>122.55210134354417</v>
      </c>
      <c r="Z64" s="23">
        <v>106.15931218545067</v>
      </c>
      <c r="AA64" s="23">
        <v>95.328020921102521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53.260601763844299</v>
      </c>
      <c r="E65" s="23">
        <v>74.996285195277025</v>
      </c>
      <c r="F65" s="23">
        <v>64.682575134740119</v>
      </c>
      <c r="G65" s="23">
        <v>93.858406156254091</v>
      </c>
      <c r="H65" s="23">
        <v>98.871293764324662</v>
      </c>
      <c r="I65" s="23">
        <v>114.61403412969284</v>
      </c>
      <c r="J65" s="23">
        <v>151.89119589647422</v>
      </c>
      <c r="K65" s="23">
        <v>210.35458075601375</v>
      </c>
      <c r="L65" s="23">
        <v>207.4648475712923</v>
      </c>
      <c r="M65" s="23">
        <v>168.0631734614997</v>
      </c>
      <c r="N65" s="23">
        <v>198.33557889955139</v>
      </c>
      <c r="O65" s="23">
        <v>245.93797018162104</v>
      </c>
      <c r="P65" s="23">
        <v>250.48200678754165</v>
      </c>
      <c r="Q65" s="23">
        <v>281.49818778699336</v>
      </c>
      <c r="R65" s="23">
        <v>270.3485265285193</v>
      </c>
      <c r="S65" s="23">
        <v>240.10144499999998</v>
      </c>
      <c r="T65" s="23">
        <v>255.96353120364748</v>
      </c>
      <c r="U65" s="23">
        <v>273.87290630363327</v>
      </c>
      <c r="V65" s="23">
        <v>285.8636621219772</v>
      </c>
      <c r="W65" s="23">
        <v>299.9519964634332</v>
      </c>
      <c r="X65" s="23">
        <v>267.61678883526804</v>
      </c>
      <c r="Y65" s="23">
        <v>287.2387822918688</v>
      </c>
      <c r="Z65" s="23">
        <v>267.71985587921313</v>
      </c>
      <c r="AA65" s="23">
        <v>243.95127806057491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120.32152139362397</v>
      </c>
      <c r="E66" s="23">
        <v>108.30469118982744</v>
      </c>
      <c r="F66" s="23">
        <v>109.56006211747511</v>
      </c>
      <c r="G66" s="23">
        <v>162.22162025564108</v>
      </c>
      <c r="H66" s="23">
        <v>209.77338654864459</v>
      </c>
      <c r="I66" s="23">
        <v>139.59401592719001</v>
      </c>
      <c r="J66" s="23">
        <v>170.20973208499373</v>
      </c>
      <c r="K66" s="23">
        <v>117.77954295532646</v>
      </c>
      <c r="L66" s="23">
        <v>118.06481065616636</v>
      </c>
      <c r="M66" s="23">
        <v>72.868719120760929</v>
      </c>
      <c r="N66" s="23">
        <v>136.2574856623701</v>
      </c>
      <c r="O66" s="23">
        <v>145.10190187042559</v>
      </c>
      <c r="P66" s="23">
        <v>82.153502226189119</v>
      </c>
      <c r="Q66" s="23">
        <v>28.58855401356092</v>
      </c>
      <c r="R66" s="23">
        <v>2.6436551744940124</v>
      </c>
      <c r="S66" s="23">
        <v>31.137074999999999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96.602225061547557</v>
      </c>
      <c r="E67" s="23">
        <v>102.43905994550407</v>
      </c>
      <c r="F67" s="23">
        <v>100.92167260436651</v>
      </c>
      <c r="G67" s="23">
        <v>117.09738652667274</v>
      </c>
      <c r="H67" s="23">
        <v>130.58885481703939</v>
      </c>
      <c r="I67" s="23">
        <v>158.2765233219568</v>
      </c>
      <c r="J67" s="23">
        <v>235.46951725659446</v>
      </c>
      <c r="K67" s="23">
        <v>262.19026116838484</v>
      </c>
      <c r="L67" s="23">
        <v>264.22677577137227</v>
      </c>
      <c r="M67" s="23">
        <v>207.44328975229391</v>
      </c>
      <c r="N67" s="23">
        <v>208.23664187155751</v>
      </c>
      <c r="O67" s="23">
        <v>257.79221035510983</v>
      </c>
      <c r="P67" s="23">
        <v>294.00038296679918</v>
      </c>
      <c r="Q67" s="23">
        <v>143.65040754338776</v>
      </c>
      <c r="R67" s="23">
        <v>295.39368081319935</v>
      </c>
      <c r="S67" s="23">
        <v>292.82689199999999</v>
      </c>
      <c r="T67" s="23">
        <v>317.54356266114496</v>
      </c>
      <c r="U67" s="23">
        <v>345.7964132995898</v>
      </c>
      <c r="V67" s="23">
        <v>362.73238792571397</v>
      </c>
      <c r="W67" s="23">
        <v>424.65391835531784</v>
      </c>
      <c r="X67" s="23">
        <v>402.02683970262166</v>
      </c>
      <c r="Y67" s="23">
        <v>426.13116381455217</v>
      </c>
      <c r="Z67" s="23">
        <v>409.12490391947546</v>
      </c>
      <c r="AA67" s="23">
        <v>380.8498890263898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33.422644831562216</v>
      </c>
      <c r="E68" s="23">
        <v>34.984300635785651</v>
      </c>
      <c r="F68" s="23">
        <v>39.610176304010231</v>
      </c>
      <c r="G68" s="23">
        <v>52.569732294248084</v>
      </c>
      <c r="H68" s="23">
        <v>64.528831107247285</v>
      </c>
      <c r="I68" s="23">
        <v>70.32179749715587</v>
      </c>
      <c r="J68" s="23">
        <v>50.18515643313156</v>
      </c>
      <c r="K68" s="23">
        <v>67.687570446735407</v>
      </c>
      <c r="L68" s="23">
        <v>85.000987479619766</v>
      </c>
      <c r="M68" s="23">
        <v>61.860891338688539</v>
      </c>
      <c r="N68" s="23">
        <v>65.37844756118335</v>
      </c>
      <c r="O68" s="23">
        <v>99.18547790729194</v>
      </c>
      <c r="P68" s="23">
        <v>87.180377362406986</v>
      </c>
      <c r="Q68" s="23">
        <v>133.7434828852231</v>
      </c>
      <c r="R68" s="23">
        <v>80.840192441106382</v>
      </c>
      <c r="S68" s="23">
        <v>202.04501999999999</v>
      </c>
      <c r="T68" s="23">
        <v>185.42890904203955</v>
      </c>
      <c r="U68" s="23">
        <v>201.01009977601305</v>
      </c>
      <c r="V68" s="23">
        <v>145.06707344442572</v>
      </c>
      <c r="W68" s="23">
        <v>130.01627535209383</v>
      </c>
      <c r="X68" s="23">
        <v>183.86621103430286</v>
      </c>
      <c r="Y68" s="23">
        <v>254.32478935960262</v>
      </c>
      <c r="Z68" s="23">
        <v>265.18722815311889</v>
      </c>
      <c r="AA68" s="23">
        <v>257.26231070648754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37.519614198011773</v>
      </c>
      <c r="E69" s="23">
        <v>47.134536784741151</v>
      </c>
      <c r="F69" s="23">
        <v>50.355490088608747</v>
      </c>
      <c r="G69" s="23">
        <v>48.734172427285777</v>
      </c>
      <c r="H69" s="23">
        <v>36.748622461076422</v>
      </c>
      <c r="I69" s="23">
        <v>41.563331058020481</v>
      </c>
      <c r="J69" s="23">
        <v>52.856609627290652</v>
      </c>
      <c r="K69" s="23">
        <v>90.672810996563584</v>
      </c>
      <c r="L69" s="23">
        <v>80.318128403113178</v>
      </c>
      <c r="M69" s="23">
        <v>48.062346654118912</v>
      </c>
      <c r="N69" s="23">
        <v>58.149099994321723</v>
      </c>
      <c r="O69" s="23">
        <v>79.97860775277853</v>
      </c>
      <c r="P69" s="23">
        <v>92.494502506408736</v>
      </c>
      <c r="Q69" s="23">
        <v>108.12700626911159</v>
      </c>
      <c r="R69" s="23">
        <v>100.59803637679848</v>
      </c>
      <c r="S69" s="23">
        <v>99.77702699999999</v>
      </c>
      <c r="T69" s="23">
        <v>101.39351935731136</v>
      </c>
      <c r="U69" s="23">
        <v>119.29104052127876</v>
      </c>
      <c r="V69" s="23">
        <v>131.73798462660605</v>
      </c>
      <c r="W69" s="23">
        <v>146.57728380948978</v>
      </c>
      <c r="X69" s="23">
        <v>159.92028433546369</v>
      </c>
      <c r="Y69" s="23">
        <v>178.80935167458063</v>
      </c>
      <c r="Z69" s="23">
        <v>175.91210080829651</v>
      </c>
      <c r="AA69" s="23">
        <v>165.76394176346537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65.120249929882505</v>
      </c>
      <c r="E70" s="23">
        <v>65.778864668483195</v>
      </c>
      <c r="F70" s="23">
        <v>62.575650863250203</v>
      </c>
      <c r="G70" s="23">
        <v>85.736044085039779</v>
      </c>
      <c r="H70" s="23">
        <v>86.621752943965859</v>
      </c>
      <c r="I70" s="23">
        <v>98.030684869169519</v>
      </c>
      <c r="J70" s="23">
        <v>90.256954345517968</v>
      </c>
      <c r="K70" s="23">
        <v>128.40030927835053</v>
      </c>
      <c r="L70" s="23">
        <v>102.02956593964377</v>
      </c>
      <c r="M70" s="23">
        <v>74.419117399926066</v>
      </c>
      <c r="N70" s="23">
        <v>67.421524047470314</v>
      </c>
      <c r="O70" s="23">
        <v>88.38161344537815</v>
      </c>
      <c r="P70" s="23">
        <v>94.361627557003942</v>
      </c>
      <c r="Q70" s="23">
        <v>105.15492887166218</v>
      </c>
      <c r="R70" s="23">
        <v>97.53696196422645</v>
      </c>
      <c r="S70" s="23">
        <v>98.116382999999999</v>
      </c>
      <c r="T70" s="23">
        <v>100.29141588603625</v>
      </c>
      <c r="U70" s="23">
        <v>111.91082991535038</v>
      </c>
      <c r="V70" s="23">
        <v>134.71438310048811</v>
      </c>
      <c r="W70" s="23">
        <v>119.2639788163218</v>
      </c>
      <c r="X70" s="23">
        <v>107.69650449980436</v>
      </c>
      <c r="Y70" s="23">
        <v>123.48583163949498</v>
      </c>
      <c r="Z70" s="23">
        <v>140.03320802196129</v>
      </c>
      <c r="AA70" s="23">
        <v>141.67055614850406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10.565868366106766</v>
      </c>
      <c r="E71" s="23">
        <v>8.7984468664850155</v>
      </c>
      <c r="F71" s="23">
        <v>12.220160774641453</v>
      </c>
      <c r="G71" s="23">
        <v>11.506679600886917</v>
      </c>
      <c r="H71" s="23">
        <v>13.561991622540109</v>
      </c>
      <c r="I71" s="23">
        <v>22.251076222980661</v>
      </c>
      <c r="J71" s="23">
        <v>35.11052769466238</v>
      </c>
      <c r="K71" s="23">
        <v>39.154168384879725</v>
      </c>
      <c r="L71" s="23">
        <v>39.733349740055985</v>
      </c>
      <c r="M71" s="23">
        <v>22.945894531643869</v>
      </c>
      <c r="N71" s="23">
        <v>40.547210266310827</v>
      </c>
      <c r="O71" s="23">
        <v>51.318356194090548</v>
      </c>
      <c r="P71" s="23">
        <v>60.178876630722449</v>
      </c>
      <c r="Q71" s="23">
        <v>68.782362626686165</v>
      </c>
      <c r="R71" s="23">
        <v>67.761056314662326</v>
      </c>
      <c r="S71" s="23">
        <v>68.363177999999991</v>
      </c>
      <c r="T71" s="23">
        <v>81.142368072630973</v>
      </c>
      <c r="U71" s="23">
        <v>88.965084213282125</v>
      </c>
      <c r="V71" s="23">
        <v>105.07980699096673</v>
      </c>
      <c r="W71" s="23">
        <v>73.288641904744892</v>
      </c>
      <c r="X71" s="23">
        <v>72.920761706012783</v>
      </c>
      <c r="Y71" s="23">
        <v>85.669754653487075</v>
      </c>
      <c r="Z71" s="23">
        <v>92.440912002440157</v>
      </c>
      <c r="AA71" s="23">
        <v>98.550738671349293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40.75406369784038</v>
      </c>
      <c r="E72" s="23">
        <v>54.885549500454132</v>
      </c>
      <c r="F72" s="23">
        <v>51.198259797204713</v>
      </c>
      <c r="G72" s="23">
        <v>47.380445415416723</v>
      </c>
      <c r="H72" s="23">
        <v>48.123196079981028</v>
      </c>
      <c r="I72" s="23">
        <v>43.872405005688286</v>
      </c>
      <c r="J72" s="23">
        <v>62.206695806847492</v>
      </c>
      <c r="K72" s="23">
        <v>48.348264604811007</v>
      </c>
      <c r="L72" s="23">
        <v>62.721930661088379</v>
      </c>
      <c r="M72" s="23">
        <v>37.209558699963026</v>
      </c>
      <c r="N72" s="23">
        <v>36.618217023451251</v>
      </c>
      <c r="O72" s="23">
        <v>46.966799674708589</v>
      </c>
      <c r="P72" s="23">
        <v>46.103626249312427</v>
      </c>
      <c r="Q72" s="23">
        <v>38.920061157075494</v>
      </c>
      <c r="R72" s="23">
        <v>55.238479172322265</v>
      </c>
      <c r="S72" s="23">
        <v>44.422226999999999</v>
      </c>
      <c r="T72" s="23">
        <v>44.359664718823716</v>
      </c>
      <c r="U72" s="23">
        <v>41.865921982721005</v>
      </c>
      <c r="V72" s="23">
        <v>30.281619256017493</v>
      </c>
      <c r="W72" s="23">
        <v>43.256365373795468</v>
      </c>
      <c r="X72" s="23">
        <v>43.198933089865655</v>
      </c>
      <c r="Y72" s="23">
        <v>45.636068214595966</v>
      </c>
      <c r="Z72" s="23">
        <v>55.717809974073532</v>
      </c>
      <c r="AA72" s="23">
        <v>57.740043945105455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118.16522172707157</v>
      </c>
      <c r="E73" s="23">
        <v>118.15057220708448</v>
      </c>
      <c r="F73" s="23">
        <v>141.16392618982368</v>
      </c>
      <c r="G73" s="23">
        <v>165.6059377853137</v>
      </c>
      <c r="H73" s="23">
        <v>204.30484153955584</v>
      </c>
      <c r="I73" s="23">
        <v>214.11412969283279</v>
      </c>
      <c r="J73" s="23">
        <v>212.38052893564802</v>
      </c>
      <c r="K73" s="23">
        <v>205.59901374570447</v>
      </c>
      <c r="L73" s="23">
        <v>173.26578583074414</v>
      </c>
      <c r="M73" s="23">
        <v>177.36556313649047</v>
      </c>
      <c r="N73" s="23">
        <v>156.5310907955255</v>
      </c>
      <c r="O73" s="23">
        <v>145.85217023583627</v>
      </c>
      <c r="P73" s="23">
        <v>159.13650431226841</v>
      </c>
      <c r="Q73" s="23">
        <v>169.26688415949928</v>
      </c>
      <c r="R73" s="23">
        <v>168.63737218351281</v>
      </c>
      <c r="S73" s="23">
        <v>178.51922999999999</v>
      </c>
      <c r="T73" s="23">
        <v>184.18904263685502</v>
      </c>
      <c r="U73" s="23">
        <v>188.39664892224454</v>
      </c>
      <c r="V73" s="23">
        <v>197.08934242271224</v>
      </c>
      <c r="W73" s="23">
        <v>198.60851187339804</v>
      </c>
      <c r="X73" s="23">
        <v>209.37644450241294</v>
      </c>
      <c r="Y73" s="23">
        <v>278.60177705432375</v>
      </c>
      <c r="Z73" s="23">
        <v>247.7754125362209</v>
      </c>
      <c r="AA73" s="23">
        <v>223.83324821910534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69.648479229642362</v>
      </c>
      <c r="E74" s="23">
        <v>114.17032243415002</v>
      </c>
      <c r="F74" s="23">
        <v>115.03806522334867</v>
      </c>
      <c r="G74" s="23">
        <v>118.67673470718715</v>
      </c>
      <c r="H74" s="23">
        <v>114.40196159013681</v>
      </c>
      <c r="I74" s="23">
        <v>121.33134015927133</v>
      </c>
      <c r="J74" s="23">
        <v>147.3115618493448</v>
      </c>
      <c r="K74" s="23">
        <v>179.91895189003446</v>
      </c>
      <c r="L74" s="23">
        <v>202.49817885378559</v>
      </c>
      <c r="M74" s="23">
        <v>198.29593990521957</v>
      </c>
      <c r="N74" s="23">
        <v>202.57889160183973</v>
      </c>
      <c r="O74" s="23">
        <v>192.96902358362729</v>
      </c>
      <c r="P74" s="23">
        <v>252.92363185370473</v>
      </c>
      <c r="Q74" s="23">
        <v>283.62110021374326</v>
      </c>
      <c r="R74" s="23">
        <v>173.36812354839643</v>
      </c>
      <c r="S74" s="23">
        <v>178.38084300000074</v>
      </c>
      <c r="T74" s="23">
        <v>167.65749056772833</v>
      </c>
      <c r="U74" s="23">
        <v>176.9908688949009</v>
      </c>
      <c r="V74" s="23">
        <v>147.39642877181146</v>
      </c>
      <c r="W74" s="23">
        <v>141.26293034928065</v>
      </c>
      <c r="X74" s="23">
        <v>154.86637015781901</v>
      </c>
      <c r="Y74" s="23">
        <v>152.78161967495163</v>
      </c>
      <c r="Z74" s="23">
        <v>164.93738066188752</v>
      </c>
      <c r="AA74" s="23">
        <v>152.1662300514968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2532.78958833245</v>
      </c>
      <c r="E75" s="30">
        <f t="shared" ref="E75:S75" si="9">SUM(E56:E74)</f>
        <v>2671.5855449591272</v>
      </c>
      <c r="F75" s="30">
        <f t="shared" si="9"/>
        <v>2901.6561066958975</v>
      </c>
      <c r="G75" s="30">
        <f t="shared" si="9"/>
        <v>2927.6602843354649</v>
      </c>
      <c r="H75" s="30">
        <f t="shared" si="9"/>
        <v>3142.6634458231247</v>
      </c>
      <c r="I75" s="30">
        <f t="shared" si="9"/>
        <v>3300.9261660978377</v>
      </c>
      <c r="J75" s="30">
        <f t="shared" si="9"/>
        <v>3498.077139666038</v>
      </c>
      <c r="K75" s="30">
        <f t="shared" si="9"/>
        <v>3620.2546460481094</v>
      </c>
      <c r="L75" s="30">
        <f t="shared" si="9"/>
        <v>3344.554714369212</v>
      </c>
      <c r="M75" s="30">
        <f t="shared" si="9"/>
        <v>2854.9033912546633</v>
      </c>
      <c r="N75" s="30">
        <f t="shared" si="9"/>
        <v>3353.159993186076</v>
      </c>
      <c r="O75" s="30">
        <f t="shared" si="9"/>
        <v>3473.4424245052865</v>
      </c>
      <c r="P75" s="30">
        <f t="shared" si="9"/>
        <v>3608.865472792751</v>
      </c>
      <c r="Q75" s="30">
        <f t="shared" si="9"/>
        <v>3582.485483887463</v>
      </c>
      <c r="R75" s="30">
        <f t="shared" si="9"/>
        <v>3456.3704310318822</v>
      </c>
      <c r="S75" s="30">
        <f t="shared" si="9"/>
        <v>3563.880411000001</v>
      </c>
      <c r="T75" s="30">
        <f t="shared" ref="T75:Y75" si="10">SUM(T56:T74)</f>
        <v>3556.9011906065534</v>
      </c>
      <c r="U75" s="30">
        <f t="shared" si="10"/>
        <v>3796.5145213369415</v>
      </c>
      <c r="V75" s="30">
        <f t="shared" si="10"/>
        <v>3986.1740083038758</v>
      </c>
      <c r="W75" s="30">
        <f t="shared" si="10"/>
        <v>4027.7855643771277</v>
      </c>
      <c r="X75" s="30">
        <f t="shared" si="10"/>
        <v>4037.9570966479719</v>
      </c>
      <c r="Y75" s="30">
        <f t="shared" si="10"/>
        <v>4841.2748682179699</v>
      </c>
      <c r="Z75" s="30">
        <f t="shared" ref="Z75:AA75" si="11">SUM(Z56:Z74)</f>
        <v>4500.3739431142303</v>
      </c>
      <c r="AA75" s="30">
        <f t="shared" si="11"/>
        <v>4148.1000000000004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2381715</v>
      </c>
      <c r="E3" s="42">
        <v>2353384</v>
      </c>
      <c r="F3" s="42">
        <v>2320956</v>
      </c>
      <c r="G3" s="42">
        <v>2299390</v>
      </c>
      <c r="H3" s="42">
        <v>2276520</v>
      </c>
      <c r="I3" s="42">
        <v>2249724</v>
      </c>
      <c r="J3" s="42">
        <v>2227874</v>
      </c>
      <c r="K3" s="42">
        <v>2208840</v>
      </c>
      <c r="L3" s="42">
        <v>2191810</v>
      </c>
      <c r="M3" s="42">
        <v>2162834</v>
      </c>
      <c r="N3" s="42">
        <v>2120504</v>
      </c>
      <c r="O3" s="42">
        <v>2074605</v>
      </c>
      <c r="P3" s="42">
        <v>2044813</v>
      </c>
      <c r="Q3" s="42">
        <v>2023825</v>
      </c>
      <c r="R3" s="42">
        <v>2001468</v>
      </c>
      <c r="S3" s="42">
        <v>1986096</v>
      </c>
      <c r="T3" s="42">
        <v>1968957</v>
      </c>
      <c r="U3" s="42">
        <v>1950116</v>
      </c>
      <c r="V3" s="42">
        <v>1934379</v>
      </c>
      <c r="W3" s="42">
        <v>1919968</v>
      </c>
      <c r="X3" s="42">
        <v>1907675</v>
      </c>
      <c r="Y3" s="42">
        <v>1893223</v>
      </c>
      <c r="Z3" s="42">
        <v>1875757</v>
      </c>
      <c r="AA3" s="42">
        <v>1883008</v>
      </c>
    </row>
    <row r="4" spans="1:27" x14ac:dyDescent="0.25">
      <c r="A4" s="43" t="s">
        <v>239</v>
      </c>
      <c r="B4" s="44"/>
      <c r="C4" s="44"/>
      <c r="D4" s="45">
        <v>873917</v>
      </c>
      <c r="E4" s="45">
        <v>874452</v>
      </c>
      <c r="F4" s="45">
        <v>873459</v>
      </c>
      <c r="G4" s="45">
        <v>876581</v>
      </c>
      <c r="H4" s="45">
        <v>879282</v>
      </c>
      <c r="I4" s="45">
        <v>880518</v>
      </c>
      <c r="J4" s="45">
        <v>865194</v>
      </c>
      <c r="K4" s="45">
        <v>858802</v>
      </c>
      <c r="L4" s="45">
        <v>861899</v>
      </c>
      <c r="M4" s="45">
        <v>873872</v>
      </c>
      <c r="N4" s="45">
        <v>860944</v>
      </c>
      <c r="O4" s="45">
        <v>859050</v>
      </c>
      <c r="P4" s="45">
        <v>853428</v>
      </c>
      <c r="Q4" s="45">
        <v>848208</v>
      </c>
      <c r="R4" s="45">
        <v>849520</v>
      </c>
      <c r="S4" s="45">
        <v>830308</v>
      </c>
      <c r="T4" s="45">
        <v>827293</v>
      </c>
      <c r="U4" s="45">
        <v>843111</v>
      </c>
      <c r="V4" s="45">
        <v>851025</v>
      </c>
      <c r="W4" s="45">
        <v>856364</v>
      </c>
      <c r="X4" s="45">
        <v>837067</v>
      </c>
      <c r="Y4" s="45">
        <v>836969</v>
      </c>
      <c r="Z4" s="45">
        <v>837392</v>
      </c>
      <c r="AA4" s="45">
        <v>850116</v>
      </c>
    </row>
    <row r="5" spans="1:27" x14ac:dyDescent="0.25">
      <c r="A5" s="46" t="s">
        <v>240</v>
      </c>
      <c r="B5" s="47"/>
      <c r="C5" s="47"/>
      <c r="D5" s="48">
        <f>D3/D4</f>
        <v>2.7253331838149388</v>
      </c>
      <c r="E5" s="48">
        <f t="shared" ref="E5:S5" si="0">E3/E4</f>
        <v>2.6912672164967315</v>
      </c>
      <c r="F5" s="48">
        <f t="shared" si="0"/>
        <v>2.6572008531596789</v>
      </c>
      <c r="G5" s="48">
        <f t="shared" si="0"/>
        <v>2.6231346561241917</v>
      </c>
      <c r="H5" s="48">
        <f t="shared" si="0"/>
        <v>2.5890669887476374</v>
      </c>
      <c r="I5" s="48">
        <f t="shared" si="0"/>
        <v>2.5550005792045138</v>
      </c>
      <c r="J5" s="48">
        <f t="shared" si="0"/>
        <v>2.5749993643044218</v>
      </c>
      <c r="K5" s="48">
        <f t="shared" si="0"/>
        <v>2.5720014625024161</v>
      </c>
      <c r="L5" s="48">
        <f t="shared" si="0"/>
        <v>2.5430009780728366</v>
      </c>
      <c r="M5" s="48">
        <f t="shared" si="0"/>
        <v>2.4750009154658805</v>
      </c>
      <c r="N5" s="48">
        <f t="shared" si="0"/>
        <v>2.462998754855136</v>
      </c>
      <c r="O5" s="48">
        <f t="shared" si="0"/>
        <v>2.4149991269425528</v>
      </c>
      <c r="P5" s="48">
        <f t="shared" si="0"/>
        <v>2.3959994281884351</v>
      </c>
      <c r="Q5" s="48">
        <f t="shared" si="0"/>
        <v>2.3860008394167469</v>
      </c>
      <c r="R5" s="48">
        <f t="shared" si="0"/>
        <v>2.3559986816084377</v>
      </c>
      <c r="S5" s="48">
        <f t="shared" si="0"/>
        <v>2.3919991135819481</v>
      </c>
      <c r="T5" s="48">
        <f t="shared" ref="T5:Y5" si="1">T3/T4</f>
        <v>2.3799995890210601</v>
      </c>
      <c r="U5" s="48">
        <f t="shared" si="1"/>
        <v>2.3130003048234458</v>
      </c>
      <c r="V5" s="48">
        <f t="shared" si="1"/>
        <v>2.2729990305807704</v>
      </c>
      <c r="W5" s="48">
        <f t="shared" si="1"/>
        <v>2.2419998972399586</v>
      </c>
      <c r="X5" s="48">
        <f t="shared" si="1"/>
        <v>2.2789991721092817</v>
      </c>
      <c r="Y5" s="48">
        <f t="shared" si="1"/>
        <v>2.2619989509766789</v>
      </c>
      <c r="Z5" s="48">
        <f t="shared" ref="Z5:AA5" si="2">Z3/Z4</f>
        <v>2.2399987102814451</v>
      </c>
      <c r="AA5" s="48">
        <f t="shared" si="2"/>
        <v>2.2150012468886597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4787.1400000000003</v>
      </c>
      <c r="E8" s="42">
        <v>4396.8999999999996</v>
      </c>
      <c r="F8" s="42">
        <v>4331.6899999999996</v>
      </c>
      <c r="G8" s="42">
        <v>4026.46</v>
      </c>
      <c r="H8" s="42">
        <v>4295.18</v>
      </c>
      <c r="I8" s="42">
        <v>4884.4399999999996</v>
      </c>
      <c r="J8" s="42">
        <v>4477.4799999999996</v>
      </c>
      <c r="K8" s="42">
        <v>5012.03</v>
      </c>
      <c r="L8" s="42">
        <v>4293.7</v>
      </c>
      <c r="M8" s="42">
        <v>3776.62</v>
      </c>
      <c r="N8" s="42">
        <v>3820.96</v>
      </c>
      <c r="O8" s="42">
        <v>4066.45</v>
      </c>
      <c r="P8" s="42">
        <v>4009.47</v>
      </c>
      <c r="Q8" s="42">
        <v>4346.95</v>
      </c>
      <c r="R8" s="42">
        <v>4408.33</v>
      </c>
      <c r="S8" s="42">
        <v>4109.78</v>
      </c>
      <c r="T8" s="42">
        <v>4707.4399999999996</v>
      </c>
      <c r="U8" s="42">
        <v>4282.84</v>
      </c>
      <c r="V8" s="42">
        <v>4267.8100000000004</v>
      </c>
      <c r="W8" s="42">
        <v>3980.25</v>
      </c>
      <c r="X8" s="42">
        <v>3732.08</v>
      </c>
      <c r="Y8" s="42">
        <v>4180.03</v>
      </c>
      <c r="Z8" s="42">
        <v>4057.45</v>
      </c>
      <c r="AA8" s="42">
        <v>4244.78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4286.3809523809523</v>
      </c>
      <c r="E9" s="45">
        <f t="shared" si="3"/>
        <v>4286.3809523809523</v>
      </c>
      <c r="F9" s="45">
        <f t="shared" si="3"/>
        <v>4286.3809523809523</v>
      </c>
      <c r="G9" s="45">
        <f t="shared" si="3"/>
        <v>4286.3809523809523</v>
      </c>
      <c r="H9" s="45">
        <f t="shared" si="3"/>
        <v>4286.3809523809523</v>
      </c>
      <c r="I9" s="45">
        <f t="shared" si="3"/>
        <v>4286.3809523809523</v>
      </c>
      <c r="J9" s="45">
        <f t="shared" si="3"/>
        <v>4286.3809523809523</v>
      </c>
      <c r="K9" s="45">
        <f t="shared" si="3"/>
        <v>4286.3809523809523</v>
      </c>
      <c r="L9" s="45">
        <f t="shared" si="3"/>
        <v>4286.3809523809523</v>
      </c>
      <c r="M9" s="45">
        <f t="shared" si="3"/>
        <v>4286.3809523809523</v>
      </c>
      <c r="N9" s="45">
        <f t="shared" si="3"/>
        <v>4286.3809523809523</v>
      </c>
      <c r="O9" s="45">
        <f t="shared" si="3"/>
        <v>4286.3809523809523</v>
      </c>
      <c r="P9" s="45">
        <f t="shared" si="3"/>
        <v>4286.3809523809523</v>
      </c>
      <c r="Q9" s="45">
        <f t="shared" si="3"/>
        <v>4286.3809523809523</v>
      </c>
      <c r="R9" s="45">
        <f t="shared" si="3"/>
        <v>4286.3809523809523</v>
      </c>
      <c r="S9" s="45">
        <f t="shared" si="3"/>
        <v>4286.3809523809523</v>
      </c>
      <c r="T9" s="45">
        <f t="shared" si="3"/>
        <v>4286.3809523809523</v>
      </c>
      <c r="U9" s="45">
        <f t="shared" si="3"/>
        <v>4286.3809523809523</v>
      </c>
      <c r="V9" s="45">
        <f t="shared" si="3"/>
        <v>4286.3809523809523</v>
      </c>
      <c r="W9" s="45">
        <f t="shared" si="3"/>
        <v>4286.3809523809523</v>
      </c>
      <c r="X9" s="45">
        <f>AVERAGE($D8:$X8)</f>
        <v>4286.3809523809523</v>
      </c>
      <c r="Y9" s="45">
        <f t="shared" ref="Y9:AA9" si="4">AVERAGE($D8:$X8)</f>
        <v>4286.3809523809523</v>
      </c>
      <c r="Z9" s="45">
        <f t="shared" si="4"/>
        <v>4286.3809523809523</v>
      </c>
      <c r="AA9" s="45">
        <f t="shared" si="4"/>
        <v>4286.3809523809523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1.1168256049059035</v>
      </c>
      <c r="E10" s="53">
        <f t="shared" si="5"/>
        <v>1.0257837669695824</v>
      </c>
      <c r="F10" s="53">
        <f t="shared" si="5"/>
        <v>1.0105704668162729</v>
      </c>
      <c r="G10" s="53">
        <f t="shared" si="5"/>
        <v>0.93936121047837007</v>
      </c>
      <c r="H10" s="53">
        <f t="shared" si="5"/>
        <v>1.0020527917879443</v>
      </c>
      <c r="I10" s="53">
        <f t="shared" si="5"/>
        <v>1.1395254071588863</v>
      </c>
      <c r="J10" s="53">
        <f t="shared" si="5"/>
        <v>1.0445828426689181</v>
      </c>
      <c r="K10" s="53">
        <f t="shared" si="5"/>
        <v>1.1692917768347146</v>
      </c>
      <c r="L10" s="53">
        <f t="shared" si="5"/>
        <v>1.0017075121647743</v>
      </c>
      <c r="M10" s="53">
        <f t="shared" si="5"/>
        <v>0.88107427733463684</v>
      </c>
      <c r="N10" s="53">
        <f t="shared" si="5"/>
        <v>0.89141866820716775</v>
      </c>
      <c r="O10" s="53">
        <f t="shared" si="5"/>
        <v>0.94869075921523316</v>
      </c>
      <c r="P10" s="53">
        <f t="shared" si="5"/>
        <v>0.93539749372319858</v>
      </c>
      <c r="Q10" s="53">
        <f t="shared" si="5"/>
        <v>1.0141305796876041</v>
      </c>
      <c r="R10" s="53">
        <f t="shared" si="5"/>
        <v>1.0284503521674406</v>
      </c>
      <c r="S10" s="53">
        <f t="shared" si="5"/>
        <v>0.95879952007465497</v>
      </c>
      <c r="T10" s="53">
        <f t="shared" ref="T10:Y10" si="6">IF(T8=0,0,T8/T9)</f>
        <v>1.0982318306041281</v>
      </c>
      <c r="U10" s="53">
        <f t="shared" si="6"/>
        <v>0.99917390628124514</v>
      </c>
      <c r="V10" s="53">
        <f t="shared" si="6"/>
        <v>0.99566745172973103</v>
      </c>
      <c r="W10" s="53">
        <f t="shared" si="6"/>
        <v>0.92858055413602325</v>
      </c>
      <c r="X10" s="53">
        <f t="shared" si="6"/>
        <v>0.87068322705356949</v>
      </c>
      <c r="Y10" s="53">
        <f t="shared" si="6"/>
        <v>0.97518863732308303</v>
      </c>
      <c r="Z10" s="53">
        <f t="shared" ref="Z10:AA10" si="7">IF(Z8=0,0,Z8/Z9)</f>
        <v>0.94659108583109297</v>
      </c>
      <c r="AA10" s="53">
        <f t="shared" si="7"/>
        <v>0.99029462083675868</v>
      </c>
    </row>
    <row r="11" spans="1:27" x14ac:dyDescent="0.25">
      <c r="A11" s="43" t="s">
        <v>251</v>
      </c>
      <c r="B11" s="44"/>
      <c r="C11" s="44"/>
      <c r="D11" s="45">
        <v>0</v>
      </c>
      <c r="E11" s="45">
        <v>0.05</v>
      </c>
      <c r="F11" s="45">
        <v>0.13</v>
      </c>
      <c r="G11" s="45">
        <v>0</v>
      </c>
      <c r="H11" s="45">
        <v>0.69</v>
      </c>
      <c r="I11" s="45">
        <v>0</v>
      </c>
      <c r="J11" s="45">
        <v>0.4</v>
      </c>
      <c r="K11" s="45">
        <v>0</v>
      </c>
      <c r="L11" s="45">
        <v>2.4300000000000002</v>
      </c>
      <c r="M11" s="45">
        <v>0.36</v>
      </c>
      <c r="N11" s="45">
        <v>0</v>
      </c>
      <c r="O11" s="45">
        <v>0</v>
      </c>
      <c r="P11" s="45">
        <v>11.13</v>
      </c>
      <c r="Q11" s="45">
        <v>0</v>
      </c>
      <c r="R11" s="45">
        <v>6.6</v>
      </c>
      <c r="S11" s="45">
        <v>0.72</v>
      </c>
      <c r="T11" s="45">
        <v>0.03</v>
      </c>
      <c r="U11" s="45">
        <v>4.92</v>
      </c>
      <c r="V11" s="45">
        <v>2.41</v>
      </c>
      <c r="W11" s="45">
        <v>6.31</v>
      </c>
      <c r="X11" s="45">
        <v>0</v>
      </c>
      <c r="Y11" s="45">
        <v>11.51</v>
      </c>
      <c r="Z11" s="45">
        <v>15.44</v>
      </c>
      <c r="AA11" s="45">
        <v>9.93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1.7228571428571429</v>
      </c>
      <c r="E12" s="45">
        <f t="shared" ref="E12" si="9">AVERAGE($D11:$X11)</f>
        <v>1.7228571428571429</v>
      </c>
      <c r="F12" s="45">
        <f t="shared" ref="F12" si="10">AVERAGE($D11:$X11)</f>
        <v>1.7228571428571429</v>
      </c>
      <c r="G12" s="45">
        <f t="shared" ref="G12" si="11">AVERAGE($D11:$X11)</f>
        <v>1.7228571428571429</v>
      </c>
      <c r="H12" s="45">
        <f t="shared" ref="H12" si="12">AVERAGE($D11:$X11)</f>
        <v>1.7228571428571429</v>
      </c>
      <c r="I12" s="45">
        <f t="shared" ref="I12" si="13">AVERAGE($D11:$X11)</f>
        <v>1.7228571428571429</v>
      </c>
      <c r="J12" s="45">
        <f t="shared" ref="J12" si="14">AVERAGE($D11:$X11)</f>
        <v>1.7228571428571429</v>
      </c>
      <c r="K12" s="45">
        <f t="shared" ref="K12" si="15">AVERAGE($D11:$X11)</f>
        <v>1.7228571428571429</v>
      </c>
      <c r="L12" s="45">
        <f t="shared" ref="L12" si="16">AVERAGE($D11:$X11)</f>
        <v>1.7228571428571429</v>
      </c>
      <c r="M12" s="45">
        <f t="shared" ref="M12" si="17">AVERAGE($D11:$X11)</f>
        <v>1.7228571428571429</v>
      </c>
      <c r="N12" s="45">
        <f t="shared" ref="N12" si="18">AVERAGE($D11:$X11)</f>
        <v>1.7228571428571429</v>
      </c>
      <c r="O12" s="45">
        <f t="shared" ref="O12" si="19">AVERAGE($D11:$X11)</f>
        <v>1.7228571428571429</v>
      </c>
      <c r="P12" s="45">
        <f t="shared" ref="P12" si="20">AVERAGE($D11:$X11)</f>
        <v>1.7228571428571429</v>
      </c>
      <c r="Q12" s="45">
        <f t="shared" ref="Q12" si="21">AVERAGE($D11:$X11)</f>
        <v>1.7228571428571429</v>
      </c>
      <c r="R12" s="45">
        <f t="shared" ref="R12" si="22">AVERAGE($D11:$X11)</f>
        <v>1.7228571428571429</v>
      </c>
      <c r="S12" s="45">
        <f t="shared" ref="S12" si="23">AVERAGE($D11:$X11)</f>
        <v>1.7228571428571429</v>
      </c>
      <c r="T12" s="45">
        <f t="shared" ref="T12" si="24">AVERAGE($D11:$X11)</f>
        <v>1.7228571428571429</v>
      </c>
      <c r="U12" s="45">
        <f t="shared" ref="U12" si="25">AVERAGE($D11:$X11)</f>
        <v>1.7228571428571429</v>
      </c>
      <c r="V12" s="45">
        <f t="shared" ref="V12" si="26">AVERAGE($D11:$X11)</f>
        <v>1.7228571428571429</v>
      </c>
      <c r="W12" s="45">
        <f t="shared" ref="W12" si="27">AVERAGE($D11:$X11)</f>
        <v>1.7228571428571429</v>
      </c>
      <c r="X12" s="45">
        <f>AVERAGE($D11:$X11)</f>
        <v>1.7228571428571429</v>
      </c>
      <c r="Y12" s="45">
        <f t="shared" ref="Y12:AA12" si="28">AVERAGE($D11:$X11)</f>
        <v>1.7228571428571429</v>
      </c>
      <c r="Z12" s="45">
        <f t="shared" si="28"/>
        <v>1.7228571428571429</v>
      </c>
      <c r="AA12" s="45">
        <f t="shared" si="28"/>
        <v>1.7228571428571429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</v>
      </c>
      <c r="E13" s="55">
        <f t="shared" si="29"/>
        <v>2.9021558872305144E-2</v>
      </c>
      <c r="F13" s="55">
        <f t="shared" ref="F13" si="30">IF(F11=0,0,F11/F12)</f>
        <v>7.545605306799337E-2</v>
      </c>
      <c r="G13" s="55">
        <f t="shared" ref="G13" si="31">IF(G11=0,0,G11/G12)</f>
        <v>0</v>
      </c>
      <c r="H13" s="55">
        <f t="shared" ref="H13" si="32">IF(H11=0,0,H11/H12)</f>
        <v>0.4004975124378109</v>
      </c>
      <c r="I13" s="55">
        <f t="shared" ref="I13" si="33">IF(I11=0,0,I11/I12)</f>
        <v>0</v>
      </c>
      <c r="J13" s="55">
        <f t="shared" ref="J13" si="34">IF(J11=0,0,J11/J12)</f>
        <v>0.23217247097844115</v>
      </c>
      <c r="K13" s="55">
        <f t="shared" ref="K13" si="35">IF(K11=0,0,K11/K12)</f>
        <v>0</v>
      </c>
      <c r="L13" s="55">
        <f t="shared" ref="L13" si="36">IF(L11=0,0,L11/L12)</f>
        <v>1.41044776119403</v>
      </c>
      <c r="M13" s="55">
        <f t="shared" ref="M13" si="37">IF(M11=0,0,M11/M12)</f>
        <v>0.20895522388059701</v>
      </c>
      <c r="N13" s="55">
        <f t="shared" ref="N13" si="38">IF(N11=0,0,N11/N12)</f>
        <v>0</v>
      </c>
      <c r="O13" s="55">
        <f t="shared" ref="O13" si="39">IF(O11=0,0,O11/O12)</f>
        <v>0</v>
      </c>
      <c r="P13" s="55">
        <f t="shared" ref="P13" si="40">IF(P11=0,0,P11/P12)</f>
        <v>6.4601990049751246</v>
      </c>
      <c r="Q13" s="55">
        <f t="shared" ref="Q13" si="41">IF(Q11=0,0,Q11/Q12)</f>
        <v>0</v>
      </c>
      <c r="R13" s="55">
        <f t="shared" ref="R13" si="42">IF(R11=0,0,R11/R12)</f>
        <v>3.8308457711442783</v>
      </c>
      <c r="S13" s="55">
        <f t="shared" ref="S13:Y13" si="43">IF(S11=0,0,S11/S12)</f>
        <v>0.41791044776119401</v>
      </c>
      <c r="T13" s="55">
        <f t="shared" si="43"/>
        <v>1.7412935323383085E-2</v>
      </c>
      <c r="U13" s="55">
        <f t="shared" si="43"/>
        <v>2.855721393034826</v>
      </c>
      <c r="V13" s="55">
        <f t="shared" si="43"/>
        <v>1.3988391376451079</v>
      </c>
      <c r="W13" s="55">
        <f t="shared" si="43"/>
        <v>3.6625207296849087</v>
      </c>
      <c r="X13" s="55">
        <f t="shared" si="43"/>
        <v>0</v>
      </c>
      <c r="Y13" s="55">
        <f t="shared" si="43"/>
        <v>6.6807628524046434</v>
      </c>
      <c r="Z13" s="55">
        <f t="shared" ref="Z13:AA13" si="44">IF(Z11=0,0,Z11/Z12)</f>
        <v>8.961857379767828</v>
      </c>
      <c r="AA13" s="55">
        <f t="shared" si="44"/>
        <v>5.7636815920398012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18625.901604587289</v>
      </c>
      <c r="E16" s="42">
        <v>19829.486952295851</v>
      </c>
      <c r="F16" s="42">
        <v>21349.262130112282</v>
      </c>
      <c r="G16" s="42">
        <v>23148.990868115485</v>
      </c>
      <c r="H16" s="42">
        <v>25168.53041129767</v>
      </c>
      <c r="I16" s="42">
        <v>28092.148385007942</v>
      </c>
      <c r="J16" s="42">
        <v>31695.017014015164</v>
      </c>
      <c r="K16" s="42">
        <v>34995.560431079117</v>
      </c>
      <c r="L16" s="42">
        <v>33809.71738965952</v>
      </c>
      <c r="M16" s="42">
        <v>28386.767157762752</v>
      </c>
      <c r="N16" s="42">
        <v>27347.326847123681</v>
      </c>
      <c r="O16" s="42">
        <v>28177.781087765325</v>
      </c>
      <c r="P16" s="42">
        <v>30236.240846145909</v>
      </c>
      <c r="Q16" s="42">
        <v>30869.884495879218</v>
      </c>
      <c r="R16" s="42">
        <v>31516.620167645437</v>
      </c>
      <c r="S16" s="42">
        <v>32709.197907999998</v>
      </c>
      <c r="T16" s="42">
        <v>33543.794123727741</v>
      </c>
      <c r="U16" s="42">
        <v>34683.75972671144</v>
      </c>
      <c r="V16" s="42">
        <v>36178.506986072636</v>
      </c>
      <c r="W16" s="42">
        <v>36422.939674136607</v>
      </c>
      <c r="X16" s="42">
        <v>35159.409187612444</v>
      </c>
      <c r="Y16" s="42">
        <v>37600.290441164034</v>
      </c>
      <c r="Z16" s="42">
        <v>38279.670491336372</v>
      </c>
      <c r="AA16" s="42">
        <v>39372.400000000001</v>
      </c>
    </row>
    <row r="17" spans="1:27" x14ac:dyDescent="0.25">
      <c r="A17" s="46" t="s">
        <v>141</v>
      </c>
      <c r="B17" s="47"/>
      <c r="C17" s="47"/>
      <c r="D17" s="57">
        <v>10965.820066924145</v>
      </c>
      <c r="E17" s="57">
        <v>11531.794024334122</v>
      </c>
      <c r="F17" s="57">
        <v>12333.022811694271</v>
      </c>
      <c r="G17" s="57">
        <v>13311.728438538205</v>
      </c>
      <c r="H17" s="57">
        <v>14692.974887281116</v>
      </c>
      <c r="I17" s="57">
        <v>16383.420608909457</v>
      </c>
      <c r="J17" s="57">
        <v>19651.674820299409</v>
      </c>
      <c r="K17" s="57">
        <v>21974.825367877944</v>
      </c>
      <c r="L17" s="57">
        <v>19948.510886805281</v>
      </c>
      <c r="M17" s="57">
        <v>16162.802060156573</v>
      </c>
      <c r="N17" s="57">
        <v>16769.780761165974</v>
      </c>
      <c r="O17" s="57">
        <v>16876.250308731807</v>
      </c>
      <c r="P17" s="57">
        <v>17872.60629477994</v>
      </c>
      <c r="Q17" s="57">
        <v>19070.28831130897</v>
      </c>
      <c r="R17" s="57">
        <v>19241.153947737286</v>
      </c>
      <c r="S17" s="57">
        <v>19594.072917000001</v>
      </c>
      <c r="T17" s="57">
        <v>20359.243579252608</v>
      </c>
      <c r="U17" s="57">
        <v>20930.602380906406</v>
      </c>
      <c r="V17" s="57">
        <v>21686.706955834772</v>
      </c>
      <c r="W17" s="57">
        <v>21661.912587056075</v>
      </c>
      <c r="X17" s="57">
        <v>20626.349946422084</v>
      </c>
      <c r="Y17" s="57">
        <v>22287.219261671322</v>
      </c>
      <c r="Z17" s="57">
        <v>23423.737063306886</v>
      </c>
      <c r="AA17" s="57">
        <v>23182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7820.3738081958954</v>
      </c>
      <c r="E20" s="42">
        <f t="shared" ref="E20:S20" si="45">1000000*E16/E$3</f>
        <v>8425.946191652467</v>
      </c>
      <c r="F20" s="42">
        <f t="shared" si="45"/>
        <v>9198.4777523194243</v>
      </c>
      <c r="G20" s="42">
        <f t="shared" si="45"/>
        <v>10067.448700792596</v>
      </c>
      <c r="H20" s="42">
        <f t="shared" si="45"/>
        <v>11055.703622765302</v>
      </c>
      <c r="I20" s="42">
        <f t="shared" si="45"/>
        <v>12486.931012429943</v>
      </c>
      <c r="J20" s="42">
        <f t="shared" si="45"/>
        <v>14226.575207581382</v>
      </c>
      <c r="K20" s="42">
        <f t="shared" si="45"/>
        <v>15843.411216330343</v>
      </c>
      <c r="L20" s="42">
        <f t="shared" si="45"/>
        <v>15425.478207353521</v>
      </c>
      <c r="M20" s="42">
        <f t="shared" si="45"/>
        <v>13124.801606486099</v>
      </c>
      <c r="N20" s="42">
        <f t="shared" si="45"/>
        <v>12896.616486987848</v>
      </c>
      <c r="O20" s="42">
        <f t="shared" si="45"/>
        <v>13582.239070938962</v>
      </c>
      <c r="P20" s="42">
        <f t="shared" si="45"/>
        <v>14786.799989116809</v>
      </c>
      <c r="Q20" s="42">
        <f t="shared" si="45"/>
        <v>15253.238049672882</v>
      </c>
      <c r="R20" s="42">
        <f t="shared" si="45"/>
        <v>15746.751967878296</v>
      </c>
      <c r="S20" s="42">
        <f t="shared" si="45"/>
        <v>16469.092082155141</v>
      </c>
      <c r="T20" s="42">
        <f t="shared" ref="T20:Y20" si="46">1000000*T16/T$3</f>
        <v>17036.326402114286</v>
      </c>
      <c r="U20" s="42">
        <f t="shared" si="46"/>
        <v>17785.485441230903</v>
      </c>
      <c r="V20" s="42">
        <f t="shared" si="46"/>
        <v>18702.905162883097</v>
      </c>
      <c r="W20" s="42">
        <f t="shared" si="46"/>
        <v>18970.59725690043</v>
      </c>
      <c r="X20" s="42">
        <f t="shared" si="46"/>
        <v>18430.502673470295</v>
      </c>
      <c r="Y20" s="42">
        <f t="shared" si="46"/>
        <v>19860.465693245875</v>
      </c>
      <c r="Z20" s="42">
        <f t="shared" ref="Z20:AA20" si="47">1000000*Z16/Z$3</f>
        <v>20407.5850397127</v>
      </c>
      <c r="AA20" s="42">
        <f t="shared" si="47"/>
        <v>20909.311059751206</v>
      </c>
    </row>
    <row r="21" spans="1:27" x14ac:dyDescent="0.25">
      <c r="A21" s="46" t="s">
        <v>141</v>
      </c>
      <c r="B21" s="47"/>
      <c r="C21" s="47"/>
      <c r="D21" s="57">
        <f>1000000*D17/D$3</f>
        <v>4604.169712549211</v>
      </c>
      <c r="E21" s="57">
        <f t="shared" ref="E21:S21" si="48">1000000*E17/E$3</f>
        <v>4900.0902633544383</v>
      </c>
      <c r="F21" s="57">
        <f t="shared" si="48"/>
        <v>5313.7684694127211</v>
      </c>
      <c r="G21" s="57">
        <f t="shared" si="48"/>
        <v>5789.2434247944911</v>
      </c>
      <c r="H21" s="57">
        <f t="shared" si="48"/>
        <v>6454.1382844346272</v>
      </c>
      <c r="I21" s="57">
        <f t="shared" si="48"/>
        <v>7282.4135800255744</v>
      </c>
      <c r="J21" s="57">
        <f t="shared" si="48"/>
        <v>8820.8196784465399</v>
      </c>
      <c r="K21" s="57">
        <f t="shared" si="48"/>
        <v>9948.5817749940888</v>
      </c>
      <c r="L21" s="57">
        <f t="shared" si="48"/>
        <v>9101.3869298914069</v>
      </c>
      <c r="M21" s="57">
        <f t="shared" si="48"/>
        <v>7472.9739130032967</v>
      </c>
      <c r="N21" s="57">
        <f t="shared" si="48"/>
        <v>7908.3938352231235</v>
      </c>
      <c r="O21" s="57">
        <f t="shared" si="48"/>
        <v>8134.681208582746</v>
      </c>
      <c r="P21" s="57">
        <f t="shared" si="48"/>
        <v>8740.460029733742</v>
      </c>
      <c r="Q21" s="57">
        <f t="shared" si="48"/>
        <v>9422.8939316931901</v>
      </c>
      <c r="R21" s="57">
        <f t="shared" si="48"/>
        <v>9613.5206497117542</v>
      </c>
      <c r="S21" s="57">
        <f t="shared" si="48"/>
        <v>9865.622264482683</v>
      </c>
      <c r="T21" s="57">
        <f t="shared" ref="T21:Y21" si="49">1000000*T17/T$3</f>
        <v>10340.11589854558</v>
      </c>
      <c r="U21" s="57">
        <f t="shared" si="49"/>
        <v>10733.003770496938</v>
      </c>
      <c r="V21" s="57">
        <f t="shared" si="49"/>
        <v>11211.198506515409</v>
      </c>
      <c r="W21" s="57">
        <f t="shared" si="49"/>
        <v>11282.434179661368</v>
      </c>
      <c r="X21" s="57">
        <f t="shared" si="49"/>
        <v>10812.297664131513</v>
      </c>
      <c r="Y21" s="57">
        <f t="shared" si="49"/>
        <v>11772.104639374929</v>
      </c>
      <c r="Z21" s="57">
        <f t="shared" ref="Z21:AA21" si="50">1000000*Z17/Z$3</f>
        <v>12487.618099416333</v>
      </c>
      <c r="AA21" s="57">
        <f t="shared" si="50"/>
        <v>12311.1532186799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16197.691835208327</v>
      </c>
      <c r="E23" s="60">
        <v>17262.971725703908</v>
      </c>
      <c r="F23" s="60">
        <v>18626.264022106512</v>
      </c>
      <c r="G23" s="60">
        <v>20183.618504630234</v>
      </c>
      <c r="H23" s="60">
        <v>21948.98973207935</v>
      </c>
      <c r="I23" s="60">
        <v>24560.150170648467</v>
      </c>
      <c r="J23" s="60">
        <v>27591.913497786907</v>
      </c>
      <c r="K23" s="60">
        <v>30219.567604811</v>
      </c>
      <c r="L23" s="60">
        <v>29664.635106284797</v>
      </c>
      <c r="M23" s="60">
        <v>25592.114314522907</v>
      </c>
      <c r="N23" s="60">
        <v>24496.801390040313</v>
      </c>
      <c r="O23" s="60">
        <v>25142.843407969642</v>
      </c>
      <c r="P23" s="60">
        <v>26881.861103442552</v>
      </c>
      <c r="Q23" s="60">
        <v>27263.149021793601</v>
      </c>
      <c r="R23" s="60">
        <v>27759.075030917262</v>
      </c>
      <c r="S23" s="60">
        <v>28740.904094999998</v>
      </c>
      <c r="T23" s="60">
        <v>29315.952335918289</v>
      </c>
      <c r="U23" s="60">
        <v>30312.135186316431</v>
      </c>
      <c r="V23" s="60">
        <v>31430.63847556528</v>
      </c>
      <c r="W23" s="60">
        <v>31627.200517088942</v>
      </c>
      <c r="X23" s="60">
        <v>30524.438320073041</v>
      </c>
      <c r="Y23" s="60">
        <v>32753.157888788621</v>
      </c>
      <c r="Z23" s="60">
        <v>33274.823853134061</v>
      </c>
      <c r="AA23" s="60">
        <v>34586.699999999997</v>
      </c>
    </row>
    <row r="24" spans="1:27" x14ac:dyDescent="0.25">
      <c r="A24" s="61" t="s">
        <v>33</v>
      </c>
      <c r="B24" s="62"/>
      <c r="C24" s="62"/>
      <c r="D24" s="63">
        <v>825.86277228956953</v>
      </c>
      <c r="E24" s="63">
        <v>862.03830608537703</v>
      </c>
      <c r="F24" s="63">
        <v>959.49331323650313</v>
      </c>
      <c r="G24" s="63">
        <v>928.20548780487809</v>
      </c>
      <c r="H24" s="63">
        <v>1072.2723053821228</v>
      </c>
      <c r="I24" s="63">
        <v>1073.9293014789534</v>
      </c>
      <c r="J24" s="63">
        <v>1074.4966383078472</v>
      </c>
      <c r="K24" s="63">
        <v>1182.2339587628867</v>
      </c>
      <c r="L24" s="63">
        <v>1024.5528040114436</v>
      </c>
      <c r="M24" s="63">
        <v>937.99095889490138</v>
      </c>
      <c r="N24" s="63">
        <v>1136.7363250241324</v>
      </c>
      <c r="O24" s="63">
        <v>1078.2856947682299</v>
      </c>
      <c r="P24" s="63">
        <v>1079.3419042479218</v>
      </c>
      <c r="Q24" s="63">
        <v>1000.0332804941655</v>
      </c>
      <c r="R24" s="63">
        <v>1146.7897867462975</v>
      </c>
      <c r="S24" s="63">
        <v>1167.9862799999999</v>
      </c>
      <c r="T24" s="63">
        <v>1122.2168596258946</v>
      </c>
      <c r="U24" s="63">
        <v>1265.5048404456468</v>
      </c>
      <c r="V24" s="63">
        <v>1333.8147421870617</v>
      </c>
      <c r="W24" s="63">
        <v>1408.0564877247193</v>
      </c>
      <c r="X24" s="63">
        <v>1434.4693074214165</v>
      </c>
      <c r="Y24" s="63">
        <v>1585.1238936634984</v>
      </c>
      <c r="Z24" s="63">
        <v>1934.399951959738</v>
      </c>
      <c r="AA24" s="63">
        <v>1540.7</v>
      </c>
    </row>
    <row r="25" spans="1:27" x14ac:dyDescent="0.25">
      <c r="A25" s="64" t="s">
        <v>56</v>
      </c>
      <c r="B25" s="65"/>
      <c r="C25" s="65"/>
      <c r="D25" s="66">
        <v>20.053586898937333</v>
      </c>
      <c r="E25" s="66">
        <v>28.699695731153497</v>
      </c>
      <c r="F25" s="66">
        <v>38.346021741116289</v>
      </c>
      <c r="G25" s="66">
        <v>51.878337041243178</v>
      </c>
      <c r="H25" s="66">
        <v>52.716773887615588</v>
      </c>
      <c r="I25" s="66">
        <v>72.211039817974978</v>
      </c>
      <c r="J25" s="66">
        <v>88.1579554072501</v>
      </c>
      <c r="K25" s="66">
        <v>104.46395532646045</v>
      </c>
      <c r="L25" s="66">
        <v>102.17147076014396</v>
      </c>
      <c r="M25" s="66">
        <v>121.70626491446239</v>
      </c>
      <c r="N25" s="66">
        <v>125.74430950544068</v>
      </c>
      <c r="O25" s="66">
        <v>124.54454865817291</v>
      </c>
      <c r="P25" s="66">
        <v>137.30550372069376</v>
      </c>
      <c r="Q25" s="66">
        <v>149.16997985293662</v>
      </c>
      <c r="R25" s="66">
        <v>127.17372786776458</v>
      </c>
      <c r="S25" s="66">
        <v>150.14989499999999</v>
      </c>
      <c r="T25" s="66">
        <v>148.50844275432286</v>
      </c>
      <c r="U25" s="66">
        <v>158.99301296896044</v>
      </c>
      <c r="V25" s="66">
        <v>169.67714817565346</v>
      </c>
      <c r="W25" s="66">
        <v>157.32958034526186</v>
      </c>
      <c r="X25" s="66">
        <v>166.41817399243521</v>
      </c>
      <c r="Y25" s="66">
        <v>160.13474575556438</v>
      </c>
      <c r="Z25" s="66">
        <v>176.42714672496672</v>
      </c>
      <c r="AA25" s="66">
        <v>180.28574238477486</v>
      </c>
    </row>
    <row r="26" spans="1:27" x14ac:dyDescent="0.25">
      <c r="A26" s="67" t="s">
        <v>146</v>
      </c>
      <c r="B26" s="44"/>
      <c r="C26" s="44"/>
      <c r="D26" s="45">
        <v>11177.826211474337</v>
      </c>
      <c r="E26" s="45">
        <v>12176.840976385105</v>
      </c>
      <c r="F26" s="45">
        <v>13072.83302731342</v>
      </c>
      <c r="G26" s="45">
        <v>14497.69343747303</v>
      </c>
      <c r="H26" s="45">
        <v>15673.506221449459</v>
      </c>
      <c r="I26" s="45">
        <v>17932.268277588169</v>
      </c>
      <c r="J26" s="45">
        <v>19983.423982736509</v>
      </c>
      <c r="K26" s="45">
        <v>21644.170652920966</v>
      </c>
      <c r="L26" s="45">
        <v>21527.103174700835</v>
      </c>
      <c r="M26" s="45">
        <v>19027.417920881922</v>
      </c>
      <c r="N26" s="45">
        <v>18047.941431378833</v>
      </c>
      <c r="O26" s="45">
        <v>18391.178387638931</v>
      </c>
      <c r="P26" s="45">
        <v>19761.651535499674</v>
      </c>
      <c r="Q26" s="45">
        <v>20307.355691801062</v>
      </c>
      <c r="R26" s="45">
        <v>20810.714393870847</v>
      </c>
      <c r="S26" s="45">
        <v>21519.316886999994</v>
      </c>
      <c r="T26" s="45">
        <v>22153.10635023344</v>
      </c>
      <c r="U26" s="45">
        <v>22575.902661949713</v>
      </c>
      <c r="V26" s="45">
        <v>23476.70358533736</v>
      </c>
      <c r="W26" s="45">
        <v>23482.521275664665</v>
      </c>
      <c r="X26" s="45">
        <v>22380.416616668841</v>
      </c>
      <c r="Y26" s="45">
        <v>23658.858238801695</v>
      </c>
      <c r="Z26" s="45">
        <v>23917.903304902236</v>
      </c>
      <c r="AA26" s="45">
        <v>25049.233621471409</v>
      </c>
    </row>
    <row r="27" spans="1:27" x14ac:dyDescent="0.25">
      <c r="A27" s="68" t="s">
        <v>148</v>
      </c>
      <c r="B27" s="69"/>
      <c r="C27" s="69"/>
      <c r="D27" s="70">
        <v>5137.5995855277488</v>
      </c>
      <c r="E27" s="70">
        <v>5568.9978928247037</v>
      </c>
      <c r="F27" s="70">
        <v>5968.4950762766048</v>
      </c>
      <c r="G27" s="70">
        <v>6605.2853332463801</v>
      </c>
      <c r="H27" s="70">
        <v>7025.1116604757754</v>
      </c>
      <c r="I27" s="70">
        <v>7657.9387895335612</v>
      </c>
      <c r="J27" s="70">
        <v>8074.0856431752682</v>
      </c>
      <c r="K27" s="70">
        <v>8576.665103092786</v>
      </c>
      <c r="L27" s="70">
        <v>9083.1856553973012</v>
      </c>
      <c r="M27" s="70">
        <v>8151.9941518502301</v>
      </c>
      <c r="N27" s="70">
        <v>7504.3770938617936</v>
      </c>
      <c r="O27" s="70">
        <v>7576.5100612632168</v>
      </c>
      <c r="P27" s="70">
        <v>7992.0133415669443</v>
      </c>
      <c r="Q27" s="70">
        <v>8200.3861220482486</v>
      </c>
      <c r="R27" s="70">
        <v>8284.2413386420594</v>
      </c>
      <c r="S27" s="70">
        <v>8615.6978459999991</v>
      </c>
      <c r="T27" s="70">
        <v>8779.7695409793578</v>
      </c>
      <c r="U27" s="70">
        <v>9143.6783838031261</v>
      </c>
      <c r="V27" s="70">
        <v>9560.5801239970824</v>
      </c>
      <c r="W27" s="70">
        <v>9556.072648763542</v>
      </c>
      <c r="X27" s="70">
        <v>8692.4917229685689</v>
      </c>
      <c r="Y27" s="70">
        <v>9354.3435374092332</v>
      </c>
      <c r="Z27" s="70">
        <v>9706.6123387219759</v>
      </c>
      <c r="AA27" s="70">
        <v>9884.1999999999953</v>
      </c>
    </row>
    <row r="28" spans="1:27" x14ac:dyDescent="0.25">
      <c r="A28" s="68" t="s">
        <v>150</v>
      </c>
      <c r="B28" s="71"/>
      <c r="C28" s="71"/>
      <c r="D28" s="70">
        <v>3420.3225310854186</v>
      </c>
      <c r="E28" s="70">
        <v>3787.1029155313354</v>
      </c>
      <c r="F28" s="70">
        <v>3985.6686443774552</v>
      </c>
      <c r="G28" s="70">
        <v>4393.7466381896447</v>
      </c>
      <c r="H28" s="70">
        <v>4823.6941816170074</v>
      </c>
      <c r="I28" s="70">
        <v>5657.4410875995463</v>
      </c>
      <c r="J28" s="70">
        <v>6577.4994001902851</v>
      </c>
      <c r="K28" s="70">
        <v>7554.5352336769756</v>
      </c>
      <c r="L28" s="70">
        <v>7498.2507152305652</v>
      </c>
      <c r="M28" s="70">
        <v>6273.6866366416843</v>
      </c>
      <c r="N28" s="70">
        <v>6083.9674567031971</v>
      </c>
      <c r="O28" s="70">
        <v>6502.5759230143676</v>
      </c>
      <c r="P28" s="70">
        <v>7135.8646933670998</v>
      </c>
      <c r="Q28" s="70">
        <v>7491.4748990090093</v>
      </c>
      <c r="R28" s="70">
        <v>7879.34467770639</v>
      </c>
      <c r="S28" s="70">
        <v>8034.6108329999997</v>
      </c>
      <c r="T28" s="70">
        <v>8432.0558957920621</v>
      </c>
      <c r="U28" s="70">
        <v>8371.7083544230136</v>
      </c>
      <c r="V28" s="70">
        <v>8791.5046400718165</v>
      </c>
      <c r="W28" s="70">
        <v>8641.2623159154446</v>
      </c>
      <c r="X28" s="70">
        <v>8520.5383096387104</v>
      </c>
      <c r="Y28" s="70">
        <v>9053.448949539079</v>
      </c>
      <c r="Z28" s="70">
        <v>9207.6846766814106</v>
      </c>
      <c r="AA28" s="70">
        <v>10138.499999999998</v>
      </c>
    </row>
    <row r="29" spans="1:27" x14ac:dyDescent="0.25">
      <c r="A29" s="68" t="s">
        <v>152</v>
      </c>
      <c r="B29" s="71"/>
      <c r="C29" s="71"/>
      <c r="D29" s="70">
        <v>2619.9040948611669</v>
      </c>
      <c r="E29" s="70">
        <v>2820.7401680290645</v>
      </c>
      <c r="F29" s="70">
        <v>3118.6693066593589</v>
      </c>
      <c r="G29" s="70">
        <v>3498.6614660370055</v>
      </c>
      <c r="H29" s="70">
        <v>3824.7003793566746</v>
      </c>
      <c r="I29" s="70">
        <v>4616.8884004550628</v>
      </c>
      <c r="J29" s="70">
        <v>5331.8389393709585</v>
      </c>
      <c r="K29" s="70">
        <v>5512.9703161512025</v>
      </c>
      <c r="L29" s="70">
        <v>4945.6668040729701</v>
      </c>
      <c r="M29" s="70">
        <v>4601.7371323900115</v>
      </c>
      <c r="N29" s="70">
        <v>4459.5968808138441</v>
      </c>
      <c r="O29" s="70">
        <v>4312.0924033613446</v>
      </c>
      <c r="P29" s="70">
        <v>4633.7735005656295</v>
      </c>
      <c r="Q29" s="70">
        <v>4615.4946707438048</v>
      </c>
      <c r="R29" s="70">
        <v>4647.1283775223956</v>
      </c>
      <c r="S29" s="70">
        <v>4869.0082080000002</v>
      </c>
      <c r="T29" s="70">
        <v>4941.2809134620165</v>
      </c>
      <c r="U29" s="70">
        <v>5060.5159237235694</v>
      </c>
      <c r="V29" s="70">
        <v>5124.6188212684656</v>
      </c>
      <c r="W29" s="70">
        <v>5285.186310985684</v>
      </c>
      <c r="X29" s="70">
        <v>5167.3865840615636</v>
      </c>
      <c r="Y29" s="70">
        <v>5251.0657518533835</v>
      </c>
      <c r="Z29" s="70">
        <v>5003.6062894988481</v>
      </c>
      <c r="AA29" s="70">
        <v>5026.5336214714107</v>
      </c>
    </row>
    <row r="30" spans="1:27" x14ac:dyDescent="0.25">
      <c r="A30" s="64" t="s">
        <v>154</v>
      </c>
      <c r="B30" s="65"/>
      <c r="C30" s="65"/>
      <c r="D30" s="66">
        <v>548.99389510424123</v>
      </c>
      <c r="E30" s="66">
        <v>549.69344232515903</v>
      </c>
      <c r="F30" s="66">
        <v>554.12108340184523</v>
      </c>
      <c r="G30" s="66">
        <v>590.96236856646351</v>
      </c>
      <c r="H30" s="66">
        <v>626.25777444084395</v>
      </c>
      <c r="I30" s="66">
        <v>568.87185437997732</v>
      </c>
      <c r="J30" s="66">
        <v>599.16878783282527</v>
      </c>
      <c r="K30" s="66">
        <v>611.09036082474199</v>
      </c>
      <c r="L30" s="66">
        <v>692.21171439997534</v>
      </c>
      <c r="M30" s="66">
        <v>789.61784357879878</v>
      </c>
      <c r="N30" s="66">
        <v>823.93954672006521</v>
      </c>
      <c r="O30" s="66">
        <v>798.435594470046</v>
      </c>
      <c r="P30" s="66">
        <v>856.43589820763282</v>
      </c>
      <c r="Q30" s="66">
        <v>747.26517421584958</v>
      </c>
      <c r="R30" s="66">
        <v>590.92650137242458</v>
      </c>
      <c r="S30" s="66">
        <v>708.40305299999977</v>
      </c>
      <c r="T30" s="66">
        <v>880.99396235055178</v>
      </c>
      <c r="U30" s="66">
        <v>842.32768372228122</v>
      </c>
      <c r="V30" s="66">
        <v>529.60998353798209</v>
      </c>
      <c r="W30" s="66">
        <v>551.82763255427665</v>
      </c>
      <c r="X30" s="66">
        <v>637.15418025303279</v>
      </c>
      <c r="Y30" s="66">
        <v>848.99427159327649</v>
      </c>
      <c r="Z30" s="66">
        <v>996.94006156481021</v>
      </c>
      <c r="AA30" s="66">
        <v>1375.8703869533506</v>
      </c>
    </row>
    <row r="31" spans="1:27" x14ac:dyDescent="0.25">
      <c r="A31" s="64" t="s">
        <v>37</v>
      </c>
      <c r="B31" s="65"/>
      <c r="C31" s="65"/>
      <c r="D31" s="66">
        <v>1162.0298903050889</v>
      </c>
      <c r="E31" s="66">
        <v>1088.4935694822889</v>
      </c>
      <c r="F31" s="66">
        <v>1215.6953046496758</v>
      </c>
      <c r="G31" s="66">
        <v>1307.4746722968566</v>
      </c>
      <c r="H31" s="66">
        <v>1497.2876234885007</v>
      </c>
      <c r="I31" s="66">
        <v>1735.7938612059158</v>
      </c>
      <c r="J31" s="66">
        <v>2495.9005556857824</v>
      </c>
      <c r="K31" s="66">
        <v>3237.9070584192441</v>
      </c>
      <c r="L31" s="66">
        <v>3176.6813117174761</v>
      </c>
      <c r="M31" s="66">
        <v>2059.0839545592039</v>
      </c>
      <c r="N31" s="66">
        <v>1212.1729952870362</v>
      </c>
      <c r="O31" s="66">
        <v>1470.5259962049336</v>
      </c>
      <c r="P31" s="66">
        <v>1691.184420827582</v>
      </c>
      <c r="Q31" s="66">
        <v>1762.5834241826124</v>
      </c>
      <c r="R31" s="66">
        <v>1802.5554097668385</v>
      </c>
      <c r="S31" s="66">
        <v>1811.6242169999998</v>
      </c>
      <c r="T31" s="66">
        <v>1622.1585467830726</v>
      </c>
      <c r="U31" s="66">
        <v>1851.2251912615991</v>
      </c>
      <c r="V31" s="66">
        <v>2083.2201144588453</v>
      </c>
      <c r="W31" s="66">
        <v>2142.3023925410594</v>
      </c>
      <c r="X31" s="66">
        <v>2022.7689839572192</v>
      </c>
      <c r="Y31" s="66">
        <v>1811.9036392925523</v>
      </c>
      <c r="Z31" s="66">
        <v>1914.5610347719999</v>
      </c>
      <c r="AA31" s="66">
        <v>2445.6999999999998</v>
      </c>
    </row>
    <row r="32" spans="1:27" x14ac:dyDescent="0.25">
      <c r="A32" s="64" t="s">
        <v>58</v>
      </c>
      <c r="B32" s="65"/>
      <c r="C32" s="65"/>
      <c r="D32" s="66">
        <v>2462.9254791361523</v>
      </c>
      <c r="E32" s="66">
        <v>2557.2057356948239</v>
      </c>
      <c r="F32" s="66">
        <v>2785.7752717639537</v>
      </c>
      <c r="G32" s="66">
        <v>2807.4042014477623</v>
      </c>
      <c r="H32" s="66">
        <v>3026.9490334308061</v>
      </c>
      <c r="I32" s="66">
        <v>3177.0758361774751</v>
      </c>
      <c r="J32" s="66">
        <v>3350.7655778166923</v>
      </c>
      <c r="K32" s="66">
        <v>3439.7016185567013</v>
      </c>
      <c r="L32" s="66">
        <v>3141.9146306949269</v>
      </c>
      <c r="M32" s="66">
        <v>2656.2973716936112</v>
      </c>
      <c r="N32" s="66">
        <v>3150.2667821248083</v>
      </c>
      <c r="O32" s="66">
        <v>3279.8731862293307</v>
      </c>
      <c r="P32" s="66">
        <v>3355.9418409390469</v>
      </c>
      <c r="Q32" s="66">
        <v>3296.7414712469699</v>
      </c>
      <c r="R32" s="66">
        <v>3280.9152112930956</v>
      </c>
      <c r="S32" s="66">
        <v>3383.4237629999993</v>
      </c>
      <c r="T32" s="66">
        <v>3388.9681741710046</v>
      </c>
      <c r="U32" s="66">
        <v>3618.1817959682344</v>
      </c>
      <c r="V32" s="66">
        <v>3837.6129018683728</v>
      </c>
      <c r="W32" s="66">
        <v>3885.1631482589551</v>
      </c>
      <c r="X32" s="66">
        <v>3883.2110577800968</v>
      </c>
      <c r="Y32" s="66">
        <v>4688.1430996820363</v>
      </c>
      <c r="Z32" s="66">
        <v>4334.5923532103097</v>
      </c>
      <c r="AA32" s="66">
        <v>3994.9102491904641</v>
      </c>
    </row>
    <row r="33" spans="1:27" x14ac:dyDescent="0.25">
      <c r="A33" s="72" t="s">
        <v>158</v>
      </c>
      <c r="B33" s="65"/>
      <c r="C33" s="65"/>
      <c r="D33" s="66">
        <v>120.32152139362397</v>
      </c>
      <c r="E33" s="66">
        <v>108.30469118982744</v>
      </c>
      <c r="F33" s="66">
        <v>109.56006211747511</v>
      </c>
      <c r="G33" s="66">
        <v>162.22162025564108</v>
      </c>
      <c r="H33" s="66">
        <v>209.77338654864459</v>
      </c>
      <c r="I33" s="66">
        <v>139.59401592719001</v>
      </c>
      <c r="J33" s="66">
        <v>170.20973208499373</v>
      </c>
      <c r="K33" s="66">
        <v>117.77954295532646</v>
      </c>
      <c r="L33" s="66">
        <v>118.06481065616636</v>
      </c>
      <c r="M33" s="66">
        <v>72.868719120760929</v>
      </c>
      <c r="N33" s="66">
        <v>136.2574856623701</v>
      </c>
      <c r="O33" s="66">
        <v>145.10190187042559</v>
      </c>
      <c r="P33" s="66">
        <v>82.153502226189119</v>
      </c>
      <c r="Q33" s="66">
        <v>28.58855401356092</v>
      </c>
      <c r="R33" s="66">
        <v>2.6436551744940124</v>
      </c>
      <c r="S33" s="66">
        <v>31.137074999999999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</row>
    <row r="34" spans="1:27" x14ac:dyDescent="0.25">
      <c r="A34" s="73" t="s">
        <v>5</v>
      </c>
      <c r="B34" s="65"/>
      <c r="C34" s="65"/>
      <c r="D34" s="66">
        <v>120.32152139362398</v>
      </c>
      <c r="E34" s="66">
        <v>108.30469118982747</v>
      </c>
      <c r="F34" s="66">
        <v>109.56006211747513</v>
      </c>
      <c r="G34" s="66">
        <v>162.22162025564108</v>
      </c>
      <c r="H34" s="66">
        <v>209.77338654864457</v>
      </c>
      <c r="I34" s="66">
        <v>139.59401592719001</v>
      </c>
      <c r="J34" s="66">
        <v>170.20973208499373</v>
      </c>
      <c r="K34" s="66">
        <v>117.77954295532646</v>
      </c>
      <c r="L34" s="66">
        <v>118.06481065616636</v>
      </c>
      <c r="M34" s="66">
        <v>72.868719120760929</v>
      </c>
      <c r="N34" s="66">
        <v>136.2574856623701</v>
      </c>
      <c r="O34" s="66">
        <v>145.10190187042559</v>
      </c>
      <c r="P34" s="66">
        <v>82.153502226189119</v>
      </c>
      <c r="Q34" s="66">
        <v>28.58855401356092</v>
      </c>
      <c r="R34" s="66">
        <v>2.6436551744940124</v>
      </c>
      <c r="S34" s="66">
        <v>31.137074999999999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120.32152139362398</v>
      </c>
      <c r="E36" s="45">
        <v>108.30469118982747</v>
      </c>
      <c r="F36" s="45">
        <v>109.56006211747513</v>
      </c>
      <c r="G36" s="45">
        <v>162.22162025564108</v>
      </c>
      <c r="H36" s="45">
        <v>209.77338654864457</v>
      </c>
      <c r="I36" s="45">
        <v>139.59401592719001</v>
      </c>
      <c r="J36" s="45">
        <v>170.20973208499373</v>
      </c>
      <c r="K36" s="45">
        <v>117.77954295532646</v>
      </c>
      <c r="L36" s="45">
        <v>118.06481065616636</v>
      </c>
      <c r="M36" s="45">
        <v>72.868719120760929</v>
      </c>
      <c r="N36" s="45">
        <v>136.2574856623701</v>
      </c>
      <c r="O36" s="45">
        <v>145.10190187042559</v>
      </c>
      <c r="P36" s="45">
        <v>82.153502226189119</v>
      </c>
      <c r="Q36" s="45">
        <v>28.58855401356092</v>
      </c>
      <c r="R36" s="45">
        <v>2.6436551744940124</v>
      </c>
      <c r="S36" s="45">
        <v>31.137074999999999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</row>
    <row r="37" spans="1:27" x14ac:dyDescent="0.25">
      <c r="A37" s="73" t="s">
        <v>263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</row>
    <row r="43" spans="1:27" x14ac:dyDescent="0.25">
      <c r="A43" s="72" t="s">
        <v>265</v>
      </c>
      <c r="B43" s="65"/>
      <c r="C43" s="65"/>
      <c r="D43" s="66">
        <v>85.173836828819844</v>
      </c>
      <c r="E43" s="66">
        <v>111.23750681198911</v>
      </c>
      <c r="F43" s="66">
        <v>111.66698638896501</v>
      </c>
      <c r="G43" s="66">
        <v>113.93869016564497</v>
      </c>
      <c r="H43" s="66">
        <v>121.62044100213387</v>
      </c>
      <c r="I43" s="66">
        <v>147.36090102389079</v>
      </c>
      <c r="J43" s="66">
        <v>186.62008742054246</v>
      </c>
      <c r="K43" s="66">
        <v>151.70258762886598</v>
      </c>
      <c r="L43" s="66">
        <v>195.82865229027593</v>
      </c>
      <c r="M43" s="66">
        <v>173.48956743857764</v>
      </c>
      <c r="N43" s="66">
        <v>255.38456078587245</v>
      </c>
      <c r="O43" s="66">
        <v>232.88330062347521</v>
      </c>
      <c r="P43" s="66">
        <v>237.69938144115906</v>
      </c>
      <c r="Q43" s="66">
        <v>249.51297389063313</v>
      </c>
      <c r="R43" s="66">
        <v>186.02984043676287</v>
      </c>
      <c r="S43" s="66">
        <v>196.23276599999997</v>
      </c>
      <c r="T43" s="66">
        <v>198.7919136312504</v>
      </c>
      <c r="U43" s="66">
        <v>214.83122145620615</v>
      </c>
      <c r="V43" s="66">
        <v>238.62951242776188</v>
      </c>
      <c r="W43" s="66">
        <v>285.36842185169638</v>
      </c>
      <c r="X43" s="66">
        <v>278.32627364027655</v>
      </c>
      <c r="Y43" s="66">
        <v>343.4960326229052</v>
      </c>
      <c r="Z43" s="66">
        <v>331.7742321183469</v>
      </c>
      <c r="AA43" s="66">
        <v>319.03038695027942</v>
      </c>
    </row>
    <row r="44" spans="1:27" x14ac:dyDescent="0.25">
      <c r="A44" s="73" t="s">
        <v>266</v>
      </c>
      <c r="B44" s="65"/>
      <c r="C44" s="65"/>
      <c r="D44" s="66">
        <v>43.772883231013743</v>
      </c>
      <c r="E44" s="66">
        <v>56.980417801998186</v>
      </c>
      <c r="F44" s="66">
        <v>56.044185621631499</v>
      </c>
      <c r="G44" s="66">
        <v>57.08215566714491</v>
      </c>
      <c r="H44" s="66">
        <v>60.372736900339838</v>
      </c>
      <c r="I44" s="66">
        <v>72.211039817974978</v>
      </c>
      <c r="J44" s="66">
        <v>92.73758945438</v>
      </c>
      <c r="K44" s="66">
        <v>75.454996563573886</v>
      </c>
      <c r="L44" s="66">
        <v>104.72575752914756</v>
      </c>
      <c r="M44" s="66">
        <v>90.233179847410355</v>
      </c>
      <c r="N44" s="66">
        <v>148.51594458009197</v>
      </c>
      <c r="O44" s="66">
        <v>113.14046950393062</v>
      </c>
      <c r="P44" s="66">
        <v>113.46375307463182</v>
      </c>
      <c r="Q44" s="66">
        <v>99.493829066996653</v>
      </c>
      <c r="R44" s="66">
        <v>85.292664313938403</v>
      </c>
      <c r="S44" s="66">
        <v>86.768648999999996</v>
      </c>
      <c r="T44" s="66">
        <v>83.622100883000002</v>
      </c>
      <c r="U44" s="66">
        <v>89.233455508043164</v>
      </c>
      <c r="V44" s="66">
        <v>125.39696179094429</v>
      </c>
      <c r="W44" s="66">
        <v>107.39937574236647</v>
      </c>
      <c r="X44" s="66">
        <v>117.3230076953176</v>
      </c>
      <c r="Y44" s="66">
        <v>155.46609427581032</v>
      </c>
      <c r="Z44" s="66">
        <v>128.63638325453718</v>
      </c>
      <c r="AA44" s="66">
        <v>111.16536399443085</v>
      </c>
    </row>
    <row r="45" spans="1:27" x14ac:dyDescent="0.25">
      <c r="A45" s="74" t="s">
        <v>20</v>
      </c>
      <c r="B45" s="44"/>
      <c r="C45" s="44"/>
      <c r="D45" s="45">
        <v>15.596899463953559</v>
      </c>
      <c r="E45" s="45">
        <v>17.795021234692417</v>
      </c>
      <c r="F45" s="45">
        <v>17.648222777310529</v>
      </c>
      <c r="G45" s="45">
        <v>17.810900550226368</v>
      </c>
      <c r="H45" s="45">
        <v>18.31707518686175</v>
      </c>
      <c r="I45" s="45">
        <v>20.032608115436751</v>
      </c>
      <c r="J45" s="45">
        <v>22.701972717718611</v>
      </c>
      <c r="K45" s="45">
        <v>20.477630285959219</v>
      </c>
      <c r="L45" s="45">
        <v>21.931572205833017</v>
      </c>
      <c r="M45" s="45">
        <v>29.911159607490898</v>
      </c>
      <c r="N45" s="45">
        <v>43.772937480767844</v>
      </c>
      <c r="O45" s="45">
        <v>32.398223835495941</v>
      </c>
      <c r="P45" s="45">
        <v>51.338642069178135</v>
      </c>
      <c r="Q45" s="45">
        <v>40.625189724485459</v>
      </c>
      <c r="R45" s="45">
        <v>40.349578188416274</v>
      </c>
      <c r="S45" s="45">
        <v>39.125082920692655</v>
      </c>
      <c r="T45" s="45">
        <v>51.834725854282517</v>
      </c>
      <c r="U45" s="45">
        <v>42.66047397505497</v>
      </c>
      <c r="V45" s="45">
        <v>48.174380104140511</v>
      </c>
      <c r="W45" s="45">
        <v>37.871540037422832</v>
      </c>
      <c r="X45" s="45">
        <v>34.14542479232604</v>
      </c>
      <c r="Y45" s="45">
        <v>116.56599755088109</v>
      </c>
      <c r="Z45" s="45">
        <v>96.449508204668803</v>
      </c>
      <c r="AA45" s="45">
        <v>83.350016654620745</v>
      </c>
    </row>
    <row r="46" spans="1:27" x14ac:dyDescent="0.25">
      <c r="A46" s="74" t="s">
        <v>12</v>
      </c>
      <c r="B46" s="44"/>
      <c r="C46" s="44"/>
      <c r="D46" s="45">
        <v>28.175983767060185</v>
      </c>
      <c r="E46" s="45">
        <v>39.185396567305773</v>
      </c>
      <c r="F46" s="45">
        <v>38.39596284432097</v>
      </c>
      <c r="G46" s="45">
        <v>39.271255116918539</v>
      </c>
      <c r="H46" s="45">
        <v>42.055661713478088</v>
      </c>
      <c r="I46" s="45">
        <v>52.178431702538226</v>
      </c>
      <c r="J46" s="45">
        <v>70.035616736661382</v>
      </c>
      <c r="K46" s="45">
        <v>54.977366277614664</v>
      </c>
      <c r="L46" s="45">
        <v>82.794185323314537</v>
      </c>
      <c r="M46" s="45">
        <v>60.322020239919453</v>
      </c>
      <c r="N46" s="45">
        <v>104.74300709932413</v>
      </c>
      <c r="O46" s="45">
        <v>80.742245668434677</v>
      </c>
      <c r="P46" s="45">
        <v>62.125111005453689</v>
      </c>
      <c r="Q46" s="45">
        <v>58.868639342511194</v>
      </c>
      <c r="R46" s="45">
        <v>44.943086125522129</v>
      </c>
      <c r="S46" s="45">
        <v>47.643566079307341</v>
      </c>
      <c r="T46" s="45">
        <v>31.787375028717484</v>
      </c>
      <c r="U46" s="45">
        <v>46.572981532988194</v>
      </c>
      <c r="V46" s="45">
        <v>77.222581686803778</v>
      </c>
      <c r="W46" s="45">
        <v>69.527835704943641</v>
      </c>
      <c r="X46" s="45">
        <v>83.17758290299156</v>
      </c>
      <c r="Y46" s="45">
        <v>38.900096724929227</v>
      </c>
      <c r="Z46" s="45">
        <v>32.186875049868377</v>
      </c>
      <c r="AA46" s="45">
        <v>27.815347339810103</v>
      </c>
    </row>
    <row r="47" spans="1:27" x14ac:dyDescent="0.25">
      <c r="A47" s="73" t="s">
        <v>11</v>
      </c>
      <c r="B47" s="65"/>
      <c r="C47" s="65"/>
      <c r="D47" s="66">
        <v>41.400953597806101</v>
      </c>
      <c r="E47" s="66">
        <v>54.257089009990921</v>
      </c>
      <c r="F47" s="66">
        <v>55.622800767333516</v>
      </c>
      <c r="G47" s="66">
        <v>56.856534498500068</v>
      </c>
      <c r="H47" s="66">
        <v>61.247704101794035</v>
      </c>
      <c r="I47" s="66">
        <v>75.149861205915812</v>
      </c>
      <c r="J47" s="66">
        <v>93.882497966162475</v>
      </c>
      <c r="K47" s="66">
        <v>76.247591065292099</v>
      </c>
      <c r="L47" s="66">
        <v>91.102894761128368</v>
      </c>
      <c r="M47" s="66">
        <v>83.256387591167282</v>
      </c>
      <c r="N47" s="66">
        <v>106.86861620578047</v>
      </c>
      <c r="O47" s="66">
        <v>119.74283111954459</v>
      </c>
      <c r="P47" s="66">
        <v>124.23562836652725</v>
      </c>
      <c r="Q47" s="66">
        <v>150.01914482363648</v>
      </c>
      <c r="R47" s="66">
        <v>100.73717612282448</v>
      </c>
      <c r="S47" s="66">
        <v>109.46411699999999</v>
      </c>
      <c r="T47" s="66">
        <v>115.16981274825041</v>
      </c>
      <c r="U47" s="66">
        <v>125.597765948163</v>
      </c>
      <c r="V47" s="66">
        <v>113.23255063681759</v>
      </c>
      <c r="W47" s="66">
        <v>177.96904610932992</v>
      </c>
      <c r="X47" s="66">
        <v>161.00326594495894</v>
      </c>
      <c r="Y47" s="66">
        <v>188.02993834709491</v>
      </c>
      <c r="Z47" s="66">
        <v>203.13784886380972</v>
      </c>
      <c r="AA47" s="66">
        <v>207.86502295584859</v>
      </c>
    </row>
    <row r="48" spans="1:27" x14ac:dyDescent="0.25">
      <c r="A48" s="72" t="s">
        <v>4</v>
      </c>
      <c r="B48" s="65"/>
      <c r="C48" s="65"/>
      <c r="D48" s="66">
        <v>53.260601763844299</v>
      </c>
      <c r="E48" s="66">
        <v>74.996285195277025</v>
      </c>
      <c r="F48" s="66">
        <v>64.682575134740119</v>
      </c>
      <c r="G48" s="66">
        <v>93.858406156254091</v>
      </c>
      <c r="H48" s="66">
        <v>98.871293764324662</v>
      </c>
      <c r="I48" s="66">
        <v>114.61403412969284</v>
      </c>
      <c r="J48" s="66">
        <v>151.89119589647422</v>
      </c>
      <c r="K48" s="66">
        <v>210.35458075601375</v>
      </c>
      <c r="L48" s="66">
        <v>207.4648475712923</v>
      </c>
      <c r="M48" s="66">
        <v>168.0631734614997</v>
      </c>
      <c r="N48" s="66">
        <v>198.33557889955139</v>
      </c>
      <c r="O48" s="66">
        <v>245.93797018162104</v>
      </c>
      <c r="P48" s="66">
        <v>250.48200678754165</v>
      </c>
      <c r="Q48" s="66">
        <v>281.49818778699336</v>
      </c>
      <c r="R48" s="66">
        <v>270.3485265285193</v>
      </c>
      <c r="S48" s="66">
        <v>240.10144499999998</v>
      </c>
      <c r="T48" s="66">
        <v>255.96353120364748</v>
      </c>
      <c r="U48" s="66">
        <v>273.87290630363327</v>
      </c>
      <c r="V48" s="66">
        <v>285.8636621219772</v>
      </c>
      <c r="W48" s="66">
        <v>299.9519964634332</v>
      </c>
      <c r="X48" s="66">
        <v>267.61678883526804</v>
      </c>
      <c r="Y48" s="66">
        <v>287.2387822918688</v>
      </c>
      <c r="Z48" s="66">
        <v>267.71985587921313</v>
      </c>
      <c r="AA48" s="66">
        <v>243.95127806057491</v>
      </c>
    </row>
    <row r="49" spans="1:27" x14ac:dyDescent="0.25">
      <c r="A49" s="77" t="s">
        <v>10</v>
      </c>
      <c r="B49" s="44"/>
      <c r="C49" s="44"/>
      <c r="D49" s="45">
        <v>30.187099699545985</v>
      </c>
      <c r="E49" s="45">
        <v>46.109297382407014</v>
      </c>
      <c r="F49" s="45">
        <v>25.090168328391744</v>
      </c>
      <c r="G49" s="45">
        <v>36.985631085687793</v>
      </c>
      <c r="H49" s="45">
        <v>38.995650382393293</v>
      </c>
      <c r="I49" s="45">
        <v>40.198812211776357</v>
      </c>
      <c r="J49" s="45">
        <v>53.405048625784943</v>
      </c>
      <c r="K49" s="45">
        <v>73.05224393723195</v>
      </c>
      <c r="L49" s="45">
        <v>74.401762319583611</v>
      </c>
      <c r="M49" s="45">
        <v>66.438987390290905</v>
      </c>
      <c r="N49" s="45">
        <v>101.27530599372768</v>
      </c>
      <c r="O49" s="45">
        <v>122.9370605449939</v>
      </c>
      <c r="P49" s="45">
        <v>138.66246157957164</v>
      </c>
      <c r="Q49" s="45">
        <v>151.18256176675311</v>
      </c>
      <c r="R49" s="45">
        <v>122.05016290287426</v>
      </c>
      <c r="S49" s="45">
        <v>97.722686986996848</v>
      </c>
      <c r="T49" s="45">
        <v>137.58794641575116</v>
      </c>
      <c r="U49" s="45">
        <v>110.24972390249584</v>
      </c>
      <c r="V49" s="45">
        <v>133.76387796688431</v>
      </c>
      <c r="W49" s="45">
        <v>145.00860637043709</v>
      </c>
      <c r="X49" s="45">
        <v>130.64686751476435</v>
      </c>
      <c r="Y49" s="45">
        <v>246.61266696927689</v>
      </c>
      <c r="Z49" s="45">
        <v>225.06346087781546</v>
      </c>
      <c r="AA49" s="45">
        <v>186.51229986651231</v>
      </c>
    </row>
    <row r="50" spans="1:27" x14ac:dyDescent="0.25">
      <c r="A50" s="77" t="s">
        <v>18</v>
      </c>
      <c r="B50" s="44"/>
      <c r="C50" s="44"/>
      <c r="D50" s="45">
        <v>14.522343542518318</v>
      </c>
      <c r="E50" s="45">
        <v>23.731081101030391</v>
      </c>
      <c r="F50" s="45">
        <v>23.446420195659673</v>
      </c>
      <c r="G50" s="45">
        <v>28.455931111315145</v>
      </c>
      <c r="H50" s="45">
        <v>33.009876327114</v>
      </c>
      <c r="I50" s="45">
        <v>31.878920660584953</v>
      </c>
      <c r="J50" s="45">
        <v>38.789222468636027</v>
      </c>
      <c r="K50" s="45">
        <v>49.522105003941704</v>
      </c>
      <c r="L50" s="45">
        <v>48.80994513789198</v>
      </c>
      <c r="M50" s="45">
        <v>49.724157350032307</v>
      </c>
      <c r="N50" s="45">
        <v>65.666315393117344</v>
      </c>
      <c r="O50" s="45">
        <v>74.413074890816446</v>
      </c>
      <c r="P50" s="45">
        <v>80.332110246541177</v>
      </c>
      <c r="Q50" s="45">
        <v>88.833164738695999</v>
      </c>
      <c r="R50" s="45">
        <v>105.66780275563329</v>
      </c>
      <c r="S50" s="45">
        <v>110.34135450638054</v>
      </c>
      <c r="T50" s="45">
        <v>104.19827620220262</v>
      </c>
      <c r="U50" s="45">
        <v>130.50059740984611</v>
      </c>
      <c r="V50" s="45">
        <v>120.01662637790868</v>
      </c>
      <c r="W50" s="45">
        <v>125.03547516194369</v>
      </c>
      <c r="X50" s="45">
        <v>107.91870163942193</v>
      </c>
      <c r="Y50" s="45">
        <v>40</v>
      </c>
      <c r="Z50" s="45">
        <v>40</v>
      </c>
      <c r="AA50" s="45">
        <v>40</v>
      </c>
    </row>
    <row r="51" spans="1:27" x14ac:dyDescent="0.25">
      <c r="A51" s="77" t="s">
        <v>9</v>
      </c>
      <c r="B51" s="44"/>
      <c r="C51" s="44"/>
      <c r="D51" s="45">
        <v>8.5511585217799961</v>
      </c>
      <c r="E51" s="45">
        <v>5.15590671183962</v>
      </c>
      <c r="F51" s="45">
        <v>16.145986610688706</v>
      </c>
      <c r="G51" s="45">
        <v>28.416843959251153</v>
      </c>
      <c r="H51" s="45">
        <v>26.865767054817368</v>
      </c>
      <c r="I51" s="45">
        <v>42.53630125733153</v>
      </c>
      <c r="J51" s="45">
        <v>59.696924802053246</v>
      </c>
      <c r="K51" s="45">
        <v>87.780231814840079</v>
      </c>
      <c r="L51" s="45">
        <v>84.253140113816698</v>
      </c>
      <c r="M51" s="45">
        <v>51.90002872117649</v>
      </c>
      <c r="N51" s="45">
        <v>31.393957512706365</v>
      </c>
      <c r="O51" s="45">
        <v>48.587834745810696</v>
      </c>
      <c r="P51" s="45">
        <v>31.487434961428832</v>
      </c>
      <c r="Q51" s="45">
        <v>41.482461281544246</v>
      </c>
      <c r="R51" s="45">
        <v>42.630560870011749</v>
      </c>
      <c r="S51" s="45">
        <v>32.037403506622596</v>
      </c>
      <c r="T51" s="45">
        <v>14.177308585693694</v>
      </c>
      <c r="U51" s="45">
        <v>33.122584991291319</v>
      </c>
      <c r="V51" s="45">
        <v>32.083157777184212</v>
      </c>
      <c r="W51" s="45">
        <v>29.907914931052417</v>
      </c>
      <c r="X51" s="45">
        <v>29.051219681081761</v>
      </c>
      <c r="Y51" s="45">
        <v>0.62611532259191449</v>
      </c>
      <c r="Z51" s="45">
        <v>2.6563950013976694</v>
      </c>
      <c r="AA51" s="45">
        <v>17.438978194062599</v>
      </c>
    </row>
    <row r="52" spans="1:27" x14ac:dyDescent="0.25">
      <c r="A52" s="72" t="s">
        <v>3</v>
      </c>
      <c r="B52" s="65"/>
      <c r="C52" s="65"/>
      <c r="D52" s="66">
        <v>133.90620929290409</v>
      </c>
      <c r="E52" s="66">
        <v>121.71184831970942</v>
      </c>
      <c r="F52" s="66">
        <v>142.63877317986663</v>
      </c>
      <c r="G52" s="66">
        <v>161.09351441241694</v>
      </c>
      <c r="H52" s="66">
        <v>155.30667825812063</v>
      </c>
      <c r="I52" s="66">
        <v>169.19214562002267</v>
      </c>
      <c r="J52" s="66">
        <v>203.98453318257663</v>
      </c>
      <c r="K52" s="66">
        <v>165.65225085910657</v>
      </c>
      <c r="L52" s="66">
        <v>165.03530624173254</v>
      </c>
      <c r="M52" s="66">
        <v>124.65202164487609</v>
      </c>
      <c r="N52" s="66">
        <v>132.64281187893934</v>
      </c>
      <c r="O52" s="66">
        <v>129.94648088912987</v>
      </c>
      <c r="P52" s="66">
        <v>140.46525380631641</v>
      </c>
      <c r="Q52" s="66">
        <v>157.23704707458512</v>
      </c>
      <c r="R52" s="66">
        <v>152.77544113654866</v>
      </c>
      <c r="S52" s="66">
        <v>151.11860399999995</v>
      </c>
      <c r="T52" s="66">
        <v>146.16647287786336</v>
      </c>
      <c r="U52" s="66">
        <v>157.80232131948694</v>
      </c>
      <c r="V52" s="66">
        <v>159.69024855523759</v>
      </c>
      <c r="W52" s="66">
        <v>175.12648495619487</v>
      </c>
      <c r="X52" s="66">
        <v>185.55084909351763</v>
      </c>
      <c r="Y52" s="66">
        <v>192.93202240083659</v>
      </c>
      <c r="Z52" s="66">
        <v>183.40445783132537</v>
      </c>
      <c r="AA52" s="66">
        <v>169.73149622567797</v>
      </c>
    </row>
    <row r="53" spans="1:27" x14ac:dyDescent="0.25">
      <c r="A53" s="73" t="s">
        <v>21</v>
      </c>
      <c r="B53" s="65"/>
      <c r="C53" s="65"/>
      <c r="D53" s="66">
        <v>58.43572096357007</v>
      </c>
      <c r="E53" s="66">
        <v>50.276839237057224</v>
      </c>
      <c r="F53" s="66">
        <v>61.522188727505252</v>
      </c>
      <c r="G53" s="66">
        <v>66.558244750228255</v>
      </c>
      <c r="H53" s="66">
        <v>60.591478700703384</v>
      </c>
      <c r="I53" s="66">
        <v>65.70364960182026</v>
      </c>
      <c r="J53" s="66">
        <v>63.92405857452119</v>
      </c>
      <c r="K53" s="66">
        <v>45.811962199312717</v>
      </c>
      <c r="L53" s="66">
        <v>51.79525948257298</v>
      </c>
      <c r="M53" s="66">
        <v>45.116589923705178</v>
      </c>
      <c r="N53" s="66">
        <v>55.005905400034059</v>
      </c>
      <c r="O53" s="66">
        <v>54.769590674979668</v>
      </c>
      <c r="P53" s="66">
        <v>59.748001619046633</v>
      </c>
      <c r="Q53" s="66">
        <v>58.450855483171573</v>
      </c>
      <c r="R53" s="66">
        <v>56.351597140530266</v>
      </c>
      <c r="S53" s="66">
        <v>50.234480999999995</v>
      </c>
      <c r="T53" s="66">
        <v>50.007945009108731</v>
      </c>
      <c r="U53" s="66">
        <v>48.709389999127318</v>
      </c>
      <c r="V53" s="66">
        <v>49.692913650900515</v>
      </c>
      <c r="W53" s="66">
        <v>48.694308449358324</v>
      </c>
      <c r="X53" s="66">
        <v>50.29847919655667</v>
      </c>
      <c r="Y53" s="66">
        <v>52.755761721220921</v>
      </c>
      <c r="Z53" s="66">
        <v>49.175188348330039</v>
      </c>
      <c r="AA53" s="66">
        <v>45.062017961406738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</row>
    <row r="55" spans="1:27" x14ac:dyDescent="0.25">
      <c r="A55" s="74" t="s">
        <v>17</v>
      </c>
      <c r="B55" s="44"/>
      <c r="C55" s="44"/>
      <c r="D55" s="45">
        <v>58.43572096357007</v>
      </c>
      <c r="E55" s="45">
        <v>50.276839237057224</v>
      </c>
      <c r="F55" s="45">
        <v>61.522188727505252</v>
      </c>
      <c r="G55" s="45">
        <v>66.558244750228255</v>
      </c>
      <c r="H55" s="45">
        <v>60.591478700703384</v>
      </c>
      <c r="I55" s="45">
        <v>65.70364960182026</v>
      </c>
      <c r="J55" s="45">
        <v>63.92405857452119</v>
      </c>
      <c r="K55" s="45">
        <v>45.811962199312717</v>
      </c>
      <c r="L55" s="45">
        <v>51.79525948257298</v>
      </c>
      <c r="M55" s="45">
        <v>45.116589923705178</v>
      </c>
      <c r="N55" s="45">
        <v>55.005905400034059</v>
      </c>
      <c r="O55" s="45">
        <v>54.769590674979668</v>
      </c>
      <c r="P55" s="45">
        <v>59.748001619046633</v>
      </c>
      <c r="Q55" s="45">
        <v>58.450855483171573</v>
      </c>
      <c r="R55" s="45">
        <v>56.351597140530266</v>
      </c>
      <c r="S55" s="45">
        <v>50.234480999999995</v>
      </c>
      <c r="T55" s="45">
        <v>50.007945009108731</v>
      </c>
      <c r="U55" s="45">
        <v>48.709389999127318</v>
      </c>
      <c r="V55" s="45">
        <v>49.692913650900515</v>
      </c>
      <c r="W55" s="45">
        <v>48.694308449358324</v>
      </c>
      <c r="X55" s="45">
        <v>50.29847919655667</v>
      </c>
      <c r="Y55" s="45">
        <v>52.755761721220921</v>
      </c>
      <c r="Z55" s="45">
        <v>49.175188348330039</v>
      </c>
      <c r="AA55" s="45">
        <v>45.062017961406738</v>
      </c>
    </row>
    <row r="56" spans="1:27" x14ac:dyDescent="0.25">
      <c r="A56" s="73" t="s">
        <v>16</v>
      </c>
      <c r="B56" s="65"/>
      <c r="C56" s="65"/>
      <c r="D56" s="66">
        <v>75.470488329334032</v>
      </c>
      <c r="E56" s="66">
        <v>71.435009082652186</v>
      </c>
      <c r="F56" s="66">
        <v>81.11658445236138</v>
      </c>
      <c r="G56" s="66">
        <v>94.535269662188682</v>
      </c>
      <c r="H56" s="66">
        <v>94.715199557417236</v>
      </c>
      <c r="I56" s="66">
        <v>103.48849601820241</v>
      </c>
      <c r="J56" s="66">
        <v>140.06047460805544</v>
      </c>
      <c r="K56" s="66">
        <v>119.84028865979386</v>
      </c>
      <c r="L56" s="66">
        <v>113.24004675915957</v>
      </c>
      <c r="M56" s="66">
        <v>79.535431721170909</v>
      </c>
      <c r="N56" s="66">
        <v>77.636906478905274</v>
      </c>
      <c r="O56" s="66">
        <v>75.17689021415022</v>
      </c>
      <c r="P56" s="66">
        <v>80.717252187269793</v>
      </c>
      <c r="Q56" s="66">
        <v>98.786191591413555</v>
      </c>
      <c r="R56" s="66">
        <v>96.423843996018391</v>
      </c>
      <c r="S56" s="66">
        <v>100.88412299999996</v>
      </c>
      <c r="T56" s="66">
        <v>96.158527868754632</v>
      </c>
      <c r="U56" s="66">
        <v>109.09293132035963</v>
      </c>
      <c r="V56" s="66">
        <v>109.99733490433708</v>
      </c>
      <c r="W56" s="66">
        <v>126.43217650683656</v>
      </c>
      <c r="X56" s="66">
        <v>135.25236989696097</v>
      </c>
      <c r="Y56" s="66">
        <v>140.17626067961567</v>
      </c>
      <c r="Z56" s="66">
        <v>134.22926948299533</v>
      </c>
      <c r="AA56" s="66">
        <v>124.66947826427122</v>
      </c>
    </row>
    <row r="57" spans="1:27" x14ac:dyDescent="0.25">
      <c r="A57" s="72" t="s">
        <v>2</v>
      </c>
      <c r="B57" s="65"/>
      <c r="C57" s="65"/>
      <c r="D57" s="66">
        <v>820.25639315653325</v>
      </c>
      <c r="E57" s="66">
        <v>822.02632152588558</v>
      </c>
      <c r="F57" s="66">
        <v>898.39250936329586</v>
      </c>
      <c r="G57" s="66">
        <v>751.76973392461196</v>
      </c>
      <c r="H57" s="66">
        <v>817.87559155931388</v>
      </c>
      <c r="I57" s="66">
        <v>839.45333788395908</v>
      </c>
      <c r="J57" s="66">
        <v>855.24665830150434</v>
      </c>
      <c r="K57" s="66">
        <v>837.61386941580759</v>
      </c>
      <c r="L57" s="66">
        <v>792.25461285261622</v>
      </c>
      <c r="M57" s="66">
        <v>784.19144960172093</v>
      </c>
      <c r="N57" s="66">
        <v>789.72764181477476</v>
      </c>
      <c r="O57" s="66">
        <v>706.75280021686092</v>
      </c>
      <c r="P57" s="66">
        <v>765.95214575571072</v>
      </c>
      <c r="Q57" s="66">
        <v>789.72342275084122</v>
      </c>
      <c r="R57" s="66">
        <v>751.91118752450745</v>
      </c>
      <c r="S57" s="66">
        <v>740.7856109999999</v>
      </c>
      <c r="T57" s="66">
        <v>721.46448488347789</v>
      </c>
      <c r="U57" s="66">
        <v>731.17759257643183</v>
      </c>
      <c r="V57" s="66">
        <v>776.84000168321825</v>
      </c>
      <c r="W57" s="66">
        <v>757.97511096425023</v>
      </c>
      <c r="X57" s="66">
        <v>760.37342115560193</v>
      </c>
      <c r="Y57" s="66">
        <v>718.38874644715656</v>
      </c>
      <c r="Z57" s="66">
        <v>704.07050785420176</v>
      </c>
      <c r="AA57" s="66">
        <v>667.55779917282177</v>
      </c>
    </row>
    <row r="58" spans="1:27" x14ac:dyDescent="0.25">
      <c r="A58" s="72" t="s">
        <v>269</v>
      </c>
      <c r="B58" s="65"/>
      <c r="C58" s="65"/>
      <c r="D58" s="66">
        <v>51.319932063947142</v>
      </c>
      <c r="E58" s="66">
        <v>63.683996366939148</v>
      </c>
      <c r="F58" s="66">
        <v>63.41842057184617</v>
      </c>
      <c r="G58" s="66">
        <v>58.887125016303642</v>
      </c>
      <c r="H58" s="66">
        <v>61.685187702521134</v>
      </c>
      <c r="I58" s="66">
        <v>66.12348122866895</v>
      </c>
      <c r="J58" s="66">
        <v>97.317223501509872</v>
      </c>
      <c r="K58" s="66">
        <v>87.502432989690732</v>
      </c>
      <c r="L58" s="66">
        <v>102.45528040114436</v>
      </c>
      <c r="M58" s="66">
        <v>60.155453231606899</v>
      </c>
      <c r="N58" s="66">
        <v>77.165427289762079</v>
      </c>
      <c r="O58" s="66">
        <v>98.285155868799137</v>
      </c>
      <c r="P58" s="66">
        <v>106.28250288003487</v>
      </c>
      <c r="Q58" s="66">
        <v>107.70242378376166</v>
      </c>
      <c r="R58" s="66">
        <v>122.99953548698458</v>
      </c>
      <c r="S58" s="66">
        <v>112.785405</v>
      </c>
      <c r="T58" s="66">
        <v>125.5020327914547</v>
      </c>
      <c r="U58" s="66">
        <v>130.83100619600313</v>
      </c>
      <c r="V58" s="66">
        <v>135.36142624698422</v>
      </c>
      <c r="W58" s="66">
        <v>116.54500727854037</v>
      </c>
      <c r="X58" s="66">
        <v>116.11969479587844</v>
      </c>
      <c r="Y58" s="66">
        <v>131.30582286808306</v>
      </c>
      <c r="Z58" s="66">
        <v>148.15872197651368</v>
      </c>
      <c r="AA58" s="66">
        <v>156.29078261645475</v>
      </c>
    </row>
    <row r="59" spans="1:27" x14ac:dyDescent="0.25">
      <c r="A59" s="72" t="s">
        <v>270</v>
      </c>
      <c r="B59" s="65"/>
      <c r="C59" s="65"/>
      <c r="D59" s="66">
        <v>232.66473402100405</v>
      </c>
      <c r="E59" s="66">
        <v>250.33676203451409</v>
      </c>
      <c r="F59" s="66">
        <v>253.46298986023567</v>
      </c>
      <c r="G59" s="66">
        <v>304.13733533324637</v>
      </c>
      <c r="H59" s="66">
        <v>318.48806132932896</v>
      </c>
      <c r="I59" s="66">
        <v>368.19233674630266</v>
      </c>
      <c r="J59" s="66">
        <v>428.7682376625346</v>
      </c>
      <c r="K59" s="66">
        <v>548.95095189003439</v>
      </c>
      <c r="L59" s="66">
        <v>531.57545759374898</v>
      </c>
      <c r="M59" s="66">
        <v>391.78564514502739</v>
      </c>
      <c r="N59" s="66">
        <v>399.18571347453292</v>
      </c>
      <c r="O59" s="66">
        <v>525.33790946055842</v>
      </c>
      <c r="P59" s="66">
        <v>568.03689039261883</v>
      </c>
      <c r="Q59" s="66">
        <v>490.67582556938459</v>
      </c>
      <c r="R59" s="66">
        <v>574.36887159533069</v>
      </c>
      <c r="S59" s="66">
        <v>692.76532199999997</v>
      </c>
      <c r="T59" s="66">
        <v>704.65740694653209</v>
      </c>
      <c r="U59" s="66">
        <v>778.00838351223206</v>
      </c>
      <c r="V59" s="66">
        <v>774.25182909723389</v>
      </c>
      <c r="W59" s="66">
        <v>820.51145633322324</v>
      </c>
      <c r="X59" s="66">
        <v>853.5098395721925</v>
      </c>
      <c r="Y59" s="66">
        <v>982.75113648823049</v>
      </c>
      <c r="Z59" s="66">
        <v>990.25744090285207</v>
      </c>
      <c r="AA59" s="66">
        <v>945.54669764484674</v>
      </c>
    </row>
    <row r="60" spans="1:27" x14ac:dyDescent="0.25">
      <c r="A60" s="72" t="s">
        <v>1</v>
      </c>
      <c r="B60" s="65"/>
      <c r="C60" s="65"/>
      <c r="D60" s="66">
        <v>310.72278195020095</v>
      </c>
      <c r="E60" s="66">
        <v>332.03662579473206</v>
      </c>
      <c r="F60" s="66">
        <v>321.51664382935962</v>
      </c>
      <c r="G60" s="66">
        <v>313.8390455849746</v>
      </c>
      <c r="H60" s="66">
        <v>315.64441792460286</v>
      </c>
      <c r="I60" s="66">
        <v>341.32311262798635</v>
      </c>
      <c r="J60" s="66">
        <v>340.99191842587868</v>
      </c>
      <c r="K60" s="66">
        <v>244.27762542955327</v>
      </c>
      <c r="L60" s="66">
        <v>216.6886609038053</v>
      </c>
      <c r="M60" s="66">
        <v>167.13293449400061</v>
      </c>
      <c r="N60" s="66">
        <v>198.80705808869453</v>
      </c>
      <c r="O60" s="66">
        <v>212.62605475738681</v>
      </c>
      <c r="P60" s="66">
        <v>188.00513009454818</v>
      </c>
      <c r="Q60" s="66">
        <v>190.77906341722831</v>
      </c>
      <c r="R60" s="66">
        <v>178.09887491328084</v>
      </c>
      <c r="S60" s="66">
        <v>159.42182399999999</v>
      </c>
      <c r="T60" s="66">
        <v>167.38196469990939</v>
      </c>
      <c r="U60" s="66">
        <v>183.16340867440439</v>
      </c>
      <c r="V60" s="66">
        <v>192.17181450934186</v>
      </c>
      <c r="W60" s="66">
        <v>172.03674457235226</v>
      </c>
      <c r="X60" s="66">
        <v>167.6214868918743</v>
      </c>
      <c r="Y60" s="66">
        <v>162.70250406942912</v>
      </c>
      <c r="Z60" s="66">
        <v>153.64608204971788</v>
      </c>
      <c r="AA60" s="66">
        <v>141.84914549476872</v>
      </c>
    </row>
    <row r="61" spans="1:27" x14ac:dyDescent="0.25">
      <c r="A61" s="72" t="s">
        <v>0</v>
      </c>
      <c r="B61" s="65"/>
      <c r="C61" s="65"/>
      <c r="D61" s="66">
        <v>500.26152264015701</v>
      </c>
      <c r="E61" s="66">
        <v>511.56683923705725</v>
      </c>
      <c r="F61" s="66">
        <v>629.97035717548192</v>
      </c>
      <c r="G61" s="66">
        <v>607.82342832920301</v>
      </c>
      <c r="H61" s="66">
        <v>643.97586027029149</v>
      </c>
      <c r="I61" s="66">
        <v>679.28757224118328</v>
      </c>
      <c r="J61" s="66">
        <v>607.18314741530276</v>
      </c>
      <c r="K61" s="66">
        <v>757.72034364261174</v>
      </c>
      <c r="L61" s="66">
        <v>542.50212877226443</v>
      </c>
      <c r="M61" s="66">
        <v>468.3753201357847</v>
      </c>
      <c r="N61" s="66">
        <v>726.39227073987831</v>
      </c>
      <c r="O61" s="66">
        <v>756.27051233396583</v>
      </c>
      <c r="P61" s="66">
        <v>766.67027077517037</v>
      </c>
      <c r="Q61" s="66">
        <v>737.92435953815152</v>
      </c>
      <c r="R61" s="66">
        <v>787.11354326908577</v>
      </c>
      <c r="S61" s="66">
        <v>788.94428700000003</v>
      </c>
      <c r="T61" s="66">
        <v>790.07042597035422</v>
      </c>
      <c r="U61" s="66">
        <v>858.78814323530264</v>
      </c>
      <c r="V61" s="66">
        <v>976.90574257981257</v>
      </c>
      <c r="W61" s="66">
        <v>957.57233976047792</v>
      </c>
      <c r="X61" s="66">
        <v>936.41809834355035</v>
      </c>
      <c r="Y61" s="66">
        <v>1468.1741740956593</v>
      </c>
      <c r="Z61" s="66">
        <v>1201.6263298764682</v>
      </c>
      <c r="AA61" s="66">
        <v>1031.7913938848319</v>
      </c>
    </row>
    <row r="62" spans="1:27" x14ac:dyDescent="0.25">
      <c r="A62" s="78" t="s">
        <v>271</v>
      </c>
      <c r="B62" s="79"/>
      <c r="C62" s="79"/>
      <c r="D62" s="80">
        <v>155.03794602511763</v>
      </c>
      <c r="E62" s="80">
        <v>161.30485921889192</v>
      </c>
      <c r="F62" s="80">
        <v>190.46595414268748</v>
      </c>
      <c r="G62" s="80">
        <v>239.83530226946658</v>
      </c>
      <c r="H62" s="80">
        <v>283.7081150715245</v>
      </c>
      <c r="I62" s="80">
        <v>311.93489874857795</v>
      </c>
      <c r="J62" s="80">
        <v>308.55284392537544</v>
      </c>
      <c r="K62" s="80">
        <v>318.14743298969074</v>
      </c>
      <c r="L62" s="80">
        <v>270.04487341188053</v>
      </c>
      <c r="M62" s="80">
        <v>245.58308741975603</v>
      </c>
      <c r="N62" s="80">
        <v>236.36823349043209</v>
      </c>
      <c r="O62" s="80">
        <v>226.73110002710763</v>
      </c>
      <c r="P62" s="80">
        <v>250.19475677975777</v>
      </c>
      <c r="Q62" s="80">
        <v>263.09961342183044</v>
      </c>
      <c r="R62" s="80">
        <v>254.62573522758123</v>
      </c>
      <c r="S62" s="80">
        <v>270.13142399999998</v>
      </c>
      <c r="T62" s="80">
        <v>278.96994116651564</v>
      </c>
      <c r="U62" s="80">
        <v>289.70681269453416</v>
      </c>
      <c r="V62" s="80">
        <v>297.89866464680472</v>
      </c>
      <c r="W62" s="80">
        <v>300.07558607878684</v>
      </c>
      <c r="X62" s="80">
        <v>317.67460545193688</v>
      </c>
      <c r="Y62" s="80">
        <v>401.15387839786791</v>
      </c>
      <c r="Z62" s="80">
        <v>353.93472472167156</v>
      </c>
      <c r="AA62" s="80">
        <v>319.16126914020788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5.0986447988498093E-2</v>
      </c>
      <c r="E66" s="83">
        <f t="shared" ref="E66:S66" si="55">E24/E$23</f>
        <v>4.9935684294832895E-2</v>
      </c>
      <c r="F66" s="83">
        <f t="shared" si="55"/>
        <v>5.1512923477178896E-2</v>
      </c>
      <c r="G66" s="83">
        <f t="shared" si="55"/>
        <v>4.5988061436651836E-2</v>
      </c>
      <c r="H66" s="83">
        <f t="shared" si="55"/>
        <v>4.8852923003328615E-2</v>
      </c>
      <c r="I66" s="83">
        <f t="shared" si="55"/>
        <v>4.3726495726495729E-2</v>
      </c>
      <c r="J66" s="83">
        <f t="shared" si="55"/>
        <v>3.8942447336754317E-2</v>
      </c>
      <c r="K66" s="83">
        <f t="shared" si="55"/>
        <v>3.9121471697519367E-2</v>
      </c>
      <c r="L66" s="83">
        <f t="shared" si="55"/>
        <v>3.4537852912756045E-2</v>
      </c>
      <c r="M66" s="83">
        <f t="shared" si="55"/>
        <v>3.6651561780599508E-2</v>
      </c>
      <c r="N66" s="83">
        <f t="shared" si="55"/>
        <v>4.6403459248614241E-2</v>
      </c>
      <c r="O66" s="83">
        <f t="shared" si="55"/>
        <v>4.2886386287815034E-2</v>
      </c>
      <c r="P66" s="83">
        <f t="shared" si="55"/>
        <v>4.0151308724294343E-2</v>
      </c>
      <c r="Q66" s="83">
        <f t="shared" si="55"/>
        <v>3.6680769330599321E-2</v>
      </c>
      <c r="R66" s="83">
        <f t="shared" si="55"/>
        <v>4.1312247813338011E-2</v>
      </c>
      <c r="S66" s="83">
        <f t="shared" si="55"/>
        <v>4.0638466909020871E-2</v>
      </c>
      <c r="T66" s="83">
        <f t="shared" ref="T66:Y66" si="56">T24/T$23</f>
        <v>3.8280075187969921E-2</v>
      </c>
      <c r="U66" s="83">
        <f t="shared" si="56"/>
        <v>4.1749115747442417E-2</v>
      </c>
      <c r="V66" s="83">
        <f t="shared" si="56"/>
        <v>4.2436768926090773E-2</v>
      </c>
      <c r="W66" s="83">
        <f t="shared" si="56"/>
        <v>4.4520427502393461E-2</v>
      </c>
      <c r="X66" s="83">
        <f t="shared" si="56"/>
        <v>4.6994126226987822E-2</v>
      </c>
      <c r="Y66" s="83">
        <f t="shared" si="56"/>
        <v>4.8396063031408795E-2</v>
      </c>
      <c r="Z66" s="83">
        <f t="shared" ref="Z66:AA66" si="57">Z24/Z$23</f>
        <v>5.8134040333245589E-2</v>
      </c>
      <c r="AA66" s="83">
        <f t="shared" si="57"/>
        <v>4.4546024917092412E-2</v>
      </c>
    </row>
    <row r="67" spans="1:27" x14ac:dyDescent="0.25">
      <c r="A67" s="64" t="s">
        <v>56</v>
      </c>
      <c r="B67" s="65"/>
      <c r="C67" s="65"/>
      <c r="D67" s="83">
        <f t="shared" si="51"/>
        <v>1.2380521313134004E-3</v>
      </c>
      <c r="E67" s="83">
        <f t="shared" ref="E67:S67" si="58">E25/E$23</f>
        <v>1.6625003033759675E-3</v>
      </c>
      <c r="F67" s="83">
        <f t="shared" si="58"/>
        <v>2.0587070867032408E-3</v>
      </c>
      <c r="G67" s="83">
        <f t="shared" si="58"/>
        <v>2.5703189459978151E-3</v>
      </c>
      <c r="H67" s="83">
        <f t="shared" si="58"/>
        <v>2.4017858922485099E-3</v>
      </c>
      <c r="I67" s="83">
        <f t="shared" si="58"/>
        <v>2.94017094017094E-3</v>
      </c>
      <c r="J67" s="83">
        <f t="shared" si="58"/>
        <v>3.195064938657519E-3</v>
      </c>
      <c r="K67" s="83">
        <f t="shared" si="58"/>
        <v>3.4568315699470709E-3</v>
      </c>
      <c r="L67" s="83">
        <f t="shared" si="58"/>
        <v>3.4442180190006029E-3</v>
      </c>
      <c r="M67" s="83">
        <f t="shared" si="58"/>
        <v>4.7556158674001009E-3</v>
      </c>
      <c r="N67" s="83">
        <f t="shared" si="58"/>
        <v>5.1330909494398183E-3</v>
      </c>
      <c r="O67" s="83">
        <f t="shared" si="58"/>
        <v>4.9534790730429261E-3</v>
      </c>
      <c r="P67" s="83">
        <f t="shared" si="58"/>
        <v>5.1077380093713124E-3</v>
      </c>
      <c r="Q67" s="83">
        <f t="shared" si="58"/>
        <v>5.4714875282269558E-3</v>
      </c>
      <c r="R67" s="83">
        <f t="shared" si="58"/>
        <v>4.5813388135635688E-3</v>
      </c>
      <c r="S67" s="83">
        <f t="shared" si="58"/>
        <v>5.2242578905554084E-3</v>
      </c>
      <c r="T67" s="83">
        <f t="shared" ref="T67:Y67" si="59">T25/T$23</f>
        <v>5.0657894736842084E-3</v>
      </c>
      <c r="U67" s="83">
        <f t="shared" si="59"/>
        <v>5.2451934511275672E-3</v>
      </c>
      <c r="V67" s="83">
        <f t="shared" si="59"/>
        <v>5.3984632958558381E-3</v>
      </c>
      <c r="W67" s="83">
        <f t="shared" si="59"/>
        <v>4.9745022566968222E-3</v>
      </c>
      <c r="X67" s="83">
        <f t="shared" si="59"/>
        <v>5.4519651515748842E-3</v>
      </c>
      <c r="Y67" s="83">
        <f t="shared" si="59"/>
        <v>4.8891391266543604E-3</v>
      </c>
      <c r="Z67" s="83">
        <f t="shared" ref="Z67:AA67" si="60">Z25/Z$23</f>
        <v>5.3021211322911198E-3</v>
      </c>
      <c r="AA67" s="83">
        <f t="shared" si="60"/>
        <v>5.2125742665468195E-3</v>
      </c>
    </row>
    <row r="68" spans="1:27" x14ac:dyDescent="0.25">
      <c r="A68" s="64" t="s">
        <v>146</v>
      </c>
      <c r="B68" s="65"/>
      <c r="C68" s="65"/>
      <c r="D68" s="83">
        <f t="shared" si="51"/>
        <v>0.69008759551638754</v>
      </c>
      <c r="E68" s="83">
        <f t="shared" ref="E68:S68" si="61">E26/E$23</f>
        <v>0.7053733951411304</v>
      </c>
      <c r="F68" s="83">
        <f t="shared" si="61"/>
        <v>0.7018494429048131</v>
      </c>
      <c r="G68" s="83">
        <f t="shared" si="61"/>
        <v>0.71829010413307104</v>
      </c>
      <c r="H68" s="83">
        <f t="shared" si="61"/>
        <v>0.71408781965677381</v>
      </c>
      <c r="I68" s="83">
        <f t="shared" si="61"/>
        <v>0.73013675213675211</v>
      </c>
      <c r="J68" s="83">
        <f t="shared" si="61"/>
        <v>0.72424929805391491</v>
      </c>
      <c r="K68" s="83">
        <f t="shared" si="61"/>
        <v>0.71623032255018704</v>
      </c>
      <c r="L68" s="83">
        <f t="shared" si="61"/>
        <v>0.72568238569501464</v>
      </c>
      <c r="M68" s="83">
        <f t="shared" si="61"/>
        <v>0.74348753241088494</v>
      </c>
      <c r="N68" s="83">
        <f t="shared" si="61"/>
        <v>0.73674685702912224</v>
      </c>
      <c r="O68" s="83">
        <f t="shared" si="61"/>
        <v>0.73146772181738984</v>
      </c>
      <c r="P68" s="83">
        <f t="shared" si="61"/>
        <v>0.7351295901521101</v>
      </c>
      <c r="Q68" s="83">
        <f t="shared" si="61"/>
        <v>0.74486464038206956</v>
      </c>
      <c r="R68" s="83">
        <f t="shared" si="61"/>
        <v>0.74969048394777094</v>
      </c>
      <c r="S68" s="83">
        <f t="shared" si="61"/>
        <v>0.7487348628933238</v>
      </c>
      <c r="T68" s="83">
        <f t="shared" ref="T68:Y68" si="62">T26/T$23</f>
        <v>0.75566729323308268</v>
      </c>
      <c r="U68" s="83">
        <f t="shared" si="62"/>
        <v>0.74478101008671194</v>
      </c>
      <c r="V68" s="83">
        <f t="shared" si="62"/>
        <v>0.74693689737128799</v>
      </c>
      <c r="W68" s="83">
        <f t="shared" si="62"/>
        <v>0.74247865418807746</v>
      </c>
      <c r="X68" s="83">
        <f t="shared" si="62"/>
        <v>0.73319667284266965</v>
      </c>
      <c r="Y68" s="83">
        <f t="shared" si="62"/>
        <v>0.722338234350835</v>
      </c>
      <c r="Z68" s="83">
        <f t="shared" ref="Z68:AA68" si="63">Z26/Z$23</f>
        <v>0.71879879546378056</v>
      </c>
      <c r="AA68" s="83">
        <f t="shared" si="63"/>
        <v>0.72424468427087318</v>
      </c>
    </row>
    <row r="69" spans="1:27" x14ac:dyDescent="0.25">
      <c r="A69" s="68" t="s">
        <v>148</v>
      </c>
      <c r="B69" s="69"/>
      <c r="C69" s="69"/>
      <c r="D69" s="84">
        <f t="shared" si="51"/>
        <v>0.31718096860938777</v>
      </c>
      <c r="E69" s="84">
        <f t="shared" ref="E69:S69" si="64">E27/E$23</f>
        <v>0.32259786908720228</v>
      </c>
      <c r="F69" s="84">
        <f t="shared" si="64"/>
        <v>0.32043436457213959</v>
      </c>
      <c r="G69" s="84">
        <f t="shared" si="64"/>
        <v>0.32725971964497302</v>
      </c>
      <c r="H69" s="84">
        <f t="shared" si="64"/>
        <v>0.32006537641266863</v>
      </c>
      <c r="I69" s="84">
        <f t="shared" si="64"/>
        <v>0.31180341880341877</v>
      </c>
      <c r="J69" s="84">
        <f t="shared" si="64"/>
        <v>0.292625070886181</v>
      </c>
      <c r="K69" s="84">
        <f t="shared" si="64"/>
        <v>0.28381164202122361</v>
      </c>
      <c r="L69" s="84">
        <f t="shared" si="64"/>
        <v>0.30619576552529121</v>
      </c>
      <c r="M69" s="84">
        <f t="shared" si="64"/>
        <v>0.3185353914750283</v>
      </c>
      <c r="N69" s="84">
        <f t="shared" si="64"/>
        <v>0.30634110039006379</v>
      </c>
      <c r="O69" s="84">
        <f t="shared" si="64"/>
        <v>0.30133863295913682</v>
      </c>
      <c r="P69" s="84">
        <f t="shared" si="64"/>
        <v>0.29730134051408624</v>
      </c>
      <c r="Q69" s="84">
        <f t="shared" si="64"/>
        <v>0.30078646144262455</v>
      </c>
      <c r="R69" s="84">
        <f t="shared" si="64"/>
        <v>0.29843362321746342</v>
      </c>
      <c r="S69" s="84">
        <f t="shared" si="64"/>
        <v>0.29977128824903099</v>
      </c>
      <c r="T69" s="84">
        <f t="shared" ref="T69:Y69" si="65">T27/T$23</f>
        <v>0.29948778195488701</v>
      </c>
      <c r="U69" s="84">
        <f t="shared" si="65"/>
        <v>0.30165075233402844</v>
      </c>
      <c r="V69" s="84">
        <f t="shared" si="65"/>
        <v>0.30418027083444843</v>
      </c>
      <c r="W69" s="84">
        <f t="shared" si="65"/>
        <v>0.3021472812176394</v>
      </c>
      <c r="X69" s="84">
        <f t="shared" si="65"/>
        <v>0.28477155359325113</v>
      </c>
      <c r="Y69" s="84">
        <f t="shared" si="65"/>
        <v>0.28560127146125402</v>
      </c>
      <c r="Z69" s="84">
        <f t="shared" ref="Z69:AA69" si="66">Z27/Z$23</f>
        <v>0.29171040488641797</v>
      </c>
      <c r="AA69" s="84">
        <f t="shared" si="66"/>
        <v>0.28578037222400504</v>
      </c>
    </row>
    <row r="70" spans="1:27" x14ac:dyDescent="0.25">
      <c r="A70" s="68" t="s">
        <v>150</v>
      </c>
      <c r="B70" s="71"/>
      <c r="C70" s="71"/>
      <c r="D70" s="84">
        <f t="shared" si="51"/>
        <v>0.21116110652573283</v>
      </c>
      <c r="E70" s="84">
        <f t="shared" ref="E70:S70" si="67">E28/E$23</f>
        <v>0.21937722981336308</v>
      </c>
      <c r="F70" s="84">
        <f t="shared" si="67"/>
        <v>0.21398110966574291</v>
      </c>
      <c r="G70" s="84">
        <f t="shared" si="67"/>
        <v>0.21768874779226008</v>
      </c>
      <c r="H70" s="84">
        <f t="shared" si="67"/>
        <v>0.21976839209902133</v>
      </c>
      <c r="I70" s="84">
        <f t="shared" si="67"/>
        <v>0.23035042735042738</v>
      </c>
      <c r="J70" s="84">
        <f t="shared" si="67"/>
        <v>0.23838503990373314</v>
      </c>
      <c r="K70" s="84">
        <f t="shared" si="67"/>
        <v>0.24998819746429074</v>
      </c>
      <c r="L70" s="84">
        <f t="shared" si="67"/>
        <v>0.25276733350554426</v>
      </c>
      <c r="M70" s="84">
        <f t="shared" si="67"/>
        <v>0.24514139627305112</v>
      </c>
      <c r="N70" s="84">
        <f t="shared" si="67"/>
        <v>0.24835762677068368</v>
      </c>
      <c r="O70" s="84">
        <f t="shared" si="67"/>
        <v>0.25862532003652444</v>
      </c>
      <c r="P70" s="84">
        <f t="shared" si="67"/>
        <v>0.26545277746611318</v>
      </c>
      <c r="Q70" s="84">
        <f t="shared" si="67"/>
        <v>0.2747839177719521</v>
      </c>
      <c r="R70" s="84">
        <f t="shared" si="67"/>
        <v>0.28384752261848067</v>
      </c>
      <c r="S70" s="84">
        <f t="shared" si="67"/>
        <v>0.27955316946337</v>
      </c>
      <c r="T70" s="84">
        <f t="shared" ref="T70:Y70" si="68">T28/T$23</f>
        <v>0.28762687969924811</v>
      </c>
      <c r="U70" s="84">
        <f t="shared" si="68"/>
        <v>0.27618339331642294</v>
      </c>
      <c r="V70" s="84">
        <f t="shared" si="68"/>
        <v>0.27971129657154387</v>
      </c>
      <c r="W70" s="84">
        <f t="shared" si="68"/>
        <v>0.2732224849065083</v>
      </c>
      <c r="X70" s="84">
        <f t="shared" si="68"/>
        <v>0.27913825048291085</v>
      </c>
      <c r="Y70" s="84">
        <f t="shared" si="68"/>
        <v>0.27641453628012058</v>
      </c>
      <c r="Z70" s="84">
        <f t="shared" ref="Z70:AA70" si="69">Z28/Z$23</f>
        <v>0.27671625602953159</v>
      </c>
      <c r="AA70" s="84">
        <f t="shared" si="69"/>
        <v>0.29313290947098158</v>
      </c>
    </row>
    <row r="71" spans="1:27" x14ac:dyDescent="0.25">
      <c r="A71" s="68" t="s">
        <v>152</v>
      </c>
      <c r="B71" s="71"/>
      <c r="C71" s="71"/>
      <c r="D71" s="84">
        <f t="shared" si="51"/>
        <v>0.16174552038126677</v>
      </c>
      <c r="E71" s="84">
        <f t="shared" ref="E71:S71" si="70">E29/E$23</f>
        <v>0.16339829624056498</v>
      </c>
      <c r="F71" s="84">
        <f t="shared" si="70"/>
        <v>0.16743396866693061</v>
      </c>
      <c r="G71" s="84">
        <f t="shared" si="70"/>
        <v>0.17334163669583791</v>
      </c>
      <c r="H71" s="84">
        <f t="shared" si="70"/>
        <v>0.17425405114508383</v>
      </c>
      <c r="I71" s="84">
        <f t="shared" si="70"/>
        <v>0.18798290598290596</v>
      </c>
      <c r="J71" s="84">
        <f t="shared" si="70"/>
        <v>0.19323918726400091</v>
      </c>
      <c r="K71" s="84">
        <f t="shared" si="70"/>
        <v>0.18243048306467263</v>
      </c>
      <c r="L71" s="84">
        <f t="shared" si="70"/>
        <v>0.16671928666417923</v>
      </c>
      <c r="M71" s="84">
        <f t="shared" si="70"/>
        <v>0.17981074466280564</v>
      </c>
      <c r="N71" s="84">
        <f t="shared" si="70"/>
        <v>0.18204812986837485</v>
      </c>
      <c r="O71" s="84">
        <f t="shared" si="70"/>
        <v>0.17150376882172846</v>
      </c>
      <c r="P71" s="84">
        <f t="shared" si="70"/>
        <v>0.17237547217191068</v>
      </c>
      <c r="Q71" s="84">
        <f t="shared" si="70"/>
        <v>0.16929426116749291</v>
      </c>
      <c r="R71" s="84">
        <f t="shared" si="70"/>
        <v>0.16740933811182676</v>
      </c>
      <c r="S71" s="84">
        <f t="shared" si="70"/>
        <v>0.16941040518092304</v>
      </c>
      <c r="T71" s="84">
        <f t="shared" ref="T71:Y71" si="71">T29/T$23</f>
        <v>0.16855263157894734</v>
      </c>
      <c r="U71" s="84">
        <f t="shared" si="71"/>
        <v>0.16694686443626044</v>
      </c>
      <c r="V71" s="84">
        <f t="shared" si="71"/>
        <v>0.16304532996529589</v>
      </c>
      <c r="W71" s="84">
        <f t="shared" si="71"/>
        <v>0.16710888806392996</v>
      </c>
      <c r="X71" s="84">
        <f t="shared" si="71"/>
        <v>0.1692868687665077</v>
      </c>
      <c r="Y71" s="84">
        <f t="shared" si="71"/>
        <v>0.16032242660946042</v>
      </c>
      <c r="Z71" s="84">
        <f t="shared" ref="Z71:AA71" si="72">Z29/Z$23</f>
        <v>0.15037213454783091</v>
      </c>
      <c r="AA71" s="84">
        <f t="shared" si="72"/>
        <v>0.14533140257588642</v>
      </c>
    </row>
    <row r="72" spans="1:27" x14ac:dyDescent="0.25">
      <c r="A72" s="64" t="s">
        <v>154</v>
      </c>
      <c r="B72" s="65"/>
      <c r="C72" s="65"/>
      <c r="D72" s="83">
        <f t="shared" si="51"/>
        <v>3.3893341143267919E-2</v>
      </c>
      <c r="E72" s="83">
        <f t="shared" ref="E72:S72" si="73">E30/E$23</f>
        <v>3.1842341577069631E-2</v>
      </c>
      <c r="F72" s="83">
        <f t="shared" si="73"/>
        <v>2.9749448560601775E-2</v>
      </c>
      <c r="G72" s="83">
        <f t="shared" si="73"/>
        <v>2.9279307297197153E-2</v>
      </c>
      <c r="H72" s="83">
        <f t="shared" si="73"/>
        <v>2.8532419126587064E-2</v>
      </c>
      <c r="I72" s="83">
        <f t="shared" si="73"/>
        <v>2.3162393162393161E-2</v>
      </c>
      <c r="J72" s="83">
        <f t="shared" si="73"/>
        <v>2.171537642291041E-2</v>
      </c>
      <c r="K72" s="83">
        <f t="shared" si="73"/>
        <v>2.0221677848476411E-2</v>
      </c>
      <c r="L72" s="83">
        <f t="shared" si="73"/>
        <v>2.3334577078729084E-2</v>
      </c>
      <c r="M72" s="83">
        <f t="shared" si="73"/>
        <v>3.085395109894104E-2</v>
      </c>
      <c r="N72" s="83">
        <f t="shared" si="73"/>
        <v>3.3634576759684842E-2</v>
      </c>
      <c r="O72" s="83">
        <f t="shared" si="73"/>
        <v>3.1755978491158333E-2</v>
      </c>
      <c r="P72" s="83">
        <f t="shared" si="73"/>
        <v>3.1859248692344286E-2</v>
      </c>
      <c r="Q72" s="83">
        <f t="shared" si="73"/>
        <v>2.7409349287512649E-2</v>
      </c>
      <c r="R72" s="83">
        <f t="shared" si="73"/>
        <v>2.1287687025387827E-2</v>
      </c>
      <c r="S72" s="83">
        <f t="shared" si="73"/>
        <v>2.4647904278113482E-2</v>
      </c>
      <c r="T72" s="83">
        <f t="shared" ref="T72:Y72" si="74">T30/T$23</f>
        <v>3.0051691729323302E-2</v>
      </c>
      <c r="U72" s="83">
        <f t="shared" si="74"/>
        <v>2.7788464208965608E-2</v>
      </c>
      <c r="V72" s="83">
        <f t="shared" si="74"/>
        <v>1.6850118522081885E-2</v>
      </c>
      <c r="W72" s="83">
        <f t="shared" si="74"/>
        <v>1.7447881049608257E-2</v>
      </c>
      <c r="X72" s="83">
        <f t="shared" si="74"/>
        <v>2.087357590570427E-2</v>
      </c>
      <c r="Y72" s="83">
        <f t="shared" si="74"/>
        <v>2.5920989801227274E-2</v>
      </c>
      <c r="Z72" s="83">
        <f t="shared" ref="Z72:AA72" si="75">Z30/Z$23</f>
        <v>2.9960791557155343E-2</v>
      </c>
      <c r="AA72" s="83">
        <f t="shared" si="75"/>
        <v>3.9780331368802192E-2</v>
      </c>
    </row>
    <row r="73" spans="1:27" x14ac:dyDescent="0.25">
      <c r="A73" s="64" t="s">
        <v>37</v>
      </c>
      <c r="B73" s="65"/>
      <c r="C73" s="65"/>
      <c r="D73" s="83">
        <f t="shared" si="51"/>
        <v>7.1740461673633474E-2</v>
      </c>
      <c r="E73" s="83">
        <f t="shared" ref="E73:S73" si="76">E31/E$23</f>
        <v>6.3053661141179038E-2</v>
      </c>
      <c r="F73" s="83">
        <f t="shared" si="76"/>
        <v>6.5267801594932423E-2</v>
      </c>
      <c r="G73" s="83">
        <f t="shared" si="76"/>
        <v>6.4779002436897756E-2</v>
      </c>
      <c r="H73" s="83">
        <f t="shared" si="76"/>
        <v>6.8216698889796895E-2</v>
      </c>
      <c r="I73" s="83">
        <f t="shared" si="76"/>
        <v>7.0675213675213663E-2</v>
      </c>
      <c r="J73" s="83">
        <f t="shared" si="76"/>
        <v>9.0457682678875231E-2</v>
      </c>
      <c r="K73" s="83">
        <f t="shared" si="76"/>
        <v>0.10714604195408026</v>
      </c>
      <c r="L73" s="83">
        <f t="shared" si="76"/>
        <v>0.10708647857409374</v>
      </c>
      <c r="M73" s="83">
        <f t="shared" si="76"/>
        <v>8.0457750745147438E-2</v>
      </c>
      <c r="N73" s="83">
        <f t="shared" si="76"/>
        <v>4.9482909053582422E-2</v>
      </c>
      <c r="O73" s="83">
        <f t="shared" si="76"/>
        <v>5.8486861344362276E-2</v>
      </c>
      <c r="P73" s="83">
        <f t="shared" si="76"/>
        <v>6.291173123467278E-2</v>
      </c>
      <c r="Q73" s="83">
        <f t="shared" si="76"/>
        <v>6.4650764398992921E-2</v>
      </c>
      <c r="R73" s="83">
        <f t="shared" si="76"/>
        <v>6.4935715896844687E-2</v>
      </c>
      <c r="S73" s="83">
        <f t="shared" si="76"/>
        <v>6.303295856706069E-2</v>
      </c>
      <c r="T73" s="83">
        <f t="shared" ref="T73:Y73" si="77">T31/T$23</f>
        <v>5.5333646616541353E-2</v>
      </c>
      <c r="U73" s="83">
        <f t="shared" si="77"/>
        <v>6.1072081523880349E-2</v>
      </c>
      <c r="V73" s="83">
        <f t="shared" si="77"/>
        <v>6.6279917160396745E-2</v>
      </c>
      <c r="W73" s="83">
        <f t="shared" si="77"/>
        <v>6.773607393368633E-2</v>
      </c>
      <c r="X73" s="83">
        <f t="shared" si="77"/>
        <v>6.6267197540111164E-2</v>
      </c>
      <c r="Y73" s="83">
        <f t="shared" si="77"/>
        <v>5.5319967785847163E-2</v>
      </c>
      <c r="Z73" s="83">
        <f t="shared" ref="Z73:AA73" si="78">Z31/Z$23</f>
        <v>5.7537826292404934E-2</v>
      </c>
      <c r="AA73" s="83">
        <f t="shared" si="78"/>
        <v>7.071215235914384E-2</v>
      </c>
    </row>
    <row r="74" spans="1:27" x14ac:dyDescent="0.25">
      <c r="A74" s="64" t="s">
        <v>58</v>
      </c>
      <c r="B74" s="65"/>
      <c r="C74" s="65"/>
      <c r="D74" s="83">
        <f t="shared" si="51"/>
        <v>0.15205410154689952</v>
      </c>
      <c r="E74" s="83">
        <f t="shared" ref="E74:S74" si="79">E32/E$23</f>
        <v>0.14813241754241199</v>
      </c>
      <c r="F74" s="83">
        <f t="shared" si="79"/>
        <v>0.14956167637577061</v>
      </c>
      <c r="G74" s="83">
        <f t="shared" si="79"/>
        <v>0.13909320575018438</v>
      </c>
      <c r="H74" s="83">
        <f t="shared" si="79"/>
        <v>0.13790835343126503</v>
      </c>
      <c r="I74" s="83">
        <f t="shared" si="79"/>
        <v>0.12935897435897437</v>
      </c>
      <c r="J74" s="83">
        <f t="shared" si="79"/>
        <v>0.12144013056888753</v>
      </c>
      <c r="K74" s="83">
        <f t="shared" si="79"/>
        <v>0.11382365437978986</v>
      </c>
      <c r="L74" s="83">
        <f t="shared" si="79"/>
        <v>0.10591448772040604</v>
      </c>
      <c r="M74" s="83">
        <f t="shared" si="79"/>
        <v>0.1037935880970267</v>
      </c>
      <c r="N74" s="83">
        <f t="shared" si="79"/>
        <v>0.12859910695955656</v>
      </c>
      <c r="O74" s="83">
        <f t="shared" si="79"/>
        <v>0.13044957298623172</v>
      </c>
      <c r="P74" s="83">
        <f t="shared" si="79"/>
        <v>0.12484038318720712</v>
      </c>
      <c r="Q74" s="83">
        <f t="shared" si="79"/>
        <v>0.12092298907259842</v>
      </c>
      <c r="R74" s="83">
        <f t="shared" si="79"/>
        <v>0.11819252650309515</v>
      </c>
      <c r="S74" s="83">
        <f t="shared" si="79"/>
        <v>0.11772154946192549</v>
      </c>
      <c r="T74" s="83">
        <f t="shared" ref="T74:Y74" si="80">T32/T$23</f>
        <v>0.11560150375939847</v>
      </c>
      <c r="U74" s="83">
        <f t="shared" si="80"/>
        <v>0.11936413498187227</v>
      </c>
      <c r="V74" s="83">
        <f t="shared" si="80"/>
        <v>0.12209783472428659</v>
      </c>
      <c r="W74" s="83">
        <f t="shared" si="80"/>
        <v>0.12284246106953751</v>
      </c>
      <c r="X74" s="83">
        <f t="shared" si="80"/>
        <v>0.12721646233295228</v>
      </c>
      <c r="Y74" s="83">
        <f t="shared" si="80"/>
        <v>0.14313560590402746</v>
      </c>
      <c r="Z74" s="83">
        <f t="shared" ref="Z74:AA74" si="81">Z32/Z$23</f>
        <v>0.13026642522112244</v>
      </c>
      <c r="AA74" s="83">
        <f t="shared" si="81"/>
        <v>0.11550423281754156</v>
      </c>
    </row>
    <row r="75" spans="1:27" x14ac:dyDescent="0.25">
      <c r="A75" s="85" t="s">
        <v>158</v>
      </c>
      <c r="B75" s="86"/>
      <c r="C75" s="86"/>
      <c r="D75" s="87">
        <f t="shared" si="51"/>
        <v>7.428312787880401E-3</v>
      </c>
      <c r="E75" s="87">
        <f t="shared" ref="E75:S75" si="82">E33/E$23</f>
        <v>6.2738150134698922E-3</v>
      </c>
      <c r="F75" s="87">
        <f t="shared" si="82"/>
        <v>5.8820202477235456E-3</v>
      </c>
      <c r="G75" s="87">
        <f t="shared" si="82"/>
        <v>8.0372912428178598E-3</v>
      </c>
      <c r="H75" s="87">
        <f t="shared" si="82"/>
        <v>9.5573139861673071E-3</v>
      </c>
      <c r="I75" s="87">
        <f t="shared" si="82"/>
        <v>5.6837606837606839E-3</v>
      </c>
      <c r="J75" s="87">
        <f t="shared" si="82"/>
        <v>6.1688266781006655E-3</v>
      </c>
      <c r="K75" s="87">
        <f t="shared" si="82"/>
        <v>3.8974595697582313E-3</v>
      </c>
      <c r="L75" s="87">
        <f t="shared" si="82"/>
        <v>3.9799852664006968E-3</v>
      </c>
      <c r="M75" s="87">
        <f t="shared" si="82"/>
        <v>2.8473114110548377E-3</v>
      </c>
      <c r="N75" s="87">
        <f t="shared" si="82"/>
        <v>5.562256210223774E-3</v>
      </c>
      <c r="O75" s="87">
        <f t="shared" si="82"/>
        <v>5.7711015224488089E-3</v>
      </c>
      <c r="P75" s="87">
        <f t="shared" si="82"/>
        <v>3.0560942901259303E-3</v>
      </c>
      <c r="Q75" s="87">
        <f t="shared" si="82"/>
        <v>1.0486152568328704E-3</v>
      </c>
      <c r="R75" s="87">
        <f t="shared" si="82"/>
        <v>9.5235708378236134E-5</v>
      </c>
      <c r="S75" s="87">
        <f t="shared" si="82"/>
        <v>1.0833714519584948E-3</v>
      </c>
      <c r="T75" s="87">
        <f t="shared" ref="T75:Y75" si="83">T33/T$23</f>
        <v>0</v>
      </c>
      <c r="U75" s="87">
        <f t="shared" si="83"/>
        <v>0</v>
      </c>
      <c r="V75" s="87">
        <f t="shared" si="83"/>
        <v>0</v>
      </c>
      <c r="W75" s="87">
        <f t="shared" si="83"/>
        <v>0</v>
      </c>
      <c r="X75" s="87">
        <f t="shared" si="83"/>
        <v>0</v>
      </c>
      <c r="Y75" s="87">
        <f t="shared" si="83"/>
        <v>0</v>
      </c>
      <c r="Z75" s="87">
        <f t="shared" ref="Z75:AA75" si="84">Z33/Z$23</f>
        <v>0</v>
      </c>
      <c r="AA75" s="87">
        <f t="shared" si="84"/>
        <v>0</v>
      </c>
    </row>
    <row r="76" spans="1:27" x14ac:dyDescent="0.25">
      <c r="A76" s="88" t="s">
        <v>5</v>
      </c>
      <c r="B76" s="44"/>
      <c r="C76" s="44"/>
      <c r="D76" s="89">
        <f t="shared" si="51"/>
        <v>7.4283127878804018E-3</v>
      </c>
      <c r="E76" s="89">
        <f t="shared" ref="E76:S76" si="85">E34/E$23</f>
        <v>6.2738150134698939E-3</v>
      </c>
      <c r="F76" s="89">
        <f t="shared" si="85"/>
        <v>5.8820202477235465E-3</v>
      </c>
      <c r="G76" s="89">
        <f t="shared" si="85"/>
        <v>8.0372912428178598E-3</v>
      </c>
      <c r="H76" s="89">
        <f t="shared" si="85"/>
        <v>9.5573139861673071E-3</v>
      </c>
      <c r="I76" s="89">
        <f t="shared" si="85"/>
        <v>5.6837606837606839E-3</v>
      </c>
      <c r="J76" s="89">
        <f t="shared" si="85"/>
        <v>6.1688266781006655E-3</v>
      </c>
      <c r="K76" s="89">
        <f t="shared" si="85"/>
        <v>3.8974595697582313E-3</v>
      </c>
      <c r="L76" s="89">
        <f t="shared" si="85"/>
        <v>3.9799852664006968E-3</v>
      </c>
      <c r="M76" s="89">
        <f t="shared" si="85"/>
        <v>2.8473114110548377E-3</v>
      </c>
      <c r="N76" s="89">
        <f t="shared" si="85"/>
        <v>5.562256210223774E-3</v>
      </c>
      <c r="O76" s="89">
        <f t="shared" si="85"/>
        <v>5.7711015224488089E-3</v>
      </c>
      <c r="P76" s="89">
        <f t="shared" si="85"/>
        <v>3.0560942901259303E-3</v>
      </c>
      <c r="Q76" s="89">
        <f t="shared" si="85"/>
        <v>1.0486152568328704E-3</v>
      </c>
      <c r="R76" s="89">
        <f t="shared" si="85"/>
        <v>9.5235708378236134E-5</v>
      </c>
      <c r="S76" s="89">
        <f t="shared" si="85"/>
        <v>1.0833714519584948E-3</v>
      </c>
      <c r="T76" s="89">
        <f t="shared" ref="T76:Y76" si="86">T34/T$23</f>
        <v>0</v>
      </c>
      <c r="U76" s="89">
        <f t="shared" si="86"/>
        <v>0</v>
      </c>
      <c r="V76" s="89">
        <f t="shared" si="86"/>
        <v>0</v>
      </c>
      <c r="W76" s="89">
        <f t="shared" si="86"/>
        <v>0</v>
      </c>
      <c r="X76" s="89">
        <f t="shared" si="86"/>
        <v>0</v>
      </c>
      <c r="Y76" s="89">
        <f t="shared" si="86"/>
        <v>0</v>
      </c>
      <c r="Z76" s="89">
        <f t="shared" ref="Z76:AA76" si="87">Z34/Z$23</f>
        <v>0</v>
      </c>
      <c r="AA76" s="89">
        <f t="shared" si="87"/>
        <v>0</v>
      </c>
    </row>
    <row r="77" spans="1:27" x14ac:dyDescent="0.25">
      <c r="A77" s="88" t="s">
        <v>263</v>
      </c>
      <c r="B77" s="44"/>
      <c r="C77" s="44"/>
      <c r="D77" s="89">
        <f>D37/D$23</f>
        <v>0</v>
      </c>
      <c r="E77" s="89">
        <f t="shared" ref="E77:S77" si="88">E37/E$23</f>
        <v>0</v>
      </c>
      <c r="F77" s="89">
        <f t="shared" si="88"/>
        <v>0</v>
      </c>
      <c r="G77" s="89">
        <f t="shared" si="88"/>
        <v>0</v>
      </c>
      <c r="H77" s="89">
        <f t="shared" si="88"/>
        <v>0</v>
      </c>
      <c r="I77" s="89">
        <f t="shared" si="88"/>
        <v>0</v>
      </c>
      <c r="J77" s="89">
        <f t="shared" si="88"/>
        <v>0</v>
      </c>
      <c r="K77" s="89">
        <f t="shared" si="88"/>
        <v>0</v>
      </c>
      <c r="L77" s="89">
        <f t="shared" si="88"/>
        <v>0</v>
      </c>
      <c r="M77" s="89">
        <f t="shared" si="88"/>
        <v>0</v>
      </c>
      <c r="N77" s="89">
        <f t="shared" si="88"/>
        <v>0</v>
      </c>
      <c r="O77" s="89">
        <f t="shared" si="88"/>
        <v>0</v>
      </c>
      <c r="P77" s="89">
        <f t="shared" si="88"/>
        <v>0</v>
      </c>
      <c r="Q77" s="89">
        <f t="shared" si="88"/>
        <v>0</v>
      </c>
      <c r="R77" s="89">
        <f t="shared" si="88"/>
        <v>0</v>
      </c>
      <c r="S77" s="89">
        <f t="shared" si="88"/>
        <v>0</v>
      </c>
      <c r="T77" s="89">
        <f t="shared" ref="T77:Y77" si="89">T37/T$23</f>
        <v>0</v>
      </c>
      <c r="U77" s="89">
        <f t="shared" si="89"/>
        <v>0</v>
      </c>
      <c r="V77" s="89">
        <f t="shared" si="89"/>
        <v>0</v>
      </c>
      <c r="W77" s="89">
        <f t="shared" si="89"/>
        <v>0</v>
      </c>
      <c r="X77" s="89">
        <f t="shared" si="89"/>
        <v>0</v>
      </c>
      <c r="Y77" s="89">
        <f t="shared" si="89"/>
        <v>0</v>
      </c>
      <c r="Z77" s="89">
        <f t="shared" ref="Z77:AA77" si="90">Z37/Z$23</f>
        <v>0</v>
      </c>
      <c r="AA77" s="89">
        <f t="shared" si="90"/>
        <v>0</v>
      </c>
    </row>
    <row r="78" spans="1:27" x14ac:dyDescent="0.25">
      <c r="A78" s="68" t="s">
        <v>265</v>
      </c>
      <c r="B78" s="44"/>
      <c r="C78" s="44"/>
      <c r="D78" s="89">
        <f>D43/D$23</f>
        <v>5.2583934609547649E-3</v>
      </c>
      <c r="E78" s="89">
        <f t="shared" ref="E78:S78" si="91">E43/E$23</f>
        <v>6.4437055554207208E-3</v>
      </c>
      <c r="F78" s="89">
        <f t="shared" si="91"/>
        <v>5.9951360217182286E-3</v>
      </c>
      <c r="G78" s="89">
        <f t="shared" si="91"/>
        <v>5.6451072011446711E-3</v>
      </c>
      <c r="H78" s="89">
        <f t="shared" si="91"/>
        <v>5.5410496103326613E-3</v>
      </c>
      <c r="I78" s="89">
        <f t="shared" si="91"/>
        <v>5.9999999999999993E-3</v>
      </c>
      <c r="J78" s="89">
        <f t="shared" si="91"/>
        <v>6.7635790259892954E-3</v>
      </c>
      <c r="K78" s="89">
        <f t="shared" si="91"/>
        <v>5.0200118549914227E-3</v>
      </c>
      <c r="L78" s="89">
        <f t="shared" si="91"/>
        <v>6.6014178697511557E-3</v>
      </c>
      <c r="M78" s="89">
        <f t="shared" si="91"/>
        <v>6.7790244020646036E-3</v>
      </c>
      <c r="N78" s="89">
        <f t="shared" si="91"/>
        <v>1.0425220693902689E-2</v>
      </c>
      <c r="O78" s="89">
        <f t="shared" si="91"/>
        <v>9.2624090618826805E-3</v>
      </c>
      <c r="P78" s="89">
        <f t="shared" si="91"/>
        <v>8.8423707170601652E-3</v>
      </c>
      <c r="Q78" s="89">
        <f t="shared" si="91"/>
        <v>9.1520232564175769E-3</v>
      </c>
      <c r="R78" s="89">
        <f t="shared" si="91"/>
        <v>6.7015864264053527E-3</v>
      </c>
      <c r="S78" s="89">
        <f t="shared" si="91"/>
        <v>6.8276476394539803E-3</v>
      </c>
      <c r="T78" s="89">
        <f t="shared" ref="T78:Y78" si="92">T43/T$23</f>
        <v>6.781015037593984E-3</v>
      </c>
      <c r="U78" s="89">
        <f t="shared" si="92"/>
        <v>7.0873008495022059E-3</v>
      </c>
      <c r="V78" s="89">
        <f t="shared" si="92"/>
        <v>7.5922578732619947E-3</v>
      </c>
      <c r="W78" s="89">
        <f t="shared" si="92"/>
        <v>9.0228795842207058E-3</v>
      </c>
      <c r="X78" s="89">
        <f t="shared" si="92"/>
        <v>9.1181456222651485E-3</v>
      </c>
      <c r="Y78" s="89">
        <f t="shared" si="92"/>
        <v>1.0487417237422582E-2</v>
      </c>
      <c r="Z78" s="89">
        <f t="shared" ref="Z78:AA78" si="93">Z43/Z$23</f>
        <v>9.9707284276757489E-3</v>
      </c>
      <c r="AA78" s="89">
        <f t="shared" si="93"/>
        <v>9.2240770859977807E-3</v>
      </c>
    </row>
    <row r="79" spans="1:27" x14ac:dyDescent="0.25">
      <c r="A79" s="88" t="s">
        <v>266</v>
      </c>
      <c r="B79" s="44"/>
      <c r="C79" s="44"/>
      <c r="D79" s="89">
        <f>D44/D$23</f>
        <v>2.7024148672754864E-3</v>
      </c>
      <c r="E79" s="89">
        <f t="shared" ref="E79:S79" si="94">E44/E$23</f>
        <v>3.3007305293303881E-3</v>
      </c>
      <c r="F79" s="89">
        <f t="shared" si="94"/>
        <v>3.0088795882585828E-3</v>
      </c>
      <c r="G79" s="89">
        <f t="shared" si="94"/>
        <v>2.8281428156229737E-3</v>
      </c>
      <c r="H79" s="89">
        <f t="shared" si="94"/>
        <v>2.7505929720356378E-3</v>
      </c>
      <c r="I79" s="89">
        <f t="shared" si="94"/>
        <v>2.94017094017094E-3</v>
      </c>
      <c r="J79" s="89">
        <f t="shared" si="94"/>
        <v>3.3610423380683002E-3</v>
      </c>
      <c r="K79" s="89">
        <f t="shared" si="94"/>
        <v>2.4968919989299034E-3</v>
      </c>
      <c r="L79" s="89">
        <f t="shared" si="94"/>
        <v>3.5303234694756178E-3</v>
      </c>
      <c r="M79" s="89">
        <f t="shared" si="94"/>
        <v>3.5258196621998209E-3</v>
      </c>
      <c r="N79" s="89">
        <f t="shared" si="94"/>
        <v>6.0626668035311023E-3</v>
      </c>
      <c r="O79" s="89">
        <f t="shared" si="94"/>
        <v>4.4999074952703231E-3</v>
      </c>
      <c r="P79" s="89">
        <f t="shared" si="94"/>
        <v>4.2208295265725258E-3</v>
      </c>
      <c r="Q79" s="89">
        <f t="shared" si="94"/>
        <v>3.6493887403639003E-3</v>
      </c>
      <c r="R79" s="89">
        <f t="shared" si="94"/>
        <v>3.0726046966241447E-3</v>
      </c>
      <c r="S79" s="89">
        <f t="shared" si="94"/>
        <v>3.0189951127910057E-3</v>
      </c>
      <c r="T79" s="89">
        <f t="shared" ref="T79:Y79" si="95">T44/T$23</f>
        <v>2.852443609022556E-3</v>
      </c>
      <c r="U79" s="89">
        <f t="shared" si="95"/>
        <v>2.9438195283691239E-3</v>
      </c>
      <c r="V79" s="89">
        <f t="shared" si="95"/>
        <v>3.9896409323160915E-3</v>
      </c>
      <c r="W79" s="89">
        <f t="shared" si="95"/>
        <v>3.3957914069674294E-3</v>
      </c>
      <c r="X79" s="89">
        <f t="shared" si="95"/>
        <v>3.8435762999172152E-3</v>
      </c>
      <c r="Y79" s="89">
        <f t="shared" si="95"/>
        <v>4.7465986273349916E-3</v>
      </c>
      <c r="Z79" s="89">
        <f t="shared" ref="Z79:AA79" si="96">Z44/Z$23</f>
        <v>3.8658772116211002E-3</v>
      </c>
      <c r="AA79" s="89">
        <f t="shared" si="96"/>
        <v>3.2141072722876381E-3</v>
      </c>
    </row>
    <row r="80" spans="1:27" x14ac:dyDescent="0.25">
      <c r="A80" s="88" t="s">
        <v>11</v>
      </c>
      <c r="B80" s="44"/>
      <c r="C80" s="44"/>
      <c r="D80" s="89">
        <f>D47/D$23</f>
        <v>2.555978593679278E-3</v>
      </c>
      <c r="E80" s="89">
        <f t="shared" ref="E80:S80" si="97">E47/E$23</f>
        <v>3.1429750260903331E-3</v>
      </c>
      <c r="F80" s="89">
        <f t="shared" si="97"/>
        <v>2.9862564334596463E-3</v>
      </c>
      <c r="G80" s="89">
        <f t="shared" si="97"/>
        <v>2.8169643855216974E-3</v>
      </c>
      <c r="H80" s="89">
        <f t="shared" si="97"/>
        <v>2.7904566382970239E-3</v>
      </c>
      <c r="I80" s="89">
        <f t="shared" si="97"/>
        <v>3.0598290598290593E-3</v>
      </c>
      <c r="J80" s="89">
        <f t="shared" si="97"/>
        <v>3.4025366879209956E-3</v>
      </c>
      <c r="K80" s="89">
        <f t="shared" si="97"/>
        <v>2.5231198560615197E-3</v>
      </c>
      <c r="L80" s="89">
        <f t="shared" si="97"/>
        <v>3.0710944002755374E-3</v>
      </c>
      <c r="M80" s="89">
        <f t="shared" si="97"/>
        <v>3.2532047398647831E-3</v>
      </c>
      <c r="N80" s="89">
        <f t="shared" si="97"/>
        <v>4.3625538903715871E-3</v>
      </c>
      <c r="O80" s="89">
        <f t="shared" si="97"/>
        <v>4.7625015666123566E-3</v>
      </c>
      <c r="P80" s="89">
        <f t="shared" si="97"/>
        <v>4.6215411904876394E-3</v>
      </c>
      <c r="Q80" s="89">
        <f t="shared" si="97"/>
        <v>5.5026345160536757E-3</v>
      </c>
      <c r="R80" s="89">
        <f t="shared" si="97"/>
        <v>3.6289817297812084E-3</v>
      </c>
      <c r="S80" s="89">
        <f t="shared" si="97"/>
        <v>3.808652526662975E-3</v>
      </c>
      <c r="T80" s="89">
        <f t="shared" ref="T80:Y80" si="98">T47/T$23</f>
        <v>3.928571428571428E-3</v>
      </c>
      <c r="U80" s="89">
        <f t="shared" si="98"/>
        <v>4.1434813211330829E-3</v>
      </c>
      <c r="V80" s="89">
        <f t="shared" si="98"/>
        <v>3.6026169409459031E-3</v>
      </c>
      <c r="W80" s="89">
        <f t="shared" si="98"/>
        <v>5.6270881772532769E-3</v>
      </c>
      <c r="X80" s="89">
        <f t="shared" si="98"/>
        <v>5.2745693223479329E-3</v>
      </c>
      <c r="Y80" s="89">
        <f t="shared" si="98"/>
        <v>5.7408186100875915E-3</v>
      </c>
      <c r="Z80" s="89">
        <f t="shared" ref="Z80:AA80" si="99">Z47/Z$23</f>
        <v>6.1048512160546495E-3</v>
      </c>
      <c r="AA80" s="89">
        <f t="shared" si="99"/>
        <v>6.0099698137101431E-3</v>
      </c>
    </row>
    <row r="81" spans="1:27" x14ac:dyDescent="0.25">
      <c r="A81" s="68" t="s">
        <v>4</v>
      </c>
      <c r="B81" s="44"/>
      <c r="C81" s="44"/>
      <c r="D81" s="89">
        <f>D48/D$23</f>
        <v>3.2881599616603205E-3</v>
      </c>
      <c r="E81" s="89">
        <f t="shared" ref="E81:S81" si="100">E48/E$23</f>
        <v>4.3443438584569076E-3</v>
      </c>
      <c r="F81" s="89">
        <f t="shared" si="100"/>
        <v>3.472654261636786E-3</v>
      </c>
      <c r="G81" s="89">
        <f t="shared" si="100"/>
        <v>4.6502269221310568E-3</v>
      </c>
      <c r="H81" s="89">
        <f t="shared" si="100"/>
        <v>4.5045942875366245E-3</v>
      </c>
      <c r="I81" s="89">
        <f t="shared" si="100"/>
        <v>4.6666666666666662E-3</v>
      </c>
      <c r="J81" s="89">
        <f t="shared" si="100"/>
        <v>5.5049170804575449E-3</v>
      </c>
      <c r="K81" s="89">
        <f t="shared" si="100"/>
        <v>6.9608732827310532E-3</v>
      </c>
      <c r="L81" s="89">
        <f t="shared" si="100"/>
        <v>6.9936760330262231E-3</v>
      </c>
      <c r="M81" s="89">
        <f t="shared" si="100"/>
        <v>6.5669905735817966E-3</v>
      </c>
      <c r="N81" s="89">
        <f t="shared" si="100"/>
        <v>8.0963867788955042E-3</v>
      </c>
      <c r="O81" s="89">
        <f t="shared" si="100"/>
        <v>9.781629157490793E-3</v>
      </c>
      <c r="P81" s="89">
        <f t="shared" si="100"/>
        <v>9.3178818915727653E-3</v>
      </c>
      <c r="Q81" s="89">
        <f t="shared" si="100"/>
        <v>1.0325226464557323E-2</v>
      </c>
      <c r="R81" s="89">
        <f t="shared" si="100"/>
        <v>9.739104283100675E-3</v>
      </c>
      <c r="S81" s="89">
        <f t="shared" si="100"/>
        <v>8.3539976406577267E-3</v>
      </c>
      <c r="T81" s="89">
        <f t="shared" ref="T81:Y81" si="101">T48/T$23</f>
        <v>8.731203007518798E-3</v>
      </c>
      <c r="U81" s="89">
        <f t="shared" si="101"/>
        <v>9.0350912141374182E-3</v>
      </c>
      <c r="V81" s="89">
        <f t="shared" si="101"/>
        <v>9.0950637971994285E-3</v>
      </c>
      <c r="W81" s="89">
        <f t="shared" si="101"/>
        <v>9.4839881987456298E-3</v>
      </c>
      <c r="X81" s="89">
        <f t="shared" si="101"/>
        <v>8.7672960933496275E-3</v>
      </c>
      <c r="Y81" s="89">
        <f t="shared" si="101"/>
        <v>8.7698042206241864E-3</v>
      </c>
      <c r="Z81" s="89">
        <f t="shared" ref="Z81:AA81" si="102">Z48/Z$23</f>
        <v>8.0457182000678671E-3</v>
      </c>
      <c r="AA81" s="89">
        <f t="shared" si="102"/>
        <v>7.0533262225241184E-3</v>
      </c>
    </row>
    <row r="82" spans="1:27" x14ac:dyDescent="0.25">
      <c r="A82" s="68" t="s">
        <v>3</v>
      </c>
      <c r="B82" s="44"/>
      <c r="C82" s="44"/>
      <c r="D82" s="89">
        <f>D52/D$23</f>
        <v>8.2669932639314134E-3</v>
      </c>
      <c r="E82" s="89">
        <f t="shared" ref="E82:S82" si="103">E52/E$23</f>
        <v>7.0504574909593986E-3</v>
      </c>
      <c r="F82" s="89">
        <f t="shared" si="103"/>
        <v>7.6579378994400772E-3</v>
      </c>
      <c r="G82" s="89">
        <f t="shared" si="103"/>
        <v>7.9813990923114798E-3</v>
      </c>
      <c r="H82" s="89">
        <f t="shared" si="103"/>
        <v>7.0758007613960262E-3</v>
      </c>
      <c r="I82" s="89">
        <f t="shared" si="103"/>
        <v>6.8888888888888845E-3</v>
      </c>
      <c r="J82" s="89">
        <f t="shared" si="103"/>
        <v>7.3929099987551728E-3</v>
      </c>
      <c r="K82" s="89">
        <f t="shared" si="103"/>
        <v>5.4816221405078773E-3</v>
      </c>
      <c r="L82" s="89">
        <f t="shared" si="103"/>
        <v>5.5633688279134738E-3</v>
      </c>
      <c r="M82" s="89">
        <f t="shared" si="103"/>
        <v>4.870719945719337E-3</v>
      </c>
      <c r="N82" s="89">
        <f t="shared" si="103"/>
        <v>5.414699240402384E-3</v>
      </c>
      <c r="O82" s="89">
        <f t="shared" si="103"/>
        <v>5.1683287677773207E-3</v>
      </c>
      <c r="P82" s="89">
        <f t="shared" si="103"/>
        <v>5.2252800974530783E-3</v>
      </c>
      <c r="Q82" s="89">
        <f t="shared" si="103"/>
        <v>5.7673839125807905E-3</v>
      </c>
      <c r="R82" s="89">
        <f t="shared" si="103"/>
        <v>5.503621463121223E-3</v>
      </c>
      <c r="S82" s="89">
        <f t="shared" si="103"/>
        <v>5.2579627801718938E-3</v>
      </c>
      <c r="T82" s="89">
        <f t="shared" ref="T82:Y82" si="104">T52/T$23</f>
        <v>4.9859022556391006E-3</v>
      </c>
      <c r="U82" s="89">
        <f t="shared" si="104"/>
        <v>5.2059124291159269E-3</v>
      </c>
      <c r="V82" s="89">
        <f t="shared" si="104"/>
        <v>5.0807192058597069E-3</v>
      </c>
      <c r="W82" s="89">
        <f t="shared" si="104"/>
        <v>5.5372110744221509E-3</v>
      </c>
      <c r="X82" s="89">
        <f t="shared" si="104"/>
        <v>6.0787637481767636E-3</v>
      </c>
      <c r="Y82" s="89">
        <f t="shared" si="104"/>
        <v>5.8904861343729263E-3</v>
      </c>
      <c r="Z82" s="89">
        <f t="shared" ref="Z82:AA82" si="105">Z52/Z$23</f>
        <v>5.5118085264950559E-3</v>
      </c>
      <c r="AA82" s="89">
        <f t="shared" si="105"/>
        <v>4.9074209515703434E-3</v>
      </c>
    </row>
    <row r="83" spans="1:27" x14ac:dyDescent="0.25">
      <c r="A83" s="88" t="s">
        <v>21</v>
      </c>
      <c r="B83" s="44"/>
      <c r="C83" s="44"/>
      <c r="D83" s="89">
        <f>D53/D$23</f>
        <v>3.6076572858702309E-3</v>
      </c>
      <c r="E83" s="89">
        <f t="shared" ref="E83:S83" si="106">E53/E$23</f>
        <v>2.9124092905856366E-3</v>
      </c>
      <c r="F83" s="89">
        <f t="shared" si="106"/>
        <v>3.3029806006447601E-3</v>
      </c>
      <c r="G83" s="89">
        <f t="shared" si="106"/>
        <v>3.29763687987659E-3</v>
      </c>
      <c r="H83" s="89">
        <f t="shared" si="106"/>
        <v>2.7605588886009842E-3</v>
      </c>
      <c r="I83" s="89">
        <f t="shared" si="106"/>
        <v>2.6752136752136754E-3</v>
      </c>
      <c r="J83" s="89">
        <f t="shared" si="106"/>
        <v>2.3167678667754743E-3</v>
      </c>
      <c r="K83" s="89">
        <f t="shared" si="106"/>
        <v>1.5159701422074413E-3</v>
      </c>
      <c r="L83" s="89">
        <f t="shared" si="106"/>
        <v>1.7460271901878056E-3</v>
      </c>
      <c r="M83" s="89">
        <f t="shared" si="106"/>
        <v>1.7629098310999105E-3</v>
      </c>
      <c r="N83" s="89">
        <f t="shared" si="106"/>
        <v>2.2454321494559636E-3</v>
      </c>
      <c r="O83" s="89">
        <f t="shared" si="106"/>
        <v>2.1783371827236971E-3</v>
      </c>
      <c r="P83" s="89">
        <f t="shared" si="106"/>
        <v>2.2226140291824949E-3</v>
      </c>
      <c r="Q83" s="89">
        <f t="shared" si="106"/>
        <v>2.1439509954058189E-3</v>
      </c>
      <c r="R83" s="89">
        <f t="shared" si="106"/>
        <v>2.0300243101676651E-3</v>
      </c>
      <c r="S83" s="89">
        <f t="shared" si="106"/>
        <v>1.7478392758263717E-3</v>
      </c>
      <c r="T83" s="89">
        <f t="shared" ref="T83:Y83" si="107">T53/T$23</f>
        <v>1.7058270676691728E-3</v>
      </c>
      <c r="U83" s="89">
        <f t="shared" si="107"/>
        <v>1.6069270508240481E-3</v>
      </c>
      <c r="V83" s="89">
        <f t="shared" si="107"/>
        <v>1.5810341775122591E-3</v>
      </c>
      <c r="W83" s="89">
        <f t="shared" si="107"/>
        <v>1.539633848498466E-3</v>
      </c>
      <c r="X83" s="89">
        <f t="shared" si="107"/>
        <v>1.6478101470414318E-3</v>
      </c>
      <c r="Y83" s="89">
        <f t="shared" si="107"/>
        <v>1.6107076423088711E-3</v>
      </c>
      <c r="Z83" s="89">
        <f t="shared" ref="Z83:AA83" si="108">Z53/Z$23</f>
        <v>1.4778496969773851E-3</v>
      </c>
      <c r="AA83" s="89">
        <f t="shared" si="108"/>
        <v>1.3028712759935682E-3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4.659335978061183E-3</v>
      </c>
      <c r="E84" s="89">
        <f t="shared" ref="E84:S84" si="110">E56/E$23</f>
        <v>4.1380482003737619E-3</v>
      </c>
      <c r="F84" s="89">
        <f t="shared" si="110"/>
        <v>4.3549572987953171E-3</v>
      </c>
      <c r="G84" s="89">
        <f t="shared" si="110"/>
        <v>4.6837622124348893E-3</v>
      </c>
      <c r="H84" s="89">
        <f t="shared" si="110"/>
        <v>4.315241872795042E-3</v>
      </c>
      <c r="I84" s="89">
        <f t="shared" si="110"/>
        <v>4.2136752136752095E-3</v>
      </c>
      <c r="J84" s="89">
        <f t="shared" si="110"/>
        <v>5.0761421319796985E-3</v>
      </c>
      <c r="K84" s="89">
        <f t="shared" si="110"/>
        <v>3.965651998300436E-3</v>
      </c>
      <c r="L84" s="89">
        <f t="shared" si="110"/>
        <v>3.8173416377256684E-3</v>
      </c>
      <c r="M84" s="89">
        <f t="shared" si="110"/>
        <v>3.1078101146194267E-3</v>
      </c>
      <c r="N84" s="89">
        <f t="shared" si="110"/>
        <v>3.1692670909464196E-3</v>
      </c>
      <c r="O84" s="89">
        <f t="shared" si="110"/>
        <v>2.9899915850536245E-3</v>
      </c>
      <c r="P84" s="89">
        <f t="shared" si="110"/>
        <v>3.0026660682705843E-3</v>
      </c>
      <c r="Q84" s="89">
        <f t="shared" si="110"/>
        <v>3.6234329171749716E-3</v>
      </c>
      <c r="R84" s="89">
        <f t="shared" si="110"/>
        <v>3.4735971529535575E-3</v>
      </c>
      <c r="S84" s="89">
        <f t="shared" si="110"/>
        <v>3.5101235043455219E-3</v>
      </c>
      <c r="T84" s="89">
        <f t="shared" ref="T84:Y84" si="111">T56/T$23</f>
        <v>3.2800751879699282E-3</v>
      </c>
      <c r="U84" s="89">
        <f t="shared" si="111"/>
        <v>3.5989853782918795E-3</v>
      </c>
      <c r="V84" s="89">
        <f t="shared" si="111"/>
        <v>3.4996850283474483E-3</v>
      </c>
      <c r="W84" s="89">
        <f t="shared" si="111"/>
        <v>3.9975772259236856E-3</v>
      </c>
      <c r="X84" s="89">
        <f t="shared" si="111"/>
        <v>4.4309536011353321E-3</v>
      </c>
      <c r="Y84" s="89">
        <f t="shared" si="111"/>
        <v>4.279778492064055E-3</v>
      </c>
      <c r="Z84" s="89">
        <f t="shared" ref="Z84:AA84" si="112">Z56/Z$23</f>
        <v>4.0339588295176705E-3</v>
      </c>
      <c r="AA84" s="89">
        <f t="shared" si="112"/>
        <v>3.6045496755767745E-3</v>
      </c>
    </row>
    <row r="85" spans="1:27" x14ac:dyDescent="0.25">
      <c r="A85" s="68" t="s">
        <v>2</v>
      </c>
      <c r="B85" s="44"/>
      <c r="C85" s="44"/>
      <c r="D85" s="89">
        <f t="shared" si="109"/>
        <v>5.0640325887270687E-2</v>
      </c>
      <c r="E85" s="89">
        <f t="shared" ref="E85:S85" si="113">E57/E$23</f>
        <v>4.7617891901075161E-2</v>
      </c>
      <c r="F85" s="89">
        <f t="shared" si="113"/>
        <v>4.8232566031333073E-2</v>
      </c>
      <c r="G85" s="89">
        <f t="shared" si="113"/>
        <v>3.7246529097453553E-2</v>
      </c>
      <c r="H85" s="89">
        <f t="shared" si="113"/>
        <v>3.7262562037830613E-2</v>
      </c>
      <c r="I85" s="89">
        <f t="shared" si="113"/>
        <v>3.4179487179487177E-2</v>
      </c>
      <c r="J85" s="89">
        <f t="shared" si="113"/>
        <v>3.0996279339963208E-2</v>
      </c>
      <c r="K85" s="89">
        <f t="shared" si="113"/>
        <v>2.7717599416692454E-2</v>
      </c>
      <c r="L85" s="89">
        <f t="shared" si="113"/>
        <v>2.6707040555667173E-2</v>
      </c>
      <c r="M85" s="89">
        <f t="shared" si="113"/>
        <v>3.0641917270458237E-2</v>
      </c>
      <c r="N85" s="89">
        <f t="shared" si="113"/>
        <v>3.2237990145760627E-2</v>
      </c>
      <c r="O85" s="89">
        <f t="shared" si="113"/>
        <v>2.8109501727749626E-2</v>
      </c>
      <c r="P85" s="89">
        <f t="shared" si="113"/>
        <v>2.8493270715457316E-2</v>
      </c>
      <c r="Q85" s="89">
        <f t="shared" si="113"/>
        <v>2.8966698678848601E-2</v>
      </c>
      <c r="R85" s="89">
        <f t="shared" si="113"/>
        <v>2.7087040425052E-2</v>
      </c>
      <c r="S85" s="89">
        <f t="shared" si="113"/>
        <v>2.5774610588150323E-2</v>
      </c>
      <c r="T85" s="89">
        <f t="shared" ref="T85:Y85" si="114">T57/T$23</f>
        <v>2.460996240601504E-2</v>
      </c>
      <c r="U85" s="89">
        <f t="shared" si="114"/>
        <v>2.4121612947493768E-2</v>
      </c>
      <c r="V85" s="89">
        <f t="shared" si="114"/>
        <v>2.4716010853140864E-2</v>
      </c>
      <c r="W85" s="89">
        <f t="shared" si="114"/>
        <v>2.3965924854926629E-2</v>
      </c>
      <c r="X85" s="89">
        <f t="shared" si="114"/>
        <v>2.4910316553001931E-2</v>
      </c>
      <c r="Y85" s="89">
        <f t="shared" si="114"/>
        <v>2.1933419332767923E-2</v>
      </c>
      <c r="Z85" s="89">
        <f t="shared" ref="Z85:AA85" si="115">Z57/Z$23</f>
        <v>2.115925574728136E-2</v>
      </c>
      <c r="AA85" s="89">
        <f t="shared" si="115"/>
        <v>1.9300997180211523E-2</v>
      </c>
    </row>
    <row r="86" spans="1:27" x14ac:dyDescent="0.25">
      <c r="A86" s="68" t="s">
        <v>269</v>
      </c>
      <c r="B86" s="44"/>
      <c r="C86" s="44"/>
      <c r="D86" s="89">
        <f t="shared" si="109"/>
        <v>3.1683484650816048E-3</v>
      </c>
      <c r="E86" s="89">
        <f t="shared" ref="E86:S86" si="116">E58/E$23</f>
        <v>3.6890517680751396E-3</v>
      </c>
      <c r="F86" s="89">
        <f t="shared" si="116"/>
        <v>3.4047847972399755E-3</v>
      </c>
      <c r="G86" s="89">
        <f t="shared" si="116"/>
        <v>2.9175702564331867E-3</v>
      </c>
      <c r="H86" s="89">
        <f t="shared" si="116"/>
        <v>2.8103884714277168E-3</v>
      </c>
      <c r="I86" s="89">
        <f t="shared" si="116"/>
        <v>2.6923076923076922E-3</v>
      </c>
      <c r="J86" s="89">
        <f t="shared" si="116"/>
        <v>3.5270197374790806E-3</v>
      </c>
      <c r="K86" s="89">
        <f t="shared" si="116"/>
        <v>2.8955554273304763E-3</v>
      </c>
      <c r="L86" s="89">
        <f t="shared" si="116"/>
        <v>3.4537852912756048E-3</v>
      </c>
      <c r="M86" s="89">
        <f t="shared" si="116"/>
        <v>2.3505464414665471E-3</v>
      </c>
      <c r="N86" s="89">
        <f t="shared" si="116"/>
        <v>3.1500205296653666E-3</v>
      </c>
      <c r="O86" s="89">
        <f t="shared" si="116"/>
        <v>3.909070834750744E-3</v>
      </c>
      <c r="P86" s="89">
        <f t="shared" si="116"/>
        <v>3.9536884172957833E-3</v>
      </c>
      <c r="Q86" s="89">
        <f t="shared" si="116"/>
        <v>3.9504762893555166E-3</v>
      </c>
      <c r="R86" s="89">
        <f t="shared" si="116"/>
        <v>4.4309666424400393E-3</v>
      </c>
      <c r="S86" s="89">
        <f t="shared" si="116"/>
        <v>3.9242121482052144E-3</v>
      </c>
      <c r="T86" s="89">
        <f t="shared" ref="T86:Y86" si="117">T58/T$23</f>
        <v>4.2810150375939843E-3</v>
      </c>
      <c r="U86" s="89">
        <f t="shared" si="117"/>
        <v>4.3161263761802944E-3</v>
      </c>
      <c r="V86" s="89">
        <f t="shared" si="117"/>
        <v>4.3066712231193309E-3</v>
      </c>
      <c r="W86" s="89">
        <f t="shared" si="117"/>
        <v>3.6849612160762785E-3</v>
      </c>
      <c r="X86" s="89">
        <f t="shared" si="117"/>
        <v>3.8041550045334492E-3</v>
      </c>
      <c r="Y86" s="89">
        <f t="shared" si="117"/>
        <v>4.0089515433572569E-3</v>
      </c>
      <c r="Z86" s="89">
        <f t="shared" ref="Z86:AA86" si="118">Z58/Z$23</f>
        <v>4.4525771986185592E-3</v>
      </c>
      <c r="AA86" s="89">
        <f t="shared" si="118"/>
        <v>4.5188116419448733E-3</v>
      </c>
    </row>
    <row r="87" spans="1:27" x14ac:dyDescent="0.25">
      <c r="A87" s="68" t="s">
        <v>270</v>
      </c>
      <c r="B87" s="44"/>
      <c r="C87" s="44"/>
      <c r="D87" s="89">
        <f t="shared" si="109"/>
        <v>1.436406720093719E-2</v>
      </c>
      <c r="E87" s="89">
        <f t="shared" ref="E87:S87" si="119">E59/E$23</f>
        <v>1.4501371259374316E-2</v>
      </c>
      <c r="F87" s="89">
        <f t="shared" si="119"/>
        <v>1.3607827611560432E-2</v>
      </c>
      <c r="G87" s="89">
        <f t="shared" si="119"/>
        <v>1.5068523776520824E-2</v>
      </c>
      <c r="H87" s="89">
        <f t="shared" si="119"/>
        <v>1.4510374519144522E-2</v>
      </c>
      <c r="I87" s="89">
        <f t="shared" si="119"/>
        <v>1.4991452991452991E-2</v>
      </c>
      <c r="J87" s="89">
        <f t="shared" si="119"/>
        <v>1.5539634019834299E-2</v>
      </c>
      <c r="K87" s="89">
        <f t="shared" si="119"/>
        <v>1.816541384935768E-2</v>
      </c>
      <c r="L87" s="89">
        <f t="shared" si="119"/>
        <v>1.7919500971078136E-2</v>
      </c>
      <c r="M87" s="89">
        <f t="shared" si="119"/>
        <v>1.5308842416458671E-2</v>
      </c>
      <c r="N87" s="89">
        <f t="shared" si="119"/>
        <v>1.6295421884623282E-2</v>
      </c>
      <c r="O87" s="89">
        <f t="shared" si="119"/>
        <v>2.0894132812919627E-2</v>
      </c>
      <c r="P87" s="89">
        <f t="shared" si="119"/>
        <v>2.1130861743790304E-2</v>
      </c>
      <c r="Q87" s="89">
        <f t="shared" si="119"/>
        <v>1.7997767799205748E-2</v>
      </c>
      <c r="R87" s="89">
        <f t="shared" si="119"/>
        <v>2.0691210746597827E-2</v>
      </c>
      <c r="S87" s="89">
        <f t="shared" si="119"/>
        <v>2.4103811060018777E-2</v>
      </c>
      <c r="T87" s="89">
        <f t="shared" ref="T87:Y87" si="120">T59/T$23</f>
        <v>2.4036654135338342E-2</v>
      </c>
      <c r="U87" s="89">
        <f t="shared" si="120"/>
        <v>2.5666564850352156E-2</v>
      </c>
      <c r="V87" s="89">
        <f t="shared" si="120"/>
        <v>2.46336653230621E-2</v>
      </c>
      <c r="W87" s="89">
        <f t="shared" si="120"/>
        <v>2.5943221117211465E-2</v>
      </c>
      <c r="X87" s="89">
        <f t="shared" si="120"/>
        <v>2.7961524815705442E-2</v>
      </c>
      <c r="Y87" s="89">
        <f t="shared" si="120"/>
        <v>3.0004775106727201E-2</v>
      </c>
      <c r="Z87" s="89">
        <f t="shared" ref="Z87:AA87" si="121">Z59/Z$23</f>
        <v>2.9759960421536013E-2</v>
      </c>
      <c r="AA87" s="89">
        <f t="shared" si="121"/>
        <v>2.7338447948050747E-2</v>
      </c>
    </row>
    <row r="88" spans="1:27" x14ac:dyDescent="0.25">
      <c r="A88" s="68" t="s">
        <v>1</v>
      </c>
      <c r="B88" s="44"/>
      <c r="C88" s="44"/>
      <c r="D88" s="89">
        <f t="shared" si="109"/>
        <v>1.9183151841103328E-2</v>
      </c>
      <c r="E88" s="89">
        <f t="shared" ref="E88:S88" si="122">E60/E$23</f>
        <v>1.9234036356575973E-2</v>
      </c>
      <c r="F88" s="89">
        <f t="shared" si="122"/>
        <v>1.726146711158871E-2</v>
      </c>
      <c r="G88" s="89">
        <f t="shared" si="122"/>
        <v>1.5549196270875719E-2</v>
      </c>
      <c r="H88" s="89">
        <f t="shared" si="122"/>
        <v>1.438081760379502E-2</v>
      </c>
      <c r="I88" s="89">
        <f t="shared" si="122"/>
        <v>1.3897435897435896E-2</v>
      </c>
      <c r="J88" s="89">
        <f t="shared" si="122"/>
        <v>1.2358400531127679E-2</v>
      </c>
      <c r="K88" s="89">
        <f t="shared" si="122"/>
        <v>8.0834255679642451E-3</v>
      </c>
      <c r="L88" s="89">
        <f t="shared" si="122"/>
        <v>7.3046123819637777E-3</v>
      </c>
      <c r="M88" s="89">
        <f t="shared" si="122"/>
        <v>6.5306419172704577E-3</v>
      </c>
      <c r="N88" s="89">
        <f t="shared" si="122"/>
        <v>8.1156333401765542E-3</v>
      </c>
      <c r="O88" s="89">
        <f t="shared" si="122"/>
        <v>8.4567227066287085E-3</v>
      </c>
      <c r="P88" s="89">
        <f t="shared" si="122"/>
        <v>6.9937542408651096E-3</v>
      </c>
      <c r="Q88" s="89">
        <f t="shared" si="122"/>
        <v>6.9976899317361852E-3</v>
      </c>
      <c r="R88" s="89">
        <f t="shared" si="122"/>
        <v>6.4158793012706449E-3</v>
      </c>
      <c r="S88" s="89">
        <f t="shared" si="122"/>
        <v>5.5468618340274931E-3</v>
      </c>
      <c r="T88" s="89">
        <f t="shared" ref="T88:Y88" si="123">T60/T$23</f>
        <v>5.7095864661654127E-3</v>
      </c>
      <c r="U88" s="89">
        <f t="shared" si="123"/>
        <v>6.0425769266524128E-3</v>
      </c>
      <c r="V88" s="89">
        <f t="shared" si="123"/>
        <v>6.11415560834819E-3</v>
      </c>
      <c r="W88" s="89">
        <f t="shared" si="123"/>
        <v>5.4395185713448351E-3</v>
      </c>
      <c r="X88" s="89">
        <f t="shared" si="123"/>
        <v>5.4913864469586481E-3</v>
      </c>
      <c r="Y88" s="89">
        <f t="shared" si="123"/>
        <v>4.9675364012800143E-3</v>
      </c>
      <c r="Z88" s="89">
        <f t="shared" ref="Z88:AA88" si="124">Z60/Z$23</f>
        <v>4.6174874652340613E-3</v>
      </c>
      <c r="AA88" s="89">
        <f t="shared" si="124"/>
        <v>4.101262782941672E-3</v>
      </c>
    </row>
    <row r="89" spans="1:27" x14ac:dyDescent="0.25">
      <c r="A89" s="68" t="s">
        <v>0</v>
      </c>
      <c r="B89" s="44"/>
      <c r="C89" s="44"/>
      <c r="D89" s="89">
        <f t="shared" si="109"/>
        <v>3.0884741340291271E-2</v>
      </c>
      <c r="E89" s="89">
        <f t="shared" ref="E89:S89" si="125">E61/E$23</f>
        <v>2.9633764531708854E-2</v>
      </c>
      <c r="F89" s="89">
        <f t="shared" si="125"/>
        <v>3.3821616424410388E-2</v>
      </c>
      <c r="G89" s="89">
        <f t="shared" si="125"/>
        <v>3.0114690692839095E-2</v>
      </c>
      <c r="H89" s="89">
        <f t="shared" si="125"/>
        <v>2.9339658368380133E-2</v>
      </c>
      <c r="I89" s="89">
        <f t="shared" si="125"/>
        <v>2.7658119658119661E-2</v>
      </c>
      <c r="J89" s="89">
        <f t="shared" si="125"/>
        <v>2.2005836871879281E-2</v>
      </c>
      <c r="K89" s="89">
        <f t="shared" si="125"/>
        <v>2.5073831417825501E-2</v>
      </c>
      <c r="L89" s="89">
        <f t="shared" si="125"/>
        <v>1.8287840953665702E-2</v>
      </c>
      <c r="M89" s="89">
        <f t="shared" si="125"/>
        <v>1.8301548452758866E-2</v>
      </c>
      <c r="N89" s="89">
        <f t="shared" si="125"/>
        <v>2.9652535413672753E-2</v>
      </c>
      <c r="O89" s="89">
        <f t="shared" si="125"/>
        <v>3.0078957262814884E-2</v>
      </c>
      <c r="P89" s="89">
        <f t="shared" si="125"/>
        <v>2.8519984826384986E-2</v>
      </c>
      <c r="Q89" s="89">
        <f t="shared" si="125"/>
        <v>2.7066732421418743E-2</v>
      </c>
      <c r="R89" s="89">
        <f t="shared" si="125"/>
        <v>2.8355179068193782E-2</v>
      </c>
      <c r="S89" s="89">
        <f t="shared" si="125"/>
        <v>2.7450225100512798E-2</v>
      </c>
      <c r="T89" s="89">
        <f t="shared" ref="T89:Y89" si="126">T61/T$23</f>
        <v>2.6950187969924811E-2</v>
      </c>
      <c r="U89" s="89">
        <f t="shared" si="126"/>
        <v>2.8331496212875781E-2</v>
      </c>
      <c r="V89" s="89">
        <f t="shared" si="126"/>
        <v>3.1081320328229283E-2</v>
      </c>
      <c r="W89" s="89">
        <f t="shared" si="126"/>
        <v>3.0276860553721103E-2</v>
      </c>
      <c r="X89" s="89">
        <f t="shared" si="126"/>
        <v>3.0677652067646943E-2</v>
      </c>
      <c r="Y89" s="89">
        <f t="shared" si="126"/>
        <v>4.4825423523458606E-2</v>
      </c>
      <c r="Z89" s="89">
        <f t="shared" ref="Z89:AA89" si="127">Z61/Z$23</f>
        <v>3.6112177037513918E-2</v>
      </c>
      <c r="AA89" s="89">
        <f t="shared" si="127"/>
        <v>2.9832027741439109E-2</v>
      </c>
    </row>
    <row r="90" spans="1:27" x14ac:dyDescent="0.25">
      <c r="A90" s="90" t="s">
        <v>272</v>
      </c>
      <c r="B90" s="47"/>
      <c r="C90" s="47"/>
      <c r="D90" s="91">
        <f t="shared" si="109"/>
        <v>9.5716073377885465E-3</v>
      </c>
      <c r="E90" s="91">
        <f t="shared" ref="E90:S90" si="128">E62/E$23</f>
        <v>9.3439798072955833E-3</v>
      </c>
      <c r="F90" s="91">
        <f t="shared" si="128"/>
        <v>1.0225665969119394E-2</v>
      </c>
      <c r="G90" s="91">
        <f t="shared" si="128"/>
        <v>1.1882671197657003E-2</v>
      </c>
      <c r="H90" s="91">
        <f t="shared" si="128"/>
        <v>1.2925793785254427E-2</v>
      </c>
      <c r="I90" s="91">
        <f t="shared" si="128"/>
        <v>1.27008547008547E-2</v>
      </c>
      <c r="J90" s="91">
        <f t="shared" si="128"/>
        <v>1.1182727285301321E-2</v>
      </c>
      <c r="K90" s="91">
        <f t="shared" si="128"/>
        <v>1.0527861852630915E-2</v>
      </c>
      <c r="L90" s="91">
        <f t="shared" si="128"/>
        <v>9.1032595696640944E-3</v>
      </c>
      <c r="M90" s="91">
        <f t="shared" si="128"/>
        <v>9.596045266193327E-3</v>
      </c>
      <c r="N90" s="91">
        <f t="shared" si="128"/>
        <v>9.6489427222336277E-3</v>
      </c>
      <c r="O90" s="91">
        <f t="shared" si="128"/>
        <v>9.0177191317685115E-3</v>
      </c>
      <c r="P90" s="91">
        <f t="shared" si="128"/>
        <v>9.3071962472016968E-3</v>
      </c>
      <c r="Q90" s="91">
        <f t="shared" si="128"/>
        <v>9.6503750616450806E-3</v>
      </c>
      <c r="R90" s="91">
        <f t="shared" si="128"/>
        <v>9.172702438535376E-3</v>
      </c>
      <c r="S90" s="91">
        <f t="shared" si="128"/>
        <v>9.3988492187688077E-3</v>
      </c>
      <c r="T90" s="91">
        <f t="shared" ref="T90:Y90" si="129">T62/T$23</f>
        <v>9.5159774436090212E-3</v>
      </c>
      <c r="U90" s="91">
        <f t="shared" si="129"/>
        <v>9.5574531755623152E-3</v>
      </c>
      <c r="V90" s="91">
        <f t="shared" si="129"/>
        <v>9.4779705120656803E-3</v>
      </c>
      <c r="W90" s="91">
        <f t="shared" si="129"/>
        <v>9.4878958988687204E-3</v>
      </c>
      <c r="X90" s="91">
        <f t="shared" si="129"/>
        <v>1.0407221981314305E-2</v>
      </c>
      <c r="Y90" s="91">
        <f t="shared" si="129"/>
        <v>1.2247792404016791E-2</v>
      </c>
      <c r="Z90" s="91">
        <f t="shared" ref="Z90:AA90" si="130">Z62/Z$23</f>
        <v>1.0636712196699892E-2</v>
      </c>
      <c r="AA90" s="91">
        <f t="shared" si="130"/>
        <v>9.2278612628613858E-3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6.461890400044501E-2</v>
      </c>
      <c r="F93" s="92">
        <f t="shared" ref="F93:F94" si="132">IF(E16=0,"",F16/E16-1)</f>
        <v>7.664218350543206E-2</v>
      </c>
      <c r="G93" s="92">
        <f t="shared" ref="G93:G94" si="133">IF(F16=0,"",G16/F16-1)</f>
        <v>8.4299341449593168E-2</v>
      </c>
      <c r="H93" s="92">
        <f t="shared" ref="H93:H94" si="134">IF(G16=0,"",H16/G16-1)</f>
        <v>8.7240932215486788E-2</v>
      </c>
      <c r="I93" s="92">
        <f t="shared" ref="I93:I94" si="135">IF(H16=0,"",I16/H16-1)</f>
        <v>0.11616164813492302</v>
      </c>
      <c r="J93" s="92">
        <f t="shared" ref="J93:J94" si="136">IF(I16=0,"",J16/I16-1)</f>
        <v>0.12825180116626389</v>
      </c>
      <c r="K93" s="92">
        <f t="shared" ref="K93:K94" si="137">IF(J16=0,"",K16/J16-1)</f>
        <v>0.104134457968724</v>
      </c>
      <c r="L93" s="92">
        <f t="shared" ref="L93:L94" si="138">IF(K16=0,"",L16/K16-1)</f>
        <v>-3.3885527958753991E-2</v>
      </c>
      <c r="M93" s="92">
        <f t="shared" ref="M93:M94" si="139">IF(L16=0,"",M16/L16-1)</f>
        <v>-0.16039620116893794</v>
      </c>
      <c r="N93" s="92">
        <f t="shared" ref="N93:N94" si="140">IF(M16=0,"",N16/M16-1)</f>
        <v>-3.6617072485297886E-2</v>
      </c>
      <c r="O93" s="92">
        <f t="shared" ref="O93:O94" si="141">IF(N16=0,"",O16/N16-1)</f>
        <v>3.0366925633500852E-2</v>
      </c>
      <c r="P93" s="92">
        <f t="shared" ref="P93:P94" si="142">IF(O16=0,"",P16/O16-1)</f>
        <v>7.3052585367495704E-2</v>
      </c>
      <c r="Q93" s="92">
        <f t="shared" ref="Q93:Q94" si="143">IF(P16=0,"",Q16/P16-1)</f>
        <v>2.0956429503176111E-2</v>
      </c>
      <c r="R93" s="92">
        <f t="shared" ref="R93:R94" si="144">IF(Q16=0,"",R16/Q16-1)</f>
        <v>2.0950375497924112E-2</v>
      </c>
      <c r="S93" s="92">
        <f t="shared" ref="S93:S94" si="145">IF(R16=0,"",S16/R16-1)</f>
        <v>3.7839645685702195E-2</v>
      </c>
      <c r="T93" s="92">
        <f t="shared" ref="T93:T94" si="146">IF(S16=0,"",T16/S16-1)</f>
        <v>2.5515642972205654E-2</v>
      </c>
      <c r="U93" s="92">
        <f t="shared" ref="U93:U94" si="147">IF(T16=0,"",U16/T16-1)</f>
        <v>3.3984396600422961E-2</v>
      </c>
      <c r="V93" s="92">
        <f t="shared" ref="V93:V94" si="148">IF(U16=0,"",V16/U16-1)</f>
        <v>4.3096459874562898E-2</v>
      </c>
      <c r="W93" s="92">
        <f t="shared" ref="W93:W94" si="149">IF(V16=0,"",W16/V16-1)</f>
        <v>6.7562956138038643E-3</v>
      </c>
      <c r="X93" s="92">
        <f t="shared" ref="X93:X94" si="150">IF(W16=0,"",X16/W16-1)</f>
        <v>-3.4690513666072342E-2</v>
      </c>
      <c r="Y93" s="92">
        <f t="shared" ref="Y93:Y94" si="151">IF(X16=0,"",Y16/X16-1)</f>
        <v>6.9423272744058906E-2</v>
      </c>
      <c r="Z93" s="92">
        <f t="shared" ref="Z93:Z94" si="152">IF(Y16=0,"",Z16/Y16-1)</f>
        <v>1.8068478785700171E-2</v>
      </c>
      <c r="AA93" s="92">
        <f t="shared" ref="AA93:AA94" si="153">IF(Z16=0,"",AA16/Z16-1)</f>
        <v>2.8545948662513698E-2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5.1612551907276538E-2</v>
      </c>
      <c r="F94" s="93">
        <f t="shared" si="132"/>
        <v>6.9479977327848053E-2</v>
      </c>
      <c r="G94" s="93">
        <f t="shared" si="133"/>
        <v>7.9356508277590887E-2</v>
      </c>
      <c r="H94" s="93">
        <f t="shared" si="134"/>
        <v>0.10376161556482222</v>
      </c>
      <c r="I94" s="93">
        <f t="shared" si="135"/>
        <v>0.11505129047022766</v>
      </c>
      <c r="J94" s="93">
        <f t="shared" si="136"/>
        <v>0.19948546090629238</v>
      </c>
      <c r="K94" s="93">
        <f t="shared" si="137"/>
        <v>0.11821641508024605</v>
      </c>
      <c r="L94" s="93">
        <f t="shared" si="138"/>
        <v>-9.2210720547279523E-2</v>
      </c>
      <c r="M94" s="93">
        <f t="shared" si="139"/>
        <v>-0.1897740060965013</v>
      </c>
      <c r="N94" s="93">
        <f t="shared" si="140"/>
        <v>3.7554051503586816E-2</v>
      </c>
      <c r="O94" s="93">
        <f t="shared" si="141"/>
        <v>6.3488932313526814E-3</v>
      </c>
      <c r="P94" s="93">
        <f t="shared" si="142"/>
        <v>5.9038943356547469E-2</v>
      </c>
      <c r="Q94" s="93">
        <f t="shared" si="143"/>
        <v>6.7012163574533545E-2</v>
      </c>
      <c r="R94" s="93">
        <f t="shared" si="144"/>
        <v>8.9597825496423589E-3</v>
      </c>
      <c r="S94" s="93">
        <f t="shared" si="145"/>
        <v>1.8341881688661354E-2</v>
      </c>
      <c r="T94" s="93">
        <f t="shared" si="146"/>
        <v>3.9051128649661093E-2</v>
      </c>
      <c r="U94" s="93">
        <f t="shared" si="147"/>
        <v>2.8063852148026314E-2</v>
      </c>
      <c r="V94" s="93">
        <f t="shared" si="148"/>
        <v>3.6124358065208417E-2</v>
      </c>
      <c r="W94" s="93">
        <f t="shared" si="149"/>
        <v>-1.1432980041271579E-3</v>
      </c>
      <c r="X94" s="93">
        <f t="shared" si="150"/>
        <v>-4.7805688277626213E-2</v>
      </c>
      <c r="Y94" s="93">
        <f t="shared" si="151"/>
        <v>8.0521726799139159E-2</v>
      </c>
      <c r="Z94" s="93">
        <f t="shared" si="152"/>
        <v>5.0994149978597969E-2</v>
      </c>
      <c r="AA94" s="93">
        <f t="shared" si="153"/>
        <v>-1.0320174900083079E-2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7.7435222191287068E-2</v>
      </c>
      <c r="F95" s="92">
        <f t="shared" ref="F95:F96" si="155">IF(E20=0,"",F20/E20-1)</f>
        <v>9.1684843825883933E-2</v>
      </c>
      <c r="G95" s="92">
        <f t="shared" ref="G95:G96" si="156">IF(F20=0,"",G20/F20-1)</f>
        <v>9.4468994965396069E-2</v>
      </c>
      <c r="H95" s="92">
        <f t="shared" ref="H95:H96" si="157">IF(G20=0,"",H20/G20-1)</f>
        <v>9.8163392865851185E-2</v>
      </c>
      <c r="I95" s="92">
        <f t="shared" ref="I95:I96" si="158">IF(H20=0,"",I20/H20-1)</f>
        <v>0.12945602003273082</v>
      </c>
      <c r="J95" s="92">
        <f t="shared" ref="J95:J96" si="159">IF(I20=0,"",J20/I20-1)</f>
        <v>0.1393171943866538</v>
      </c>
      <c r="K95" s="92">
        <f t="shared" ref="K95:K96" si="160">IF(J20=0,"",K20/J20-1)</f>
        <v>0.1136489973980066</v>
      </c>
      <c r="L95" s="92">
        <f t="shared" ref="L95:L96" si="161">IF(K20=0,"",L20/K20-1)</f>
        <v>-2.6378978824083354E-2</v>
      </c>
      <c r="M95" s="92">
        <f t="shared" ref="M95:M96" si="162">IF(L20=0,"",M20/L20-1)</f>
        <v>-0.14914782996942422</v>
      </c>
      <c r="N95" s="92">
        <f t="shared" ref="N95:N96" si="163">IF(M20=0,"",N20/M20-1)</f>
        <v>-1.738579571256027E-2</v>
      </c>
      <c r="O95" s="92">
        <f t="shared" ref="O95:O96" si="164">IF(N20=0,"",O20/N20-1)</f>
        <v>5.3162981518670271E-2</v>
      </c>
      <c r="P95" s="92">
        <f t="shared" ref="P95:P96" si="165">IF(O20=0,"",P20/O20-1)</f>
        <v>8.8686475910674245E-2</v>
      </c>
      <c r="Q95" s="92">
        <f t="shared" ref="Q95:Q96" si="166">IF(P20=0,"",Q20/P20-1)</f>
        <v>3.1544219229270309E-2</v>
      </c>
      <c r="R95" s="92">
        <f t="shared" ref="R95:R96" si="167">IF(Q20=0,"",R20/Q20-1)</f>
        <v>3.2354698497346179E-2</v>
      </c>
      <c r="S95" s="92">
        <f t="shared" ref="S95:S96" si="168">IF(R20=0,"",S20/R20-1)</f>
        <v>4.5872324384758301E-2</v>
      </c>
      <c r="T95" s="92">
        <f t="shared" ref="T95:T96" si="169">IF(S20=0,"",T20/S20-1)</f>
        <v>3.4442355239106659E-2</v>
      </c>
      <c r="U95" s="92">
        <f t="shared" ref="U95:U96" si="170">IF(T20=0,"",U20/T20-1)</f>
        <v>4.3974212599239948E-2</v>
      </c>
      <c r="V95" s="92">
        <f t="shared" ref="V95:V96" si="171">IF(U20=0,"",V20/U20-1)</f>
        <v>5.1582495438971865E-2</v>
      </c>
      <c r="W95" s="92">
        <f t="shared" ref="W95:W96" si="172">IF(V20=0,"",W20/V20-1)</f>
        <v>1.4312861648284603E-2</v>
      </c>
      <c r="X95" s="92">
        <f t="shared" ref="X95:X96" si="173">IF(W20=0,"",X20/W20-1)</f>
        <v>-2.847008853312083E-2</v>
      </c>
      <c r="Y95" s="92">
        <f t="shared" ref="Y95:Y96" si="174">IF(X20=0,"",Y20/X20-1)</f>
        <v>7.7586761745458643E-2</v>
      </c>
      <c r="Z95" s="92">
        <f t="shared" ref="Z95:Z96" si="175">IF(Y20=0,"",Z20/Y20-1)</f>
        <v>2.7548163014772031E-2</v>
      </c>
      <c r="AA95" s="92">
        <f t="shared" ref="AA95:AA96" si="176">IF(Z20=0,"",AA20/Z20-1)</f>
        <v>2.4585271557715282E-2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6.4272294307192945E-2</v>
      </c>
      <c r="F96" s="93">
        <f t="shared" si="155"/>
        <v>8.4422568529399333E-2</v>
      </c>
      <c r="G96" s="93">
        <f t="shared" si="156"/>
        <v>8.9479802915522821E-2</v>
      </c>
      <c r="H96" s="93">
        <f t="shared" si="157"/>
        <v>0.11485004358125406</v>
      </c>
      <c r="I96" s="93">
        <f t="shared" si="158"/>
        <v>0.12833243712619069</v>
      </c>
      <c r="J96" s="93">
        <f t="shared" si="159"/>
        <v>0.21124948226513141</v>
      </c>
      <c r="K96" s="93">
        <f t="shared" si="160"/>
        <v>0.12785230144803994</v>
      </c>
      <c r="L96" s="93">
        <f t="shared" si="161"/>
        <v>-8.5157348480777384E-2</v>
      </c>
      <c r="M96" s="93">
        <f t="shared" si="162"/>
        <v>-0.17891921631635754</v>
      </c>
      <c r="N96" s="93">
        <f t="shared" si="163"/>
        <v>5.8265949712761334E-2</v>
      </c>
      <c r="O96" s="93">
        <f t="shared" si="164"/>
        <v>2.86135690855156E-2</v>
      </c>
      <c r="P96" s="93">
        <f t="shared" si="165"/>
        <v>7.4468661477704812E-2</v>
      </c>
      <c r="Q96" s="93">
        <f t="shared" si="166"/>
        <v>7.8077572534844819E-2</v>
      </c>
      <c r="R96" s="93">
        <f t="shared" si="167"/>
        <v>2.0230167016674683E-2</v>
      </c>
      <c r="S96" s="93">
        <f t="shared" si="168"/>
        <v>2.6223651454734043E-2</v>
      </c>
      <c r="T96" s="93">
        <f t="shared" si="169"/>
        <v>4.8095662021353291E-2</v>
      </c>
      <c r="U96" s="93">
        <f t="shared" si="170"/>
        <v>3.7996466945464435E-2</v>
      </c>
      <c r="V96" s="93">
        <f t="shared" si="171"/>
        <v>4.4553672601228556E-2</v>
      </c>
      <c r="W96" s="93">
        <f t="shared" si="172"/>
        <v>6.3539748319110245E-3</v>
      </c>
      <c r="X96" s="93">
        <f t="shared" si="173"/>
        <v>-4.1669776933187186E-2</v>
      </c>
      <c r="Y96" s="93">
        <f t="shared" si="174"/>
        <v>8.8769936331614341E-2</v>
      </c>
      <c r="Z96" s="93">
        <f t="shared" si="175"/>
        <v>6.0780419641206729E-2</v>
      </c>
      <c r="AA96" s="93">
        <f t="shared" si="176"/>
        <v>-1.4131188136245254E-2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6.5767388423826123E-2</v>
      </c>
      <c r="F97" s="89">
        <f t="shared" ref="F97:F106" si="178">IF(E23=0,"",F23/E23-1)</f>
        <v>7.8972051745454408E-2</v>
      </c>
      <c r="G97" s="89">
        <f t="shared" ref="G97:G106" si="179">IF(F23=0,"",G23/F23-1)</f>
        <v>8.3610673652825929E-2</v>
      </c>
      <c r="H97" s="89">
        <f t="shared" ref="H97:H106" si="180">IF(G23=0,"",H23/G23-1)</f>
        <v>8.7465546727616195E-2</v>
      </c>
      <c r="I97" s="89">
        <f t="shared" ref="I97:I106" si="181">IF(H23=0,"",I23/H23-1)</f>
        <v>0.11896494874899854</v>
      </c>
      <c r="J97" s="89">
        <f t="shared" ref="J97:J106" si="182">IF(I23=0,"",J23/I23-1)</f>
        <v>0.12344237743145658</v>
      </c>
      <c r="K97" s="89">
        <f t="shared" ref="K97:K106" si="183">IF(J23=0,"",K23/J23-1)</f>
        <v>9.5232761121654352E-2</v>
      </c>
      <c r="L97" s="89">
        <f t="shared" ref="L97:L106" si="184">IF(K23=0,"",L23/K23-1)</f>
        <v>-1.8363350057922667E-2</v>
      </c>
      <c r="M97" s="89">
        <f t="shared" ref="M97:M106" si="185">IF(L23=0,"",M23/L23-1)</f>
        <v>-0.13728538298787563</v>
      </c>
      <c r="N97" s="89">
        <f t="shared" ref="N97:N106" si="186">IF(M23=0,"",N23/M23-1)</f>
        <v>-4.2798844637116584E-2</v>
      </c>
      <c r="O97" s="89">
        <f t="shared" ref="O97:O106" si="187">IF(N23=0,"",O23/N23-1)</f>
        <v>2.6372505032105531E-2</v>
      </c>
      <c r="P97" s="89">
        <f t="shared" ref="P97:P106" si="188">IF(O23=0,"",P23/O23-1)</f>
        <v>6.9165514307808484E-2</v>
      </c>
      <c r="Q97" s="89">
        <f t="shared" ref="Q97:Q106" si="189">IF(P23=0,"",Q23/P23-1)</f>
        <v>1.418383633796183E-2</v>
      </c>
      <c r="R97" s="89">
        <f t="shared" ref="R97:R106" si="190">IF(Q23=0,"",R23/Q23-1)</f>
        <v>1.8190342162133444E-2</v>
      </c>
      <c r="S97" s="89">
        <f t="shared" ref="S97:S106" si="191">IF(R23=0,"",S23/R23-1)</f>
        <v>3.5369660660133695E-2</v>
      </c>
      <c r="T97" s="89">
        <f t="shared" ref="T97:T106" si="192">IF(S23=0,"",T23/S23-1)</f>
        <v>2.0008008064656968E-2</v>
      </c>
      <c r="U97" s="89">
        <f t="shared" ref="U97:U106" si="193">IF(T23=0,"",U23/T23-1)</f>
        <v>3.3980913837740268E-2</v>
      </c>
      <c r="V97" s="89">
        <f t="shared" ref="V97:V106" si="194">IF(U23=0,"",V23/U23-1)</f>
        <v>3.6899521672553393E-2</v>
      </c>
      <c r="W97" s="89">
        <f t="shared" ref="W97:W106" si="195">IF(V23=0,"",W23/V23-1)</f>
        <v>6.2538354630139459E-3</v>
      </c>
      <c r="X97" s="89">
        <f t="shared" ref="X97:X106" si="196">IF(W23=0,"",X23/W23-1)</f>
        <v>-3.48675247567376E-2</v>
      </c>
      <c r="Y97" s="89">
        <f t="shared" ref="Y97:Y106" si="197">IF(X23=0,"",Y23/X23-1)</f>
        <v>7.3014269594273262E-2</v>
      </c>
      <c r="Z97" s="89">
        <f t="shared" ref="Z97:Z108" si="198">IF(Y23=0,"",Z23/Y23-1)</f>
        <v>1.5927195970438124E-2</v>
      </c>
      <c r="AA97" s="89">
        <f t="shared" ref="AA97:AA108" si="199">IF(Z23=0,"",AA23/Z23-1)</f>
        <v>3.9425487349119992E-2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4.3803323033337227E-2</v>
      </c>
      <c r="F98" s="83">
        <f t="shared" si="178"/>
        <v>0.11305182897692956</v>
      </c>
      <c r="G98" s="83">
        <f t="shared" si="179"/>
        <v>-3.2608695652173836E-2</v>
      </c>
      <c r="H98" s="83">
        <f t="shared" si="180"/>
        <v>0.15521004720404075</v>
      </c>
      <c r="I98" s="83">
        <f t="shared" si="181"/>
        <v>1.5453127797049326E-3</v>
      </c>
      <c r="J98" s="83">
        <f t="shared" si="182"/>
        <v>5.2828135717364333E-4</v>
      </c>
      <c r="K98" s="83">
        <f t="shared" si="183"/>
        <v>0.10026771291225978</v>
      </c>
      <c r="L98" s="83">
        <f t="shared" si="184"/>
        <v>-0.13337559252353381</v>
      </c>
      <c r="M98" s="83">
        <f t="shared" si="185"/>
        <v>-8.4487441523390161E-2</v>
      </c>
      <c r="N98" s="83">
        <f t="shared" si="186"/>
        <v>0.2118840957309267</v>
      </c>
      <c r="O98" s="83">
        <f t="shared" si="187"/>
        <v>-5.1419690713817578E-2</v>
      </c>
      <c r="P98" s="83">
        <f t="shared" si="188"/>
        <v>9.7952656222433099E-4</v>
      </c>
      <c r="Q98" s="83">
        <f t="shared" si="189"/>
        <v>-7.3478684966852947E-2</v>
      </c>
      <c r="R98" s="83">
        <f t="shared" si="190"/>
        <v>0.14675162228562266</v>
      </c>
      <c r="S98" s="83">
        <f t="shared" si="191"/>
        <v>1.8483329289007422E-2</v>
      </c>
      <c r="T98" s="83">
        <f t="shared" si="192"/>
        <v>-3.9186607889011515E-2</v>
      </c>
      <c r="U98" s="83">
        <f t="shared" si="193"/>
        <v>0.12768296928591782</v>
      </c>
      <c r="V98" s="83">
        <f t="shared" si="194"/>
        <v>5.3978380451993768E-2</v>
      </c>
      <c r="W98" s="83">
        <f t="shared" si="195"/>
        <v>5.5661212302934304E-2</v>
      </c>
      <c r="X98" s="83">
        <f t="shared" si="196"/>
        <v>1.8758352329584227E-2</v>
      </c>
      <c r="Y98" s="83">
        <f t="shared" si="197"/>
        <v>0.1050246146520184</v>
      </c>
      <c r="Z98" s="83">
        <f t="shared" si="198"/>
        <v>0.22034622006044047</v>
      </c>
      <c r="AA98" s="83">
        <f t="shared" si="199"/>
        <v>-0.20352562124543117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0.43115024139019908</v>
      </c>
      <c r="F99" s="83">
        <f t="shared" si="178"/>
        <v>0.33611248357214163</v>
      </c>
      <c r="G99" s="83">
        <f t="shared" si="179"/>
        <v>0.35290011025099233</v>
      </c>
      <c r="H99" s="83">
        <f t="shared" si="180"/>
        <v>1.6161598350884931E-2</v>
      </c>
      <c r="I99" s="83">
        <f t="shared" si="181"/>
        <v>0.36979246817945088</v>
      </c>
      <c r="J99" s="83">
        <f t="shared" si="182"/>
        <v>0.22083763963894021</v>
      </c>
      <c r="K99" s="83">
        <f t="shared" si="183"/>
        <v>0.18496345388097946</v>
      </c>
      <c r="L99" s="83">
        <f t="shared" si="184"/>
        <v>-2.1945220809917121E-2</v>
      </c>
      <c r="M99" s="83">
        <f t="shared" si="185"/>
        <v>0.19119617256149701</v>
      </c>
      <c r="N99" s="83">
        <f t="shared" si="186"/>
        <v>3.3178609119393299E-2</v>
      </c>
      <c r="O99" s="83">
        <f t="shared" si="187"/>
        <v>-9.5412734936991539E-3</v>
      </c>
      <c r="P99" s="83">
        <f t="shared" si="188"/>
        <v>0.10246096838445151</v>
      </c>
      <c r="Q99" s="83">
        <f t="shared" si="189"/>
        <v>8.6409326725733537E-2</v>
      </c>
      <c r="R99" s="83">
        <f t="shared" si="190"/>
        <v>-0.14745763193678552</v>
      </c>
      <c r="S99" s="83">
        <f t="shared" si="191"/>
        <v>0.18066756017505492</v>
      </c>
      <c r="T99" s="83">
        <f t="shared" si="192"/>
        <v>-1.0932090533111172E-2</v>
      </c>
      <c r="U99" s="83">
        <f t="shared" si="193"/>
        <v>7.0599152615061556E-2</v>
      </c>
      <c r="V99" s="83">
        <f t="shared" si="194"/>
        <v>6.7198771865395246E-2</v>
      </c>
      <c r="W99" s="83">
        <f t="shared" si="195"/>
        <v>-7.277095332607264E-2</v>
      </c>
      <c r="X99" s="83">
        <f t="shared" si="196"/>
        <v>5.7767863025047994E-2</v>
      </c>
      <c r="Y99" s="83">
        <f t="shared" si="197"/>
        <v>-3.7756863244734595E-2</v>
      </c>
      <c r="Z99" s="83">
        <f t="shared" si="198"/>
        <v>0.10174182306613</v>
      </c>
      <c r="AA99" s="83">
        <f t="shared" si="199"/>
        <v>2.1870759298869835E-2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8.937469110812013E-2</v>
      </c>
      <c r="F100" s="83">
        <f t="shared" si="178"/>
        <v>7.3581650008071708E-2</v>
      </c>
      <c r="G100" s="83">
        <f t="shared" si="179"/>
        <v>0.10899400360905798</v>
      </c>
      <c r="H100" s="83">
        <f t="shared" si="180"/>
        <v>8.1103438215712087E-2</v>
      </c>
      <c r="I100" s="83">
        <f t="shared" si="181"/>
        <v>0.14411338625990111</v>
      </c>
      <c r="J100" s="83">
        <f t="shared" si="182"/>
        <v>0.11438350538798736</v>
      </c>
      <c r="K100" s="83">
        <f t="shared" si="183"/>
        <v>8.3106212009471436E-2</v>
      </c>
      <c r="L100" s="83">
        <f t="shared" si="184"/>
        <v>-5.408730142512197E-3</v>
      </c>
      <c r="M100" s="83">
        <f t="shared" si="185"/>
        <v>-0.11611805051209134</v>
      </c>
      <c r="N100" s="83">
        <f t="shared" si="186"/>
        <v>-5.1477110219361299E-2</v>
      </c>
      <c r="O100" s="83">
        <f t="shared" si="187"/>
        <v>1.9018066828571101E-2</v>
      </c>
      <c r="P100" s="83">
        <f t="shared" si="188"/>
        <v>7.4517962850159991E-2</v>
      </c>
      <c r="Q100" s="83">
        <f t="shared" si="189"/>
        <v>2.7614299104560702E-2</v>
      </c>
      <c r="R100" s="83">
        <f t="shared" si="190"/>
        <v>2.478701361758362E-2</v>
      </c>
      <c r="S100" s="83">
        <f t="shared" si="191"/>
        <v>3.4049887943195412E-2</v>
      </c>
      <c r="T100" s="83">
        <f t="shared" si="192"/>
        <v>2.9452118139322803E-2</v>
      </c>
      <c r="U100" s="83">
        <f t="shared" si="193"/>
        <v>1.9085193066471051E-2</v>
      </c>
      <c r="V100" s="83">
        <f t="shared" si="194"/>
        <v>3.9900992526243018E-2</v>
      </c>
      <c r="W100" s="83">
        <f t="shared" si="195"/>
        <v>2.4780695067172509E-4</v>
      </c>
      <c r="X100" s="83">
        <f t="shared" si="196"/>
        <v>-4.6932978195060926E-2</v>
      </c>
      <c r="Y100" s="83">
        <f t="shared" si="197"/>
        <v>5.7123227151217426E-2</v>
      </c>
      <c r="Z100" s="83">
        <f t="shared" si="198"/>
        <v>1.0949178674890314E-2</v>
      </c>
      <c r="AA100" s="83">
        <f t="shared" si="199"/>
        <v>4.7300564022988434E-2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8.3968845783967572E-2</v>
      </c>
      <c r="F101" s="84">
        <f t="shared" si="178"/>
        <v>7.1735919305451201E-2</v>
      </c>
      <c r="G101" s="84">
        <f t="shared" si="179"/>
        <v>0.10669192967937091</v>
      </c>
      <c r="H101" s="84">
        <f t="shared" si="180"/>
        <v>6.3559150899399341E-2</v>
      </c>
      <c r="I101" s="84">
        <f t="shared" si="181"/>
        <v>9.0080721793812435E-2</v>
      </c>
      <c r="J101" s="84">
        <f t="shared" si="182"/>
        <v>5.4341888212853462E-2</v>
      </c>
      <c r="K101" s="84">
        <f t="shared" si="183"/>
        <v>6.2245990707607834E-2</v>
      </c>
      <c r="L101" s="84">
        <f t="shared" si="184"/>
        <v>5.9057984218348736E-2</v>
      </c>
      <c r="M101" s="84">
        <f t="shared" si="185"/>
        <v>-0.1025181625560796</v>
      </c>
      <c r="N101" s="84">
        <f t="shared" si="186"/>
        <v>-7.9442777549275978E-2</v>
      </c>
      <c r="O101" s="84">
        <f t="shared" si="187"/>
        <v>9.6121192337768058E-3</v>
      </c>
      <c r="P101" s="84">
        <f t="shared" si="188"/>
        <v>5.4840985749902371E-2</v>
      </c>
      <c r="Q101" s="84">
        <f t="shared" si="189"/>
        <v>2.6072626705656798E-2</v>
      </c>
      <c r="R101" s="84">
        <f t="shared" si="190"/>
        <v>1.0225764414720784E-2</v>
      </c>
      <c r="S101" s="84">
        <f t="shared" si="191"/>
        <v>4.0010484220426079E-2</v>
      </c>
      <c r="T101" s="84">
        <f t="shared" si="192"/>
        <v>1.9043343663163848E-2</v>
      </c>
      <c r="U101" s="84">
        <f t="shared" si="193"/>
        <v>4.1448564352997375E-2</v>
      </c>
      <c r="V101" s="84">
        <f t="shared" si="194"/>
        <v>4.5594532385614617E-2</v>
      </c>
      <c r="W101" s="84">
        <f t="shared" si="195"/>
        <v>-4.7146461564884223E-4</v>
      </c>
      <c r="X101" s="84">
        <f t="shared" si="196"/>
        <v>-9.0369857737185755E-2</v>
      </c>
      <c r="Y101" s="84">
        <f t="shared" si="197"/>
        <v>7.6140632114934714E-2</v>
      </c>
      <c r="Z101" s="84">
        <f t="shared" si="198"/>
        <v>3.7658313478008854E-2</v>
      </c>
      <c r="AA101" s="84">
        <f t="shared" si="199"/>
        <v>1.8295534536759028E-2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0.10723561334127196</v>
      </c>
      <c r="F102" s="84">
        <f t="shared" si="178"/>
        <v>5.2432092096515115E-2</v>
      </c>
      <c r="G102" s="84">
        <f t="shared" si="179"/>
        <v>0.10238633218741389</v>
      </c>
      <c r="H102" s="84">
        <f t="shared" si="180"/>
        <v>9.7854423304779781E-2</v>
      </c>
      <c r="I102" s="84">
        <f t="shared" si="181"/>
        <v>0.17284406402875407</v>
      </c>
      <c r="J102" s="84">
        <f t="shared" si="182"/>
        <v>0.16262799706521025</v>
      </c>
      <c r="K102" s="84">
        <f t="shared" si="183"/>
        <v>0.14854213950341455</v>
      </c>
      <c r="L102" s="84">
        <f t="shared" si="184"/>
        <v>-7.4504276842211059E-3</v>
      </c>
      <c r="M102" s="84">
        <f t="shared" si="185"/>
        <v>-0.16331330134127509</v>
      </c>
      <c r="N102" s="84">
        <f t="shared" si="186"/>
        <v>-3.0240461617962566E-2</v>
      </c>
      <c r="O102" s="84">
        <f t="shared" si="187"/>
        <v>6.8805178411984524E-2</v>
      </c>
      <c r="P102" s="84">
        <f t="shared" si="188"/>
        <v>9.7390446163243105E-2</v>
      </c>
      <c r="Q102" s="84">
        <f t="shared" si="189"/>
        <v>4.9834213640913783E-2</v>
      </c>
      <c r="R102" s="84">
        <f t="shared" si="190"/>
        <v>5.1774821904387425E-2</v>
      </c>
      <c r="S102" s="84">
        <f t="shared" si="191"/>
        <v>1.9705465574175962E-2</v>
      </c>
      <c r="T102" s="84">
        <f t="shared" si="192"/>
        <v>4.9466622721745734E-2</v>
      </c>
      <c r="U102" s="84">
        <f t="shared" si="193"/>
        <v>-7.1569190378782954E-3</v>
      </c>
      <c r="V102" s="84">
        <f t="shared" si="194"/>
        <v>5.0144638092536109E-2</v>
      </c>
      <c r="W102" s="84">
        <f t="shared" si="195"/>
        <v>-1.7089489263483415E-2</v>
      </c>
      <c r="X102" s="84">
        <f t="shared" si="196"/>
        <v>-1.397064478118959E-2</v>
      </c>
      <c r="Y102" s="84">
        <f t="shared" si="197"/>
        <v>6.2544245508235452E-2</v>
      </c>
      <c r="Z102" s="84">
        <f t="shared" si="198"/>
        <v>1.7036129325077143E-2</v>
      </c>
      <c r="AA102" s="84">
        <f t="shared" si="199"/>
        <v>0.10109113810944148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7.6657795818491747E-2</v>
      </c>
      <c r="F103" s="84">
        <f t="shared" si="178"/>
        <v>0.10562090830169102</v>
      </c>
      <c r="G103" s="84">
        <f t="shared" si="179"/>
        <v>0.12184432590087102</v>
      </c>
      <c r="H103" s="84">
        <f t="shared" si="180"/>
        <v>9.3189614509625374E-2</v>
      </c>
      <c r="I103" s="84">
        <f t="shared" si="181"/>
        <v>0.20712420386551589</v>
      </c>
      <c r="J103" s="84">
        <f t="shared" si="182"/>
        <v>0.15485549506577345</v>
      </c>
      <c r="K103" s="84">
        <f t="shared" si="183"/>
        <v>3.3971651964718408E-2</v>
      </c>
      <c r="L103" s="84">
        <f t="shared" si="184"/>
        <v>-0.10290342221074877</v>
      </c>
      <c r="M103" s="84">
        <f t="shared" si="185"/>
        <v>-6.9541618007852413E-2</v>
      </c>
      <c r="N103" s="84">
        <f t="shared" si="186"/>
        <v>-3.0888390076802108E-2</v>
      </c>
      <c r="O103" s="84">
        <f t="shared" si="187"/>
        <v>-3.3075742358484428E-2</v>
      </c>
      <c r="P103" s="84">
        <f t="shared" si="188"/>
        <v>7.4599769001594041E-2</v>
      </c>
      <c r="Q103" s="84">
        <f t="shared" si="189"/>
        <v>-3.9446964379232785E-3</v>
      </c>
      <c r="R103" s="84">
        <f t="shared" si="190"/>
        <v>6.8538063707681562E-3</v>
      </c>
      <c r="S103" s="84">
        <f t="shared" si="191"/>
        <v>4.7745578011317846E-2</v>
      </c>
      <c r="T103" s="84">
        <f t="shared" si="192"/>
        <v>1.4843414176888947E-2</v>
      </c>
      <c r="U103" s="84">
        <f t="shared" si="193"/>
        <v>2.4130384883949585E-2</v>
      </c>
      <c r="V103" s="84">
        <f t="shared" si="194"/>
        <v>1.2667265257359173E-2</v>
      </c>
      <c r="W103" s="84">
        <f t="shared" si="195"/>
        <v>3.1332572298025996E-2</v>
      </c>
      <c r="X103" s="84">
        <f t="shared" si="196"/>
        <v>-2.2288661173450852E-2</v>
      </c>
      <c r="Y103" s="84">
        <f t="shared" si="197"/>
        <v>1.6193711546552914E-2</v>
      </c>
      <c r="Z103" s="84">
        <f t="shared" si="198"/>
        <v>-4.7125569179398252E-2</v>
      </c>
      <c r="AA103" s="84">
        <f t="shared" si="199"/>
        <v>4.5821614743510874E-3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1.274234972658439E-3</v>
      </c>
      <c r="F104" s="83">
        <f t="shared" si="178"/>
        <v>8.0547460380056002E-3</v>
      </c>
      <c r="G104" s="83">
        <f t="shared" si="179"/>
        <v>6.6485983421607608E-2</v>
      </c>
      <c r="H104" s="83">
        <f t="shared" si="180"/>
        <v>5.97253019003543E-2</v>
      </c>
      <c r="I104" s="83">
        <f t="shared" si="181"/>
        <v>-9.1633066131759922E-2</v>
      </c>
      <c r="J104" s="83">
        <f t="shared" si="182"/>
        <v>5.3257923062249413E-2</v>
      </c>
      <c r="K104" s="83">
        <f t="shared" si="183"/>
        <v>1.9896852496333661E-2</v>
      </c>
      <c r="L104" s="83">
        <f t="shared" si="184"/>
        <v>0.13274854060167152</v>
      </c>
      <c r="M104" s="83">
        <f t="shared" si="185"/>
        <v>0.14071725044881278</v>
      </c>
      <c r="N104" s="83">
        <f t="shared" si="186"/>
        <v>4.3466220299315461E-2</v>
      </c>
      <c r="O104" s="83">
        <f t="shared" si="187"/>
        <v>-3.0953669297153152E-2</v>
      </c>
      <c r="P104" s="83">
        <f t="shared" si="188"/>
        <v>7.2642432450777727E-2</v>
      </c>
      <c r="Q104" s="83">
        <f t="shared" si="189"/>
        <v>-0.12747098086413478</v>
      </c>
      <c r="R104" s="83">
        <f t="shared" si="190"/>
        <v>-0.20921445055629762</v>
      </c>
      <c r="S104" s="83">
        <f t="shared" si="191"/>
        <v>0.19880061455144826</v>
      </c>
      <c r="T104" s="83">
        <f t="shared" si="192"/>
        <v>0.2436337740494634</v>
      </c>
      <c r="U104" s="83">
        <f t="shared" si="193"/>
        <v>-4.3889379814938012E-2</v>
      </c>
      <c r="V104" s="83">
        <f t="shared" si="194"/>
        <v>-0.37125421166544892</v>
      </c>
      <c r="W104" s="83">
        <f t="shared" si="195"/>
        <v>4.1950963363403426E-2</v>
      </c>
      <c r="X104" s="83">
        <f t="shared" si="196"/>
        <v>0.1546253624592886</v>
      </c>
      <c r="Y104" s="83">
        <f t="shared" si="197"/>
        <v>0.33247853958380325</v>
      </c>
      <c r="Z104" s="83">
        <f t="shared" si="198"/>
        <v>0.17426005677740242</v>
      </c>
      <c r="AA104" s="83">
        <f t="shared" si="199"/>
        <v>0.38009338775469237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-6.3282641381533833E-2</v>
      </c>
      <c r="F105" s="83">
        <f t="shared" si="178"/>
        <v>0.11686034601737405</v>
      </c>
      <c r="G105" s="83">
        <f t="shared" si="179"/>
        <v>7.5495370670719764E-2</v>
      </c>
      <c r="H105" s="83">
        <f t="shared" si="180"/>
        <v>0.14517524141266724</v>
      </c>
      <c r="I105" s="83">
        <f t="shared" si="181"/>
        <v>0.15929219875719292</v>
      </c>
      <c r="J105" s="83">
        <f t="shared" si="182"/>
        <v>0.43790147636067456</v>
      </c>
      <c r="K105" s="83">
        <f t="shared" si="183"/>
        <v>0.29729009076228419</v>
      </c>
      <c r="L105" s="83">
        <f t="shared" si="184"/>
        <v>-1.8909050073740774E-2</v>
      </c>
      <c r="M105" s="83">
        <f t="shared" si="185"/>
        <v>-0.35181286616190088</v>
      </c>
      <c r="N105" s="83">
        <f t="shared" si="186"/>
        <v>-0.41130472480101921</v>
      </c>
      <c r="O105" s="83">
        <f t="shared" si="187"/>
        <v>0.21313212051611563</v>
      </c>
      <c r="P105" s="83">
        <f t="shared" si="188"/>
        <v>0.1500540794192784</v>
      </c>
      <c r="Q105" s="83">
        <f t="shared" si="189"/>
        <v>4.2218342645381712E-2</v>
      </c>
      <c r="R105" s="83">
        <f t="shared" si="190"/>
        <v>2.2678067339004349E-2</v>
      </c>
      <c r="S105" s="83">
        <f t="shared" si="191"/>
        <v>5.0310837514473405E-3</v>
      </c>
      <c r="T105" s="83">
        <f t="shared" si="192"/>
        <v>-0.10458331724593373</v>
      </c>
      <c r="U105" s="83">
        <f t="shared" si="193"/>
        <v>0.14121100858654789</v>
      </c>
      <c r="V105" s="83">
        <f t="shared" si="194"/>
        <v>0.12531966629037883</v>
      </c>
      <c r="W105" s="83">
        <f t="shared" si="195"/>
        <v>2.8361034761591464E-2</v>
      </c>
      <c r="X105" s="83">
        <f t="shared" si="196"/>
        <v>-5.5796702183605995E-2</v>
      </c>
      <c r="Y105" s="83">
        <f t="shared" si="197"/>
        <v>-0.10424588588072137</v>
      </c>
      <c r="Z105" s="83">
        <f t="shared" si="198"/>
        <v>5.6657204750430123E-2</v>
      </c>
      <c r="AA105" s="83">
        <f t="shared" si="199"/>
        <v>0.2774207536774882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3.8279784490978352E-2</v>
      </c>
      <c r="F106" s="83">
        <f t="shared" si="178"/>
        <v>8.938253691466258E-2</v>
      </c>
      <c r="G106" s="83">
        <f t="shared" si="179"/>
        <v>7.7640611943952109E-3</v>
      </c>
      <c r="H106" s="83">
        <f t="shared" si="180"/>
        <v>7.8202074311146896E-2</v>
      </c>
      <c r="I106" s="83">
        <f t="shared" si="181"/>
        <v>4.9596739518442456E-2</v>
      </c>
      <c r="J106" s="83">
        <f t="shared" si="182"/>
        <v>5.4669687031516867E-2</v>
      </c>
      <c r="K106" s="83">
        <f t="shared" si="183"/>
        <v>2.6542006199657298E-2</v>
      </c>
      <c r="L106" s="83">
        <f t="shared" si="184"/>
        <v>-8.6573494123808881E-2</v>
      </c>
      <c r="M106" s="83">
        <f t="shared" si="185"/>
        <v>-0.15456093372400359</v>
      </c>
      <c r="N106" s="83">
        <f t="shared" si="186"/>
        <v>0.18596163806624189</v>
      </c>
      <c r="O106" s="83">
        <f t="shared" si="187"/>
        <v>4.1141405813607035E-2</v>
      </c>
      <c r="P106" s="83">
        <f t="shared" si="188"/>
        <v>2.3192559709044103E-2</v>
      </c>
      <c r="Q106" s="83">
        <f t="shared" si="189"/>
        <v>-1.7640463541380047E-2</v>
      </c>
      <c r="R106" s="83">
        <f t="shared" si="190"/>
        <v>-4.8005765971962377E-3</v>
      </c>
      <c r="S106" s="83">
        <f t="shared" si="191"/>
        <v>3.1243889312976947E-2</v>
      </c>
      <c r="T106" s="83">
        <f t="shared" si="192"/>
        <v>1.6386984189320497E-3</v>
      </c>
      <c r="U106" s="83">
        <f t="shared" si="193"/>
        <v>6.7635224061465049E-2</v>
      </c>
      <c r="V106" s="83">
        <f t="shared" si="194"/>
        <v>6.0646788435189114E-2</v>
      </c>
      <c r="W106" s="83">
        <f t="shared" si="195"/>
        <v>1.2390579145549641E-2</v>
      </c>
      <c r="X106" s="83">
        <f t="shared" si="196"/>
        <v>-5.0244749174388481E-4</v>
      </c>
      <c r="Y106" s="83">
        <f t="shared" si="197"/>
        <v>0.20728516424293786</v>
      </c>
      <c r="Z106" s="83">
        <f t="shared" si="198"/>
        <v>-7.5413812879497111E-2</v>
      </c>
      <c r="AA106" s="83">
        <f t="shared" si="199"/>
        <v>-7.8365409325808599E-2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-9.9872658395701808E-2</v>
      </c>
      <c r="F107" s="87">
        <f t="shared" ref="F107:F108" si="201">IF(E33=0,"",F33/E33-1)</f>
        <v>1.1591103892696353E-2</v>
      </c>
      <c r="G107" s="87">
        <f t="shared" ref="G107:G108" si="202">IF(F33=0,"",G33/F33-1)</f>
        <v>0.48066382147264508</v>
      </c>
      <c r="H107" s="87">
        <f t="shared" ref="H107:H108" si="203">IF(G33=0,"",H33/G33-1)</f>
        <v>0.29312841419083258</v>
      </c>
      <c r="I107" s="87">
        <f t="shared" ref="I107:I108" si="204">IF(H33=0,"",I33/H33-1)</f>
        <v>-0.33454849433524592</v>
      </c>
      <c r="J107" s="87">
        <f t="shared" ref="J107:J108" si="205">IF(I33=0,"",J33/I33-1)</f>
        <v>0.21931968898847631</v>
      </c>
      <c r="K107" s="87">
        <f t="shared" ref="K107:K108" si="206">IF(J33=0,"",K33/J33-1)</f>
        <v>-0.30803285151454451</v>
      </c>
      <c r="L107" s="87">
        <f t="shared" ref="L107:L108" si="207">IF(K33=0,"",L33/K33-1)</f>
        <v>2.4220479523180405E-3</v>
      </c>
      <c r="M107" s="87">
        <f t="shared" ref="M107:M108" si="208">IF(L33=0,"",M33/L33-1)</f>
        <v>-0.38280747061059128</v>
      </c>
      <c r="N107" s="87">
        <f t="shared" ref="N107:N108" si="209">IF(M33=0,"",N33/M33-1)</f>
        <v>0.86990367480672748</v>
      </c>
      <c r="O107" s="87">
        <f t="shared" ref="O107:O108" si="210">IF(N33=0,"",O33/N33-1)</f>
        <v>6.4909580307175974E-2</v>
      </c>
      <c r="P107" s="87">
        <f t="shared" ref="P107:P108" si="211">IF(O33=0,"",P33/O33-1)</f>
        <v>-0.43382201634027306</v>
      </c>
      <c r="Q107" s="87">
        <f t="shared" ref="Q107:Q108" si="212">IF(P33=0,"",Q33/P33-1)</f>
        <v>-0.65201052616296884</v>
      </c>
      <c r="R107" s="87">
        <f t="shared" ref="R107:R108" si="213">IF(Q33=0,"",R33/Q33-1)</f>
        <v>-0.90752749603075411</v>
      </c>
      <c r="S107" s="87">
        <f t="shared" ref="S107:S108" si="214">IF(R33=0,"",S33/R33-1)</f>
        <v>10.778039473684212</v>
      </c>
      <c r="T107" s="87">
        <f t="shared" ref="T107:T108" si="215">IF(S33=0,"",T33/S33-1)</f>
        <v>-1</v>
      </c>
      <c r="U107" s="87" t="str">
        <f t="shared" ref="U107:U108" si="216">IF(T33=0,"",U33/T33-1)</f>
        <v/>
      </c>
      <c r="V107" s="87" t="str">
        <f t="shared" ref="V107:V108" si="217">IF(U33=0,"",V33/U33-1)</f>
        <v/>
      </c>
      <c r="W107" s="87" t="str">
        <f t="shared" ref="W107:W108" si="218">IF(V33=0,"",W33/V33-1)</f>
        <v/>
      </c>
      <c r="X107" s="87" t="str">
        <f t="shared" ref="X107:X108" si="219">IF(W33=0,"",X33/W33-1)</f>
        <v/>
      </c>
      <c r="Y107" s="87" t="str">
        <f t="shared" ref="Y107:Y108" si="220">IF(X33=0,"",Y33/X33-1)</f>
        <v/>
      </c>
      <c r="Z107" s="87" t="str">
        <f t="shared" si="198"/>
        <v/>
      </c>
      <c r="AA107" s="87" t="str">
        <f t="shared" si="199"/>
        <v/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-9.9872658395701697E-2</v>
      </c>
      <c r="F108" s="89">
        <f t="shared" si="201"/>
        <v>1.1591103892696131E-2</v>
      </c>
      <c r="G108" s="89">
        <f t="shared" si="202"/>
        <v>0.48066382147264508</v>
      </c>
      <c r="H108" s="89">
        <f t="shared" si="203"/>
        <v>0.29312841419083235</v>
      </c>
      <c r="I108" s="89">
        <f t="shared" si="204"/>
        <v>-0.33454849433524581</v>
      </c>
      <c r="J108" s="89">
        <f t="shared" si="205"/>
        <v>0.21931968898847631</v>
      </c>
      <c r="K108" s="89">
        <f t="shared" si="206"/>
        <v>-0.30803285151454451</v>
      </c>
      <c r="L108" s="89">
        <f t="shared" si="207"/>
        <v>2.4220479523180405E-3</v>
      </c>
      <c r="M108" s="89">
        <f t="shared" si="208"/>
        <v>-0.38280747061059128</v>
      </c>
      <c r="N108" s="89">
        <f t="shared" si="209"/>
        <v>0.86990367480672748</v>
      </c>
      <c r="O108" s="89">
        <f t="shared" si="210"/>
        <v>6.4909580307175974E-2</v>
      </c>
      <c r="P108" s="89">
        <f t="shared" si="211"/>
        <v>-0.43382201634027306</v>
      </c>
      <c r="Q108" s="89">
        <f t="shared" si="212"/>
        <v>-0.65201052616296884</v>
      </c>
      <c r="R108" s="89">
        <f t="shared" si="213"/>
        <v>-0.90752749603075411</v>
      </c>
      <c r="S108" s="89">
        <f t="shared" si="214"/>
        <v>10.778039473684212</v>
      </c>
      <c r="T108" s="89">
        <f t="shared" si="215"/>
        <v>-1</v>
      </c>
      <c r="U108" s="89" t="str">
        <f t="shared" si="216"/>
        <v/>
      </c>
      <c r="V108" s="89" t="str">
        <f t="shared" si="217"/>
        <v/>
      </c>
      <c r="W108" s="89" t="str">
        <f t="shared" si="218"/>
        <v/>
      </c>
      <c r="X108" s="89" t="str">
        <f t="shared" si="219"/>
        <v/>
      </c>
      <c r="Y108" s="89" t="str">
        <f t="shared" si="220"/>
        <v/>
      </c>
      <c r="Z108" s="89" t="str">
        <f t="shared" si="198"/>
        <v/>
      </c>
      <c r="AA108" s="89" t="str">
        <f t="shared" si="199"/>
        <v/>
      </c>
    </row>
    <row r="109" spans="1:27" x14ac:dyDescent="0.25">
      <c r="A109" s="88" t="s">
        <v>263</v>
      </c>
      <c r="B109" s="44"/>
      <c r="C109" s="44"/>
      <c r="D109" s="89"/>
      <c r="E109" s="89" t="str">
        <f t="shared" ref="E109" si="221">IF(D37=0,"",E37/D37-1)</f>
        <v/>
      </c>
      <c r="F109" s="89" t="str">
        <f t="shared" ref="F109" si="222">IF(E37=0,"",F37/E37-1)</f>
        <v/>
      </c>
      <c r="G109" s="89" t="str">
        <f t="shared" ref="G109" si="223">IF(F37=0,"",G37/F37-1)</f>
        <v/>
      </c>
      <c r="H109" s="89" t="str">
        <f t="shared" ref="H109" si="224">IF(G37=0,"",H37/G37-1)</f>
        <v/>
      </c>
      <c r="I109" s="89" t="str">
        <f t="shared" ref="I109" si="225">IF(H37=0,"",I37/H37-1)</f>
        <v/>
      </c>
      <c r="J109" s="89" t="str">
        <f t="shared" ref="J109" si="226">IF(I37=0,"",J37/I37-1)</f>
        <v/>
      </c>
      <c r="K109" s="89" t="str">
        <f t="shared" ref="K109" si="227">IF(J37=0,"",K37/J37-1)</f>
        <v/>
      </c>
      <c r="L109" s="89" t="str">
        <f t="shared" ref="L109" si="228">IF(K37=0,"",L37/K37-1)</f>
        <v/>
      </c>
      <c r="M109" s="89" t="str">
        <f t="shared" ref="M109" si="229">IF(L37=0,"",M37/L37-1)</f>
        <v/>
      </c>
      <c r="N109" s="89" t="str">
        <f t="shared" ref="N109" si="230">IF(M37=0,"",N37/M37-1)</f>
        <v/>
      </c>
      <c r="O109" s="89" t="str">
        <f t="shared" ref="O109" si="231">IF(N37=0,"",O37/N37-1)</f>
        <v/>
      </c>
      <c r="P109" s="89" t="str">
        <f t="shared" ref="P109" si="232">IF(O37=0,"",P37/O37-1)</f>
        <v/>
      </c>
      <c r="Q109" s="89" t="str">
        <f t="shared" ref="Q109" si="233">IF(P37=0,"",Q37/P37-1)</f>
        <v/>
      </c>
      <c r="R109" s="89" t="str">
        <f t="shared" ref="R109" si="234">IF(Q37=0,"",R37/Q37-1)</f>
        <v/>
      </c>
      <c r="S109" s="89" t="str">
        <f t="shared" ref="S109" si="235">IF(R37=0,"",S37/R37-1)</f>
        <v/>
      </c>
      <c r="T109" s="89" t="str">
        <f t="shared" ref="T109" si="236">IF(S37=0,"",T37/S37-1)</f>
        <v/>
      </c>
      <c r="U109" s="89" t="str">
        <f t="shared" ref="U109" si="237">IF(T37=0,"",U37/T37-1)</f>
        <v/>
      </c>
      <c r="V109" s="89" t="str">
        <f t="shared" ref="V109" si="238">IF(U37=0,"",V37/U37-1)</f>
        <v/>
      </c>
      <c r="W109" s="89" t="str">
        <f t="shared" ref="W109" si="239">IF(V37=0,"",W37/V37-1)</f>
        <v/>
      </c>
      <c r="X109" s="89" t="str">
        <f t="shared" ref="X109" si="240">IF(W37=0,"",X37/W37-1)</f>
        <v/>
      </c>
      <c r="Y109" s="89" t="str">
        <f t="shared" ref="Y109" si="241">IF(X37=0,"",Y37/X37-1)</f>
        <v/>
      </c>
      <c r="Z109" s="89" t="str">
        <f t="shared" ref="Z109" si="242">IF(Y37=0,"",Z37/Y37-1)</f>
        <v/>
      </c>
      <c r="AA109" s="89" t="str">
        <f t="shared" ref="AA109" si="243">IF(Z37=0,"",AA37/Z37-1)</f>
        <v/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0.30600558755561691</v>
      </c>
      <c r="F110" s="89">
        <f t="shared" ref="F110:F111" si="245">IF(E43=0,"",F43/E43-1)</f>
        <v>3.8609241548519524E-3</v>
      </c>
      <c r="G110" s="89">
        <f t="shared" ref="G110:G111" si="246">IF(F43=0,"",G43/F43-1)</f>
        <v>2.0343557663202505E-2</v>
      </c>
      <c r="H110" s="89">
        <f t="shared" ref="H110:H111" si="247">IF(G43=0,"",H43/G43-1)</f>
        <v>6.7420038139117677E-2</v>
      </c>
      <c r="I110" s="89">
        <f t="shared" ref="I110:I111" si="248">IF(H43=0,"",I43/H43-1)</f>
        <v>0.21164583691408656</v>
      </c>
      <c r="J110" s="89">
        <f t="shared" ref="J110:J111" si="249">IF(I43=0,"",J43/I43-1)</f>
        <v>0.2664152168171583</v>
      </c>
      <c r="K110" s="89">
        <f t="shared" ref="K110:K111" si="250">IF(J43=0,"",K43/J43-1)</f>
        <v>-0.18710472315336024</v>
      </c>
      <c r="L110" s="89">
        <f t="shared" ref="L110:L111" si="251">IF(K43=0,"",L43/K43-1)</f>
        <v>0.29087219507001749</v>
      </c>
      <c r="M110" s="89">
        <f t="shared" ref="M110:M111" si="252">IF(L43=0,"",M43/L43-1)</f>
        <v>-0.11407464939596867</v>
      </c>
      <c r="N110" s="89">
        <f t="shared" ref="N110:N111" si="253">IF(M43=0,"",N43/M43-1)</f>
        <v>0.47204563684377732</v>
      </c>
      <c r="O110" s="89">
        <f t="shared" ref="O110:O111" si="254">IF(N43=0,"",O43/N43-1)</f>
        <v>-8.810736284588272E-2</v>
      </c>
      <c r="P110" s="89">
        <f t="shared" ref="P110:P111" si="255">IF(O43=0,"",P43/O43-1)</f>
        <v>2.0680232566226309E-2</v>
      </c>
      <c r="Q110" s="89">
        <f t="shared" ref="Q110:Q111" si="256">IF(P43=0,"",Q43/P43-1)</f>
        <v>4.9699718938471138E-2</v>
      </c>
      <c r="R110" s="89">
        <f t="shared" ref="R110:R111" si="257">IF(Q43=0,"",R43/Q43-1)</f>
        <v>-0.25442818649460797</v>
      </c>
      <c r="S110" s="89">
        <f t="shared" ref="S110:S111" si="258">IF(R43=0,"",S43/R43-1)</f>
        <v>5.4845639491398535E-2</v>
      </c>
      <c r="T110" s="89">
        <f t="shared" ref="T110:T111" si="259">IF(S43=0,"",T43/S43-1)</f>
        <v>1.3041387956843176E-2</v>
      </c>
      <c r="U110" s="89">
        <f t="shared" ref="U110:U111" si="260">IF(T43=0,"",U43/T43-1)</f>
        <v>8.0683904752322677E-2</v>
      </c>
      <c r="V110" s="89">
        <f t="shared" ref="V110:V111" si="261">IF(U43=0,"",V43/U43-1)</f>
        <v>0.11077668697427701</v>
      </c>
      <c r="W110" s="89">
        <f t="shared" ref="W110:W111" si="262">IF(V43=0,"",W43/V43-1)</f>
        <v>0.19586391032870809</v>
      </c>
      <c r="X110" s="89">
        <f t="shared" ref="X110:X111" si="263">IF(W43=0,"",X43/W43-1)</f>
        <v>-2.4677391302530216E-2</v>
      </c>
      <c r="Y110" s="89">
        <f t="shared" ref="Y110:Y111" si="264">IF(X43=0,"",Y43/X43-1)</f>
        <v>0.23414878563299935</v>
      </c>
      <c r="Z110" s="89">
        <f t="shared" ref="Z110:Z111" si="265">IF(Y43=0,"",Z43/Y43-1)</f>
        <v>-3.4124995316690221E-2</v>
      </c>
      <c r="AA110" s="89">
        <f t="shared" ref="AA110:AA111" si="266">IF(Z43=0,"",AA43/Z43-1)</f>
        <v>-3.8411196332817199E-2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0.30172868671412312</v>
      </c>
      <c r="F111" s="89">
        <f t="shared" si="245"/>
        <v>-1.6430770718810939E-2</v>
      </c>
      <c r="G111" s="89">
        <f t="shared" si="246"/>
        <v>1.8520566121185356E-2</v>
      </c>
      <c r="H111" s="89">
        <f t="shared" si="247"/>
        <v>5.764640796649001E-2</v>
      </c>
      <c r="I111" s="89">
        <f t="shared" si="248"/>
        <v>0.19608690156249153</v>
      </c>
      <c r="J111" s="89">
        <f t="shared" si="249"/>
        <v>0.28425777676304143</v>
      </c>
      <c r="K111" s="89">
        <f t="shared" si="250"/>
        <v>-0.18636016951149958</v>
      </c>
      <c r="L111" s="89">
        <f t="shared" si="251"/>
        <v>0.38792342851559036</v>
      </c>
      <c r="M111" s="89">
        <f t="shared" si="252"/>
        <v>-0.13838599045419742</v>
      </c>
      <c r="N111" s="89">
        <f t="shared" si="253"/>
        <v>0.64591278763799775</v>
      </c>
      <c r="O111" s="89">
        <f t="shared" si="254"/>
        <v>-0.23819311237039598</v>
      </c>
      <c r="P111" s="89">
        <f t="shared" si="255"/>
        <v>2.8573645850920038E-3</v>
      </c>
      <c r="Q111" s="89">
        <f t="shared" si="256"/>
        <v>-0.12312235078674272</v>
      </c>
      <c r="R111" s="89">
        <f t="shared" si="257"/>
        <v>-0.14273412618882664</v>
      </c>
      <c r="S111" s="89">
        <f t="shared" si="258"/>
        <v>1.7304942903751952E-2</v>
      </c>
      <c r="T111" s="89">
        <f t="shared" si="259"/>
        <v>-3.6263652289895587E-2</v>
      </c>
      <c r="U111" s="89">
        <f t="shared" si="260"/>
        <v>6.7103726954842902E-2</v>
      </c>
      <c r="V111" s="89">
        <f t="shared" si="261"/>
        <v>0.40526847332098992</v>
      </c>
      <c r="W111" s="89">
        <f t="shared" si="262"/>
        <v>-0.14352489718676376</v>
      </c>
      <c r="X111" s="89">
        <f t="shared" si="263"/>
        <v>9.2399344822602147E-2</v>
      </c>
      <c r="Y111" s="89">
        <f t="shared" si="264"/>
        <v>0.3251117349424637</v>
      </c>
      <c r="Z111" s="89">
        <f t="shared" si="265"/>
        <v>-0.17257596356460148</v>
      </c>
      <c r="AA111" s="89">
        <f t="shared" si="266"/>
        <v>-0.13581709014265297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0.31052751917448784</v>
      </c>
      <c r="F112" s="89">
        <f t="shared" ref="F112:F113" si="268">IF(E47=0,"",F47/E47-1)</f>
        <v>2.51711210878105E-2</v>
      </c>
      <c r="G112" s="89">
        <f t="shared" ref="G112:G113" si="269">IF(F47=0,"",G47/F47-1)</f>
        <v>2.2180359747204781E-2</v>
      </c>
      <c r="H112" s="89">
        <f t="shared" ref="H112:H113" si="270">IF(G47=0,"",H47/G47-1)</f>
        <v>7.7232452558462006E-2</v>
      </c>
      <c r="I112" s="89">
        <f t="shared" ref="I112:I113" si="271">IF(H47=0,"",I47/H47-1)</f>
        <v>0.22698250176065882</v>
      </c>
      <c r="J112" s="89">
        <f t="shared" ref="J112:J113" si="272">IF(I47=0,"",J47/I47-1)</f>
        <v>0.24927041061217592</v>
      </c>
      <c r="K112" s="89">
        <f t="shared" ref="K112:K113" si="273">IF(J47=0,"",K47/J47-1)</f>
        <v>-0.18784019687275921</v>
      </c>
      <c r="L112" s="89">
        <f t="shared" ref="L112:L113" si="274">IF(K47=0,"",L47/K47-1)</f>
        <v>0.19482981020496015</v>
      </c>
      <c r="M112" s="89">
        <f t="shared" ref="M112:M113" si="275">IF(L47=0,"",M47/L47-1)</f>
        <v>-8.6127967618752521E-2</v>
      </c>
      <c r="N112" s="89">
        <f t="shared" ref="N112:N113" si="276">IF(M47=0,"",N47/M47-1)</f>
        <v>0.2836086130779738</v>
      </c>
      <c r="O112" s="89">
        <f t="shared" ref="O112:O113" si="277">IF(N47=0,"",O47/N47-1)</f>
        <v>0.1204676861256837</v>
      </c>
      <c r="P112" s="89">
        <f t="shared" ref="P112:P113" si="278">IF(O47=0,"",P47/O47-1)</f>
        <v>3.7520386022085184E-2</v>
      </c>
      <c r="Q112" s="89">
        <f t="shared" ref="Q112:Q113" si="279">IF(P47=0,"",Q47/P47-1)</f>
        <v>0.20753721614415777</v>
      </c>
      <c r="R112" s="89">
        <f t="shared" ref="R112:R113" si="280">IF(Q47=0,"",R47/Q47-1)</f>
        <v>-0.32850453026344217</v>
      </c>
      <c r="S112" s="89">
        <f t="shared" ref="S112:S113" si="281">IF(R47=0,"",S47/R47-1)</f>
        <v>8.663078729281759E-2</v>
      </c>
      <c r="T112" s="89">
        <f t="shared" ref="T112:T113" si="282">IF(S47=0,"",T47/S47-1)</f>
        <v>5.2123891414119106E-2</v>
      </c>
      <c r="U112" s="89">
        <f t="shared" ref="U112:U113" si="283">IF(T47=0,"",U47/T47-1)</f>
        <v>9.054415346412914E-2</v>
      </c>
      <c r="V112" s="89">
        <f t="shared" ref="V112:V113" si="284">IF(U47=0,"",V47/U47-1)</f>
        <v>-9.8450917641710323E-2</v>
      </c>
      <c r="W112" s="89">
        <f t="shared" ref="W112:W113" si="285">IF(V47=0,"",W47/V47-1)</f>
        <v>0.57171277259441378</v>
      </c>
      <c r="X112" s="89">
        <f t="shared" ref="X112:X113" si="286">IF(W47=0,"",X47/W47-1)</f>
        <v>-9.5329949422488736E-2</v>
      </c>
      <c r="Y112" s="89">
        <f t="shared" ref="Y112:Y113" si="287">IF(X47=0,"",Y47/X47-1)</f>
        <v>0.16786412526175343</v>
      </c>
      <c r="Z112" s="89">
        <f t="shared" ref="Z112:Z113" si="288">IF(Y47=0,"",Z47/Y47-1)</f>
        <v>8.0348430944152449E-2</v>
      </c>
      <c r="AA112" s="89">
        <f t="shared" ref="AA112:AA113" si="289">IF(Z47=0,"",AA47/Z47-1)</f>
        <v>2.3270769669359481E-2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0.40810059803319554</v>
      </c>
      <c r="F113" s="89">
        <f t="shared" si="268"/>
        <v>-0.13752294575233737</v>
      </c>
      <c r="G113" s="89">
        <f t="shared" si="269"/>
        <v>0.45106168022435522</v>
      </c>
      <c r="H113" s="89">
        <f t="shared" si="270"/>
        <v>5.3409042549957597E-2</v>
      </c>
      <c r="I113" s="89">
        <f t="shared" si="271"/>
        <v>0.15922458143304441</v>
      </c>
      <c r="J113" s="89">
        <f t="shared" si="272"/>
        <v>0.3252408140926264</v>
      </c>
      <c r="K113" s="89">
        <f t="shared" si="273"/>
        <v>0.3849030519147858</v>
      </c>
      <c r="L113" s="89">
        <f t="shared" si="274"/>
        <v>-1.3737438825129233E-2</v>
      </c>
      <c r="M113" s="89">
        <f t="shared" si="275"/>
        <v>-0.18991976024397472</v>
      </c>
      <c r="N113" s="89">
        <f t="shared" si="276"/>
        <v>0.18012515659765627</v>
      </c>
      <c r="O113" s="89">
        <f t="shared" si="277"/>
        <v>0.24000933945481484</v>
      </c>
      <c r="P113" s="89">
        <f t="shared" si="278"/>
        <v>1.8476352401237239E-2</v>
      </c>
      <c r="Q113" s="89">
        <f t="shared" si="279"/>
        <v>0.12382598413849166</v>
      </c>
      <c r="R113" s="89">
        <f t="shared" si="280"/>
        <v>-3.9608287876122583E-2</v>
      </c>
      <c r="S113" s="89">
        <f t="shared" si="281"/>
        <v>-0.11188180648481738</v>
      </c>
      <c r="T113" s="89">
        <f t="shared" si="282"/>
        <v>6.6064101378679796E-2</v>
      </c>
      <c r="U113" s="89">
        <f t="shared" si="283"/>
        <v>6.9968463928312019E-2</v>
      </c>
      <c r="V113" s="89">
        <f t="shared" si="284"/>
        <v>4.3782190725541126E-2</v>
      </c>
      <c r="W113" s="89">
        <f t="shared" si="285"/>
        <v>4.9283403972641082E-2</v>
      </c>
      <c r="X113" s="89">
        <f t="shared" si="286"/>
        <v>-0.10780127490202296</v>
      </c>
      <c r="Y113" s="89">
        <f t="shared" si="287"/>
        <v>7.3321234971842841E-2</v>
      </c>
      <c r="Z113" s="89">
        <f t="shared" si="288"/>
        <v>-6.7953659519493836E-2</v>
      </c>
      <c r="AA113" s="89">
        <f t="shared" si="289"/>
        <v>-8.8781527767450519E-2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-9.1066434018163722E-2</v>
      </c>
      <c r="F114" s="89">
        <f t="shared" ref="F114:F115" si="291">IF(E52=0,"",F52/E52-1)</f>
        <v>0.17193827182039767</v>
      </c>
      <c r="G114" s="89">
        <f t="shared" ref="G114:G115" si="292">IF(F52=0,"",G52/F52-1)</f>
        <v>0.12938095877534628</v>
      </c>
      <c r="H114" s="89">
        <f t="shared" ref="H114:H115" si="293">IF(G52=0,"",H52/G52-1)</f>
        <v>-3.5922216827931286E-2</v>
      </c>
      <c r="I114" s="89">
        <f t="shared" ref="I114:I115" si="294">IF(H52=0,"",I52/H52-1)</f>
        <v>8.9406762913468052E-2</v>
      </c>
      <c r="J114" s="89">
        <f t="shared" ref="J114:J115" si="295">IF(I52=0,"",J52/I52-1)</f>
        <v>0.20563831397168908</v>
      </c>
      <c r="K114" s="89">
        <f t="shared" ref="K114:K115" si="296">IF(J52=0,"",K52/J52-1)</f>
        <v>-0.18791759220862447</v>
      </c>
      <c r="L114" s="89">
        <f t="shared" ref="L114:L115" si="297">IF(K52=0,"",L52/K52-1)</f>
        <v>-3.7243358552294659E-3</v>
      </c>
      <c r="M114" s="89">
        <f t="shared" ref="M114:M115" si="298">IF(L52=0,"",M52/L52-1)</f>
        <v>-0.24469482025685918</v>
      </c>
      <c r="N114" s="89">
        <f t="shared" ref="N114:N115" si="299">IF(M52=0,"",N52/M52-1)</f>
        <v>6.410477847546181E-2</v>
      </c>
      <c r="O114" s="89">
        <f t="shared" ref="O114:O115" si="300">IF(N52=0,"",O52/N52-1)</f>
        <v>-2.0327758071582158E-2</v>
      </c>
      <c r="P114" s="89">
        <f t="shared" ref="P114:P115" si="301">IF(O52=0,"",P52/O52-1)</f>
        <v>8.0946962512675746E-2</v>
      </c>
      <c r="Q114" s="89">
        <f t="shared" ref="Q114:Q115" si="302">IF(P52=0,"",Q52/P52-1)</f>
        <v>0.11940172258824133</v>
      </c>
      <c r="R114" s="89">
        <f t="shared" ref="R114:R115" si="303">IF(Q52=0,"",R52/Q52-1)</f>
        <v>-2.8375030064766493E-2</v>
      </c>
      <c r="S114" s="89">
        <f t="shared" ref="S114:S115" si="304">IF(R52=0,"",S52/R52-1)</f>
        <v>-1.0844918032786866E-2</v>
      </c>
      <c r="T114" s="89">
        <f t="shared" ref="T114:T115" si="305">IF(S52=0,"",T52/S52-1)</f>
        <v>-3.2769831053604759E-2</v>
      </c>
      <c r="U114" s="89">
        <f t="shared" ref="U114:U115" si="306">IF(T52=0,"",U52/T52-1)</f>
        <v>7.9606822361695029E-2</v>
      </c>
      <c r="V114" s="89">
        <f t="shared" ref="V114:V115" si="307">IF(U52=0,"",V52/U52-1)</f>
        <v>1.1963874928863305E-2</v>
      </c>
      <c r="W114" s="89">
        <f t="shared" ref="W114:W115" si="308">IF(V52=0,"",W52/V52-1)</f>
        <v>9.6663613092303535E-2</v>
      </c>
      <c r="X114" s="89">
        <f t="shared" ref="X114:X115" si="309">IF(W52=0,"",X52/W52-1)</f>
        <v>5.9524772280619143E-2</v>
      </c>
      <c r="Y114" s="89">
        <f t="shared" ref="Y114:Y115" si="310">IF(X52=0,"",Y52/X52-1)</f>
        <v>3.9779787284071277E-2</v>
      </c>
      <c r="Z114" s="89">
        <f t="shared" ref="Z114:Z115" si="311">IF(Y52=0,"",Z52/Y52-1)</f>
        <v>-4.9383012995720788E-2</v>
      </c>
      <c r="AA114" s="89">
        <f t="shared" ref="AA114:AA115" si="312">IF(Z52=0,"",AA52/Z52-1)</f>
        <v>-7.4550868432119777E-2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-0.13962147795864877</v>
      </c>
      <c r="F115" s="89">
        <f t="shared" si="291"/>
        <v>0.22366858500045672</v>
      </c>
      <c r="G115" s="89">
        <f t="shared" si="292"/>
        <v>8.1857556222987293E-2</v>
      </c>
      <c r="H115" s="89">
        <f t="shared" si="293"/>
        <v>-8.9647286702289608E-2</v>
      </c>
      <c r="I115" s="89">
        <f t="shared" si="294"/>
        <v>8.4371119681182716E-2</v>
      </c>
      <c r="J115" s="89">
        <f t="shared" si="295"/>
        <v>-2.7085116855514291E-2</v>
      </c>
      <c r="K115" s="89">
        <f t="shared" si="296"/>
        <v>-0.28333771007505426</v>
      </c>
      <c r="L115" s="89">
        <f t="shared" si="297"/>
        <v>0.13060556666900469</v>
      </c>
      <c r="M115" s="89">
        <f t="shared" si="298"/>
        <v>-0.12894364514410639</v>
      </c>
      <c r="N115" s="89">
        <f t="shared" si="299"/>
        <v>0.21919465750962774</v>
      </c>
      <c r="O115" s="89">
        <f t="shared" si="300"/>
        <v>-4.2961700809354131E-3</v>
      </c>
      <c r="P115" s="89">
        <f t="shared" si="301"/>
        <v>9.0897355315478823E-2</v>
      </c>
      <c r="Q115" s="89">
        <f t="shared" si="302"/>
        <v>-2.1710284875227526E-2</v>
      </c>
      <c r="R115" s="89">
        <f t="shared" si="303"/>
        <v>-3.5914929307505172E-2</v>
      </c>
      <c r="S115" s="89">
        <f t="shared" si="304"/>
        <v>-0.10855266666666674</v>
      </c>
      <c r="T115" s="89">
        <f t="shared" si="305"/>
        <v>-4.5095716404687236E-3</v>
      </c>
      <c r="U115" s="89">
        <f t="shared" si="306"/>
        <v>-2.5966974042722302E-2</v>
      </c>
      <c r="V115" s="89">
        <f t="shared" si="307"/>
        <v>2.0191664313406799E-2</v>
      </c>
      <c r="W115" s="89">
        <f t="shared" si="308"/>
        <v>-2.0095525260553804E-2</v>
      </c>
      <c r="X115" s="89">
        <f t="shared" si="309"/>
        <v>3.2943701189773966E-2</v>
      </c>
      <c r="Y115" s="89">
        <f t="shared" si="310"/>
        <v>4.8854012366092991E-2</v>
      </c>
      <c r="Z115" s="89">
        <f t="shared" si="311"/>
        <v>-6.787075489141503E-2</v>
      </c>
      <c r="AA115" s="89">
        <f t="shared" si="312"/>
        <v>-8.3643205548860511E-2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-5.3470957138531228E-2</v>
      </c>
      <c r="F116" s="89">
        <f t="shared" ref="F116:F122" si="314">IF(E56=0,"",F56/E56-1)</f>
        <v>0.13552984025671999</v>
      </c>
      <c r="G116" s="89">
        <f t="shared" ref="G116:G122" si="315">IF(F56=0,"",G56/F56-1)</f>
        <v>0.16542468226960305</v>
      </c>
      <c r="H116" s="89">
        <f t="shared" ref="H116:H122" si="316">IF(G56=0,"",H56/G56-1)</f>
        <v>1.9033096945881844E-3</v>
      </c>
      <c r="I116" s="89">
        <f t="shared" ref="I116:I122" si="317">IF(H56=0,"",I56/H56-1)</f>
        <v>9.2628179022805401E-2</v>
      </c>
      <c r="J116" s="89">
        <f t="shared" ref="J116:J122" si="318">IF(I56=0,"",J56/I56-1)</f>
        <v>0.35339172948672903</v>
      </c>
      <c r="K116" s="89">
        <f t="shared" ref="K116:K122" si="319">IF(J56=0,"",K56/J56-1)</f>
        <v>-0.14436753841400052</v>
      </c>
      <c r="L116" s="89">
        <f t="shared" ref="L116:L122" si="320">IF(K56=0,"",L56/K56-1)</f>
        <v>-5.5075317111186628E-2</v>
      </c>
      <c r="M116" s="89">
        <f t="shared" ref="M116:M122" si="321">IF(L56=0,"",M56/L56-1)</f>
        <v>-0.29763865348512331</v>
      </c>
      <c r="N116" s="89">
        <f t="shared" ref="N116:N122" si="322">IF(M56=0,"",N56/M56-1)</f>
        <v>-2.3870182146258245E-2</v>
      </c>
      <c r="O116" s="89">
        <f t="shared" ref="O116:O122" si="323">IF(N56=0,"",O56/N56-1)</f>
        <v>-3.1686170615562448E-2</v>
      </c>
      <c r="P116" s="89">
        <f t="shared" ref="P116:P122" si="324">IF(O56=0,"",P56/O56-1)</f>
        <v>7.3697674342968922E-2</v>
      </c>
      <c r="Q116" s="89">
        <f t="shared" ref="Q116:Q122" si="325">IF(P56=0,"",Q56/P56-1)</f>
        <v>0.22385473878895845</v>
      </c>
      <c r="R116" s="89">
        <f t="shared" ref="R116:R122" si="326">IF(Q56=0,"",R56/Q56-1)</f>
        <v>-2.3913742977014429E-2</v>
      </c>
      <c r="S116" s="89">
        <f t="shared" ref="S116:S122" si="327">IF(R56=0,"",S56/R56-1)</f>
        <v>4.6257012987013235E-2</v>
      </c>
      <c r="T116" s="89">
        <f t="shared" ref="T116:T122" si="328">IF(S56=0,"",T56/S56-1)</f>
        <v>-4.6841812078252665E-2</v>
      </c>
      <c r="U116" s="89">
        <f t="shared" ref="U116:U122" si="329">IF(T56=0,"",U56/T56-1)</f>
        <v>0.13451124656628455</v>
      </c>
      <c r="V116" s="89">
        <f t="shared" ref="V116:V122" si="330">IF(U56=0,"",V56/U56-1)</f>
        <v>8.290212509934447E-3</v>
      </c>
      <c r="W116" s="89">
        <f t="shared" ref="W116:W122" si="331">IF(V56=0,"",W56/V56-1)</f>
        <v>0.14941127088935913</v>
      </c>
      <c r="X116" s="89">
        <f t="shared" ref="X116:X122" si="332">IF(W56=0,"",X56/W56-1)</f>
        <v>6.9762252251091228E-2</v>
      </c>
      <c r="Y116" s="89">
        <f t="shared" ref="Y116:Y122" si="333">IF(X56=0,"",Y56/X56-1)</f>
        <v>3.6405208917269727E-2</v>
      </c>
      <c r="Z116" s="89">
        <f t="shared" ref="Z116:Z122" si="334">IF(Y56=0,"",Z56/Y56-1)</f>
        <v>-4.242509514655024E-2</v>
      </c>
      <c r="AA116" s="89">
        <f t="shared" ref="AA116:AA122" si="335">IF(Z56=0,"",AA56/Z56-1)</f>
        <v>-7.1219870714823386E-2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2.1577745496639267E-3</v>
      </c>
      <c r="F117" s="89">
        <f t="shared" si="314"/>
        <v>9.2899930133204967E-2</v>
      </c>
      <c r="G117" s="89">
        <f t="shared" si="315"/>
        <v>-0.16320569674228214</v>
      </c>
      <c r="H117" s="89">
        <f t="shared" si="316"/>
        <v>8.7933651291860926E-2</v>
      </c>
      <c r="I117" s="89">
        <f t="shared" si="317"/>
        <v>2.6382675491643415E-2</v>
      </c>
      <c r="J117" s="89">
        <f t="shared" si="318"/>
        <v>1.8813815735554851E-2</v>
      </c>
      <c r="K117" s="89">
        <f t="shared" si="319"/>
        <v>-2.0617197056010728E-2</v>
      </c>
      <c r="L117" s="89">
        <f t="shared" si="320"/>
        <v>-5.4152943521371122E-2</v>
      </c>
      <c r="M117" s="89">
        <f t="shared" si="321"/>
        <v>-1.0177489812098206E-2</v>
      </c>
      <c r="N117" s="89">
        <f t="shared" si="322"/>
        <v>7.0597456984076157E-3</v>
      </c>
      <c r="O117" s="89">
        <f t="shared" si="323"/>
        <v>-0.10506766789527555</v>
      </c>
      <c r="P117" s="89">
        <f t="shared" si="324"/>
        <v>8.3762449219422885E-2</v>
      </c>
      <c r="Q117" s="89">
        <f t="shared" si="325"/>
        <v>3.1034937530825868E-2</v>
      </c>
      <c r="R117" s="89">
        <f t="shared" si="326"/>
        <v>-4.7880351699108203E-2</v>
      </c>
      <c r="S117" s="89">
        <f t="shared" si="327"/>
        <v>-1.4796397113249427E-2</v>
      </c>
      <c r="T117" s="89">
        <f t="shared" si="328"/>
        <v>-2.608194034768041E-2</v>
      </c>
      <c r="U117" s="89">
        <f t="shared" si="329"/>
        <v>1.3463043429674304E-2</v>
      </c>
      <c r="V117" s="89">
        <f t="shared" si="330"/>
        <v>6.245050391367557E-2</v>
      </c>
      <c r="W117" s="89">
        <f t="shared" si="331"/>
        <v>-2.4284139176783515E-2</v>
      </c>
      <c r="X117" s="89">
        <f t="shared" si="332"/>
        <v>3.1641015076349088E-3</v>
      </c>
      <c r="Y117" s="89">
        <f t="shared" si="333"/>
        <v>-5.5215863075063543E-2</v>
      </c>
      <c r="Z117" s="89">
        <f t="shared" si="334"/>
        <v>-1.9931045222752575E-2</v>
      </c>
      <c r="AA117" s="89">
        <f t="shared" si="335"/>
        <v>-5.1859449123440648E-2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0.24092129131398266</v>
      </c>
      <c r="F118" s="89">
        <f t="shared" si="314"/>
        <v>-4.1702124590731193E-3</v>
      </c>
      <c r="G118" s="89">
        <f t="shared" si="315"/>
        <v>-7.1450779043118251E-2</v>
      </c>
      <c r="H118" s="89">
        <f t="shared" si="316"/>
        <v>4.7515695246504341E-2</v>
      </c>
      <c r="I118" s="89">
        <f t="shared" si="317"/>
        <v>7.1950717691767974E-2</v>
      </c>
      <c r="J118" s="89">
        <f t="shared" si="318"/>
        <v>0.47174984881643445</v>
      </c>
      <c r="K118" s="89">
        <f t="shared" si="319"/>
        <v>-0.10085358129506095</v>
      </c>
      <c r="L118" s="89">
        <f t="shared" si="320"/>
        <v>0.17088493314483411</v>
      </c>
      <c r="M118" s="89">
        <f t="shared" si="321"/>
        <v>-0.41286136745632296</v>
      </c>
      <c r="N118" s="89">
        <f t="shared" si="322"/>
        <v>0.28276695036548727</v>
      </c>
      <c r="O118" s="89">
        <f t="shared" si="323"/>
        <v>0.27369418301451076</v>
      </c>
      <c r="P118" s="89">
        <f t="shared" si="324"/>
        <v>8.1368818521398989E-2</v>
      </c>
      <c r="Q118" s="89">
        <f t="shared" si="325"/>
        <v>1.3359874534847105E-2</v>
      </c>
      <c r="R118" s="89">
        <f t="shared" si="326"/>
        <v>0.14203126694655954</v>
      </c>
      <c r="S118" s="89">
        <f t="shared" si="327"/>
        <v>-8.3042024886877841E-2</v>
      </c>
      <c r="T118" s="89">
        <f t="shared" si="328"/>
        <v>0.11275065059574585</v>
      </c>
      <c r="U118" s="89">
        <f t="shared" si="329"/>
        <v>4.2461251710588011E-2</v>
      </c>
      <c r="V118" s="89">
        <f t="shared" si="330"/>
        <v>3.4628030332457094E-2</v>
      </c>
      <c r="W118" s="89">
        <f t="shared" si="331"/>
        <v>-0.13900872272216525</v>
      </c>
      <c r="X118" s="89">
        <f t="shared" si="332"/>
        <v>-3.6493410794118386E-3</v>
      </c>
      <c r="Y118" s="89">
        <f t="shared" si="333"/>
        <v>0.13077995166022105</v>
      </c>
      <c r="Z118" s="89">
        <f t="shared" si="334"/>
        <v>0.1283484520359921</v>
      </c>
      <c r="AA118" s="89">
        <f t="shared" si="335"/>
        <v>5.4887491815906575E-2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7.5954906049125137E-2</v>
      </c>
      <c r="F119" s="89">
        <f t="shared" si="314"/>
        <v>1.248808924552014E-2</v>
      </c>
      <c r="G119" s="89">
        <f t="shared" si="315"/>
        <v>0.19992798751783636</v>
      </c>
      <c r="H119" s="89">
        <f t="shared" si="316"/>
        <v>4.718501916365625E-2</v>
      </c>
      <c r="I119" s="89">
        <f t="shared" si="317"/>
        <v>0.1560632295273936</v>
      </c>
      <c r="J119" s="89">
        <f t="shared" si="318"/>
        <v>0.16452243805924405</v>
      </c>
      <c r="K119" s="89">
        <f t="shared" si="319"/>
        <v>0.28029761458704527</v>
      </c>
      <c r="L119" s="89">
        <f t="shared" si="320"/>
        <v>-3.1652179919647971E-2</v>
      </c>
      <c r="M119" s="89">
        <f t="shared" si="321"/>
        <v>-0.26297266070465297</v>
      </c>
      <c r="N119" s="89">
        <f t="shared" si="322"/>
        <v>1.8888053764109403E-2</v>
      </c>
      <c r="O119" s="89">
        <f t="shared" si="323"/>
        <v>0.31602382482075897</v>
      </c>
      <c r="P119" s="89">
        <f t="shared" si="324"/>
        <v>8.1279078024096396E-2</v>
      </c>
      <c r="Q119" s="89">
        <f t="shared" si="325"/>
        <v>-0.13619021252257646</v>
      </c>
      <c r="R119" s="89">
        <f t="shared" si="326"/>
        <v>0.1705668827862632</v>
      </c>
      <c r="S119" s="89">
        <f t="shared" si="327"/>
        <v>0.20613312500000003</v>
      </c>
      <c r="T119" s="89">
        <f t="shared" si="328"/>
        <v>1.7166108881143005E-2</v>
      </c>
      <c r="U119" s="89">
        <f t="shared" si="329"/>
        <v>0.10409452287395826</v>
      </c>
      <c r="V119" s="89">
        <f t="shared" si="330"/>
        <v>-4.8284240820640756E-3</v>
      </c>
      <c r="W119" s="89">
        <f t="shared" si="331"/>
        <v>5.9747520764564799E-2</v>
      </c>
      <c r="X119" s="89">
        <f t="shared" si="332"/>
        <v>4.0216846436776699E-2</v>
      </c>
      <c r="Y119" s="89">
        <f t="shared" si="333"/>
        <v>0.15142332393123681</v>
      </c>
      <c r="Z119" s="89">
        <f t="shared" si="334"/>
        <v>7.6380521333658802E-3</v>
      </c>
      <c r="AA119" s="89">
        <f t="shared" si="335"/>
        <v>-4.5150625899100572E-2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6.8594403380267899E-2</v>
      </c>
      <c r="F120" s="89">
        <f t="shared" si="314"/>
        <v>-3.1683197418937659E-2</v>
      </c>
      <c r="G120" s="89">
        <f t="shared" si="315"/>
        <v>-2.3879318199339639E-2</v>
      </c>
      <c r="H120" s="89">
        <f t="shared" si="316"/>
        <v>5.7525421550501665E-3</v>
      </c>
      <c r="I120" s="89">
        <f t="shared" si="317"/>
        <v>8.1353235619447295E-2</v>
      </c>
      <c r="J120" s="89">
        <f t="shared" si="318"/>
        <v>-9.7032456887458096E-4</v>
      </c>
      <c r="K120" s="89">
        <f t="shared" si="319"/>
        <v>-0.28362634939498765</v>
      </c>
      <c r="L120" s="89">
        <f t="shared" si="320"/>
        <v>-0.11294102141869844</v>
      </c>
      <c r="M120" s="89">
        <f t="shared" si="321"/>
        <v>-0.22869552196736309</v>
      </c>
      <c r="N120" s="89">
        <f t="shared" si="322"/>
        <v>0.18951455433118647</v>
      </c>
      <c r="O120" s="89">
        <f t="shared" si="323"/>
        <v>6.9509587846358745E-2</v>
      </c>
      <c r="P120" s="89">
        <f t="shared" si="324"/>
        <v>-0.11579448572721673</v>
      </c>
      <c r="Q120" s="89">
        <f t="shared" si="325"/>
        <v>1.4754561863738136E-2</v>
      </c>
      <c r="R120" s="89">
        <f t="shared" si="326"/>
        <v>-6.6465304299226369E-2</v>
      </c>
      <c r="S120" s="89">
        <f t="shared" si="327"/>
        <v>-0.10486899999999999</v>
      </c>
      <c r="T120" s="89">
        <f t="shared" si="328"/>
        <v>4.9931311160443137E-2</v>
      </c>
      <c r="U120" s="89">
        <f t="shared" si="329"/>
        <v>9.4284016816200911E-2</v>
      </c>
      <c r="V120" s="89">
        <f t="shared" si="330"/>
        <v>4.9182344334675498E-2</v>
      </c>
      <c r="W120" s="89">
        <f t="shared" si="331"/>
        <v>-0.10477639495884961</v>
      </c>
      <c r="X120" s="89">
        <f t="shared" si="332"/>
        <v>-2.566462002901404E-2</v>
      </c>
      <c r="Y120" s="89">
        <f t="shared" si="333"/>
        <v>-2.9345777284616292E-2</v>
      </c>
      <c r="Z120" s="89">
        <f t="shared" si="334"/>
        <v>-5.5662462428031523E-2</v>
      </c>
      <c r="AA120" s="89">
        <f t="shared" si="335"/>
        <v>-7.6779937357151828E-2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2.2598812991324602E-2</v>
      </c>
      <c r="F121" s="89">
        <f t="shared" si="314"/>
        <v>0.23145268390541074</v>
      </c>
      <c r="G121" s="89">
        <f t="shared" si="315"/>
        <v>-3.5155509452184819E-2</v>
      </c>
      <c r="H121" s="89">
        <f t="shared" si="316"/>
        <v>5.9478510133222473E-2</v>
      </c>
      <c r="I121" s="89">
        <f t="shared" si="317"/>
        <v>5.4833906283491274E-2</v>
      </c>
      <c r="J121" s="89">
        <f t="shared" si="318"/>
        <v>-0.10614712792107373</v>
      </c>
      <c r="K121" s="89">
        <f t="shared" si="319"/>
        <v>0.24792716475766108</v>
      </c>
      <c r="L121" s="89">
        <f t="shared" si="320"/>
        <v>-0.28403383474663269</v>
      </c>
      <c r="M121" s="89">
        <f t="shared" si="321"/>
        <v>-0.1366387424215938</v>
      </c>
      <c r="N121" s="89">
        <f t="shared" si="322"/>
        <v>0.55087648625314634</v>
      </c>
      <c r="O121" s="89">
        <f t="shared" si="323"/>
        <v>4.1132378189617347E-2</v>
      </c>
      <c r="P121" s="89">
        <f t="shared" si="324"/>
        <v>1.3751373710326531E-2</v>
      </c>
      <c r="Q121" s="89">
        <f t="shared" si="325"/>
        <v>-3.7494490568878103E-2</v>
      </c>
      <c r="R121" s="89">
        <f t="shared" si="326"/>
        <v>6.6658842596984513E-2</v>
      </c>
      <c r="S121" s="89">
        <f t="shared" si="327"/>
        <v>2.3258953508926705E-3</v>
      </c>
      <c r="T121" s="89">
        <f t="shared" si="328"/>
        <v>1.4273998670253363E-3</v>
      </c>
      <c r="U121" s="89">
        <f t="shared" si="329"/>
        <v>8.6976698539943609E-2</v>
      </c>
      <c r="V121" s="89">
        <f t="shared" si="330"/>
        <v>0.13753985808365599</v>
      </c>
      <c r="W121" s="89">
        <f t="shared" si="331"/>
        <v>-1.9790448532198246E-2</v>
      </c>
      <c r="X121" s="89">
        <f t="shared" si="332"/>
        <v>-2.209153349418902E-2</v>
      </c>
      <c r="Y121" s="89">
        <f t="shared" si="333"/>
        <v>0.56786180947671072</v>
      </c>
      <c r="Z121" s="89">
        <f t="shared" si="334"/>
        <v>-0.18155056050034024</v>
      </c>
      <c r="AA121" s="89">
        <f t="shared" si="335"/>
        <v>-0.14133756207647008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4.0421802239040128E-2</v>
      </c>
      <c r="F122" s="91">
        <f t="shared" si="314"/>
        <v>0.18078249511518885</v>
      </c>
      <c r="G122" s="91">
        <f t="shared" si="315"/>
        <v>0.25920300742984259</v>
      </c>
      <c r="H122" s="91">
        <f t="shared" si="316"/>
        <v>0.1829289199167381</v>
      </c>
      <c r="I122" s="91">
        <f t="shared" si="317"/>
        <v>9.9492337996526237E-2</v>
      </c>
      <c r="J122" s="91">
        <f t="shared" si="318"/>
        <v>-1.0842181611517843E-2</v>
      </c>
      <c r="K122" s="91">
        <f t="shared" si="319"/>
        <v>3.1095448488673849E-2</v>
      </c>
      <c r="L122" s="91">
        <f t="shared" si="320"/>
        <v>-0.15119581234958113</v>
      </c>
      <c r="M122" s="91">
        <f t="shared" si="321"/>
        <v>-9.0584152489407432E-2</v>
      </c>
      <c r="N122" s="91">
        <f t="shared" si="322"/>
        <v>-3.7522347430927527E-2</v>
      </c>
      <c r="O122" s="91">
        <f t="shared" si="323"/>
        <v>-4.0771694745159404E-2</v>
      </c>
      <c r="P122" s="91">
        <f t="shared" si="324"/>
        <v>0.10348671509927332</v>
      </c>
      <c r="Q122" s="91">
        <f t="shared" si="325"/>
        <v>5.1579244937705049E-2</v>
      </c>
      <c r="R122" s="91">
        <f t="shared" si="326"/>
        <v>-3.2207870182853315E-2</v>
      </c>
      <c r="S122" s="91">
        <f t="shared" si="327"/>
        <v>6.0895999999999839E-2</v>
      </c>
      <c r="T122" s="91">
        <f t="shared" si="328"/>
        <v>3.2719322452894772E-2</v>
      </c>
      <c r="U122" s="91">
        <f t="shared" si="329"/>
        <v>3.8487557057660826E-2</v>
      </c>
      <c r="V122" s="91">
        <f t="shared" si="330"/>
        <v>2.8276352482287104E-2</v>
      </c>
      <c r="W122" s="91">
        <f t="shared" si="331"/>
        <v>7.3075904336903363E-3</v>
      </c>
      <c r="X122" s="91">
        <f t="shared" si="332"/>
        <v>5.8648621179496097E-2</v>
      </c>
      <c r="Y122" s="91">
        <f t="shared" si="333"/>
        <v>0.26278232982195737</v>
      </c>
      <c r="Z122" s="91">
        <f t="shared" si="334"/>
        <v>-0.11770833143825166</v>
      </c>
      <c r="AA122" s="91">
        <f t="shared" si="335"/>
        <v>-9.8248216839443958E-2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2025-11-06T10:27:42Z</dcterms:created>
  <dcterms:modified xsi:type="dcterms:W3CDTF">2025-11-06T10:27:42Z</dcterms:modified>
</cp:coreProperties>
</file>